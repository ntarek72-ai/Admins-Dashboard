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8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Check" sheetId="2" state="visible" r:id="rId4"/>
    <sheet name="BAHARY" sheetId="3" state="visible" r:id="rId5"/>
    <sheet name="PERLINE" sheetId="4" state="visible" r:id="rId6"/>
    <sheet name="كشف المطالبة" sheetId="5" state="visible" r:id="rId7"/>
    <sheet name="الاجمالى" sheetId="6" state="visible" r:id="rId8"/>
    <sheet name="كشف  (1)" sheetId="7" state="visible" r:id="rId9"/>
    <sheet name="كشف  (2)" sheetId="8" state="visible" r:id="rId10"/>
    <sheet name="كشف  (3)" sheetId="9" state="visible" r:id="rId11"/>
    <sheet name="كشف  (4)" sheetId="10" state="visible" r:id="rId12"/>
    <sheet name="كشف  (5)" sheetId="11" state="visible" r:id="rId13"/>
    <sheet name="كشف  (6)" sheetId="12" state="visible" r:id="rId14"/>
    <sheet name="كشف  (7)" sheetId="13" state="visible" r:id="rId15"/>
    <sheet name="كشف  (8)" sheetId="14" state="visible" r:id="rId16"/>
    <sheet name="كشف  (9)" sheetId="15" state="visible" r:id="rId17"/>
    <sheet name="كشف  (10)" sheetId="16" state="visible" r:id="rId18"/>
    <sheet name="كشف  (11)" sheetId="17" state="visible" r:id="rId19"/>
    <sheet name="كشف  (12)" sheetId="18" state="visible" r:id="rId20"/>
  </sheets>
  <definedNames>
    <definedName function="false" hidden="true" localSheetId="3" name="_xlnm._FilterDatabase" vbProcedure="false">PERLINE!$A$1:$AL$3001</definedName>
    <definedName function="false" hidden="true" localSheetId="7" name="_xlnm._FilterDatabase" vbProcedure="false">'كشف  (2)'!$A$1:$L$42</definedName>
    <definedName function="false" hidden="true" localSheetId="2" name="Z_ECF98E77_028D_4A5E_B991_E30BFF47418F_.wvu.FilterData" vbProcedure="false">'bahary 2'!$a$1:$k$454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<sst xmlns="http://schemas.openxmlformats.org/spreadsheetml/2006/main" count="271" uniqueCount="115">
  <si>
    <t xml:space="preserve">El Tawoon template - Bahary</t>
  </si>
  <si>
    <t xml:space="preserve">Monthly steps</t>
  </si>
  <si>
    <t xml:space="preserve">1. Open 'PERLINE'. Delete the old data in the BLUE columns only (row 2 down). Never delete the green or grey columns.</t>
  </si>
  <si>
    <t xml:space="preserve">2. Paste the new month's lines as VALUES starting at A2 into the blue columns (same order as the system export).</t>
  </si>
  <si>
    <t xml:space="preserve">3. Type the invoice number (INV column in PERLINE) yourself. It can start from any number (1, 351, 1200 ...): all lines of the same Order # get the same number. The invoice list and the statement pages show the INV numbers in ascending order, whatever the first number is.</t>
  </si>
  <si>
    <r>
      <rPr>
        <sz val="11"/>
        <rFont val="Calibri"/>
        <family val="0"/>
        <charset val="1"/>
      </rPr>
      <t xml:space="preserve">4. Everything else fills itself: the invoice list tab 'BAHARY', the statement pages '</t>
    </r>
    <r>
      <rPr>
        <sz val="11"/>
        <rFont val="FreeSans"/>
        <family val="2"/>
      </rPr>
      <t xml:space="preserve">كشف  </t>
    </r>
    <r>
      <rPr>
        <sz val="11"/>
        <rFont val="Calibri"/>
        <family val="0"/>
        <charset val="1"/>
      </rPr>
      <t xml:space="preserve">(1)', '</t>
    </r>
    <r>
      <rPr>
        <sz val="11"/>
        <rFont val="FreeSans"/>
        <family val="2"/>
      </rPr>
      <t xml:space="preserve">كشف  </t>
    </r>
    <r>
      <rPr>
        <sz val="11"/>
        <rFont val="Calibri"/>
        <family val="0"/>
        <charset val="1"/>
      </rPr>
      <t xml:space="preserve">(2)' ..., '</t>
    </r>
    <r>
      <rPr>
        <sz val="11"/>
        <rFont val="FreeSans"/>
        <family val="2"/>
      </rPr>
      <t xml:space="preserve">الاجمالى</t>
    </r>
    <r>
      <rPr>
        <sz val="11"/>
        <rFont val="Calibri"/>
        <family val="0"/>
        <charset val="1"/>
      </rPr>
      <t xml:space="preserve">' and '</t>
    </r>
    <r>
      <rPr>
        <sz val="11"/>
        <rFont val="FreeSans"/>
        <family val="2"/>
      </rPr>
      <t xml:space="preserve">كشف المطالبة</t>
    </r>
    <r>
      <rPr>
        <sz val="11"/>
        <rFont val="Calibri"/>
        <family val="0"/>
        <charset val="1"/>
      </rPr>
      <t xml:space="preserve">'.</t>
    </r>
  </si>
  <si>
    <r>
      <rPr>
        <sz val="11"/>
        <rFont val="Calibri"/>
        <family val="0"/>
        <charset val="1"/>
      </rPr>
      <t xml:space="preserve">5. In '</t>
    </r>
    <r>
      <rPr>
        <sz val="11"/>
        <rFont val="FreeSans"/>
        <family val="2"/>
      </rPr>
      <t xml:space="preserve">كشف المطالبة</t>
    </r>
    <r>
      <rPr>
        <sz val="11"/>
        <rFont val="Calibri"/>
        <family val="0"/>
        <charset val="1"/>
      </rPr>
      <t xml:space="preserve">' choose the month (E2). Also check the part (E3), the type (E4) and the rates 14% / 7% (D5 / D6).</t>
    </r>
  </si>
  <si>
    <t xml:space="preserve">6. Open 'Check': STATUS must say OK (Perline = invoice list = statement pages = claim sheet).</t>
  </si>
  <si>
    <t xml:space="preserve">7. Statement pages that are not needed stay empty - print or send only the pages that have patients (40 patients per page).</t>
  </si>
  <si>
    <t xml:space="preserve">Colour legend</t>
  </si>
  <si>
    <t xml:space="preserve">Blue header = pasted by you.   Green header = formula (do not paste over).   Grey header = helper formula (do not touch).</t>
  </si>
  <si>
    <t xml:space="preserve">Calculation rules (taken from your files)</t>
  </si>
  <si>
    <t xml:space="preserve">PERLINE: CO VAL = Order Co Payment x Product Total / 100.  DISC = Product Total x Rebates / 100.  SUBTOTAL = Product Total - DISC.  NET = Product Total - DISC - CO VAL.</t>
  </si>
  <si>
    <r>
      <rPr>
        <sz val="11"/>
        <rFont val="Calibri"/>
        <family val="0"/>
        <charset val="1"/>
      </rPr>
      <t xml:space="preserve">Rebates per line = 14% if Local = TRUE, otherwise 7% (the rates are read from '</t>
    </r>
    <r>
      <rPr>
        <sz val="11"/>
        <rFont val="FreeSans"/>
        <family val="2"/>
      </rPr>
      <t xml:space="preserve">كشف المطالبة</t>
    </r>
    <r>
      <rPr>
        <sz val="11"/>
        <rFont val="Calibri"/>
        <family val="0"/>
        <charset val="1"/>
      </rPr>
      <t xml:space="preserve">' D5 / D6). 'Special Rebates?' is not treated differently, as in your files.</t>
    </r>
  </si>
  <si>
    <t xml:space="preserve">Invoice list: Local before discount = sum of Product Total of the local lines; Imported before discount = sum of the non-local lines of that INV.</t>
  </si>
  <si>
    <t xml:space="preserve">Statement pages: after-discount amounts = before x 0.86 (local) and x 0.93 (imported) - taken from the rates. Loading % (column J) is 0; type a value on a row if a loading applies.</t>
  </si>
  <si>
    <t xml:space="preserve">Lookups use the INV number (not the patient name), so two patients with the same name cannot be mixed up.</t>
  </si>
  <si>
    <t xml:space="preserve">Capacity: 3000 lines, 900 invoices in the invoice list, 12 statement pages (480 patients). 'Check' warns if exceeded.</t>
  </si>
  <si>
    <t xml:space="preserve">Checks</t>
  </si>
  <si>
    <t xml:space="preserve">Lines loaded</t>
  </si>
  <si>
    <t xml:space="preserve">Invoices (distinct INV numbers)</t>
  </si>
  <si>
    <t xml:space="preserve">Statement pages needed (40 per page)</t>
  </si>
  <si>
    <t xml:space="preserve">Statement pages available in this file</t>
  </si>
  <si>
    <r>
      <rPr>
        <b val="true"/>
        <sz val="11"/>
        <rFont val="Calibri"/>
        <family val="0"/>
        <charset val="1"/>
      </rPr>
      <t xml:space="preserve">Month entered in '</t>
    </r>
    <r>
      <rPr>
        <b val="true"/>
        <sz val="11"/>
        <rFont val="FreeSans"/>
        <family val="2"/>
      </rPr>
      <t xml:space="preserve">كشف المطالبة</t>
    </r>
    <r>
      <rPr>
        <b val="true"/>
        <sz val="11"/>
        <rFont val="Calibri"/>
        <family val="0"/>
        <charset val="1"/>
      </rPr>
      <t xml:space="preserve">'!E2</t>
    </r>
  </si>
  <si>
    <t xml:space="preserve">Lines without an INV number</t>
  </si>
  <si>
    <t xml:space="preserve">Perline</t>
  </si>
  <si>
    <t xml:space="preserve">Invoice list (BAHARY)</t>
  </si>
  <si>
    <t xml:space="preserve">Statement pages</t>
  </si>
  <si>
    <t xml:space="preserve">Claim sheet</t>
  </si>
  <si>
    <t xml:space="preserve">Total before discount</t>
  </si>
  <si>
    <t xml:space="preserve">Discount</t>
  </si>
  <si>
    <t xml:space="preserve">Loading / copayment (CO VAL)</t>
  </si>
  <si>
    <t xml:space="preserve">Net</t>
  </si>
  <si>
    <t xml:space="preserve">STATUS</t>
  </si>
  <si>
    <t xml:space="preserve">INV</t>
  </si>
  <si>
    <t xml:space="preserve">الاسم</t>
  </si>
  <si>
    <t xml:space="preserve">رقم الأداء</t>
  </si>
  <si>
    <r>
      <rPr>
        <b val="true"/>
        <sz val="11"/>
        <color theme="1"/>
        <rFont val="FreeSans"/>
        <family val="2"/>
      </rPr>
      <t xml:space="preserve">نسبة خصم المستورد</t>
    </r>
    <r>
      <rPr>
        <b val="true"/>
        <sz val="11"/>
        <color theme="1"/>
        <rFont val="Calibri"/>
        <family val="2"/>
        <charset val="1"/>
      </rPr>
      <t xml:space="preserve">%</t>
    </r>
  </si>
  <si>
    <t xml:space="preserve">مستورد قبل الخصم</t>
  </si>
  <si>
    <t xml:space="preserve">قيمة الخصم للمستورد</t>
  </si>
  <si>
    <r>
      <rPr>
        <b val="true"/>
        <sz val="11"/>
        <color theme="1"/>
        <rFont val="FreeSans"/>
        <family val="2"/>
      </rPr>
      <t xml:space="preserve">خصم المحلي</t>
    </r>
    <r>
      <rPr>
        <b val="true"/>
        <sz val="11"/>
        <color theme="1"/>
        <rFont val="Calibri"/>
        <family val="2"/>
        <charset val="1"/>
      </rPr>
      <t xml:space="preserve">%</t>
    </r>
  </si>
  <si>
    <t xml:space="preserve">محلي قبل الخصم</t>
  </si>
  <si>
    <t xml:space="preserve">قيمة خصم المحلي</t>
  </si>
  <si>
    <t xml:space="preserve">اجمالي الخصم </t>
  </si>
  <si>
    <t xml:space="preserve">الاجمالي</t>
  </si>
  <si>
    <t xml:space="preserve">الصافي</t>
  </si>
  <si>
    <t xml:space="preserve">SO</t>
  </si>
  <si>
    <t xml:space="preserve">قيمه التحمل</t>
  </si>
  <si>
    <t xml:space="preserve">Order #</t>
  </si>
  <si>
    <t xml:space="preserve">Cycle</t>
  </si>
  <si>
    <t xml:space="preserve">Stage</t>
  </si>
  <si>
    <t xml:space="preserve">Channel</t>
  </si>
  <si>
    <t xml:space="preserve">Create At</t>
  </si>
  <si>
    <t xml:space="preserve">Insurance Company</t>
  </si>
  <si>
    <t xml:space="preserve">Country Portal ID</t>
  </si>
  <si>
    <t xml:space="preserve">Corporate</t>
  </si>
  <si>
    <t xml:space="preserve">Card</t>
  </si>
  <si>
    <t xml:space="preserve">Name</t>
  </si>
  <si>
    <t xml:space="preserve">Status</t>
  </si>
  <si>
    <t xml:space="preserve">Order Co Payment</t>
  </si>
  <si>
    <t xml:space="preserve">CO VAL</t>
  </si>
  <si>
    <t xml:space="preserve">inv</t>
  </si>
  <si>
    <t xml:space="preserve">heisenberg id</t>
  </si>
  <si>
    <t xml:space="preserve">Product Name</t>
  </si>
  <si>
    <t xml:space="preserve">Local</t>
  </si>
  <si>
    <t xml:space="preserve">Unit</t>
  </si>
  <si>
    <t xml:space="preserve">Quantity</t>
  </si>
  <si>
    <t xml:space="preserve">Unit Price</t>
  </si>
  <si>
    <t xml:space="preserve">Product Total</t>
  </si>
  <si>
    <t xml:space="preserve">GROSS</t>
  </si>
  <si>
    <t xml:space="preserve">DISC</t>
  </si>
  <si>
    <t xml:space="preserve">SUBTOTAL</t>
  </si>
  <si>
    <t xml:space="preserve">NET</t>
  </si>
  <si>
    <t xml:space="preserve">ERX ID</t>
  </si>
  <si>
    <t xml:space="preserve">Special Rebates?</t>
  </si>
  <si>
    <t xml:space="preserve">Rebates</t>
  </si>
  <si>
    <t xml:space="preserve">Approval Type</t>
  </si>
  <si>
    <t xml:space="preserve">Max Limit</t>
  </si>
  <si>
    <t xml:space="preserve">Exceeding Limit</t>
  </si>
  <si>
    <t xml:space="preserve">Amount collected from customer</t>
  </si>
  <si>
    <t xml:space="preserve">By Patient (Delivered)</t>
  </si>
  <si>
    <t xml:space="preserve">Dispense Number</t>
  </si>
  <si>
    <t xml:space="preserve">Dispense Date</t>
  </si>
  <si>
    <t xml:space="preserve">Has OTP?</t>
  </si>
  <si>
    <t xml:space="preserve">Local Flag (helper)</t>
  </si>
  <si>
    <t xml:space="preserve">INV 1st Row (helper)</t>
  </si>
  <si>
    <r>
      <rPr>
        <b val="true"/>
        <sz val="18"/>
        <color theme="1"/>
        <rFont val="FreeSans"/>
        <family val="2"/>
      </rPr>
      <t xml:space="preserve">صيدلية د </t>
    </r>
    <r>
      <rPr>
        <b val="true"/>
        <sz val="18"/>
        <color theme="1"/>
        <rFont val="Calibri"/>
        <family val="2"/>
        <charset val="1"/>
      </rPr>
      <t xml:space="preserve">/ woods pharma</t>
    </r>
  </si>
  <si>
    <r>
      <rPr>
        <b val="true"/>
        <sz val="16"/>
        <color theme="1"/>
        <rFont val="FreeSans"/>
        <family val="2"/>
      </rPr>
      <t xml:space="preserve">مطالبة مقدمة لشركة </t>
    </r>
    <r>
      <rPr>
        <b val="true"/>
        <sz val="16"/>
        <color theme="1"/>
        <rFont val="Calibri"/>
        <family val="2"/>
        <charset val="1"/>
      </rPr>
      <t xml:space="preserve">: </t>
    </r>
    <r>
      <rPr>
        <b val="true"/>
        <sz val="16"/>
        <color theme="1"/>
        <rFont val="FreeSans"/>
        <family val="2"/>
      </rPr>
      <t xml:space="preserve">التعاون للبترول</t>
    </r>
  </si>
  <si>
    <r>
      <rPr>
        <b val="true"/>
        <sz val="16"/>
        <color theme="1"/>
        <rFont val="FreeSans"/>
        <family val="2"/>
      </rPr>
      <t xml:space="preserve">عن شهر </t>
    </r>
    <r>
      <rPr>
        <b val="true"/>
        <sz val="16"/>
        <color theme="1"/>
        <rFont val="Calibri"/>
        <family val="2"/>
        <charset val="1"/>
      </rPr>
      <t xml:space="preserve">:</t>
    </r>
  </si>
  <si>
    <t xml:space="preserve">عاملين</t>
  </si>
  <si>
    <t xml:space="preserve">عائلات</t>
  </si>
  <si>
    <t xml:space="preserve">معاشات</t>
  </si>
  <si>
    <t xml:space="preserve">الجزء الاول</t>
  </si>
  <si>
    <r>
      <rPr>
        <b val="true"/>
        <sz val="16"/>
        <color theme="1"/>
        <rFont val="FreeSans"/>
        <family val="2"/>
      </rPr>
      <t xml:space="preserve">اجمالى الادوية </t>
    </r>
    <r>
      <rPr>
        <b val="true"/>
        <sz val="16"/>
        <color theme="1"/>
        <rFont val="Calibri"/>
        <family val="2"/>
        <charset val="1"/>
      </rPr>
      <t xml:space="preserve">:</t>
    </r>
  </si>
  <si>
    <r>
      <rPr>
        <b val="true"/>
        <sz val="16"/>
        <color theme="1"/>
        <rFont val="FreeSans"/>
        <family val="2"/>
      </rPr>
      <t xml:space="preserve">اجمالى المحلى </t>
    </r>
    <r>
      <rPr>
        <b val="true"/>
        <sz val="16"/>
        <color theme="1"/>
        <rFont val="Calibri"/>
        <family val="2"/>
        <charset val="1"/>
      </rPr>
      <t xml:space="preserve">:</t>
    </r>
  </si>
  <si>
    <r>
      <rPr>
        <b val="true"/>
        <sz val="16"/>
        <color theme="1"/>
        <rFont val="FreeSans"/>
        <family val="2"/>
      </rPr>
      <t xml:space="preserve">اجمالى المستورد </t>
    </r>
    <r>
      <rPr>
        <b val="true"/>
        <sz val="16"/>
        <color theme="1"/>
        <rFont val="Calibri"/>
        <family val="2"/>
        <charset val="1"/>
      </rPr>
      <t xml:space="preserve">:</t>
    </r>
  </si>
  <si>
    <r>
      <rPr>
        <b val="true"/>
        <sz val="16"/>
        <color theme="1"/>
        <rFont val="FreeSans"/>
        <family val="2"/>
      </rPr>
      <t xml:space="preserve">اجمالى التحميل </t>
    </r>
    <r>
      <rPr>
        <b val="true"/>
        <sz val="16"/>
        <color theme="1"/>
        <rFont val="Calibri"/>
        <family val="2"/>
        <charset val="1"/>
      </rPr>
      <t xml:space="preserve">:</t>
    </r>
  </si>
  <si>
    <r>
      <rPr>
        <b val="true"/>
        <sz val="16"/>
        <color theme="1"/>
        <rFont val="FreeSans"/>
        <family val="2"/>
      </rPr>
      <t xml:space="preserve">اجمالى خصم المحلى و المستورد </t>
    </r>
    <r>
      <rPr>
        <b val="true"/>
        <sz val="16"/>
        <color theme="1"/>
        <rFont val="Calibri"/>
        <family val="2"/>
        <charset val="1"/>
      </rPr>
      <t xml:space="preserve">:</t>
    </r>
  </si>
  <si>
    <r>
      <rPr>
        <b val="true"/>
        <sz val="16"/>
        <color theme="1"/>
        <rFont val="FreeSans"/>
        <family val="2"/>
      </rPr>
      <t xml:space="preserve">اجمالى الادوية </t>
    </r>
    <r>
      <rPr>
        <b val="true"/>
        <sz val="16"/>
        <color theme="1"/>
        <rFont val="Calibri"/>
        <family val="2"/>
        <charset val="1"/>
      </rPr>
      <t xml:space="preserve">- </t>
    </r>
    <r>
      <rPr>
        <b val="true"/>
        <sz val="16"/>
        <color theme="1"/>
        <rFont val="FreeSans"/>
        <family val="2"/>
      </rPr>
      <t xml:space="preserve">التحميل</t>
    </r>
  </si>
  <si>
    <r>
      <rPr>
        <b val="true"/>
        <sz val="16"/>
        <color theme="1"/>
        <rFont val="FreeSans"/>
        <family val="2"/>
      </rPr>
      <t xml:space="preserve">الاجمالى بعد الخصم و التحميل </t>
    </r>
    <r>
      <rPr>
        <b val="true"/>
        <sz val="16"/>
        <color theme="1"/>
        <rFont val="Calibri"/>
        <family val="2"/>
        <charset val="1"/>
      </rPr>
      <t xml:space="preserve">:</t>
    </r>
  </si>
  <si>
    <t xml:space="preserve">المطلوب سداده</t>
  </si>
  <si>
    <t xml:space="preserve">فقط لا غير</t>
  </si>
  <si>
    <t xml:space="preserve">الجزء الثانى</t>
  </si>
  <si>
    <t xml:space="preserve">الجزء الثالث</t>
  </si>
  <si>
    <t xml:space="preserve">الجزء الرابع</t>
  </si>
  <si>
    <t xml:space="preserve">شركة التعاون للبترول</t>
  </si>
  <si>
    <t xml:space="preserve">م</t>
  </si>
  <si>
    <t xml:space="preserve">محلى قبل الخصم</t>
  </si>
  <si>
    <t xml:space="preserve">الاجمالى قبل الخصم</t>
  </si>
  <si>
    <t xml:space="preserve">الاجمالى بعد الاخصم</t>
  </si>
  <si>
    <t xml:space="preserve">التحميل</t>
  </si>
  <si>
    <t xml:space="preserve">الصافى</t>
  </si>
  <si>
    <r>
      <rPr>
        <sz val="14"/>
        <color theme="1"/>
        <rFont val="FreeSans"/>
        <family val="2"/>
      </rPr>
      <t xml:space="preserve">مطالبة صيدلية </t>
    </r>
    <r>
      <rPr>
        <sz val="14"/>
        <color theme="1"/>
        <rFont val="Calibri"/>
        <family val="2"/>
        <charset val="1"/>
      </rPr>
      <t xml:space="preserve">woods pharma </t>
    </r>
    <r>
      <rPr>
        <sz val="14"/>
        <color theme="1"/>
        <rFont val="FreeSans"/>
        <family val="2"/>
      </rPr>
      <t xml:space="preserve">عن شهر </t>
    </r>
    <r>
      <rPr>
        <sz val="14"/>
        <color theme="1"/>
        <rFont val="Calibri"/>
        <family val="2"/>
        <charset val="1"/>
      </rPr>
      <t xml:space="preserve">:</t>
    </r>
  </si>
  <si>
    <t xml:space="preserve">نسبة التحميل</t>
  </si>
  <si>
    <t xml:space="preserve">اجمالى الصفحه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</si>
</sst>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#,##0.00####"/>
    <numFmt numFmtId="167" formatCode="dd/mm/yyyy\ hh:mm"/>
    <numFmt numFmtId="168" formatCode="%0"/>
  </numFmts>
  <fonts count="37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  <font>
      <sz val="11"/>
      <name val="FreeSans"/>
      <family val="2"/>
    </font>
    <font>
      <b val="true"/>
      <sz val="13"/>
      <name val="Calibri"/>
      <family val="0"/>
      <charset val="1"/>
    </font>
    <font>
      <b val="true"/>
      <sz val="11"/>
      <name val="FreeSans"/>
      <family val="2"/>
    </font>
    <font>
      <b val="true"/>
      <sz val="11"/>
      <color theme="1"/>
      <name val="Calibri"/>
      <family val="2"/>
      <charset val="1"/>
    </font>
    <font>
      <b val="true"/>
      <sz val="14"/>
      <color theme="1"/>
      <name val="Calibri"/>
      <family val="2"/>
      <charset val="1"/>
    </font>
    <font>
      <b val="true"/>
      <sz val="14"/>
      <color theme="1"/>
      <name val="FreeSans"/>
      <family val="2"/>
    </font>
    <font>
      <b val="true"/>
      <sz val="11"/>
      <color theme="1"/>
      <name val="FreeSans"/>
      <family val="2"/>
    </font>
    <font>
      <b val="true"/>
      <sz val="12"/>
      <color theme="1"/>
      <name val="FreeSans"/>
      <family val="2"/>
    </font>
    <font>
      <sz val="11"/>
      <color theme="1"/>
      <name val="Calibri"/>
      <family val="0"/>
      <charset val="1"/>
    </font>
    <font>
      <sz val="11"/>
      <color theme="1"/>
      <name val="Calibri"/>
      <family val="2"/>
      <charset val="1"/>
    </font>
    <font>
      <b val="true"/>
      <sz val="10"/>
      <name val="Calibri"/>
      <family val="0"/>
      <charset val="1"/>
    </font>
    <font>
      <sz val="10"/>
      <color rgb="FF000000"/>
      <name val="Calibri"/>
      <family val="0"/>
      <charset val="1"/>
    </font>
    <font>
      <sz val="10"/>
      <color rgb="FF808080"/>
      <name val="Calibri"/>
      <family val="0"/>
      <charset val="1"/>
    </font>
    <font>
      <b val="true"/>
      <sz val="18"/>
      <color theme="1"/>
      <name val="FreeSans"/>
      <family val="2"/>
    </font>
    <font>
      <b val="true"/>
      <sz val="18"/>
      <color theme="1"/>
      <name val="Calibri"/>
      <family val="2"/>
      <charset val="1"/>
    </font>
    <font>
      <b val="true"/>
      <sz val="16"/>
      <color theme="1"/>
      <name val="Arabic Typesetting"/>
      <family val="4"/>
      <charset val="178"/>
    </font>
    <font>
      <b val="true"/>
      <sz val="16"/>
      <color theme="1"/>
      <name val="FreeSans"/>
      <family val="2"/>
    </font>
    <font>
      <b val="true"/>
      <sz val="16"/>
      <color theme="1"/>
      <name val="Calibri"/>
      <family val="2"/>
      <charset val="1"/>
    </font>
    <font>
      <b val="true"/>
      <sz val="26"/>
      <color theme="1"/>
      <name val="Arabic Typesetting"/>
      <family val="4"/>
      <charset val="178"/>
    </font>
    <font>
      <b val="true"/>
      <sz val="16"/>
      <color theme="0"/>
      <name val="Arabic Typesetting"/>
      <family val="4"/>
      <charset val="178"/>
    </font>
    <font>
      <sz val="16"/>
      <color theme="1"/>
      <name val="Calibri"/>
      <family val="2"/>
      <charset val="1"/>
    </font>
    <font>
      <sz val="16"/>
      <color theme="0"/>
      <name val="FreeSans"/>
      <family val="2"/>
    </font>
    <font>
      <sz val="16"/>
      <color theme="0"/>
      <name val="Calibri"/>
      <family val="2"/>
      <charset val="1"/>
    </font>
    <font>
      <sz val="14"/>
      <color theme="1"/>
      <name val="FreeSans"/>
      <family val="2"/>
    </font>
    <font>
      <sz val="11"/>
      <color theme="0"/>
      <name val="Calibri"/>
      <family val="2"/>
      <charset val="1"/>
    </font>
    <font>
      <b val="true"/>
      <sz val="12"/>
      <color theme="1"/>
      <name val="Arabic Typesetting"/>
      <family val="4"/>
      <charset val="178"/>
    </font>
    <font>
      <sz val="12"/>
      <color theme="1"/>
      <name val="Calibri"/>
      <family val="2"/>
      <charset val="1"/>
    </font>
    <font>
      <sz val="14"/>
      <color theme="1"/>
      <name val="Calibri"/>
      <family val="2"/>
      <charset val="1"/>
    </font>
    <font>
      <u val="single"/>
      <sz val="11"/>
      <color theme="0"/>
      <name val="Calibri"/>
      <family val="2"/>
      <charset val="1"/>
    </font>
    <font>
      <sz val="10"/>
      <color theme="1"/>
      <name val="Calibri"/>
      <family val="2"/>
      <charset val="1"/>
    </font>
    <font>
      <b val="true"/>
      <sz val="12"/>
      <color theme="1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rgb="FFF2F2F2"/>
      </patternFill>
    </fill>
    <fill>
      <patternFill patternType="solid">
        <fgColor rgb="FFDDEBF7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D9D9D9"/>
        <bgColor rgb="FFDDEBF7"/>
      </patternFill>
    </fill>
    <fill>
      <patternFill patternType="solid">
        <fgColor rgb="FFF2F2F2"/>
        <bgColor rgb="FFE2EFDA"/>
      </patternFill>
    </fill>
    <fill>
      <patternFill patternType="solid">
        <fgColor rgb="FF00B0F0"/>
        <bgColor rgb="FF33CCCC"/>
      </patternFill>
    </fill>
    <fill>
      <patternFill patternType="solid">
        <fgColor theme="5" tint="0.5999"/>
        <bgColor rgb="FFD9D9D9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21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center" textRotation="0" wrapText="false" indent="0" shrinkToFit="true"/>
      <protection locked="true" hidden="false"/>
    </xf>
    <xf numFmtId="164" fontId="22" fillId="6" borderId="0" xfId="0" applyFont="true" applyBorder="false" applyAlignment="true" applyProtection="false">
      <alignment horizontal="center" vertical="center" textRotation="0" wrapText="false" indent="0" shrinkToFit="true"/>
      <protection locked="true" hidden="false"/>
    </xf>
    <xf numFmtId="164" fontId="22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4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6" fillId="0" borderId="0" xfId="0" applyFont="true" applyBorder="false" applyAlignment="true" applyProtection="false">
      <alignment horizontal="center" vertical="center" textRotation="0" wrapText="false" indent="0" shrinkToFit="true"/>
      <protection locked="true" hidden="false"/>
    </xf>
    <xf numFmtId="164" fontId="27" fillId="2" borderId="0" xfId="0" applyFont="true" applyBorder="false" applyAlignment="true" applyProtection="false">
      <alignment horizontal="center" vertical="center" textRotation="0" wrapText="false" indent="0" shrinkToFit="tru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false" indent="0" shrinkToFit="true"/>
      <protection locked="true" hidden="false"/>
    </xf>
    <xf numFmtId="164" fontId="28" fillId="0" borderId="0" xfId="0" applyFont="true" applyBorder="false" applyAlignment="true" applyProtection="false">
      <alignment horizontal="center" vertical="center" textRotation="0" wrapText="false" indent="0" shrinkToFit="true"/>
      <protection locked="true" hidden="false"/>
    </xf>
    <xf numFmtId="164" fontId="22" fillId="0" borderId="4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6" fontId="23" fillId="0" borderId="5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22" fillId="6" borderId="6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22" fillId="0" borderId="7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6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3" fillId="0" borderId="2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5" fontId="23" fillId="0" borderId="8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6" fontId="23" fillId="0" borderId="2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5" fontId="23" fillId="0" borderId="2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22" fillId="0" borderId="9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23" fillId="0" borderId="10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27" fillId="0" borderId="0" xfId="0" applyFont="true" applyBorder="false" applyAlignment="true" applyProtection="false">
      <alignment horizontal="center" vertical="center" textRotation="0" wrapText="false" indent="0" shrinkToFit="true"/>
      <protection locked="true" hidden="false"/>
    </xf>
    <xf numFmtId="164" fontId="11" fillId="0" borderId="1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true"/>
      <protection locked="true" hidden="false"/>
    </xf>
    <xf numFmtId="164" fontId="29" fillId="0" borderId="0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0" fillId="6" borderId="0" xfId="0" applyFont="true" applyBorder="false" applyAlignment="true" applyProtection="false">
      <alignment horizontal="center" vertical="center" textRotation="0" wrapText="false" indent="0" shrinkToFit="true"/>
      <protection locked="true" hidden="false"/>
    </xf>
    <xf numFmtId="164" fontId="3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1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7" borderId="4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6" fontId="33" fillId="7" borderId="13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6" fontId="32" fillId="7" borderId="15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6" fontId="32" fillId="0" borderId="15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6" fontId="32" fillId="0" borderId="6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3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2" fillId="0" borderId="4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11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0" borderId="7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5" fillId="0" borderId="2" xfId="0" applyFont="true" applyBorder="true" applyAlignment="true" applyProtection="false">
      <alignment horizontal="center" vertical="bottom" textRotation="0" wrapText="true" indent="0" shrinkToFit="false" readingOrder="1"/>
      <protection locked="true" hidden="false"/>
    </xf>
    <xf numFmtId="166" fontId="32" fillId="0" borderId="2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8" fontId="32" fillId="0" borderId="2" xfId="0" applyFont="true" applyBorder="true" applyAlignment="true" applyProtection="false">
      <alignment horizontal="center" vertical="center" textRotation="0" wrapText="false" indent="0" shrinkToFit="true" readingOrder="1"/>
      <protection locked="true" hidden="false"/>
    </xf>
    <xf numFmtId="166" fontId="32" fillId="0" borderId="8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35" fillId="0" borderId="2" xfId="0" applyFont="true" applyBorder="true" applyAlignment="true" applyProtection="false">
      <alignment horizontal="center" vertical="bottom" textRotation="0" wrapText="true" indent="0" shrinkToFit="false" readingOrder="1"/>
      <protection locked="true" hidden="false"/>
    </xf>
    <xf numFmtId="164" fontId="13" fillId="2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6" fillId="2" borderId="13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36" fillId="2" borderId="13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6" fontId="36" fillId="2" borderId="14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3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3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32" fillId="8" borderId="2" xfId="0" applyFont="true" applyBorder="true" applyAlignment="true" applyProtection="false">
      <alignment horizontal="center" vertical="center" textRotation="0" wrapText="false" indent="0" shrinkToFit="tru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DDEB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>
          <bgColor rgb="FFFEF2CB"/>
        </patternFill>
      </fill>
    </dxf>
    <dxf>
      <fill>
        <patternFill patternType="solid">
          <fgColor rgb="FFFEF2CB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2CB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F2F2F2"/>
      <rgbColor rgb="FFE2EFDA"/>
      <rgbColor rgb="FFFFFF99"/>
      <rgbColor rgb="FF99CCFF"/>
      <rgbColor rgb="FFD39E90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1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28.3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 t="s">
        <v>8</v>
      </c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1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1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  <row r="19" customFormat="false" ht="28.3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 t="s">
        <v>16</v>
      </c>
    </row>
    <row r="21" customFormat="false" ht="15" hidden="false" customHeight="false" outlineLevel="0" collapsed="false">
      <c r="A21" s="2"/>
    </row>
    <row r="22" customFormat="false" ht="15" hidden="false" customHeight="false" outlineLevel="0" collapsed="false">
      <c r="A22" s="2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44"/>
    <col collapsed="false" customWidth="true" hidden="false" outlineLevel="0" max="6" min="3" style="0" width="24"/>
  </cols>
  <sheetData>
    <row r="1" customFormat="false" ht="16.15" hidden="false" customHeight="false" outlineLevel="0" collapsed="false">
      <c r="B1" s="3" t="s">
        <v>18</v>
      </c>
    </row>
    <row r="3" customFormat="false" ht="15" hidden="false" customHeight="false" outlineLevel="0" collapsed="false">
      <c r="B3" s="4" t="s">
        <v>19</v>
      </c>
      <c r="C3" s="5" t="n">
        <f aca="false">COUNTA(PERLINE!$A$2:$A$3001)</f>
        <v>0</v>
      </c>
    </row>
    <row r="4" customFormat="false" ht="15" hidden="false" customHeight="false" outlineLevel="0" collapsed="false">
      <c r="B4" s="4" t="s">
        <v>20</v>
      </c>
      <c r="C4" s="5" t="n">
        <f aca="false">COUNT(PERLINE!$AL$2:$AL$3001)</f>
        <v>0</v>
      </c>
    </row>
    <row r="5" customFormat="false" ht="15" hidden="false" customHeight="false" outlineLevel="0" collapsed="false">
      <c r="B5" s="4" t="s">
        <v>21</v>
      </c>
      <c r="C5" s="5" t="n">
        <f aca="false">ROUNDUP(C4/40,0)</f>
        <v>0</v>
      </c>
    </row>
    <row r="6" customFormat="false" ht="15" hidden="false" customHeight="false" outlineLevel="0" collapsed="false">
      <c r="B6" s="4" t="s">
        <v>22</v>
      </c>
      <c r="C6" s="5" t="n">
        <v>12</v>
      </c>
    </row>
    <row r="7" customFormat="false" ht="15" hidden="false" customHeight="false" outlineLevel="0" collapsed="false">
      <c r="B7" s="4" t="s">
        <v>23</v>
      </c>
      <c r="C7" s="5" t="str">
        <f aca="false">IF('كشف المطالبة'!$E$2="","",'كشف المطالبة'!$E$2)</f>
        <v/>
      </c>
    </row>
    <row r="8" customFormat="false" ht="15" hidden="false" customHeight="false" outlineLevel="0" collapsed="false">
      <c r="B8" s="4" t="s">
        <v>24</v>
      </c>
      <c r="C8" s="5" t="n">
        <f aca="false">COUNTA(PERLINE!$A$2:$A$3001)-COUNT(PERLINE!$N$2:$N$3001)</f>
        <v>0</v>
      </c>
    </row>
    <row r="9" customFormat="false" ht="15" hidden="false" customHeight="false" outlineLevel="0" collapsed="false">
      <c r="C9" s="6" t="s">
        <v>25</v>
      </c>
      <c r="D9" s="6" t="s">
        <v>26</v>
      </c>
      <c r="E9" s="6" t="s">
        <v>27</v>
      </c>
      <c r="F9" s="6" t="s">
        <v>28</v>
      </c>
    </row>
    <row r="10" customFormat="false" ht="15" hidden="false" customHeight="false" outlineLevel="0" collapsed="false">
      <c r="B10" s="4" t="s">
        <v>29</v>
      </c>
      <c r="C10" s="7" t="n">
        <f aca="false">SUM(PERLINE!$U$2:$U$3001)</f>
        <v>0</v>
      </c>
      <c r="D10" s="7" t="n">
        <f aca="false">SUM(BAHARY!$K$2:$K$901)</f>
        <v>0</v>
      </c>
      <c r="E10" s="7" t="n">
        <f aca="false">الاجمالى!$D$16</f>
        <v>0</v>
      </c>
      <c r="F10" s="7" t="n">
        <f aca="false">'كشف المطالبة'!$C$4</f>
        <v>0</v>
      </c>
    </row>
    <row r="11" customFormat="false" ht="15" hidden="false" customHeight="false" outlineLevel="0" collapsed="false">
      <c r="B11" s="4" t="s">
        <v>30</v>
      </c>
      <c r="C11" s="7" t="n">
        <f aca="false">SUM(PERLINE!$W$2:$W$3001)</f>
        <v>0</v>
      </c>
      <c r="D11" s="7" t="n">
        <f aca="false">SUM(BAHARY!$J$2:$J$901)</f>
        <v>0</v>
      </c>
      <c r="E11" s="7" t="n">
        <f aca="false">الاجمالى!$D$16-الاجمالى!$G$16</f>
        <v>0</v>
      </c>
      <c r="F11" s="7" t="n">
        <f aca="false">'كشف المطالبة'!$C$8</f>
        <v>0</v>
      </c>
    </row>
    <row r="12" customFormat="false" ht="15" hidden="false" customHeight="false" outlineLevel="0" collapsed="false">
      <c r="B12" s="4" t="s">
        <v>31</v>
      </c>
      <c r="C12" s="7" t="n">
        <f aca="false">SUM(PERLINE!$M$2:$M$3001)</f>
        <v>0</v>
      </c>
      <c r="D12" s="7" t="n">
        <f aca="false">SUM(BAHARY!$N$2:$N$901)</f>
        <v>0</v>
      </c>
      <c r="E12" s="7" t="n">
        <f aca="false">الاجمالى!$H$16</f>
        <v>0</v>
      </c>
      <c r="F12" s="7" t="n">
        <f aca="false">'كشف المطالبة'!$C$7</f>
        <v>0</v>
      </c>
    </row>
    <row r="13" customFormat="false" ht="15" hidden="false" customHeight="false" outlineLevel="0" collapsed="false">
      <c r="B13" s="4" t="s">
        <v>32</v>
      </c>
      <c r="C13" s="7" t="n">
        <f aca="false">SUM(PERLINE!$Y$2:$Y$3001)</f>
        <v>0</v>
      </c>
      <c r="D13" s="7" t="n">
        <f aca="false">SUM(BAHARY!$L$2:$L$901)</f>
        <v>0</v>
      </c>
      <c r="E13" s="7" t="n">
        <f aca="false">الاجمالى!$I$16</f>
        <v>0</v>
      </c>
      <c r="F13" s="7" t="n">
        <f aca="false">'كشف المطالبة'!$C$10</f>
        <v>0</v>
      </c>
    </row>
    <row r="15" customFormat="false" ht="15" hidden="false" customHeight="false" outlineLevel="0" collapsed="false">
      <c r="B15" s="4" t="s">
        <v>33</v>
      </c>
      <c r="C15" s="8" t="str">
        <f aca="false">IF(C3=0,"No data loaded",IF(COUNTA(PERLINE!$A:$A)-1&gt;3000,"TOO MANY LINES - extend template",IF(C4&gt;900,"TOO MANY INVOICES - extend the invoice list",IF(C5&gt;C6,"NOT ENOUGH STATEMENT PAGES - need "&amp;C5&amp;" pages, file has "&amp;C6,IF(C8&gt;0,"FILL THE INV NUMBER on "&amp;C8&amp;" line(s)",IF(TRIM(C7&amp;"")="","SET THE MONTH in 'كشف المطالبة'!E2",IF(AND(ROUND(C10-D10,2)=0,ROUND(D10-E10,2)=0,ROUND(E10-F10,2)=0,ROUND(C11-D11,2)=0,ROUND(D11-E11,2)=0,ROUND(E11-F11,2)=0,ROUND(C12-D12,2)=0,ROUND(E12-F12,2)=0,ROUND(C13-D13,2)=0,ROUND(E13-F13,2)=0,ROUND(E13+(E12-D12)-D13,2)=0),"OK","CHECK - totals do not match")))))))</f>
        <v>No data loaded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01"/>
  <sheetViews>
    <sheetView showFormulas="false" showGridLines="true" showRowColHeaders="true" showZeros="true" rightToLeft="false" tabSelected="false" showOutlineSymbols="true" defaultGridColor="true" view="normal" topLeftCell="B1" colorId="64" zoomScale="80" zoomScaleNormal="80" zoomScalePageLayoutView="100" workbookViewId="0">
      <pane xSplit="0" ySplit="1" topLeftCell="A187" activePane="bottomLeft" state="frozen"/>
      <selection pane="topLeft" activeCell="B1" activeCellId="0" sqref="B1"/>
      <selection pane="bottomLeft" activeCell="M2" activeCellId="0" sqref="M2"/>
    </sheetView>
  </sheetViews>
  <sheetFormatPr defaultColWidth="14.453125" defaultRowHeight="15" zeroHeight="false" outlineLevelRow="0" outlineLevelCol="0"/>
  <cols>
    <col collapsed="false" customWidth="true" hidden="false" outlineLevel="0" max="1" min="1" style="0" width="5.18"/>
    <col collapsed="false" customWidth="true" hidden="false" outlineLevel="0" max="2" min="2" style="0" width="46.27"/>
    <col collapsed="false" customWidth="true" hidden="false" outlineLevel="0" max="3" min="3" style="0" width="9.82"/>
    <col collapsed="false" customWidth="true" hidden="false" outlineLevel="0" max="4" min="4" style="0" width="20.82"/>
    <col collapsed="false" customWidth="true" hidden="false" outlineLevel="0" max="5" min="5" style="9" width="11.45"/>
    <col collapsed="false" customWidth="true" hidden="false" outlineLevel="0" max="6" min="6" style="0" width="20.18"/>
    <col collapsed="false" customWidth="true" hidden="false" outlineLevel="0" max="7" min="7" style="0" width="15"/>
    <col collapsed="false" customWidth="true" hidden="false" outlineLevel="0" max="8" min="8" style="9" width="10.27"/>
    <col collapsed="false" customWidth="true" hidden="false" outlineLevel="0" max="9" min="9" style="0" width="12.82"/>
    <col collapsed="false" customWidth="true" hidden="false" outlineLevel="0" max="10" min="10" style="0" width="14.73"/>
    <col collapsed="false" customWidth="true" hidden="false" outlineLevel="0" max="11" min="11" style="0" width="11.45"/>
    <col collapsed="false" customWidth="true" hidden="false" outlineLevel="0" max="12" min="12" style="10" width="12.45"/>
    <col collapsed="false" customWidth="true" hidden="false" outlineLevel="0" max="13" min="13" style="0" width="14.18"/>
    <col collapsed="false" customWidth="true" hidden="false" outlineLevel="0" max="14" min="14" style="0" width="14"/>
  </cols>
  <sheetData>
    <row r="1" s="10" customFormat="true" ht="30" hidden="false" customHeight="true" outlineLevel="0" collapsed="false">
      <c r="A1" s="11" t="s">
        <v>34</v>
      </c>
      <c r="B1" s="12" t="s">
        <v>35</v>
      </c>
      <c r="C1" s="12" t="s">
        <v>36</v>
      </c>
      <c r="D1" s="13" t="s">
        <v>37</v>
      </c>
      <c r="E1" s="14" t="s">
        <v>38</v>
      </c>
      <c r="F1" s="13" t="s">
        <v>39</v>
      </c>
      <c r="G1" s="13" t="s">
        <v>40</v>
      </c>
      <c r="H1" s="14" t="s">
        <v>41</v>
      </c>
      <c r="I1" s="13" t="s">
        <v>42</v>
      </c>
      <c r="J1" s="13" t="s">
        <v>43</v>
      </c>
      <c r="K1" s="13" t="s">
        <v>44</v>
      </c>
      <c r="L1" s="13" t="s">
        <v>45</v>
      </c>
      <c r="M1" s="11" t="s">
        <v>46</v>
      </c>
      <c r="N1" s="12" t="s">
        <v>47</v>
      </c>
    </row>
    <row r="2" customFormat="false" ht="14.25" hidden="false" customHeight="true" outlineLevel="0" collapsed="false">
      <c r="A2" s="15" t="str">
        <f aca="false">IF(ROWS($A$2:$A2)&lt;=Check!$C$4,SMALL(PERLINE!$AL$2:$AL$3001,ROWS($A$2:$A2)),"")</f>
        <v/>
      </c>
      <c r="B2" s="15" t="str">
        <f aca="false">IF($A2="","",INDEX(PERLINE!$J$2:$J$3001,MATCH($A2,PERLINE!$N$2:$N$3001,0)))</f>
        <v/>
      </c>
      <c r="C2" s="16" t="str">
        <f aca="false">IF($A2="","",INDEX(PERLINE!$I$2:$I$3001,MATCH($A2,PERLINE!$N$2:$N$3001,0)))</f>
        <v/>
      </c>
      <c r="D2" s="17" t="str">
        <f aca="false">IF($A2="","",'كشف المطالبة'!$D$6)</f>
        <v/>
      </c>
      <c r="E2" s="18" t="str">
        <f aca="false">IF($A2="","",SUMIFS(PERLINE!$U$2:$U$3001,PERLINE!$N$2:$N$3001,$A2,PERLINE!$AK$2:$AK$3001,0))</f>
        <v/>
      </c>
      <c r="F2" s="19" t="str">
        <f aca="false">IF($A2="","",E2*D2)</f>
        <v/>
      </c>
      <c r="G2" s="17" t="str">
        <f aca="false">IF($A2="","",'كشف المطالبة'!$D$5)</f>
        <v/>
      </c>
      <c r="H2" s="18" t="str">
        <f aca="false">IF($A2="","",SUMIFS(PERLINE!$U$2:$U$3001,PERLINE!$N$2:$N$3001,$A2,PERLINE!$AK$2:$AK$3001,1))</f>
        <v/>
      </c>
      <c r="I2" s="19" t="str">
        <f aca="false">IF($A2="","",H2*G2)</f>
        <v/>
      </c>
      <c r="J2" s="19" t="str">
        <f aca="false">IF($A2="","",F2+I2)</f>
        <v/>
      </c>
      <c r="K2" s="19" t="str">
        <f aca="false">IF($A2="","",H2+E2)</f>
        <v/>
      </c>
      <c r="L2" s="20" t="str">
        <f aca="false">IF($A2="","",K2-J2-N2)</f>
        <v/>
      </c>
      <c r="M2" s="15" t="str">
        <f aca="false">IF($A2="","",INDEX(PERLINE!$A$2:$A$3001,MATCH($A2,PERLINE!$N$2:$N$3001,0)))</f>
        <v/>
      </c>
      <c r="N2" s="21" t="str">
        <f aca="false">IF($A2="","",SUMIFS(PERLINE!$M$2:$M$3001,PERLINE!$N$2:$N$3001,$A2))</f>
        <v/>
      </c>
    </row>
    <row r="3" customFormat="false" ht="18.75" hidden="false" customHeight="true" outlineLevel="0" collapsed="false">
      <c r="A3" s="15" t="str">
        <f aca="false">IF(ROWS($A$2:$A3)&lt;=Check!$C$4,SMALL(PERLINE!$AL$2:$AL$3001,ROWS($A$2:$A3)),"")</f>
        <v/>
      </c>
      <c r="B3" s="15" t="str">
        <f aca="false">IF($A3="","",INDEX(PERLINE!$J$2:$J$3001,MATCH($A3,PERLINE!$N$2:$N$3001,0)))</f>
        <v/>
      </c>
      <c r="C3" s="16" t="str">
        <f aca="false">IF($A3="","",INDEX(PERLINE!$I$2:$I$3001,MATCH($A3,PERLINE!$N$2:$N$3001,0)))</f>
        <v/>
      </c>
      <c r="D3" s="17" t="str">
        <f aca="false">IF($A3="","",'كشف المطالبة'!$D$6)</f>
        <v/>
      </c>
      <c r="E3" s="18" t="str">
        <f aca="false">IF($A3="","",SUMIFS(PERLINE!$U$2:$U$3001,PERLINE!$N$2:$N$3001,$A3,PERLINE!$AK$2:$AK$3001,0))</f>
        <v/>
      </c>
      <c r="F3" s="19" t="str">
        <f aca="false">IF($A3="","",E3*D3)</f>
        <v/>
      </c>
      <c r="G3" s="17" t="str">
        <f aca="false">IF($A3="","",'كشف المطالبة'!$D$5)</f>
        <v/>
      </c>
      <c r="H3" s="18" t="str">
        <f aca="false">IF($A3="","",SUMIFS(PERLINE!$U$2:$U$3001,PERLINE!$N$2:$N$3001,$A3,PERLINE!$AK$2:$AK$3001,1))</f>
        <v/>
      </c>
      <c r="I3" s="19" t="str">
        <f aca="false">IF($A3="","",H3*G3)</f>
        <v/>
      </c>
      <c r="J3" s="19" t="str">
        <f aca="false">IF($A3="","",F3+I3)</f>
        <v/>
      </c>
      <c r="K3" s="19" t="str">
        <f aca="false">IF($A3="","",H3+E3)</f>
        <v/>
      </c>
      <c r="L3" s="20" t="str">
        <f aca="false">IF($A3="","",K3-J3-N3)</f>
        <v/>
      </c>
      <c r="M3" s="15" t="str">
        <f aca="false">IF($A3="","",INDEX(PERLINE!$A$2:$A$3001,MATCH($A3,PERLINE!$N$2:$N$3001,0)))</f>
        <v/>
      </c>
      <c r="N3" s="21" t="str">
        <f aca="false">IF($A3="","",SUMIFS(PERLINE!$M$2:$M$3001,PERLINE!$N$2:$N$3001,$A3))</f>
        <v/>
      </c>
    </row>
    <row r="4" customFormat="false" ht="14.25" hidden="false" customHeight="true" outlineLevel="0" collapsed="false">
      <c r="A4" s="15" t="str">
        <f aca="false">IF(ROWS($A$2:$A4)&lt;=Check!$C$4,SMALL(PERLINE!$AL$2:$AL$3001,ROWS($A$2:$A4)),"")</f>
        <v/>
      </c>
      <c r="B4" s="15" t="str">
        <f aca="false">IF($A4="","",INDEX(PERLINE!$J$2:$J$3001,MATCH($A4,PERLINE!$N$2:$N$3001,0)))</f>
        <v/>
      </c>
      <c r="C4" s="16" t="str">
        <f aca="false">IF($A4="","",INDEX(PERLINE!$I$2:$I$3001,MATCH($A4,PERLINE!$N$2:$N$3001,0)))</f>
        <v/>
      </c>
      <c r="D4" s="17" t="str">
        <f aca="false">IF($A4="","",'كشف المطالبة'!$D$6)</f>
        <v/>
      </c>
      <c r="E4" s="18" t="str">
        <f aca="false">IF($A4="","",SUMIFS(PERLINE!$U$2:$U$3001,PERLINE!$N$2:$N$3001,$A4,PERLINE!$AK$2:$AK$3001,0))</f>
        <v/>
      </c>
      <c r="F4" s="19" t="str">
        <f aca="false">IF($A4="","",E4*D4)</f>
        <v/>
      </c>
      <c r="G4" s="17" t="str">
        <f aca="false">IF($A4="","",'كشف المطالبة'!$D$5)</f>
        <v/>
      </c>
      <c r="H4" s="18" t="str">
        <f aca="false">IF($A4="","",SUMIFS(PERLINE!$U$2:$U$3001,PERLINE!$N$2:$N$3001,$A4,PERLINE!$AK$2:$AK$3001,1))</f>
        <v/>
      </c>
      <c r="I4" s="19" t="str">
        <f aca="false">IF($A4="","",H4*G4)</f>
        <v/>
      </c>
      <c r="J4" s="19" t="str">
        <f aca="false">IF($A4="","",F4+I4)</f>
        <v/>
      </c>
      <c r="K4" s="19" t="str">
        <f aca="false">IF($A4="","",H4+E4)</f>
        <v/>
      </c>
      <c r="L4" s="20" t="str">
        <f aca="false">IF($A4="","",K4-J4-N4)</f>
        <v/>
      </c>
      <c r="M4" s="15" t="str">
        <f aca="false">IF($A4="","",INDEX(PERLINE!$A$2:$A$3001,MATCH($A4,PERLINE!$N$2:$N$3001,0)))</f>
        <v/>
      </c>
      <c r="N4" s="21" t="str">
        <f aca="false">IF($A4="","",SUMIFS(PERLINE!$M$2:$M$3001,PERLINE!$N$2:$N$3001,$A4))</f>
        <v/>
      </c>
    </row>
    <row r="5" customFormat="false" ht="14.25" hidden="false" customHeight="true" outlineLevel="0" collapsed="false">
      <c r="A5" s="15" t="str">
        <f aca="false">IF(ROWS($A$2:$A5)&lt;=Check!$C$4,SMALL(PERLINE!$AL$2:$AL$3001,ROWS($A$2:$A5)),"")</f>
        <v/>
      </c>
      <c r="B5" s="15" t="str">
        <f aca="false">IF($A5="","",INDEX(PERLINE!$J$2:$J$3001,MATCH($A5,PERLINE!$N$2:$N$3001,0)))</f>
        <v/>
      </c>
      <c r="C5" s="16" t="str">
        <f aca="false">IF($A5="","",INDEX(PERLINE!$I$2:$I$3001,MATCH($A5,PERLINE!$N$2:$N$3001,0)))</f>
        <v/>
      </c>
      <c r="D5" s="17" t="str">
        <f aca="false">IF($A5="","",'كشف المطالبة'!$D$6)</f>
        <v/>
      </c>
      <c r="E5" s="18" t="str">
        <f aca="false">IF($A5="","",SUMIFS(PERLINE!$U$2:$U$3001,PERLINE!$N$2:$N$3001,$A5,PERLINE!$AK$2:$AK$3001,0))</f>
        <v/>
      </c>
      <c r="F5" s="19" t="str">
        <f aca="false">IF($A5="","",E5*D5)</f>
        <v/>
      </c>
      <c r="G5" s="17" t="str">
        <f aca="false">IF($A5="","",'كشف المطالبة'!$D$5)</f>
        <v/>
      </c>
      <c r="H5" s="18" t="str">
        <f aca="false">IF($A5="","",SUMIFS(PERLINE!$U$2:$U$3001,PERLINE!$N$2:$N$3001,$A5,PERLINE!$AK$2:$AK$3001,1))</f>
        <v/>
      </c>
      <c r="I5" s="19" t="str">
        <f aca="false">IF($A5="","",H5*G5)</f>
        <v/>
      </c>
      <c r="J5" s="19" t="str">
        <f aca="false">IF($A5="","",F5+I5)</f>
        <v/>
      </c>
      <c r="K5" s="19" t="str">
        <f aca="false">IF($A5="","",H5+E5)</f>
        <v/>
      </c>
      <c r="L5" s="20" t="str">
        <f aca="false">IF($A5="","",K5-J5-N5)</f>
        <v/>
      </c>
      <c r="M5" s="15" t="str">
        <f aca="false">IF($A5="","",INDEX(PERLINE!$A$2:$A$3001,MATCH($A5,PERLINE!$N$2:$N$3001,0)))</f>
        <v/>
      </c>
      <c r="N5" s="21" t="str">
        <f aca="false">IF($A5="","",SUMIFS(PERLINE!$M$2:$M$3001,PERLINE!$N$2:$N$3001,$A5))</f>
        <v/>
      </c>
    </row>
    <row r="6" customFormat="false" ht="14.25" hidden="false" customHeight="true" outlineLevel="0" collapsed="false">
      <c r="A6" s="15" t="str">
        <f aca="false">IF(ROWS($A$2:$A6)&lt;=Check!$C$4,SMALL(PERLINE!$AL$2:$AL$3001,ROWS($A$2:$A6)),"")</f>
        <v/>
      </c>
      <c r="B6" s="15" t="str">
        <f aca="false">IF($A6="","",INDEX(PERLINE!$J$2:$J$3001,MATCH($A6,PERLINE!$N$2:$N$3001,0)))</f>
        <v/>
      </c>
      <c r="C6" s="16" t="str">
        <f aca="false">IF($A6="","",INDEX(PERLINE!$I$2:$I$3001,MATCH($A6,PERLINE!$N$2:$N$3001,0)))</f>
        <v/>
      </c>
      <c r="D6" s="17" t="str">
        <f aca="false">IF($A6="","",'كشف المطالبة'!$D$6)</f>
        <v/>
      </c>
      <c r="E6" s="18" t="str">
        <f aca="false">IF($A6="","",SUMIFS(PERLINE!$U$2:$U$3001,PERLINE!$N$2:$N$3001,$A6,PERLINE!$AK$2:$AK$3001,0))</f>
        <v/>
      </c>
      <c r="F6" s="19" t="str">
        <f aca="false">IF($A6="","",E6*D6)</f>
        <v/>
      </c>
      <c r="G6" s="17" t="str">
        <f aca="false">IF($A6="","",'كشف المطالبة'!$D$5)</f>
        <v/>
      </c>
      <c r="H6" s="18" t="str">
        <f aca="false">IF($A6="","",SUMIFS(PERLINE!$U$2:$U$3001,PERLINE!$N$2:$N$3001,$A6,PERLINE!$AK$2:$AK$3001,1))</f>
        <v/>
      </c>
      <c r="I6" s="19" t="str">
        <f aca="false">IF($A6="","",H6*G6)</f>
        <v/>
      </c>
      <c r="J6" s="19" t="str">
        <f aca="false">IF($A6="","",F6+I6)</f>
        <v/>
      </c>
      <c r="K6" s="19" t="str">
        <f aca="false">IF($A6="","",H6+E6)</f>
        <v/>
      </c>
      <c r="L6" s="20" t="str">
        <f aca="false">IF($A6="","",K6-J6-N6)</f>
        <v/>
      </c>
      <c r="M6" s="15" t="str">
        <f aca="false">IF($A6="","",INDEX(PERLINE!$A$2:$A$3001,MATCH($A6,PERLINE!$N$2:$N$3001,0)))</f>
        <v/>
      </c>
      <c r="N6" s="21" t="str">
        <f aca="false">IF($A6="","",SUMIFS(PERLINE!$M$2:$M$3001,PERLINE!$N$2:$N$3001,$A6))</f>
        <v/>
      </c>
    </row>
    <row r="7" customFormat="false" ht="14.25" hidden="false" customHeight="true" outlineLevel="0" collapsed="false">
      <c r="A7" s="15" t="str">
        <f aca="false">IF(ROWS($A$2:$A7)&lt;=Check!$C$4,SMALL(PERLINE!$AL$2:$AL$3001,ROWS($A$2:$A7)),"")</f>
        <v/>
      </c>
      <c r="B7" s="15" t="str">
        <f aca="false">IF($A7="","",INDEX(PERLINE!$J$2:$J$3001,MATCH($A7,PERLINE!$N$2:$N$3001,0)))</f>
        <v/>
      </c>
      <c r="C7" s="16" t="str">
        <f aca="false">IF($A7="","",INDEX(PERLINE!$I$2:$I$3001,MATCH($A7,PERLINE!$N$2:$N$3001,0)))</f>
        <v/>
      </c>
      <c r="D7" s="17" t="str">
        <f aca="false">IF($A7="","",'كشف المطالبة'!$D$6)</f>
        <v/>
      </c>
      <c r="E7" s="18" t="str">
        <f aca="false">IF($A7="","",SUMIFS(PERLINE!$U$2:$U$3001,PERLINE!$N$2:$N$3001,$A7,PERLINE!$AK$2:$AK$3001,0))</f>
        <v/>
      </c>
      <c r="F7" s="19" t="str">
        <f aca="false">IF($A7="","",E7*D7)</f>
        <v/>
      </c>
      <c r="G7" s="17" t="str">
        <f aca="false">IF($A7="","",'كشف المطالبة'!$D$5)</f>
        <v/>
      </c>
      <c r="H7" s="18" t="str">
        <f aca="false">IF($A7="","",SUMIFS(PERLINE!$U$2:$U$3001,PERLINE!$N$2:$N$3001,$A7,PERLINE!$AK$2:$AK$3001,1))</f>
        <v/>
      </c>
      <c r="I7" s="19" t="str">
        <f aca="false">IF($A7="","",H7*G7)</f>
        <v/>
      </c>
      <c r="J7" s="19" t="str">
        <f aca="false">IF($A7="","",F7+I7)</f>
        <v/>
      </c>
      <c r="K7" s="19" t="str">
        <f aca="false">IF($A7="","",H7+E7)</f>
        <v/>
      </c>
      <c r="L7" s="20" t="str">
        <f aca="false">IF($A7="","",K7-J7-N7)</f>
        <v/>
      </c>
      <c r="M7" s="15" t="str">
        <f aca="false">IF($A7="","",INDEX(PERLINE!$A$2:$A$3001,MATCH($A7,PERLINE!$N$2:$N$3001,0)))</f>
        <v/>
      </c>
      <c r="N7" s="21" t="str">
        <f aca="false">IF($A7="","",SUMIFS(PERLINE!$M$2:$M$3001,PERLINE!$N$2:$N$3001,$A7))</f>
        <v/>
      </c>
    </row>
    <row r="8" customFormat="false" ht="14.25" hidden="false" customHeight="true" outlineLevel="0" collapsed="false">
      <c r="A8" s="15" t="str">
        <f aca="false">IF(ROWS($A$2:$A8)&lt;=Check!$C$4,SMALL(PERLINE!$AL$2:$AL$3001,ROWS($A$2:$A8)),"")</f>
        <v/>
      </c>
      <c r="B8" s="15" t="str">
        <f aca="false">IF($A8="","",INDEX(PERLINE!$J$2:$J$3001,MATCH($A8,PERLINE!$N$2:$N$3001,0)))</f>
        <v/>
      </c>
      <c r="C8" s="16" t="str">
        <f aca="false">IF($A8="","",INDEX(PERLINE!$I$2:$I$3001,MATCH($A8,PERLINE!$N$2:$N$3001,0)))</f>
        <v/>
      </c>
      <c r="D8" s="17" t="str">
        <f aca="false">IF($A8="","",'كشف المطالبة'!$D$6)</f>
        <v/>
      </c>
      <c r="E8" s="18" t="str">
        <f aca="false">IF($A8="","",SUMIFS(PERLINE!$U$2:$U$3001,PERLINE!$N$2:$N$3001,$A8,PERLINE!$AK$2:$AK$3001,0))</f>
        <v/>
      </c>
      <c r="F8" s="19" t="str">
        <f aca="false">IF($A8="","",E8*D8)</f>
        <v/>
      </c>
      <c r="G8" s="17" t="str">
        <f aca="false">IF($A8="","",'كشف المطالبة'!$D$5)</f>
        <v/>
      </c>
      <c r="H8" s="18" t="str">
        <f aca="false">IF($A8="","",SUMIFS(PERLINE!$U$2:$U$3001,PERLINE!$N$2:$N$3001,$A8,PERLINE!$AK$2:$AK$3001,1))</f>
        <v/>
      </c>
      <c r="I8" s="19" t="str">
        <f aca="false">IF($A8="","",H8*G8)</f>
        <v/>
      </c>
      <c r="J8" s="19" t="str">
        <f aca="false">IF($A8="","",F8+I8)</f>
        <v/>
      </c>
      <c r="K8" s="19" t="str">
        <f aca="false">IF($A8="","",H8+E8)</f>
        <v/>
      </c>
      <c r="L8" s="20" t="str">
        <f aca="false">IF($A8="","",K8-J8-N8)</f>
        <v/>
      </c>
      <c r="M8" s="15" t="str">
        <f aca="false">IF($A8="","",INDEX(PERLINE!$A$2:$A$3001,MATCH($A8,PERLINE!$N$2:$N$3001,0)))</f>
        <v/>
      </c>
      <c r="N8" s="21" t="str">
        <f aca="false">IF($A8="","",SUMIFS(PERLINE!$M$2:$M$3001,PERLINE!$N$2:$N$3001,$A8))</f>
        <v/>
      </c>
    </row>
    <row r="9" customFormat="false" ht="14.25" hidden="false" customHeight="true" outlineLevel="0" collapsed="false">
      <c r="A9" s="15" t="str">
        <f aca="false">IF(ROWS($A$2:$A9)&lt;=Check!$C$4,SMALL(PERLINE!$AL$2:$AL$3001,ROWS($A$2:$A9)),"")</f>
        <v/>
      </c>
      <c r="B9" s="15" t="str">
        <f aca="false">IF($A9="","",INDEX(PERLINE!$J$2:$J$3001,MATCH($A9,PERLINE!$N$2:$N$3001,0)))</f>
        <v/>
      </c>
      <c r="C9" s="16" t="str">
        <f aca="false">IF($A9="","",INDEX(PERLINE!$I$2:$I$3001,MATCH($A9,PERLINE!$N$2:$N$3001,0)))</f>
        <v/>
      </c>
      <c r="D9" s="17" t="str">
        <f aca="false">IF($A9="","",'كشف المطالبة'!$D$6)</f>
        <v/>
      </c>
      <c r="E9" s="18" t="str">
        <f aca="false">IF($A9="","",SUMIFS(PERLINE!$U$2:$U$3001,PERLINE!$N$2:$N$3001,$A9,PERLINE!$AK$2:$AK$3001,0))</f>
        <v/>
      </c>
      <c r="F9" s="19" t="str">
        <f aca="false">IF($A9="","",E9*D9)</f>
        <v/>
      </c>
      <c r="G9" s="17" t="str">
        <f aca="false">IF($A9="","",'كشف المطالبة'!$D$5)</f>
        <v/>
      </c>
      <c r="H9" s="18" t="str">
        <f aca="false">IF($A9="","",SUMIFS(PERLINE!$U$2:$U$3001,PERLINE!$N$2:$N$3001,$A9,PERLINE!$AK$2:$AK$3001,1))</f>
        <v/>
      </c>
      <c r="I9" s="19" t="str">
        <f aca="false">IF($A9="","",H9*G9)</f>
        <v/>
      </c>
      <c r="J9" s="19" t="str">
        <f aca="false">IF($A9="","",F9+I9)</f>
        <v/>
      </c>
      <c r="K9" s="19" t="str">
        <f aca="false">IF($A9="","",H9+E9)</f>
        <v/>
      </c>
      <c r="L9" s="20" t="str">
        <f aca="false">IF($A9="","",K9-J9-N9)</f>
        <v/>
      </c>
      <c r="M9" s="15" t="str">
        <f aca="false">IF($A9="","",INDEX(PERLINE!$A$2:$A$3001,MATCH($A9,PERLINE!$N$2:$N$3001,0)))</f>
        <v/>
      </c>
      <c r="N9" s="21" t="str">
        <f aca="false">IF($A9="","",SUMIFS(PERLINE!$M$2:$M$3001,PERLINE!$N$2:$N$3001,$A9))</f>
        <v/>
      </c>
    </row>
    <row r="10" customFormat="false" ht="14.25" hidden="false" customHeight="true" outlineLevel="0" collapsed="false">
      <c r="A10" s="15" t="str">
        <f aca="false">IF(ROWS($A$2:$A10)&lt;=Check!$C$4,SMALL(PERLINE!$AL$2:$AL$3001,ROWS($A$2:$A10)),"")</f>
        <v/>
      </c>
      <c r="B10" s="15" t="str">
        <f aca="false">IF($A10="","",INDEX(PERLINE!$J$2:$J$3001,MATCH($A10,PERLINE!$N$2:$N$3001,0)))</f>
        <v/>
      </c>
      <c r="C10" s="16" t="str">
        <f aca="false">IF($A10="","",INDEX(PERLINE!$I$2:$I$3001,MATCH($A10,PERLINE!$N$2:$N$3001,0)))</f>
        <v/>
      </c>
      <c r="D10" s="17" t="str">
        <f aca="false">IF($A10="","",'كشف المطالبة'!$D$6)</f>
        <v/>
      </c>
      <c r="E10" s="18" t="str">
        <f aca="false">IF($A10="","",SUMIFS(PERLINE!$U$2:$U$3001,PERLINE!$N$2:$N$3001,$A10,PERLINE!$AK$2:$AK$3001,0))</f>
        <v/>
      </c>
      <c r="F10" s="19" t="str">
        <f aca="false">IF($A10="","",E10*D10)</f>
        <v/>
      </c>
      <c r="G10" s="17" t="str">
        <f aca="false">IF($A10="","",'كشف المطالبة'!$D$5)</f>
        <v/>
      </c>
      <c r="H10" s="18" t="str">
        <f aca="false">IF($A10="","",SUMIFS(PERLINE!$U$2:$U$3001,PERLINE!$N$2:$N$3001,$A10,PERLINE!$AK$2:$AK$3001,1))</f>
        <v/>
      </c>
      <c r="I10" s="19" t="str">
        <f aca="false">IF($A10="","",H10*G10)</f>
        <v/>
      </c>
      <c r="J10" s="19" t="str">
        <f aca="false">IF($A10="","",F10+I10)</f>
        <v/>
      </c>
      <c r="K10" s="19" t="str">
        <f aca="false">IF($A10="","",H10+E10)</f>
        <v/>
      </c>
      <c r="L10" s="20" t="str">
        <f aca="false">IF($A10="","",K10-J10-N10)</f>
        <v/>
      </c>
      <c r="M10" s="15" t="str">
        <f aca="false">IF($A10="","",INDEX(PERLINE!$A$2:$A$3001,MATCH($A10,PERLINE!$N$2:$N$3001,0)))</f>
        <v/>
      </c>
      <c r="N10" s="21" t="str">
        <f aca="false">IF($A10="","",SUMIFS(PERLINE!$M$2:$M$3001,PERLINE!$N$2:$N$3001,$A10))</f>
        <v/>
      </c>
    </row>
    <row r="11" customFormat="false" ht="14.25" hidden="false" customHeight="true" outlineLevel="0" collapsed="false">
      <c r="A11" s="15" t="str">
        <f aca="false">IF(ROWS($A$2:$A11)&lt;=Check!$C$4,SMALL(PERLINE!$AL$2:$AL$3001,ROWS($A$2:$A11)),"")</f>
        <v/>
      </c>
      <c r="B11" s="15" t="str">
        <f aca="false">IF($A11="","",INDEX(PERLINE!$J$2:$J$3001,MATCH($A11,PERLINE!$N$2:$N$3001,0)))</f>
        <v/>
      </c>
      <c r="C11" s="16" t="str">
        <f aca="false">IF($A11="","",INDEX(PERLINE!$I$2:$I$3001,MATCH($A11,PERLINE!$N$2:$N$3001,0)))</f>
        <v/>
      </c>
      <c r="D11" s="17" t="str">
        <f aca="false">IF($A11="","",'كشف المطالبة'!$D$6)</f>
        <v/>
      </c>
      <c r="E11" s="18" t="str">
        <f aca="false">IF($A11="","",SUMIFS(PERLINE!$U$2:$U$3001,PERLINE!$N$2:$N$3001,$A11,PERLINE!$AK$2:$AK$3001,0))</f>
        <v/>
      </c>
      <c r="F11" s="19" t="str">
        <f aca="false">IF($A11="","",E11*D11)</f>
        <v/>
      </c>
      <c r="G11" s="17" t="str">
        <f aca="false">IF($A11="","",'كشف المطالبة'!$D$5)</f>
        <v/>
      </c>
      <c r="H11" s="18" t="str">
        <f aca="false">IF($A11="","",SUMIFS(PERLINE!$U$2:$U$3001,PERLINE!$N$2:$N$3001,$A11,PERLINE!$AK$2:$AK$3001,1))</f>
        <v/>
      </c>
      <c r="I11" s="19" t="str">
        <f aca="false">IF($A11="","",H11*G11)</f>
        <v/>
      </c>
      <c r="J11" s="19" t="str">
        <f aca="false">IF($A11="","",F11+I11)</f>
        <v/>
      </c>
      <c r="K11" s="19" t="str">
        <f aca="false">IF($A11="","",H11+E11)</f>
        <v/>
      </c>
      <c r="L11" s="20" t="str">
        <f aca="false">IF($A11="","",K11-J11-N11)</f>
        <v/>
      </c>
      <c r="M11" s="15" t="str">
        <f aca="false">IF($A11="","",INDEX(PERLINE!$A$2:$A$3001,MATCH($A11,PERLINE!$N$2:$N$3001,0)))</f>
        <v/>
      </c>
      <c r="N11" s="21" t="str">
        <f aca="false">IF($A11="","",SUMIFS(PERLINE!$M$2:$M$3001,PERLINE!$N$2:$N$3001,$A11))</f>
        <v/>
      </c>
    </row>
    <row r="12" customFormat="false" ht="14.25" hidden="false" customHeight="true" outlineLevel="0" collapsed="false">
      <c r="A12" s="15" t="str">
        <f aca="false">IF(ROWS($A$2:$A12)&lt;=Check!$C$4,SMALL(PERLINE!$AL$2:$AL$3001,ROWS($A$2:$A12)),"")</f>
        <v/>
      </c>
      <c r="B12" s="15" t="str">
        <f aca="false">IF($A12="","",INDEX(PERLINE!$J$2:$J$3001,MATCH($A12,PERLINE!$N$2:$N$3001,0)))</f>
        <v/>
      </c>
      <c r="C12" s="16" t="str">
        <f aca="false">IF($A12="","",INDEX(PERLINE!$I$2:$I$3001,MATCH($A12,PERLINE!$N$2:$N$3001,0)))</f>
        <v/>
      </c>
      <c r="D12" s="17" t="str">
        <f aca="false">IF($A12="","",'كشف المطالبة'!$D$6)</f>
        <v/>
      </c>
      <c r="E12" s="18" t="str">
        <f aca="false">IF($A12="","",SUMIFS(PERLINE!$U$2:$U$3001,PERLINE!$N$2:$N$3001,$A12,PERLINE!$AK$2:$AK$3001,0))</f>
        <v/>
      </c>
      <c r="F12" s="19" t="str">
        <f aca="false">IF($A12="","",E12*D12)</f>
        <v/>
      </c>
      <c r="G12" s="17" t="str">
        <f aca="false">IF($A12="","",'كشف المطالبة'!$D$5)</f>
        <v/>
      </c>
      <c r="H12" s="18" t="str">
        <f aca="false">IF($A12="","",SUMIFS(PERLINE!$U$2:$U$3001,PERLINE!$N$2:$N$3001,$A12,PERLINE!$AK$2:$AK$3001,1))</f>
        <v/>
      </c>
      <c r="I12" s="19" t="str">
        <f aca="false">IF($A12="","",H12*G12)</f>
        <v/>
      </c>
      <c r="J12" s="19" t="str">
        <f aca="false">IF($A12="","",F12+I12)</f>
        <v/>
      </c>
      <c r="K12" s="19" t="str">
        <f aca="false">IF($A12="","",H12+E12)</f>
        <v/>
      </c>
      <c r="L12" s="20" t="str">
        <f aca="false">IF($A12="","",K12-J12-N12)</f>
        <v/>
      </c>
      <c r="M12" s="15" t="str">
        <f aca="false">IF($A12="","",INDEX(PERLINE!$A$2:$A$3001,MATCH($A12,PERLINE!$N$2:$N$3001,0)))</f>
        <v/>
      </c>
      <c r="N12" s="21" t="str">
        <f aca="false">IF($A12="","",SUMIFS(PERLINE!$M$2:$M$3001,PERLINE!$N$2:$N$3001,$A12))</f>
        <v/>
      </c>
    </row>
    <row r="13" customFormat="false" ht="14.25" hidden="false" customHeight="true" outlineLevel="0" collapsed="false">
      <c r="A13" s="15" t="str">
        <f aca="false">IF(ROWS($A$2:$A13)&lt;=Check!$C$4,SMALL(PERLINE!$AL$2:$AL$3001,ROWS($A$2:$A13)),"")</f>
        <v/>
      </c>
      <c r="B13" s="15" t="str">
        <f aca="false">IF($A13="","",INDEX(PERLINE!$J$2:$J$3001,MATCH($A13,PERLINE!$N$2:$N$3001,0)))</f>
        <v/>
      </c>
      <c r="C13" s="16" t="str">
        <f aca="false">IF($A13="","",INDEX(PERLINE!$I$2:$I$3001,MATCH($A13,PERLINE!$N$2:$N$3001,0)))</f>
        <v/>
      </c>
      <c r="D13" s="17" t="str">
        <f aca="false">IF($A13="","",'كشف المطالبة'!$D$6)</f>
        <v/>
      </c>
      <c r="E13" s="18" t="str">
        <f aca="false">IF($A13="","",SUMIFS(PERLINE!$U$2:$U$3001,PERLINE!$N$2:$N$3001,$A13,PERLINE!$AK$2:$AK$3001,0))</f>
        <v/>
      </c>
      <c r="F13" s="19" t="str">
        <f aca="false">IF($A13="","",E13*D13)</f>
        <v/>
      </c>
      <c r="G13" s="17" t="str">
        <f aca="false">IF($A13="","",'كشف المطالبة'!$D$5)</f>
        <v/>
      </c>
      <c r="H13" s="18" t="str">
        <f aca="false">IF($A13="","",SUMIFS(PERLINE!$U$2:$U$3001,PERLINE!$N$2:$N$3001,$A13,PERLINE!$AK$2:$AK$3001,1))</f>
        <v/>
      </c>
      <c r="I13" s="19" t="str">
        <f aca="false">IF($A13="","",H13*G13)</f>
        <v/>
      </c>
      <c r="J13" s="19" t="str">
        <f aca="false">IF($A13="","",F13+I13)</f>
        <v/>
      </c>
      <c r="K13" s="19" t="str">
        <f aca="false">IF($A13="","",H13+E13)</f>
        <v/>
      </c>
      <c r="L13" s="20" t="str">
        <f aca="false">IF($A13="","",K13-J13-N13)</f>
        <v/>
      </c>
      <c r="M13" s="15" t="str">
        <f aca="false">IF($A13="","",INDEX(PERLINE!$A$2:$A$3001,MATCH($A13,PERLINE!$N$2:$N$3001,0)))</f>
        <v/>
      </c>
      <c r="N13" s="21" t="str">
        <f aca="false">IF($A13="","",SUMIFS(PERLINE!$M$2:$M$3001,PERLINE!$N$2:$N$3001,$A13))</f>
        <v/>
      </c>
    </row>
    <row r="14" customFormat="false" ht="14.25" hidden="false" customHeight="true" outlineLevel="0" collapsed="false">
      <c r="A14" s="15" t="str">
        <f aca="false">IF(ROWS($A$2:$A14)&lt;=Check!$C$4,SMALL(PERLINE!$AL$2:$AL$3001,ROWS($A$2:$A14)),"")</f>
        <v/>
      </c>
      <c r="B14" s="15" t="str">
        <f aca="false">IF($A14="","",INDEX(PERLINE!$J$2:$J$3001,MATCH($A14,PERLINE!$N$2:$N$3001,0)))</f>
        <v/>
      </c>
      <c r="C14" s="16" t="str">
        <f aca="false">IF($A14="","",INDEX(PERLINE!$I$2:$I$3001,MATCH($A14,PERLINE!$N$2:$N$3001,0)))</f>
        <v/>
      </c>
      <c r="D14" s="17" t="str">
        <f aca="false">IF($A14="","",'كشف المطالبة'!$D$6)</f>
        <v/>
      </c>
      <c r="E14" s="18" t="str">
        <f aca="false">IF($A14="","",SUMIFS(PERLINE!$U$2:$U$3001,PERLINE!$N$2:$N$3001,$A14,PERLINE!$AK$2:$AK$3001,0))</f>
        <v/>
      </c>
      <c r="F14" s="19" t="str">
        <f aca="false">IF($A14="","",E14*D14)</f>
        <v/>
      </c>
      <c r="G14" s="17" t="str">
        <f aca="false">IF($A14="","",'كشف المطالبة'!$D$5)</f>
        <v/>
      </c>
      <c r="H14" s="18" t="str">
        <f aca="false">IF($A14="","",SUMIFS(PERLINE!$U$2:$U$3001,PERLINE!$N$2:$N$3001,$A14,PERLINE!$AK$2:$AK$3001,1))</f>
        <v/>
      </c>
      <c r="I14" s="19" t="str">
        <f aca="false">IF($A14="","",H14*G14)</f>
        <v/>
      </c>
      <c r="J14" s="19" t="str">
        <f aca="false">IF($A14="","",F14+I14)</f>
        <v/>
      </c>
      <c r="K14" s="19" t="str">
        <f aca="false">IF($A14="","",H14+E14)</f>
        <v/>
      </c>
      <c r="L14" s="20" t="str">
        <f aca="false">IF($A14="","",K14-J14-N14)</f>
        <v/>
      </c>
      <c r="M14" s="15" t="str">
        <f aca="false">IF($A14="","",INDEX(PERLINE!$A$2:$A$3001,MATCH($A14,PERLINE!$N$2:$N$3001,0)))</f>
        <v/>
      </c>
      <c r="N14" s="21" t="str">
        <f aca="false">IF($A14="","",SUMIFS(PERLINE!$M$2:$M$3001,PERLINE!$N$2:$N$3001,$A14))</f>
        <v/>
      </c>
    </row>
    <row r="15" customFormat="false" ht="14.25" hidden="false" customHeight="true" outlineLevel="0" collapsed="false">
      <c r="A15" s="15" t="str">
        <f aca="false">IF(ROWS($A$2:$A15)&lt;=Check!$C$4,SMALL(PERLINE!$AL$2:$AL$3001,ROWS($A$2:$A15)),"")</f>
        <v/>
      </c>
      <c r="B15" s="15" t="str">
        <f aca="false">IF($A15="","",INDEX(PERLINE!$J$2:$J$3001,MATCH($A15,PERLINE!$N$2:$N$3001,0)))</f>
        <v/>
      </c>
      <c r="C15" s="16" t="str">
        <f aca="false">IF($A15="","",INDEX(PERLINE!$I$2:$I$3001,MATCH($A15,PERLINE!$N$2:$N$3001,0)))</f>
        <v/>
      </c>
      <c r="D15" s="17" t="str">
        <f aca="false">IF($A15="","",'كشف المطالبة'!$D$6)</f>
        <v/>
      </c>
      <c r="E15" s="18" t="str">
        <f aca="false">IF($A15="","",SUMIFS(PERLINE!$U$2:$U$3001,PERLINE!$N$2:$N$3001,$A15,PERLINE!$AK$2:$AK$3001,0))</f>
        <v/>
      </c>
      <c r="F15" s="19" t="str">
        <f aca="false">IF($A15="","",E15*D15)</f>
        <v/>
      </c>
      <c r="G15" s="17" t="str">
        <f aca="false">IF($A15="","",'كشف المطالبة'!$D$5)</f>
        <v/>
      </c>
      <c r="H15" s="18" t="str">
        <f aca="false">IF($A15="","",SUMIFS(PERLINE!$U$2:$U$3001,PERLINE!$N$2:$N$3001,$A15,PERLINE!$AK$2:$AK$3001,1))</f>
        <v/>
      </c>
      <c r="I15" s="19" t="str">
        <f aca="false">IF($A15="","",H15*G15)</f>
        <v/>
      </c>
      <c r="J15" s="19" t="str">
        <f aca="false">IF($A15="","",F15+I15)</f>
        <v/>
      </c>
      <c r="K15" s="19" t="str">
        <f aca="false">IF($A15="","",H15+E15)</f>
        <v/>
      </c>
      <c r="L15" s="20" t="str">
        <f aca="false">IF($A15="","",K15-J15-N15)</f>
        <v/>
      </c>
      <c r="M15" s="15" t="str">
        <f aca="false">IF($A15="","",INDEX(PERLINE!$A$2:$A$3001,MATCH($A15,PERLINE!$N$2:$N$3001,0)))</f>
        <v/>
      </c>
      <c r="N15" s="21" t="str">
        <f aca="false">IF($A15="","",SUMIFS(PERLINE!$M$2:$M$3001,PERLINE!$N$2:$N$3001,$A15))</f>
        <v/>
      </c>
    </row>
    <row r="16" customFormat="false" ht="14.25" hidden="false" customHeight="true" outlineLevel="0" collapsed="false">
      <c r="A16" s="15" t="str">
        <f aca="false">IF(ROWS($A$2:$A16)&lt;=Check!$C$4,SMALL(PERLINE!$AL$2:$AL$3001,ROWS($A$2:$A16)),"")</f>
        <v/>
      </c>
      <c r="B16" s="15" t="str">
        <f aca="false">IF($A16="","",INDEX(PERLINE!$J$2:$J$3001,MATCH($A16,PERLINE!$N$2:$N$3001,0)))</f>
        <v/>
      </c>
      <c r="C16" s="16" t="str">
        <f aca="false">IF($A16="","",INDEX(PERLINE!$I$2:$I$3001,MATCH($A16,PERLINE!$N$2:$N$3001,0)))</f>
        <v/>
      </c>
      <c r="D16" s="17" t="str">
        <f aca="false">IF($A16="","",'كشف المطالبة'!$D$6)</f>
        <v/>
      </c>
      <c r="E16" s="18" t="str">
        <f aca="false">IF($A16="","",SUMIFS(PERLINE!$U$2:$U$3001,PERLINE!$N$2:$N$3001,$A16,PERLINE!$AK$2:$AK$3001,0))</f>
        <v/>
      </c>
      <c r="F16" s="19" t="str">
        <f aca="false">IF($A16="","",E16*D16)</f>
        <v/>
      </c>
      <c r="G16" s="17" t="str">
        <f aca="false">IF($A16="","",'كشف المطالبة'!$D$5)</f>
        <v/>
      </c>
      <c r="H16" s="18" t="str">
        <f aca="false">IF($A16="","",SUMIFS(PERLINE!$U$2:$U$3001,PERLINE!$N$2:$N$3001,$A16,PERLINE!$AK$2:$AK$3001,1))</f>
        <v/>
      </c>
      <c r="I16" s="19" t="str">
        <f aca="false">IF($A16="","",H16*G16)</f>
        <v/>
      </c>
      <c r="J16" s="19" t="str">
        <f aca="false">IF($A16="","",F16+I16)</f>
        <v/>
      </c>
      <c r="K16" s="19" t="str">
        <f aca="false">IF($A16="","",H16+E16)</f>
        <v/>
      </c>
      <c r="L16" s="20" t="str">
        <f aca="false">IF($A16="","",K16-J16-N16)</f>
        <v/>
      </c>
      <c r="M16" s="15" t="str">
        <f aca="false">IF($A16="","",INDEX(PERLINE!$A$2:$A$3001,MATCH($A16,PERLINE!$N$2:$N$3001,0)))</f>
        <v/>
      </c>
      <c r="N16" s="21" t="str">
        <f aca="false">IF($A16="","",SUMIFS(PERLINE!$M$2:$M$3001,PERLINE!$N$2:$N$3001,$A16))</f>
        <v/>
      </c>
    </row>
    <row r="17" customFormat="false" ht="14.25" hidden="false" customHeight="true" outlineLevel="0" collapsed="false">
      <c r="A17" s="15" t="str">
        <f aca="false">IF(ROWS($A$2:$A17)&lt;=Check!$C$4,SMALL(PERLINE!$AL$2:$AL$3001,ROWS($A$2:$A17)),"")</f>
        <v/>
      </c>
      <c r="B17" s="15" t="str">
        <f aca="false">IF($A17="","",INDEX(PERLINE!$J$2:$J$3001,MATCH($A17,PERLINE!$N$2:$N$3001,0)))</f>
        <v/>
      </c>
      <c r="C17" s="16" t="str">
        <f aca="false">IF($A17="","",INDEX(PERLINE!$I$2:$I$3001,MATCH($A17,PERLINE!$N$2:$N$3001,0)))</f>
        <v/>
      </c>
      <c r="D17" s="17" t="str">
        <f aca="false">IF($A17="","",'كشف المطالبة'!$D$6)</f>
        <v/>
      </c>
      <c r="E17" s="18" t="str">
        <f aca="false">IF($A17="","",SUMIFS(PERLINE!$U$2:$U$3001,PERLINE!$N$2:$N$3001,$A17,PERLINE!$AK$2:$AK$3001,0))</f>
        <v/>
      </c>
      <c r="F17" s="19" t="str">
        <f aca="false">IF($A17="","",E17*D17)</f>
        <v/>
      </c>
      <c r="G17" s="17" t="str">
        <f aca="false">IF($A17="","",'كشف المطالبة'!$D$5)</f>
        <v/>
      </c>
      <c r="H17" s="18" t="str">
        <f aca="false">IF($A17="","",SUMIFS(PERLINE!$U$2:$U$3001,PERLINE!$N$2:$N$3001,$A17,PERLINE!$AK$2:$AK$3001,1))</f>
        <v/>
      </c>
      <c r="I17" s="19" t="str">
        <f aca="false">IF($A17="","",H17*G17)</f>
        <v/>
      </c>
      <c r="J17" s="19" t="str">
        <f aca="false">IF($A17="","",F17+I17)</f>
        <v/>
      </c>
      <c r="K17" s="19" t="str">
        <f aca="false">IF($A17="","",H17+E17)</f>
        <v/>
      </c>
      <c r="L17" s="20" t="str">
        <f aca="false">IF($A17="","",K17-J17-N17)</f>
        <v/>
      </c>
      <c r="M17" s="15" t="str">
        <f aca="false">IF($A17="","",INDEX(PERLINE!$A$2:$A$3001,MATCH($A17,PERLINE!$N$2:$N$3001,0)))</f>
        <v/>
      </c>
      <c r="N17" s="21" t="str">
        <f aca="false">IF($A17="","",SUMIFS(PERLINE!$M$2:$M$3001,PERLINE!$N$2:$N$3001,$A17))</f>
        <v/>
      </c>
    </row>
    <row r="18" customFormat="false" ht="14.25" hidden="false" customHeight="true" outlineLevel="0" collapsed="false">
      <c r="A18" s="15" t="str">
        <f aca="false">IF(ROWS($A$2:$A18)&lt;=Check!$C$4,SMALL(PERLINE!$AL$2:$AL$3001,ROWS($A$2:$A18)),"")</f>
        <v/>
      </c>
      <c r="B18" s="15" t="str">
        <f aca="false">IF($A18="","",INDEX(PERLINE!$J$2:$J$3001,MATCH($A18,PERLINE!$N$2:$N$3001,0)))</f>
        <v/>
      </c>
      <c r="C18" s="16" t="str">
        <f aca="false">IF($A18="","",INDEX(PERLINE!$I$2:$I$3001,MATCH($A18,PERLINE!$N$2:$N$3001,0)))</f>
        <v/>
      </c>
      <c r="D18" s="17" t="str">
        <f aca="false">IF($A18="","",'كشف المطالبة'!$D$6)</f>
        <v/>
      </c>
      <c r="E18" s="18" t="str">
        <f aca="false">IF($A18="","",SUMIFS(PERLINE!$U$2:$U$3001,PERLINE!$N$2:$N$3001,$A18,PERLINE!$AK$2:$AK$3001,0))</f>
        <v/>
      </c>
      <c r="F18" s="19" t="str">
        <f aca="false">IF($A18="","",E18*D18)</f>
        <v/>
      </c>
      <c r="G18" s="17" t="str">
        <f aca="false">IF($A18="","",'كشف المطالبة'!$D$5)</f>
        <v/>
      </c>
      <c r="H18" s="18" t="str">
        <f aca="false">IF($A18="","",SUMIFS(PERLINE!$U$2:$U$3001,PERLINE!$N$2:$N$3001,$A18,PERLINE!$AK$2:$AK$3001,1))</f>
        <v/>
      </c>
      <c r="I18" s="19" t="str">
        <f aca="false">IF($A18="","",H18*G18)</f>
        <v/>
      </c>
      <c r="J18" s="19" t="str">
        <f aca="false">IF($A18="","",F18+I18)</f>
        <v/>
      </c>
      <c r="K18" s="19" t="str">
        <f aca="false">IF($A18="","",H18+E18)</f>
        <v/>
      </c>
      <c r="L18" s="20" t="str">
        <f aca="false">IF($A18="","",K18-J18-N18)</f>
        <v/>
      </c>
      <c r="M18" s="15" t="str">
        <f aca="false">IF($A18="","",INDEX(PERLINE!$A$2:$A$3001,MATCH($A18,PERLINE!$N$2:$N$3001,0)))</f>
        <v/>
      </c>
      <c r="N18" s="21" t="str">
        <f aca="false">IF($A18="","",SUMIFS(PERLINE!$M$2:$M$3001,PERLINE!$N$2:$N$3001,$A18))</f>
        <v/>
      </c>
    </row>
    <row r="19" customFormat="false" ht="14.25" hidden="false" customHeight="true" outlineLevel="0" collapsed="false">
      <c r="A19" s="15" t="str">
        <f aca="false">IF(ROWS($A$2:$A19)&lt;=Check!$C$4,SMALL(PERLINE!$AL$2:$AL$3001,ROWS($A$2:$A19)),"")</f>
        <v/>
      </c>
      <c r="B19" s="15" t="str">
        <f aca="false">IF($A19="","",INDEX(PERLINE!$J$2:$J$3001,MATCH($A19,PERLINE!$N$2:$N$3001,0)))</f>
        <v/>
      </c>
      <c r="C19" s="16" t="str">
        <f aca="false">IF($A19="","",INDEX(PERLINE!$I$2:$I$3001,MATCH($A19,PERLINE!$N$2:$N$3001,0)))</f>
        <v/>
      </c>
      <c r="D19" s="17" t="str">
        <f aca="false">IF($A19="","",'كشف المطالبة'!$D$6)</f>
        <v/>
      </c>
      <c r="E19" s="18" t="str">
        <f aca="false">IF($A19="","",SUMIFS(PERLINE!$U$2:$U$3001,PERLINE!$N$2:$N$3001,$A19,PERLINE!$AK$2:$AK$3001,0))</f>
        <v/>
      </c>
      <c r="F19" s="19" t="str">
        <f aca="false">IF($A19="","",E19*D19)</f>
        <v/>
      </c>
      <c r="G19" s="17" t="str">
        <f aca="false">IF($A19="","",'كشف المطالبة'!$D$5)</f>
        <v/>
      </c>
      <c r="H19" s="18" t="str">
        <f aca="false">IF($A19="","",SUMIFS(PERLINE!$U$2:$U$3001,PERLINE!$N$2:$N$3001,$A19,PERLINE!$AK$2:$AK$3001,1))</f>
        <v/>
      </c>
      <c r="I19" s="19" t="str">
        <f aca="false">IF($A19="","",H19*G19)</f>
        <v/>
      </c>
      <c r="J19" s="19" t="str">
        <f aca="false">IF($A19="","",F19+I19)</f>
        <v/>
      </c>
      <c r="K19" s="19" t="str">
        <f aca="false">IF($A19="","",H19+E19)</f>
        <v/>
      </c>
      <c r="L19" s="20" t="str">
        <f aca="false">IF($A19="","",K19-J19-N19)</f>
        <v/>
      </c>
      <c r="M19" s="15" t="str">
        <f aca="false">IF($A19="","",INDEX(PERLINE!$A$2:$A$3001,MATCH($A19,PERLINE!$N$2:$N$3001,0)))</f>
        <v/>
      </c>
      <c r="N19" s="21" t="str">
        <f aca="false">IF($A19="","",SUMIFS(PERLINE!$M$2:$M$3001,PERLINE!$N$2:$N$3001,$A19))</f>
        <v/>
      </c>
    </row>
    <row r="20" customFormat="false" ht="14.25" hidden="false" customHeight="true" outlineLevel="0" collapsed="false">
      <c r="A20" s="15" t="str">
        <f aca="false">IF(ROWS($A$2:$A20)&lt;=Check!$C$4,SMALL(PERLINE!$AL$2:$AL$3001,ROWS($A$2:$A20)),"")</f>
        <v/>
      </c>
      <c r="B20" s="15" t="str">
        <f aca="false">IF($A20="","",INDEX(PERLINE!$J$2:$J$3001,MATCH($A20,PERLINE!$N$2:$N$3001,0)))</f>
        <v/>
      </c>
      <c r="C20" s="16" t="str">
        <f aca="false">IF($A20="","",INDEX(PERLINE!$I$2:$I$3001,MATCH($A20,PERLINE!$N$2:$N$3001,0)))</f>
        <v/>
      </c>
      <c r="D20" s="17" t="str">
        <f aca="false">IF($A20="","",'كشف المطالبة'!$D$6)</f>
        <v/>
      </c>
      <c r="E20" s="18" t="str">
        <f aca="false">IF($A20="","",SUMIFS(PERLINE!$U$2:$U$3001,PERLINE!$N$2:$N$3001,$A20,PERLINE!$AK$2:$AK$3001,0))</f>
        <v/>
      </c>
      <c r="F20" s="19" t="str">
        <f aca="false">IF($A20="","",E20*D20)</f>
        <v/>
      </c>
      <c r="G20" s="17" t="str">
        <f aca="false">IF($A20="","",'كشف المطالبة'!$D$5)</f>
        <v/>
      </c>
      <c r="H20" s="18" t="str">
        <f aca="false">IF($A20="","",SUMIFS(PERLINE!$U$2:$U$3001,PERLINE!$N$2:$N$3001,$A20,PERLINE!$AK$2:$AK$3001,1))</f>
        <v/>
      </c>
      <c r="I20" s="19" t="str">
        <f aca="false">IF($A20="","",H20*G20)</f>
        <v/>
      </c>
      <c r="J20" s="19" t="str">
        <f aca="false">IF($A20="","",F20+I20)</f>
        <v/>
      </c>
      <c r="K20" s="19" t="str">
        <f aca="false">IF($A20="","",H20+E20)</f>
        <v/>
      </c>
      <c r="L20" s="20" t="str">
        <f aca="false">IF($A20="","",K20-J20-N20)</f>
        <v/>
      </c>
      <c r="M20" s="15" t="str">
        <f aca="false">IF($A20="","",INDEX(PERLINE!$A$2:$A$3001,MATCH($A20,PERLINE!$N$2:$N$3001,0)))</f>
        <v/>
      </c>
      <c r="N20" s="21" t="str">
        <f aca="false">IF($A20="","",SUMIFS(PERLINE!$M$2:$M$3001,PERLINE!$N$2:$N$3001,$A20))</f>
        <v/>
      </c>
    </row>
    <row r="21" customFormat="false" ht="15.75" hidden="false" customHeight="true" outlineLevel="0" collapsed="false">
      <c r="A21" s="15" t="str">
        <f aca="false">IF(ROWS($A$2:$A21)&lt;=Check!$C$4,SMALL(PERLINE!$AL$2:$AL$3001,ROWS($A$2:$A21)),"")</f>
        <v/>
      </c>
      <c r="B21" s="15" t="str">
        <f aca="false">IF($A21="","",INDEX(PERLINE!$J$2:$J$3001,MATCH($A21,PERLINE!$N$2:$N$3001,0)))</f>
        <v/>
      </c>
      <c r="C21" s="16" t="str">
        <f aca="false">IF($A21="","",INDEX(PERLINE!$I$2:$I$3001,MATCH($A21,PERLINE!$N$2:$N$3001,0)))</f>
        <v/>
      </c>
      <c r="D21" s="17" t="str">
        <f aca="false">IF($A21="","",'كشف المطالبة'!$D$6)</f>
        <v/>
      </c>
      <c r="E21" s="18" t="str">
        <f aca="false">IF($A21="","",SUMIFS(PERLINE!$U$2:$U$3001,PERLINE!$N$2:$N$3001,$A21,PERLINE!$AK$2:$AK$3001,0))</f>
        <v/>
      </c>
      <c r="F21" s="19" t="str">
        <f aca="false">IF($A21="","",E21*D21)</f>
        <v/>
      </c>
      <c r="G21" s="17" t="str">
        <f aca="false">IF($A21="","",'كشف المطالبة'!$D$5)</f>
        <v/>
      </c>
      <c r="H21" s="18" t="str">
        <f aca="false">IF($A21="","",SUMIFS(PERLINE!$U$2:$U$3001,PERLINE!$N$2:$N$3001,$A21,PERLINE!$AK$2:$AK$3001,1))</f>
        <v/>
      </c>
      <c r="I21" s="19" t="str">
        <f aca="false">IF($A21="","",H21*G21)</f>
        <v/>
      </c>
      <c r="J21" s="19" t="str">
        <f aca="false">IF($A21="","",F21+I21)</f>
        <v/>
      </c>
      <c r="K21" s="19" t="str">
        <f aca="false">IF($A21="","",H21+E21)</f>
        <v/>
      </c>
      <c r="L21" s="20" t="str">
        <f aca="false">IF($A21="","",K21-J21-N21)</f>
        <v/>
      </c>
      <c r="M21" s="15" t="str">
        <f aca="false">IF($A21="","",INDEX(PERLINE!$A$2:$A$3001,MATCH($A21,PERLINE!$N$2:$N$3001,0)))</f>
        <v/>
      </c>
      <c r="N21" s="21" t="str">
        <f aca="false">IF($A21="","",SUMIFS(PERLINE!$M$2:$M$3001,PERLINE!$N$2:$N$3001,$A21))</f>
        <v/>
      </c>
    </row>
    <row r="22" customFormat="false" ht="15.75" hidden="false" customHeight="true" outlineLevel="0" collapsed="false">
      <c r="A22" s="15" t="str">
        <f aca="false">IF(ROWS($A$2:$A22)&lt;=Check!$C$4,SMALL(PERLINE!$AL$2:$AL$3001,ROWS($A$2:$A22)),"")</f>
        <v/>
      </c>
      <c r="B22" s="15" t="str">
        <f aca="false">IF($A22="","",INDEX(PERLINE!$J$2:$J$3001,MATCH($A22,PERLINE!$N$2:$N$3001,0)))</f>
        <v/>
      </c>
      <c r="C22" s="16" t="str">
        <f aca="false">IF($A22="","",INDEX(PERLINE!$I$2:$I$3001,MATCH($A22,PERLINE!$N$2:$N$3001,0)))</f>
        <v/>
      </c>
      <c r="D22" s="17" t="str">
        <f aca="false">IF($A22="","",'كشف المطالبة'!$D$6)</f>
        <v/>
      </c>
      <c r="E22" s="18" t="str">
        <f aca="false">IF($A22="","",SUMIFS(PERLINE!$U$2:$U$3001,PERLINE!$N$2:$N$3001,$A22,PERLINE!$AK$2:$AK$3001,0))</f>
        <v/>
      </c>
      <c r="F22" s="19" t="str">
        <f aca="false">IF($A22="","",E22*D22)</f>
        <v/>
      </c>
      <c r="G22" s="17" t="str">
        <f aca="false">IF($A22="","",'كشف المطالبة'!$D$5)</f>
        <v/>
      </c>
      <c r="H22" s="18" t="str">
        <f aca="false">IF($A22="","",SUMIFS(PERLINE!$U$2:$U$3001,PERLINE!$N$2:$N$3001,$A22,PERLINE!$AK$2:$AK$3001,1))</f>
        <v/>
      </c>
      <c r="I22" s="19" t="str">
        <f aca="false">IF($A22="","",H22*G22)</f>
        <v/>
      </c>
      <c r="J22" s="19" t="str">
        <f aca="false">IF($A22="","",F22+I22)</f>
        <v/>
      </c>
      <c r="K22" s="19" t="str">
        <f aca="false">IF($A22="","",H22+E22)</f>
        <v/>
      </c>
      <c r="L22" s="20" t="str">
        <f aca="false">IF($A22="","",K22-J22-N22)</f>
        <v/>
      </c>
      <c r="M22" s="15" t="str">
        <f aca="false">IF($A22="","",INDEX(PERLINE!$A$2:$A$3001,MATCH($A22,PERLINE!$N$2:$N$3001,0)))</f>
        <v/>
      </c>
      <c r="N22" s="21" t="str">
        <f aca="false">IF($A22="","",SUMIFS(PERLINE!$M$2:$M$3001,PERLINE!$N$2:$N$3001,$A22))</f>
        <v/>
      </c>
    </row>
    <row r="23" customFormat="false" ht="15.75" hidden="false" customHeight="true" outlineLevel="0" collapsed="false">
      <c r="A23" s="15" t="str">
        <f aca="false">IF(ROWS($A$2:$A23)&lt;=Check!$C$4,SMALL(PERLINE!$AL$2:$AL$3001,ROWS($A$2:$A23)),"")</f>
        <v/>
      </c>
      <c r="B23" s="15" t="str">
        <f aca="false">IF($A23="","",INDEX(PERLINE!$J$2:$J$3001,MATCH($A23,PERLINE!$N$2:$N$3001,0)))</f>
        <v/>
      </c>
      <c r="C23" s="16" t="str">
        <f aca="false">IF($A23="","",INDEX(PERLINE!$I$2:$I$3001,MATCH($A23,PERLINE!$N$2:$N$3001,0)))</f>
        <v/>
      </c>
      <c r="D23" s="17" t="str">
        <f aca="false">IF($A23="","",'كشف المطالبة'!$D$6)</f>
        <v/>
      </c>
      <c r="E23" s="18" t="str">
        <f aca="false">IF($A23="","",SUMIFS(PERLINE!$U$2:$U$3001,PERLINE!$N$2:$N$3001,$A23,PERLINE!$AK$2:$AK$3001,0))</f>
        <v/>
      </c>
      <c r="F23" s="19" t="str">
        <f aca="false">IF($A23="","",E23*D23)</f>
        <v/>
      </c>
      <c r="G23" s="17" t="str">
        <f aca="false">IF($A23="","",'كشف المطالبة'!$D$5)</f>
        <v/>
      </c>
      <c r="H23" s="18" t="str">
        <f aca="false">IF($A23="","",SUMIFS(PERLINE!$U$2:$U$3001,PERLINE!$N$2:$N$3001,$A23,PERLINE!$AK$2:$AK$3001,1))</f>
        <v/>
      </c>
      <c r="I23" s="19" t="str">
        <f aca="false">IF($A23="","",H23*G23)</f>
        <v/>
      </c>
      <c r="J23" s="19" t="str">
        <f aca="false">IF($A23="","",F23+I23)</f>
        <v/>
      </c>
      <c r="K23" s="19" t="str">
        <f aca="false">IF($A23="","",H23+E23)</f>
        <v/>
      </c>
      <c r="L23" s="20" t="str">
        <f aca="false">IF($A23="","",K23-J23-N23)</f>
        <v/>
      </c>
      <c r="M23" s="15" t="str">
        <f aca="false">IF($A23="","",INDEX(PERLINE!$A$2:$A$3001,MATCH($A23,PERLINE!$N$2:$N$3001,0)))</f>
        <v/>
      </c>
      <c r="N23" s="21" t="str">
        <f aca="false">IF($A23="","",SUMIFS(PERLINE!$M$2:$M$3001,PERLINE!$N$2:$N$3001,$A23))</f>
        <v/>
      </c>
    </row>
    <row r="24" customFormat="false" ht="15.75" hidden="false" customHeight="true" outlineLevel="0" collapsed="false">
      <c r="A24" s="15" t="str">
        <f aca="false">IF(ROWS($A$2:$A24)&lt;=Check!$C$4,SMALL(PERLINE!$AL$2:$AL$3001,ROWS($A$2:$A24)),"")</f>
        <v/>
      </c>
      <c r="B24" s="15" t="str">
        <f aca="false">IF($A24="","",INDEX(PERLINE!$J$2:$J$3001,MATCH($A24,PERLINE!$N$2:$N$3001,0)))</f>
        <v/>
      </c>
      <c r="C24" s="16" t="str">
        <f aca="false">IF($A24="","",INDEX(PERLINE!$I$2:$I$3001,MATCH($A24,PERLINE!$N$2:$N$3001,0)))</f>
        <v/>
      </c>
      <c r="D24" s="17" t="str">
        <f aca="false">IF($A24="","",'كشف المطالبة'!$D$6)</f>
        <v/>
      </c>
      <c r="E24" s="18" t="str">
        <f aca="false">IF($A24="","",SUMIFS(PERLINE!$U$2:$U$3001,PERLINE!$N$2:$N$3001,$A24,PERLINE!$AK$2:$AK$3001,0))</f>
        <v/>
      </c>
      <c r="F24" s="19" t="str">
        <f aca="false">IF($A24="","",E24*D24)</f>
        <v/>
      </c>
      <c r="G24" s="17" t="str">
        <f aca="false">IF($A24="","",'كشف المطالبة'!$D$5)</f>
        <v/>
      </c>
      <c r="H24" s="18" t="str">
        <f aca="false">IF($A24="","",SUMIFS(PERLINE!$U$2:$U$3001,PERLINE!$N$2:$N$3001,$A24,PERLINE!$AK$2:$AK$3001,1))</f>
        <v/>
      </c>
      <c r="I24" s="19" t="str">
        <f aca="false">IF($A24="","",H24*G24)</f>
        <v/>
      </c>
      <c r="J24" s="19" t="str">
        <f aca="false">IF($A24="","",F24+I24)</f>
        <v/>
      </c>
      <c r="K24" s="19" t="str">
        <f aca="false">IF($A24="","",H24+E24)</f>
        <v/>
      </c>
      <c r="L24" s="20" t="str">
        <f aca="false">IF($A24="","",K24-J24-N24)</f>
        <v/>
      </c>
      <c r="M24" s="15" t="str">
        <f aca="false">IF($A24="","",INDEX(PERLINE!$A$2:$A$3001,MATCH($A24,PERLINE!$N$2:$N$3001,0)))</f>
        <v/>
      </c>
      <c r="N24" s="21" t="str">
        <f aca="false">IF($A24="","",SUMIFS(PERLINE!$M$2:$M$3001,PERLINE!$N$2:$N$3001,$A24))</f>
        <v/>
      </c>
    </row>
    <row r="25" customFormat="false" ht="15.75" hidden="false" customHeight="true" outlineLevel="0" collapsed="false">
      <c r="A25" s="15" t="str">
        <f aca="false">IF(ROWS($A$2:$A25)&lt;=Check!$C$4,SMALL(PERLINE!$AL$2:$AL$3001,ROWS($A$2:$A25)),"")</f>
        <v/>
      </c>
      <c r="B25" s="15" t="str">
        <f aca="false">IF($A25="","",INDEX(PERLINE!$J$2:$J$3001,MATCH($A25,PERLINE!$N$2:$N$3001,0)))</f>
        <v/>
      </c>
      <c r="C25" s="16" t="str">
        <f aca="false">IF($A25="","",INDEX(PERLINE!$I$2:$I$3001,MATCH($A25,PERLINE!$N$2:$N$3001,0)))</f>
        <v/>
      </c>
      <c r="D25" s="17" t="str">
        <f aca="false">IF($A25="","",'كشف المطالبة'!$D$6)</f>
        <v/>
      </c>
      <c r="E25" s="18" t="str">
        <f aca="false">IF($A25="","",SUMIFS(PERLINE!$U$2:$U$3001,PERLINE!$N$2:$N$3001,$A25,PERLINE!$AK$2:$AK$3001,0))</f>
        <v/>
      </c>
      <c r="F25" s="19" t="str">
        <f aca="false">IF($A25="","",E25*D25)</f>
        <v/>
      </c>
      <c r="G25" s="17" t="str">
        <f aca="false">IF($A25="","",'كشف المطالبة'!$D$5)</f>
        <v/>
      </c>
      <c r="H25" s="18" t="str">
        <f aca="false">IF($A25="","",SUMIFS(PERLINE!$U$2:$U$3001,PERLINE!$N$2:$N$3001,$A25,PERLINE!$AK$2:$AK$3001,1))</f>
        <v/>
      </c>
      <c r="I25" s="19" t="str">
        <f aca="false">IF($A25="","",H25*G25)</f>
        <v/>
      </c>
      <c r="J25" s="19" t="str">
        <f aca="false">IF($A25="","",F25+I25)</f>
        <v/>
      </c>
      <c r="K25" s="19" t="str">
        <f aca="false">IF($A25="","",H25+E25)</f>
        <v/>
      </c>
      <c r="L25" s="20" t="str">
        <f aca="false">IF($A25="","",K25-J25-N25)</f>
        <v/>
      </c>
      <c r="M25" s="15" t="str">
        <f aca="false">IF($A25="","",INDEX(PERLINE!$A$2:$A$3001,MATCH($A25,PERLINE!$N$2:$N$3001,0)))</f>
        <v/>
      </c>
      <c r="N25" s="21" t="str">
        <f aca="false">IF($A25="","",SUMIFS(PERLINE!$M$2:$M$3001,PERLINE!$N$2:$N$3001,$A25))</f>
        <v/>
      </c>
    </row>
    <row r="26" customFormat="false" ht="15.75" hidden="false" customHeight="true" outlineLevel="0" collapsed="false">
      <c r="A26" s="15" t="str">
        <f aca="false">IF(ROWS($A$2:$A26)&lt;=Check!$C$4,SMALL(PERLINE!$AL$2:$AL$3001,ROWS($A$2:$A26)),"")</f>
        <v/>
      </c>
      <c r="B26" s="15" t="str">
        <f aca="false">IF($A26="","",INDEX(PERLINE!$J$2:$J$3001,MATCH($A26,PERLINE!$N$2:$N$3001,0)))</f>
        <v/>
      </c>
      <c r="C26" s="16" t="str">
        <f aca="false">IF($A26="","",INDEX(PERLINE!$I$2:$I$3001,MATCH($A26,PERLINE!$N$2:$N$3001,0)))</f>
        <v/>
      </c>
      <c r="D26" s="17" t="str">
        <f aca="false">IF($A26="","",'كشف المطالبة'!$D$6)</f>
        <v/>
      </c>
      <c r="E26" s="18" t="str">
        <f aca="false">IF($A26="","",SUMIFS(PERLINE!$U$2:$U$3001,PERLINE!$N$2:$N$3001,$A26,PERLINE!$AK$2:$AK$3001,0))</f>
        <v/>
      </c>
      <c r="F26" s="19" t="str">
        <f aca="false">IF($A26="","",E26*D26)</f>
        <v/>
      </c>
      <c r="G26" s="17" t="str">
        <f aca="false">IF($A26="","",'كشف المطالبة'!$D$5)</f>
        <v/>
      </c>
      <c r="H26" s="18" t="str">
        <f aca="false">IF($A26="","",SUMIFS(PERLINE!$U$2:$U$3001,PERLINE!$N$2:$N$3001,$A26,PERLINE!$AK$2:$AK$3001,1))</f>
        <v/>
      </c>
      <c r="I26" s="19" t="str">
        <f aca="false">IF($A26="","",H26*G26)</f>
        <v/>
      </c>
      <c r="J26" s="19" t="str">
        <f aca="false">IF($A26="","",F26+I26)</f>
        <v/>
      </c>
      <c r="K26" s="19" t="str">
        <f aca="false">IF($A26="","",H26+E26)</f>
        <v/>
      </c>
      <c r="L26" s="20" t="str">
        <f aca="false">IF($A26="","",K26-J26-N26)</f>
        <v/>
      </c>
      <c r="M26" s="15" t="str">
        <f aca="false">IF($A26="","",INDEX(PERLINE!$A$2:$A$3001,MATCH($A26,PERLINE!$N$2:$N$3001,0)))</f>
        <v/>
      </c>
      <c r="N26" s="21" t="str">
        <f aca="false">IF($A26="","",SUMIFS(PERLINE!$M$2:$M$3001,PERLINE!$N$2:$N$3001,$A26))</f>
        <v/>
      </c>
    </row>
    <row r="27" customFormat="false" ht="15.75" hidden="false" customHeight="true" outlineLevel="0" collapsed="false">
      <c r="A27" s="15" t="str">
        <f aca="false">IF(ROWS($A$2:$A27)&lt;=Check!$C$4,SMALL(PERLINE!$AL$2:$AL$3001,ROWS($A$2:$A27)),"")</f>
        <v/>
      </c>
      <c r="B27" s="15" t="str">
        <f aca="false">IF($A27="","",INDEX(PERLINE!$J$2:$J$3001,MATCH($A27,PERLINE!$N$2:$N$3001,0)))</f>
        <v/>
      </c>
      <c r="C27" s="16" t="str">
        <f aca="false">IF($A27="","",INDEX(PERLINE!$I$2:$I$3001,MATCH($A27,PERLINE!$N$2:$N$3001,0)))</f>
        <v/>
      </c>
      <c r="D27" s="17" t="str">
        <f aca="false">IF($A27="","",'كشف المطالبة'!$D$6)</f>
        <v/>
      </c>
      <c r="E27" s="18" t="str">
        <f aca="false">IF($A27="","",SUMIFS(PERLINE!$U$2:$U$3001,PERLINE!$N$2:$N$3001,$A27,PERLINE!$AK$2:$AK$3001,0))</f>
        <v/>
      </c>
      <c r="F27" s="19" t="str">
        <f aca="false">IF($A27="","",E27*D27)</f>
        <v/>
      </c>
      <c r="G27" s="17" t="str">
        <f aca="false">IF($A27="","",'كشف المطالبة'!$D$5)</f>
        <v/>
      </c>
      <c r="H27" s="18" t="str">
        <f aca="false">IF($A27="","",SUMIFS(PERLINE!$U$2:$U$3001,PERLINE!$N$2:$N$3001,$A27,PERLINE!$AK$2:$AK$3001,1))</f>
        <v/>
      </c>
      <c r="I27" s="19" t="str">
        <f aca="false">IF($A27="","",H27*G27)</f>
        <v/>
      </c>
      <c r="J27" s="19" t="str">
        <f aca="false">IF($A27="","",F27+I27)</f>
        <v/>
      </c>
      <c r="K27" s="19" t="str">
        <f aca="false">IF($A27="","",H27+E27)</f>
        <v/>
      </c>
      <c r="L27" s="20" t="str">
        <f aca="false">IF($A27="","",K27-J27-N27)</f>
        <v/>
      </c>
      <c r="M27" s="15" t="str">
        <f aca="false">IF($A27="","",INDEX(PERLINE!$A$2:$A$3001,MATCH($A27,PERLINE!$N$2:$N$3001,0)))</f>
        <v/>
      </c>
      <c r="N27" s="21" t="str">
        <f aca="false">IF($A27="","",SUMIFS(PERLINE!$M$2:$M$3001,PERLINE!$N$2:$N$3001,$A27))</f>
        <v/>
      </c>
    </row>
    <row r="28" customFormat="false" ht="15.75" hidden="false" customHeight="true" outlineLevel="0" collapsed="false">
      <c r="A28" s="15" t="str">
        <f aca="false">IF(ROWS($A$2:$A28)&lt;=Check!$C$4,SMALL(PERLINE!$AL$2:$AL$3001,ROWS($A$2:$A28)),"")</f>
        <v/>
      </c>
      <c r="B28" s="15" t="str">
        <f aca="false">IF($A28="","",INDEX(PERLINE!$J$2:$J$3001,MATCH($A28,PERLINE!$N$2:$N$3001,0)))</f>
        <v/>
      </c>
      <c r="C28" s="16" t="str">
        <f aca="false">IF($A28="","",INDEX(PERLINE!$I$2:$I$3001,MATCH($A28,PERLINE!$N$2:$N$3001,0)))</f>
        <v/>
      </c>
      <c r="D28" s="17" t="str">
        <f aca="false">IF($A28="","",'كشف المطالبة'!$D$6)</f>
        <v/>
      </c>
      <c r="E28" s="18" t="str">
        <f aca="false">IF($A28="","",SUMIFS(PERLINE!$U$2:$U$3001,PERLINE!$N$2:$N$3001,$A28,PERLINE!$AK$2:$AK$3001,0))</f>
        <v/>
      </c>
      <c r="F28" s="19" t="str">
        <f aca="false">IF($A28="","",E28*D28)</f>
        <v/>
      </c>
      <c r="G28" s="17" t="str">
        <f aca="false">IF($A28="","",'كشف المطالبة'!$D$5)</f>
        <v/>
      </c>
      <c r="H28" s="18" t="str">
        <f aca="false">IF($A28="","",SUMIFS(PERLINE!$U$2:$U$3001,PERLINE!$N$2:$N$3001,$A28,PERLINE!$AK$2:$AK$3001,1))</f>
        <v/>
      </c>
      <c r="I28" s="19" t="str">
        <f aca="false">IF($A28="","",H28*G28)</f>
        <v/>
      </c>
      <c r="J28" s="19" t="str">
        <f aca="false">IF($A28="","",F28+I28)</f>
        <v/>
      </c>
      <c r="K28" s="19" t="str">
        <f aca="false">IF($A28="","",H28+E28)</f>
        <v/>
      </c>
      <c r="L28" s="20" t="str">
        <f aca="false">IF($A28="","",K28-J28-N28)</f>
        <v/>
      </c>
      <c r="M28" s="15" t="str">
        <f aca="false">IF($A28="","",INDEX(PERLINE!$A$2:$A$3001,MATCH($A28,PERLINE!$N$2:$N$3001,0)))</f>
        <v/>
      </c>
      <c r="N28" s="21" t="str">
        <f aca="false">IF($A28="","",SUMIFS(PERLINE!$M$2:$M$3001,PERLINE!$N$2:$N$3001,$A28))</f>
        <v/>
      </c>
    </row>
    <row r="29" customFormat="false" ht="15.75" hidden="false" customHeight="true" outlineLevel="0" collapsed="false">
      <c r="A29" s="15" t="str">
        <f aca="false">IF(ROWS($A$2:$A29)&lt;=Check!$C$4,SMALL(PERLINE!$AL$2:$AL$3001,ROWS($A$2:$A29)),"")</f>
        <v/>
      </c>
      <c r="B29" s="15" t="str">
        <f aca="false">IF($A29="","",INDEX(PERLINE!$J$2:$J$3001,MATCH($A29,PERLINE!$N$2:$N$3001,0)))</f>
        <v/>
      </c>
      <c r="C29" s="16" t="str">
        <f aca="false">IF($A29="","",INDEX(PERLINE!$I$2:$I$3001,MATCH($A29,PERLINE!$N$2:$N$3001,0)))</f>
        <v/>
      </c>
      <c r="D29" s="17" t="str">
        <f aca="false">IF($A29="","",'كشف المطالبة'!$D$6)</f>
        <v/>
      </c>
      <c r="E29" s="18" t="str">
        <f aca="false">IF($A29="","",SUMIFS(PERLINE!$U$2:$U$3001,PERLINE!$N$2:$N$3001,$A29,PERLINE!$AK$2:$AK$3001,0))</f>
        <v/>
      </c>
      <c r="F29" s="19" t="str">
        <f aca="false">IF($A29="","",E29*D29)</f>
        <v/>
      </c>
      <c r="G29" s="17" t="str">
        <f aca="false">IF($A29="","",'كشف المطالبة'!$D$5)</f>
        <v/>
      </c>
      <c r="H29" s="18" t="str">
        <f aca="false">IF($A29="","",SUMIFS(PERLINE!$U$2:$U$3001,PERLINE!$N$2:$N$3001,$A29,PERLINE!$AK$2:$AK$3001,1))</f>
        <v/>
      </c>
      <c r="I29" s="19" t="str">
        <f aca="false">IF($A29="","",H29*G29)</f>
        <v/>
      </c>
      <c r="J29" s="19" t="str">
        <f aca="false">IF($A29="","",F29+I29)</f>
        <v/>
      </c>
      <c r="K29" s="19" t="str">
        <f aca="false">IF($A29="","",H29+E29)</f>
        <v/>
      </c>
      <c r="L29" s="20" t="str">
        <f aca="false">IF($A29="","",K29-J29-N29)</f>
        <v/>
      </c>
      <c r="M29" s="15" t="str">
        <f aca="false">IF($A29="","",INDEX(PERLINE!$A$2:$A$3001,MATCH($A29,PERLINE!$N$2:$N$3001,0)))</f>
        <v/>
      </c>
      <c r="N29" s="21" t="str">
        <f aca="false">IF($A29="","",SUMIFS(PERLINE!$M$2:$M$3001,PERLINE!$N$2:$N$3001,$A29))</f>
        <v/>
      </c>
    </row>
    <row r="30" customFormat="false" ht="15.75" hidden="false" customHeight="true" outlineLevel="0" collapsed="false">
      <c r="A30" s="15" t="str">
        <f aca="false">IF(ROWS($A$2:$A30)&lt;=Check!$C$4,SMALL(PERLINE!$AL$2:$AL$3001,ROWS($A$2:$A30)),"")</f>
        <v/>
      </c>
      <c r="B30" s="15" t="str">
        <f aca="false">IF($A30="","",INDEX(PERLINE!$J$2:$J$3001,MATCH($A30,PERLINE!$N$2:$N$3001,0)))</f>
        <v/>
      </c>
      <c r="C30" s="16" t="str">
        <f aca="false">IF($A30="","",INDEX(PERLINE!$I$2:$I$3001,MATCH($A30,PERLINE!$N$2:$N$3001,0)))</f>
        <v/>
      </c>
      <c r="D30" s="17" t="str">
        <f aca="false">IF($A30="","",'كشف المطالبة'!$D$6)</f>
        <v/>
      </c>
      <c r="E30" s="18" t="str">
        <f aca="false">IF($A30="","",SUMIFS(PERLINE!$U$2:$U$3001,PERLINE!$N$2:$N$3001,$A30,PERLINE!$AK$2:$AK$3001,0))</f>
        <v/>
      </c>
      <c r="F30" s="19" t="str">
        <f aca="false">IF($A30="","",E30*D30)</f>
        <v/>
      </c>
      <c r="G30" s="17" t="str">
        <f aca="false">IF($A30="","",'كشف المطالبة'!$D$5)</f>
        <v/>
      </c>
      <c r="H30" s="18" t="str">
        <f aca="false">IF($A30="","",SUMIFS(PERLINE!$U$2:$U$3001,PERLINE!$N$2:$N$3001,$A30,PERLINE!$AK$2:$AK$3001,1))</f>
        <v/>
      </c>
      <c r="I30" s="19" t="str">
        <f aca="false">IF($A30="","",H30*G30)</f>
        <v/>
      </c>
      <c r="J30" s="19" t="str">
        <f aca="false">IF($A30="","",F30+I30)</f>
        <v/>
      </c>
      <c r="K30" s="19" t="str">
        <f aca="false">IF($A30="","",H30+E30)</f>
        <v/>
      </c>
      <c r="L30" s="20" t="str">
        <f aca="false">IF($A30="","",K30-J30-N30)</f>
        <v/>
      </c>
      <c r="M30" s="15" t="str">
        <f aca="false">IF($A30="","",INDEX(PERLINE!$A$2:$A$3001,MATCH($A30,PERLINE!$N$2:$N$3001,0)))</f>
        <v/>
      </c>
      <c r="N30" s="21" t="str">
        <f aca="false">IF($A30="","",SUMIFS(PERLINE!$M$2:$M$3001,PERLINE!$N$2:$N$3001,$A30))</f>
        <v/>
      </c>
    </row>
    <row r="31" customFormat="false" ht="15.75" hidden="false" customHeight="true" outlineLevel="0" collapsed="false">
      <c r="A31" s="15" t="str">
        <f aca="false">IF(ROWS($A$2:$A31)&lt;=Check!$C$4,SMALL(PERLINE!$AL$2:$AL$3001,ROWS($A$2:$A31)),"")</f>
        <v/>
      </c>
      <c r="B31" s="15" t="str">
        <f aca="false">IF($A31="","",INDEX(PERLINE!$J$2:$J$3001,MATCH($A31,PERLINE!$N$2:$N$3001,0)))</f>
        <v/>
      </c>
      <c r="C31" s="16" t="str">
        <f aca="false">IF($A31="","",INDEX(PERLINE!$I$2:$I$3001,MATCH($A31,PERLINE!$N$2:$N$3001,0)))</f>
        <v/>
      </c>
      <c r="D31" s="17" t="str">
        <f aca="false">IF($A31="","",'كشف المطالبة'!$D$6)</f>
        <v/>
      </c>
      <c r="E31" s="18" t="str">
        <f aca="false">IF($A31="","",SUMIFS(PERLINE!$U$2:$U$3001,PERLINE!$N$2:$N$3001,$A31,PERLINE!$AK$2:$AK$3001,0))</f>
        <v/>
      </c>
      <c r="F31" s="19" t="str">
        <f aca="false">IF($A31="","",E31*D31)</f>
        <v/>
      </c>
      <c r="G31" s="17" t="str">
        <f aca="false">IF($A31="","",'كشف المطالبة'!$D$5)</f>
        <v/>
      </c>
      <c r="H31" s="18" t="str">
        <f aca="false">IF($A31="","",SUMIFS(PERLINE!$U$2:$U$3001,PERLINE!$N$2:$N$3001,$A31,PERLINE!$AK$2:$AK$3001,1))</f>
        <v/>
      </c>
      <c r="I31" s="19" t="str">
        <f aca="false">IF($A31="","",H31*G31)</f>
        <v/>
      </c>
      <c r="J31" s="19" t="str">
        <f aca="false">IF($A31="","",F31+I31)</f>
        <v/>
      </c>
      <c r="K31" s="19" t="str">
        <f aca="false">IF($A31="","",H31+E31)</f>
        <v/>
      </c>
      <c r="L31" s="20" t="str">
        <f aca="false">IF($A31="","",K31-J31-N31)</f>
        <v/>
      </c>
      <c r="M31" s="15" t="str">
        <f aca="false">IF($A31="","",INDEX(PERLINE!$A$2:$A$3001,MATCH($A31,PERLINE!$N$2:$N$3001,0)))</f>
        <v/>
      </c>
      <c r="N31" s="21" t="str">
        <f aca="false">IF($A31="","",SUMIFS(PERLINE!$M$2:$M$3001,PERLINE!$N$2:$N$3001,$A31))</f>
        <v/>
      </c>
    </row>
    <row r="32" customFormat="false" ht="15.75" hidden="false" customHeight="true" outlineLevel="0" collapsed="false">
      <c r="A32" s="15" t="str">
        <f aca="false">IF(ROWS($A$2:$A32)&lt;=Check!$C$4,SMALL(PERLINE!$AL$2:$AL$3001,ROWS($A$2:$A32)),"")</f>
        <v/>
      </c>
      <c r="B32" s="15" t="str">
        <f aca="false">IF($A32="","",INDEX(PERLINE!$J$2:$J$3001,MATCH($A32,PERLINE!$N$2:$N$3001,0)))</f>
        <v/>
      </c>
      <c r="C32" s="16" t="str">
        <f aca="false">IF($A32="","",INDEX(PERLINE!$I$2:$I$3001,MATCH($A32,PERLINE!$N$2:$N$3001,0)))</f>
        <v/>
      </c>
      <c r="D32" s="17" t="str">
        <f aca="false">IF($A32="","",'كشف المطالبة'!$D$6)</f>
        <v/>
      </c>
      <c r="E32" s="18" t="str">
        <f aca="false">IF($A32="","",SUMIFS(PERLINE!$U$2:$U$3001,PERLINE!$N$2:$N$3001,$A32,PERLINE!$AK$2:$AK$3001,0))</f>
        <v/>
      </c>
      <c r="F32" s="19" t="str">
        <f aca="false">IF($A32="","",E32*D32)</f>
        <v/>
      </c>
      <c r="G32" s="17" t="str">
        <f aca="false">IF($A32="","",'كشف المطالبة'!$D$5)</f>
        <v/>
      </c>
      <c r="H32" s="18" t="str">
        <f aca="false">IF($A32="","",SUMIFS(PERLINE!$U$2:$U$3001,PERLINE!$N$2:$N$3001,$A32,PERLINE!$AK$2:$AK$3001,1))</f>
        <v/>
      </c>
      <c r="I32" s="19" t="str">
        <f aca="false">IF($A32="","",H32*G32)</f>
        <v/>
      </c>
      <c r="J32" s="19" t="str">
        <f aca="false">IF($A32="","",F32+I32)</f>
        <v/>
      </c>
      <c r="K32" s="19" t="str">
        <f aca="false">IF($A32="","",H32+E32)</f>
        <v/>
      </c>
      <c r="L32" s="20" t="str">
        <f aca="false">IF($A32="","",K32-J32-N32)</f>
        <v/>
      </c>
      <c r="M32" s="15" t="str">
        <f aca="false">IF($A32="","",INDEX(PERLINE!$A$2:$A$3001,MATCH($A32,PERLINE!$N$2:$N$3001,0)))</f>
        <v/>
      </c>
      <c r="N32" s="21" t="str">
        <f aca="false">IF($A32="","",SUMIFS(PERLINE!$M$2:$M$3001,PERLINE!$N$2:$N$3001,$A32))</f>
        <v/>
      </c>
    </row>
    <row r="33" customFormat="false" ht="15.75" hidden="false" customHeight="true" outlineLevel="0" collapsed="false">
      <c r="A33" s="15" t="str">
        <f aca="false">IF(ROWS($A$2:$A33)&lt;=Check!$C$4,SMALL(PERLINE!$AL$2:$AL$3001,ROWS($A$2:$A33)),"")</f>
        <v/>
      </c>
      <c r="B33" s="15" t="str">
        <f aca="false">IF($A33="","",INDEX(PERLINE!$J$2:$J$3001,MATCH($A33,PERLINE!$N$2:$N$3001,0)))</f>
        <v/>
      </c>
      <c r="C33" s="16" t="str">
        <f aca="false">IF($A33="","",INDEX(PERLINE!$I$2:$I$3001,MATCH($A33,PERLINE!$N$2:$N$3001,0)))</f>
        <v/>
      </c>
      <c r="D33" s="17" t="str">
        <f aca="false">IF($A33="","",'كشف المطالبة'!$D$6)</f>
        <v/>
      </c>
      <c r="E33" s="18" t="str">
        <f aca="false">IF($A33="","",SUMIFS(PERLINE!$U$2:$U$3001,PERLINE!$N$2:$N$3001,$A33,PERLINE!$AK$2:$AK$3001,0))</f>
        <v/>
      </c>
      <c r="F33" s="19" t="str">
        <f aca="false">IF($A33="","",E33*D33)</f>
        <v/>
      </c>
      <c r="G33" s="17" t="str">
        <f aca="false">IF($A33="","",'كشف المطالبة'!$D$5)</f>
        <v/>
      </c>
      <c r="H33" s="18" t="str">
        <f aca="false">IF($A33="","",SUMIFS(PERLINE!$U$2:$U$3001,PERLINE!$N$2:$N$3001,$A33,PERLINE!$AK$2:$AK$3001,1))</f>
        <v/>
      </c>
      <c r="I33" s="19" t="str">
        <f aca="false">IF($A33="","",H33*G33)</f>
        <v/>
      </c>
      <c r="J33" s="19" t="str">
        <f aca="false">IF($A33="","",F33+I33)</f>
        <v/>
      </c>
      <c r="K33" s="19" t="str">
        <f aca="false">IF($A33="","",H33+E33)</f>
        <v/>
      </c>
      <c r="L33" s="20" t="str">
        <f aca="false">IF($A33="","",K33-J33-N33)</f>
        <v/>
      </c>
      <c r="M33" s="15" t="str">
        <f aca="false">IF($A33="","",INDEX(PERLINE!$A$2:$A$3001,MATCH($A33,PERLINE!$N$2:$N$3001,0)))</f>
        <v/>
      </c>
      <c r="N33" s="21" t="str">
        <f aca="false">IF($A33="","",SUMIFS(PERLINE!$M$2:$M$3001,PERLINE!$N$2:$N$3001,$A33))</f>
        <v/>
      </c>
    </row>
    <row r="34" customFormat="false" ht="15.75" hidden="false" customHeight="true" outlineLevel="0" collapsed="false">
      <c r="A34" s="15" t="str">
        <f aca="false">IF(ROWS($A$2:$A34)&lt;=Check!$C$4,SMALL(PERLINE!$AL$2:$AL$3001,ROWS($A$2:$A34)),"")</f>
        <v/>
      </c>
      <c r="B34" s="15" t="str">
        <f aca="false">IF($A34="","",INDEX(PERLINE!$J$2:$J$3001,MATCH($A34,PERLINE!$N$2:$N$3001,0)))</f>
        <v/>
      </c>
      <c r="C34" s="16" t="str">
        <f aca="false">IF($A34="","",INDEX(PERLINE!$I$2:$I$3001,MATCH($A34,PERLINE!$N$2:$N$3001,0)))</f>
        <v/>
      </c>
      <c r="D34" s="17" t="str">
        <f aca="false">IF($A34="","",'كشف المطالبة'!$D$6)</f>
        <v/>
      </c>
      <c r="E34" s="18" t="str">
        <f aca="false">IF($A34="","",SUMIFS(PERLINE!$U$2:$U$3001,PERLINE!$N$2:$N$3001,$A34,PERLINE!$AK$2:$AK$3001,0))</f>
        <v/>
      </c>
      <c r="F34" s="19" t="str">
        <f aca="false">IF($A34="","",E34*D34)</f>
        <v/>
      </c>
      <c r="G34" s="17" t="str">
        <f aca="false">IF($A34="","",'كشف المطالبة'!$D$5)</f>
        <v/>
      </c>
      <c r="H34" s="18" t="str">
        <f aca="false">IF($A34="","",SUMIFS(PERLINE!$U$2:$U$3001,PERLINE!$N$2:$N$3001,$A34,PERLINE!$AK$2:$AK$3001,1))</f>
        <v/>
      </c>
      <c r="I34" s="19" t="str">
        <f aca="false">IF($A34="","",H34*G34)</f>
        <v/>
      </c>
      <c r="J34" s="19" t="str">
        <f aca="false">IF($A34="","",F34+I34)</f>
        <v/>
      </c>
      <c r="K34" s="19" t="str">
        <f aca="false">IF($A34="","",H34+E34)</f>
        <v/>
      </c>
      <c r="L34" s="20" t="str">
        <f aca="false">IF($A34="","",K34-J34-N34)</f>
        <v/>
      </c>
      <c r="M34" s="15" t="str">
        <f aca="false">IF($A34="","",INDEX(PERLINE!$A$2:$A$3001,MATCH($A34,PERLINE!$N$2:$N$3001,0)))</f>
        <v/>
      </c>
      <c r="N34" s="21" t="str">
        <f aca="false">IF($A34="","",SUMIFS(PERLINE!$M$2:$M$3001,PERLINE!$N$2:$N$3001,$A34))</f>
        <v/>
      </c>
    </row>
    <row r="35" customFormat="false" ht="15.75" hidden="false" customHeight="true" outlineLevel="0" collapsed="false">
      <c r="A35" s="15" t="str">
        <f aca="false">IF(ROWS($A$2:$A35)&lt;=Check!$C$4,SMALL(PERLINE!$AL$2:$AL$3001,ROWS($A$2:$A35)),"")</f>
        <v/>
      </c>
      <c r="B35" s="15" t="str">
        <f aca="false">IF($A35="","",INDEX(PERLINE!$J$2:$J$3001,MATCH($A35,PERLINE!$N$2:$N$3001,0)))</f>
        <v/>
      </c>
      <c r="C35" s="16" t="str">
        <f aca="false">IF($A35="","",INDEX(PERLINE!$I$2:$I$3001,MATCH($A35,PERLINE!$N$2:$N$3001,0)))</f>
        <v/>
      </c>
      <c r="D35" s="17" t="str">
        <f aca="false">IF($A35="","",'كشف المطالبة'!$D$6)</f>
        <v/>
      </c>
      <c r="E35" s="18" t="str">
        <f aca="false">IF($A35="","",SUMIFS(PERLINE!$U$2:$U$3001,PERLINE!$N$2:$N$3001,$A35,PERLINE!$AK$2:$AK$3001,0))</f>
        <v/>
      </c>
      <c r="F35" s="19" t="str">
        <f aca="false">IF($A35="","",E35*D35)</f>
        <v/>
      </c>
      <c r="G35" s="17" t="str">
        <f aca="false">IF($A35="","",'كشف المطالبة'!$D$5)</f>
        <v/>
      </c>
      <c r="H35" s="18" t="str">
        <f aca="false">IF($A35="","",SUMIFS(PERLINE!$U$2:$U$3001,PERLINE!$N$2:$N$3001,$A35,PERLINE!$AK$2:$AK$3001,1))</f>
        <v/>
      </c>
      <c r="I35" s="19" t="str">
        <f aca="false">IF($A35="","",H35*G35)</f>
        <v/>
      </c>
      <c r="J35" s="19" t="str">
        <f aca="false">IF($A35="","",F35+I35)</f>
        <v/>
      </c>
      <c r="K35" s="19" t="str">
        <f aca="false">IF($A35="","",H35+E35)</f>
        <v/>
      </c>
      <c r="L35" s="20" t="str">
        <f aca="false">IF($A35="","",K35-J35-N35)</f>
        <v/>
      </c>
      <c r="M35" s="15" t="str">
        <f aca="false">IF($A35="","",INDEX(PERLINE!$A$2:$A$3001,MATCH($A35,PERLINE!$N$2:$N$3001,0)))</f>
        <v/>
      </c>
      <c r="N35" s="21" t="str">
        <f aca="false">IF($A35="","",SUMIFS(PERLINE!$M$2:$M$3001,PERLINE!$N$2:$N$3001,$A35))</f>
        <v/>
      </c>
    </row>
    <row r="36" customFormat="false" ht="15.75" hidden="false" customHeight="true" outlineLevel="0" collapsed="false">
      <c r="A36" s="15" t="str">
        <f aca="false">IF(ROWS($A$2:$A36)&lt;=Check!$C$4,SMALL(PERLINE!$AL$2:$AL$3001,ROWS($A$2:$A36)),"")</f>
        <v/>
      </c>
      <c r="B36" s="15" t="str">
        <f aca="false">IF($A36="","",INDEX(PERLINE!$J$2:$J$3001,MATCH($A36,PERLINE!$N$2:$N$3001,0)))</f>
        <v/>
      </c>
      <c r="C36" s="16" t="str">
        <f aca="false">IF($A36="","",INDEX(PERLINE!$I$2:$I$3001,MATCH($A36,PERLINE!$N$2:$N$3001,0)))</f>
        <v/>
      </c>
      <c r="D36" s="17" t="str">
        <f aca="false">IF($A36="","",'كشف المطالبة'!$D$6)</f>
        <v/>
      </c>
      <c r="E36" s="18" t="str">
        <f aca="false">IF($A36="","",SUMIFS(PERLINE!$U$2:$U$3001,PERLINE!$N$2:$N$3001,$A36,PERLINE!$AK$2:$AK$3001,0))</f>
        <v/>
      </c>
      <c r="F36" s="19" t="str">
        <f aca="false">IF($A36="","",E36*D36)</f>
        <v/>
      </c>
      <c r="G36" s="17" t="str">
        <f aca="false">IF($A36="","",'كشف المطالبة'!$D$5)</f>
        <v/>
      </c>
      <c r="H36" s="18" t="str">
        <f aca="false">IF($A36="","",SUMIFS(PERLINE!$U$2:$U$3001,PERLINE!$N$2:$N$3001,$A36,PERLINE!$AK$2:$AK$3001,1))</f>
        <v/>
      </c>
      <c r="I36" s="19" t="str">
        <f aca="false">IF($A36="","",H36*G36)</f>
        <v/>
      </c>
      <c r="J36" s="19" t="str">
        <f aca="false">IF($A36="","",F36+I36)</f>
        <v/>
      </c>
      <c r="K36" s="19" t="str">
        <f aca="false">IF($A36="","",H36+E36)</f>
        <v/>
      </c>
      <c r="L36" s="20" t="str">
        <f aca="false">IF($A36="","",K36-J36-N36)</f>
        <v/>
      </c>
      <c r="M36" s="15" t="str">
        <f aca="false">IF($A36="","",INDEX(PERLINE!$A$2:$A$3001,MATCH($A36,PERLINE!$N$2:$N$3001,0)))</f>
        <v/>
      </c>
      <c r="N36" s="21" t="str">
        <f aca="false">IF($A36="","",SUMIFS(PERLINE!$M$2:$M$3001,PERLINE!$N$2:$N$3001,$A36))</f>
        <v/>
      </c>
    </row>
    <row r="37" customFormat="false" ht="15.75" hidden="false" customHeight="true" outlineLevel="0" collapsed="false">
      <c r="A37" s="15" t="str">
        <f aca="false">IF(ROWS($A$2:$A37)&lt;=Check!$C$4,SMALL(PERLINE!$AL$2:$AL$3001,ROWS($A$2:$A37)),"")</f>
        <v/>
      </c>
      <c r="B37" s="15" t="str">
        <f aca="false">IF($A37="","",INDEX(PERLINE!$J$2:$J$3001,MATCH($A37,PERLINE!$N$2:$N$3001,0)))</f>
        <v/>
      </c>
      <c r="C37" s="16" t="str">
        <f aca="false">IF($A37="","",INDEX(PERLINE!$I$2:$I$3001,MATCH($A37,PERLINE!$N$2:$N$3001,0)))</f>
        <v/>
      </c>
      <c r="D37" s="17" t="str">
        <f aca="false">IF($A37="","",'كشف المطالبة'!$D$6)</f>
        <v/>
      </c>
      <c r="E37" s="18" t="str">
        <f aca="false">IF($A37="","",SUMIFS(PERLINE!$U$2:$U$3001,PERLINE!$N$2:$N$3001,$A37,PERLINE!$AK$2:$AK$3001,0))</f>
        <v/>
      </c>
      <c r="F37" s="19" t="str">
        <f aca="false">IF($A37="","",E37*D37)</f>
        <v/>
      </c>
      <c r="G37" s="17" t="str">
        <f aca="false">IF($A37="","",'كشف المطالبة'!$D$5)</f>
        <v/>
      </c>
      <c r="H37" s="18" t="str">
        <f aca="false">IF($A37="","",SUMIFS(PERLINE!$U$2:$U$3001,PERLINE!$N$2:$N$3001,$A37,PERLINE!$AK$2:$AK$3001,1))</f>
        <v/>
      </c>
      <c r="I37" s="19" t="str">
        <f aca="false">IF($A37="","",H37*G37)</f>
        <v/>
      </c>
      <c r="J37" s="19" t="str">
        <f aca="false">IF($A37="","",F37+I37)</f>
        <v/>
      </c>
      <c r="K37" s="19" t="str">
        <f aca="false">IF($A37="","",H37+E37)</f>
        <v/>
      </c>
      <c r="L37" s="20" t="str">
        <f aca="false">IF($A37="","",K37-J37-N37)</f>
        <v/>
      </c>
      <c r="M37" s="15" t="str">
        <f aca="false">IF($A37="","",INDEX(PERLINE!$A$2:$A$3001,MATCH($A37,PERLINE!$N$2:$N$3001,0)))</f>
        <v/>
      </c>
      <c r="N37" s="21" t="str">
        <f aca="false">IF($A37="","",SUMIFS(PERLINE!$M$2:$M$3001,PERLINE!$N$2:$N$3001,$A37))</f>
        <v/>
      </c>
    </row>
    <row r="38" customFormat="false" ht="15.75" hidden="false" customHeight="true" outlineLevel="0" collapsed="false">
      <c r="A38" s="15" t="str">
        <f aca="false">IF(ROWS($A$2:$A38)&lt;=Check!$C$4,SMALL(PERLINE!$AL$2:$AL$3001,ROWS($A$2:$A38)),"")</f>
        <v/>
      </c>
      <c r="B38" s="15" t="str">
        <f aca="false">IF($A38="","",INDEX(PERLINE!$J$2:$J$3001,MATCH($A38,PERLINE!$N$2:$N$3001,0)))</f>
        <v/>
      </c>
      <c r="C38" s="16" t="str">
        <f aca="false">IF($A38="","",INDEX(PERLINE!$I$2:$I$3001,MATCH($A38,PERLINE!$N$2:$N$3001,0)))</f>
        <v/>
      </c>
      <c r="D38" s="17" t="str">
        <f aca="false">IF($A38="","",'كشف المطالبة'!$D$6)</f>
        <v/>
      </c>
      <c r="E38" s="18" t="str">
        <f aca="false">IF($A38="","",SUMIFS(PERLINE!$U$2:$U$3001,PERLINE!$N$2:$N$3001,$A38,PERLINE!$AK$2:$AK$3001,0))</f>
        <v/>
      </c>
      <c r="F38" s="19" t="str">
        <f aca="false">IF($A38="","",E38*D38)</f>
        <v/>
      </c>
      <c r="G38" s="17" t="str">
        <f aca="false">IF($A38="","",'كشف المطالبة'!$D$5)</f>
        <v/>
      </c>
      <c r="H38" s="18" t="str">
        <f aca="false">IF($A38="","",SUMIFS(PERLINE!$U$2:$U$3001,PERLINE!$N$2:$N$3001,$A38,PERLINE!$AK$2:$AK$3001,1))</f>
        <v/>
      </c>
      <c r="I38" s="19" t="str">
        <f aca="false">IF($A38="","",H38*G38)</f>
        <v/>
      </c>
      <c r="J38" s="19" t="str">
        <f aca="false">IF($A38="","",F38+I38)</f>
        <v/>
      </c>
      <c r="K38" s="19" t="str">
        <f aca="false">IF($A38="","",H38+E38)</f>
        <v/>
      </c>
      <c r="L38" s="20" t="str">
        <f aca="false">IF($A38="","",K38-J38-N38)</f>
        <v/>
      </c>
      <c r="M38" s="15" t="str">
        <f aca="false">IF($A38="","",INDEX(PERLINE!$A$2:$A$3001,MATCH($A38,PERLINE!$N$2:$N$3001,0)))</f>
        <v/>
      </c>
      <c r="N38" s="21" t="str">
        <f aca="false">IF($A38="","",SUMIFS(PERLINE!$M$2:$M$3001,PERLINE!$N$2:$N$3001,$A38))</f>
        <v/>
      </c>
    </row>
    <row r="39" customFormat="false" ht="15.75" hidden="false" customHeight="true" outlineLevel="0" collapsed="false">
      <c r="A39" s="15" t="str">
        <f aca="false">IF(ROWS($A$2:$A39)&lt;=Check!$C$4,SMALL(PERLINE!$AL$2:$AL$3001,ROWS($A$2:$A39)),"")</f>
        <v/>
      </c>
      <c r="B39" s="15" t="str">
        <f aca="false">IF($A39="","",INDEX(PERLINE!$J$2:$J$3001,MATCH($A39,PERLINE!$N$2:$N$3001,0)))</f>
        <v/>
      </c>
      <c r="C39" s="16" t="str">
        <f aca="false">IF($A39="","",INDEX(PERLINE!$I$2:$I$3001,MATCH($A39,PERLINE!$N$2:$N$3001,0)))</f>
        <v/>
      </c>
      <c r="D39" s="17" t="str">
        <f aca="false">IF($A39="","",'كشف المطالبة'!$D$6)</f>
        <v/>
      </c>
      <c r="E39" s="18" t="str">
        <f aca="false">IF($A39="","",SUMIFS(PERLINE!$U$2:$U$3001,PERLINE!$N$2:$N$3001,$A39,PERLINE!$AK$2:$AK$3001,0))</f>
        <v/>
      </c>
      <c r="F39" s="19" t="str">
        <f aca="false">IF($A39="","",E39*D39)</f>
        <v/>
      </c>
      <c r="G39" s="17" t="str">
        <f aca="false">IF($A39="","",'كشف المطالبة'!$D$5)</f>
        <v/>
      </c>
      <c r="H39" s="18" t="str">
        <f aca="false">IF($A39="","",SUMIFS(PERLINE!$U$2:$U$3001,PERLINE!$N$2:$N$3001,$A39,PERLINE!$AK$2:$AK$3001,1))</f>
        <v/>
      </c>
      <c r="I39" s="19" t="str">
        <f aca="false">IF($A39="","",H39*G39)</f>
        <v/>
      </c>
      <c r="J39" s="19" t="str">
        <f aca="false">IF($A39="","",F39+I39)</f>
        <v/>
      </c>
      <c r="K39" s="19" t="str">
        <f aca="false">IF($A39="","",H39+E39)</f>
        <v/>
      </c>
      <c r="L39" s="20" t="str">
        <f aca="false">IF($A39="","",K39-J39-N39)</f>
        <v/>
      </c>
      <c r="M39" s="15" t="str">
        <f aca="false">IF($A39="","",INDEX(PERLINE!$A$2:$A$3001,MATCH($A39,PERLINE!$N$2:$N$3001,0)))</f>
        <v/>
      </c>
      <c r="N39" s="21" t="str">
        <f aca="false">IF($A39="","",SUMIFS(PERLINE!$M$2:$M$3001,PERLINE!$N$2:$N$3001,$A39))</f>
        <v/>
      </c>
    </row>
    <row r="40" customFormat="false" ht="15.75" hidden="false" customHeight="true" outlineLevel="0" collapsed="false">
      <c r="A40" s="15" t="str">
        <f aca="false">IF(ROWS($A$2:$A40)&lt;=Check!$C$4,SMALL(PERLINE!$AL$2:$AL$3001,ROWS($A$2:$A40)),"")</f>
        <v/>
      </c>
      <c r="B40" s="15" t="str">
        <f aca="false">IF($A40="","",INDEX(PERLINE!$J$2:$J$3001,MATCH($A40,PERLINE!$N$2:$N$3001,0)))</f>
        <v/>
      </c>
      <c r="C40" s="16" t="str">
        <f aca="false">IF($A40="","",INDEX(PERLINE!$I$2:$I$3001,MATCH($A40,PERLINE!$N$2:$N$3001,0)))</f>
        <v/>
      </c>
      <c r="D40" s="17" t="str">
        <f aca="false">IF($A40="","",'كشف المطالبة'!$D$6)</f>
        <v/>
      </c>
      <c r="E40" s="18" t="str">
        <f aca="false">IF($A40="","",SUMIFS(PERLINE!$U$2:$U$3001,PERLINE!$N$2:$N$3001,$A40,PERLINE!$AK$2:$AK$3001,0))</f>
        <v/>
      </c>
      <c r="F40" s="19" t="str">
        <f aca="false">IF($A40="","",E40*D40)</f>
        <v/>
      </c>
      <c r="G40" s="17" t="str">
        <f aca="false">IF($A40="","",'كشف المطالبة'!$D$5)</f>
        <v/>
      </c>
      <c r="H40" s="18" t="str">
        <f aca="false">IF($A40="","",SUMIFS(PERLINE!$U$2:$U$3001,PERLINE!$N$2:$N$3001,$A40,PERLINE!$AK$2:$AK$3001,1))</f>
        <v/>
      </c>
      <c r="I40" s="19" t="str">
        <f aca="false">IF($A40="","",H40*G40)</f>
        <v/>
      </c>
      <c r="J40" s="19" t="str">
        <f aca="false">IF($A40="","",F40+I40)</f>
        <v/>
      </c>
      <c r="K40" s="19" t="str">
        <f aca="false">IF($A40="","",H40+E40)</f>
        <v/>
      </c>
      <c r="L40" s="20" t="str">
        <f aca="false">IF($A40="","",K40-J40-N40)</f>
        <v/>
      </c>
      <c r="M40" s="15" t="str">
        <f aca="false">IF($A40="","",INDEX(PERLINE!$A$2:$A$3001,MATCH($A40,PERLINE!$N$2:$N$3001,0)))</f>
        <v/>
      </c>
      <c r="N40" s="21" t="str">
        <f aca="false">IF($A40="","",SUMIFS(PERLINE!$M$2:$M$3001,PERLINE!$N$2:$N$3001,$A40))</f>
        <v/>
      </c>
    </row>
    <row r="41" customFormat="false" ht="15.75" hidden="false" customHeight="true" outlineLevel="0" collapsed="false">
      <c r="A41" s="15" t="str">
        <f aca="false">IF(ROWS($A$2:$A41)&lt;=Check!$C$4,SMALL(PERLINE!$AL$2:$AL$3001,ROWS($A$2:$A41)),"")</f>
        <v/>
      </c>
      <c r="B41" s="15" t="str">
        <f aca="false">IF($A41="","",INDEX(PERLINE!$J$2:$J$3001,MATCH($A41,PERLINE!$N$2:$N$3001,0)))</f>
        <v/>
      </c>
      <c r="C41" s="16" t="str">
        <f aca="false">IF($A41="","",INDEX(PERLINE!$I$2:$I$3001,MATCH($A41,PERLINE!$N$2:$N$3001,0)))</f>
        <v/>
      </c>
      <c r="D41" s="17" t="str">
        <f aca="false">IF($A41="","",'كشف المطالبة'!$D$6)</f>
        <v/>
      </c>
      <c r="E41" s="18" t="str">
        <f aca="false">IF($A41="","",SUMIFS(PERLINE!$U$2:$U$3001,PERLINE!$N$2:$N$3001,$A41,PERLINE!$AK$2:$AK$3001,0))</f>
        <v/>
      </c>
      <c r="F41" s="19" t="str">
        <f aca="false">IF($A41="","",E41*D41)</f>
        <v/>
      </c>
      <c r="G41" s="17" t="str">
        <f aca="false">IF($A41="","",'كشف المطالبة'!$D$5)</f>
        <v/>
      </c>
      <c r="H41" s="18" t="str">
        <f aca="false">IF($A41="","",SUMIFS(PERLINE!$U$2:$U$3001,PERLINE!$N$2:$N$3001,$A41,PERLINE!$AK$2:$AK$3001,1))</f>
        <v/>
      </c>
      <c r="I41" s="19" t="str">
        <f aca="false">IF($A41="","",H41*G41)</f>
        <v/>
      </c>
      <c r="J41" s="19" t="str">
        <f aca="false">IF($A41="","",F41+I41)</f>
        <v/>
      </c>
      <c r="K41" s="19" t="str">
        <f aca="false">IF($A41="","",H41+E41)</f>
        <v/>
      </c>
      <c r="L41" s="20" t="str">
        <f aca="false">IF($A41="","",K41-J41-N41)</f>
        <v/>
      </c>
      <c r="M41" s="15" t="str">
        <f aca="false">IF($A41="","",INDEX(PERLINE!$A$2:$A$3001,MATCH($A41,PERLINE!$N$2:$N$3001,0)))</f>
        <v/>
      </c>
      <c r="N41" s="21" t="str">
        <f aca="false">IF($A41="","",SUMIFS(PERLINE!$M$2:$M$3001,PERLINE!$N$2:$N$3001,$A41))</f>
        <v/>
      </c>
    </row>
    <row r="42" customFormat="false" ht="15.75" hidden="false" customHeight="true" outlineLevel="0" collapsed="false">
      <c r="A42" s="15" t="str">
        <f aca="false">IF(ROWS($A$2:$A42)&lt;=Check!$C$4,SMALL(PERLINE!$AL$2:$AL$3001,ROWS($A$2:$A42)),"")</f>
        <v/>
      </c>
      <c r="B42" s="15" t="str">
        <f aca="false">IF($A42="","",INDEX(PERLINE!$J$2:$J$3001,MATCH($A42,PERLINE!$N$2:$N$3001,0)))</f>
        <v/>
      </c>
      <c r="C42" s="16" t="str">
        <f aca="false">IF($A42="","",INDEX(PERLINE!$I$2:$I$3001,MATCH($A42,PERLINE!$N$2:$N$3001,0)))</f>
        <v/>
      </c>
      <c r="D42" s="17" t="str">
        <f aca="false">IF($A42="","",'كشف المطالبة'!$D$6)</f>
        <v/>
      </c>
      <c r="E42" s="18" t="str">
        <f aca="false">IF($A42="","",SUMIFS(PERLINE!$U$2:$U$3001,PERLINE!$N$2:$N$3001,$A42,PERLINE!$AK$2:$AK$3001,0))</f>
        <v/>
      </c>
      <c r="F42" s="19" t="str">
        <f aca="false">IF($A42="","",E42*D42)</f>
        <v/>
      </c>
      <c r="G42" s="17" t="str">
        <f aca="false">IF($A42="","",'كشف المطالبة'!$D$5)</f>
        <v/>
      </c>
      <c r="H42" s="18" t="str">
        <f aca="false">IF($A42="","",SUMIFS(PERLINE!$U$2:$U$3001,PERLINE!$N$2:$N$3001,$A42,PERLINE!$AK$2:$AK$3001,1))</f>
        <v/>
      </c>
      <c r="I42" s="19" t="str">
        <f aca="false">IF($A42="","",H42*G42)</f>
        <v/>
      </c>
      <c r="J42" s="19" t="str">
        <f aca="false">IF($A42="","",F42+I42)</f>
        <v/>
      </c>
      <c r="K42" s="19" t="str">
        <f aca="false">IF($A42="","",H42+E42)</f>
        <v/>
      </c>
      <c r="L42" s="20" t="str">
        <f aca="false">IF($A42="","",K42-J42-N42)</f>
        <v/>
      </c>
      <c r="M42" s="15" t="str">
        <f aca="false">IF($A42="","",INDEX(PERLINE!$A$2:$A$3001,MATCH($A42,PERLINE!$N$2:$N$3001,0)))</f>
        <v/>
      </c>
      <c r="N42" s="21" t="str">
        <f aca="false">IF($A42="","",SUMIFS(PERLINE!$M$2:$M$3001,PERLINE!$N$2:$N$3001,$A42))</f>
        <v/>
      </c>
    </row>
    <row r="43" customFormat="false" ht="15.75" hidden="false" customHeight="true" outlineLevel="0" collapsed="false">
      <c r="A43" s="15" t="str">
        <f aca="false">IF(ROWS($A$2:$A43)&lt;=Check!$C$4,SMALL(PERLINE!$AL$2:$AL$3001,ROWS($A$2:$A43)),"")</f>
        <v/>
      </c>
      <c r="B43" s="15" t="str">
        <f aca="false">IF($A43="","",INDEX(PERLINE!$J$2:$J$3001,MATCH($A43,PERLINE!$N$2:$N$3001,0)))</f>
        <v/>
      </c>
      <c r="C43" s="16" t="str">
        <f aca="false">IF($A43="","",INDEX(PERLINE!$I$2:$I$3001,MATCH($A43,PERLINE!$N$2:$N$3001,0)))</f>
        <v/>
      </c>
      <c r="D43" s="17" t="str">
        <f aca="false">IF($A43="","",'كشف المطالبة'!$D$6)</f>
        <v/>
      </c>
      <c r="E43" s="18" t="str">
        <f aca="false">IF($A43="","",SUMIFS(PERLINE!$U$2:$U$3001,PERLINE!$N$2:$N$3001,$A43,PERLINE!$AK$2:$AK$3001,0))</f>
        <v/>
      </c>
      <c r="F43" s="19" t="str">
        <f aca="false">IF($A43="","",E43*D43)</f>
        <v/>
      </c>
      <c r="G43" s="17" t="str">
        <f aca="false">IF($A43="","",'كشف المطالبة'!$D$5)</f>
        <v/>
      </c>
      <c r="H43" s="18" t="str">
        <f aca="false">IF($A43="","",SUMIFS(PERLINE!$U$2:$U$3001,PERLINE!$N$2:$N$3001,$A43,PERLINE!$AK$2:$AK$3001,1))</f>
        <v/>
      </c>
      <c r="I43" s="19" t="str">
        <f aca="false">IF($A43="","",H43*G43)</f>
        <v/>
      </c>
      <c r="J43" s="19" t="str">
        <f aca="false">IF($A43="","",F43+I43)</f>
        <v/>
      </c>
      <c r="K43" s="19" t="str">
        <f aca="false">IF($A43="","",H43+E43)</f>
        <v/>
      </c>
      <c r="L43" s="20" t="str">
        <f aca="false">IF($A43="","",K43-J43-N43)</f>
        <v/>
      </c>
      <c r="M43" s="15" t="str">
        <f aca="false">IF($A43="","",INDEX(PERLINE!$A$2:$A$3001,MATCH($A43,PERLINE!$N$2:$N$3001,0)))</f>
        <v/>
      </c>
      <c r="N43" s="21" t="str">
        <f aca="false">IF($A43="","",SUMIFS(PERLINE!$M$2:$M$3001,PERLINE!$N$2:$N$3001,$A43))</f>
        <v/>
      </c>
    </row>
    <row r="44" customFormat="false" ht="15.75" hidden="false" customHeight="true" outlineLevel="0" collapsed="false">
      <c r="A44" s="15" t="str">
        <f aca="false">IF(ROWS($A$2:$A44)&lt;=Check!$C$4,SMALL(PERLINE!$AL$2:$AL$3001,ROWS($A$2:$A44)),"")</f>
        <v/>
      </c>
      <c r="B44" s="15" t="str">
        <f aca="false">IF($A44="","",INDEX(PERLINE!$J$2:$J$3001,MATCH($A44,PERLINE!$N$2:$N$3001,0)))</f>
        <v/>
      </c>
      <c r="C44" s="16" t="str">
        <f aca="false">IF($A44="","",INDEX(PERLINE!$I$2:$I$3001,MATCH($A44,PERLINE!$N$2:$N$3001,0)))</f>
        <v/>
      </c>
      <c r="D44" s="17" t="str">
        <f aca="false">IF($A44="","",'كشف المطالبة'!$D$6)</f>
        <v/>
      </c>
      <c r="E44" s="18" t="str">
        <f aca="false">IF($A44="","",SUMIFS(PERLINE!$U$2:$U$3001,PERLINE!$N$2:$N$3001,$A44,PERLINE!$AK$2:$AK$3001,0))</f>
        <v/>
      </c>
      <c r="F44" s="19" t="str">
        <f aca="false">IF($A44="","",E44*D44)</f>
        <v/>
      </c>
      <c r="G44" s="17" t="str">
        <f aca="false">IF($A44="","",'كشف المطالبة'!$D$5)</f>
        <v/>
      </c>
      <c r="H44" s="18" t="str">
        <f aca="false">IF($A44="","",SUMIFS(PERLINE!$U$2:$U$3001,PERLINE!$N$2:$N$3001,$A44,PERLINE!$AK$2:$AK$3001,1))</f>
        <v/>
      </c>
      <c r="I44" s="19" t="str">
        <f aca="false">IF($A44="","",H44*G44)</f>
        <v/>
      </c>
      <c r="J44" s="19" t="str">
        <f aca="false">IF($A44="","",F44+I44)</f>
        <v/>
      </c>
      <c r="K44" s="19" t="str">
        <f aca="false">IF($A44="","",H44+E44)</f>
        <v/>
      </c>
      <c r="L44" s="20" t="str">
        <f aca="false">IF($A44="","",K44-J44-N44)</f>
        <v/>
      </c>
      <c r="M44" s="15" t="str">
        <f aca="false">IF($A44="","",INDEX(PERLINE!$A$2:$A$3001,MATCH($A44,PERLINE!$N$2:$N$3001,0)))</f>
        <v/>
      </c>
      <c r="N44" s="21" t="str">
        <f aca="false">IF($A44="","",SUMIFS(PERLINE!$M$2:$M$3001,PERLINE!$N$2:$N$3001,$A44))</f>
        <v/>
      </c>
    </row>
    <row r="45" customFormat="false" ht="15.75" hidden="false" customHeight="true" outlineLevel="0" collapsed="false">
      <c r="A45" s="15" t="str">
        <f aca="false">IF(ROWS($A$2:$A45)&lt;=Check!$C$4,SMALL(PERLINE!$AL$2:$AL$3001,ROWS($A$2:$A45)),"")</f>
        <v/>
      </c>
      <c r="B45" s="15" t="str">
        <f aca="false">IF($A45="","",INDEX(PERLINE!$J$2:$J$3001,MATCH($A45,PERLINE!$N$2:$N$3001,0)))</f>
        <v/>
      </c>
      <c r="C45" s="16" t="str">
        <f aca="false">IF($A45="","",INDEX(PERLINE!$I$2:$I$3001,MATCH($A45,PERLINE!$N$2:$N$3001,0)))</f>
        <v/>
      </c>
      <c r="D45" s="17" t="str">
        <f aca="false">IF($A45="","",'كشف المطالبة'!$D$6)</f>
        <v/>
      </c>
      <c r="E45" s="18" t="str">
        <f aca="false">IF($A45="","",SUMIFS(PERLINE!$U$2:$U$3001,PERLINE!$N$2:$N$3001,$A45,PERLINE!$AK$2:$AK$3001,0))</f>
        <v/>
      </c>
      <c r="F45" s="19" t="str">
        <f aca="false">IF($A45="","",E45*D45)</f>
        <v/>
      </c>
      <c r="G45" s="17" t="str">
        <f aca="false">IF($A45="","",'كشف المطالبة'!$D$5)</f>
        <v/>
      </c>
      <c r="H45" s="18" t="str">
        <f aca="false">IF($A45="","",SUMIFS(PERLINE!$U$2:$U$3001,PERLINE!$N$2:$N$3001,$A45,PERLINE!$AK$2:$AK$3001,1))</f>
        <v/>
      </c>
      <c r="I45" s="19" t="str">
        <f aca="false">IF($A45="","",H45*G45)</f>
        <v/>
      </c>
      <c r="J45" s="19" t="str">
        <f aca="false">IF($A45="","",F45+I45)</f>
        <v/>
      </c>
      <c r="K45" s="19" t="str">
        <f aca="false">IF($A45="","",H45+E45)</f>
        <v/>
      </c>
      <c r="L45" s="20" t="str">
        <f aca="false">IF($A45="","",K45-J45-N45)</f>
        <v/>
      </c>
      <c r="M45" s="15" t="str">
        <f aca="false">IF($A45="","",INDEX(PERLINE!$A$2:$A$3001,MATCH($A45,PERLINE!$N$2:$N$3001,0)))</f>
        <v/>
      </c>
      <c r="N45" s="21" t="str">
        <f aca="false">IF($A45="","",SUMIFS(PERLINE!$M$2:$M$3001,PERLINE!$N$2:$N$3001,$A45))</f>
        <v/>
      </c>
    </row>
    <row r="46" customFormat="false" ht="15.75" hidden="false" customHeight="true" outlineLevel="0" collapsed="false">
      <c r="A46" s="15" t="str">
        <f aca="false">IF(ROWS($A$2:$A46)&lt;=Check!$C$4,SMALL(PERLINE!$AL$2:$AL$3001,ROWS($A$2:$A46)),"")</f>
        <v/>
      </c>
      <c r="B46" s="15" t="str">
        <f aca="false">IF($A46="","",INDEX(PERLINE!$J$2:$J$3001,MATCH($A46,PERLINE!$N$2:$N$3001,0)))</f>
        <v/>
      </c>
      <c r="C46" s="16" t="str">
        <f aca="false">IF($A46="","",INDEX(PERLINE!$I$2:$I$3001,MATCH($A46,PERLINE!$N$2:$N$3001,0)))</f>
        <v/>
      </c>
      <c r="D46" s="17" t="str">
        <f aca="false">IF($A46="","",'كشف المطالبة'!$D$6)</f>
        <v/>
      </c>
      <c r="E46" s="18" t="str">
        <f aca="false">IF($A46="","",SUMIFS(PERLINE!$U$2:$U$3001,PERLINE!$N$2:$N$3001,$A46,PERLINE!$AK$2:$AK$3001,0))</f>
        <v/>
      </c>
      <c r="F46" s="19" t="str">
        <f aca="false">IF($A46="","",E46*D46)</f>
        <v/>
      </c>
      <c r="G46" s="17" t="str">
        <f aca="false">IF($A46="","",'كشف المطالبة'!$D$5)</f>
        <v/>
      </c>
      <c r="H46" s="18" t="str">
        <f aca="false">IF($A46="","",SUMIFS(PERLINE!$U$2:$U$3001,PERLINE!$N$2:$N$3001,$A46,PERLINE!$AK$2:$AK$3001,1))</f>
        <v/>
      </c>
      <c r="I46" s="19" t="str">
        <f aca="false">IF($A46="","",H46*G46)</f>
        <v/>
      </c>
      <c r="J46" s="19" t="str">
        <f aca="false">IF($A46="","",F46+I46)</f>
        <v/>
      </c>
      <c r="K46" s="19" t="str">
        <f aca="false">IF($A46="","",H46+E46)</f>
        <v/>
      </c>
      <c r="L46" s="20" t="str">
        <f aca="false">IF($A46="","",K46-J46-N46)</f>
        <v/>
      </c>
      <c r="M46" s="15" t="str">
        <f aca="false">IF($A46="","",INDEX(PERLINE!$A$2:$A$3001,MATCH($A46,PERLINE!$N$2:$N$3001,0)))</f>
        <v/>
      </c>
      <c r="N46" s="21" t="str">
        <f aca="false">IF($A46="","",SUMIFS(PERLINE!$M$2:$M$3001,PERLINE!$N$2:$N$3001,$A46))</f>
        <v/>
      </c>
    </row>
    <row r="47" customFormat="false" ht="15.75" hidden="false" customHeight="true" outlineLevel="0" collapsed="false">
      <c r="A47" s="15" t="str">
        <f aca="false">IF(ROWS($A$2:$A47)&lt;=Check!$C$4,SMALL(PERLINE!$AL$2:$AL$3001,ROWS($A$2:$A47)),"")</f>
        <v/>
      </c>
      <c r="B47" s="15" t="str">
        <f aca="false">IF($A47="","",INDEX(PERLINE!$J$2:$J$3001,MATCH($A47,PERLINE!$N$2:$N$3001,0)))</f>
        <v/>
      </c>
      <c r="C47" s="16" t="str">
        <f aca="false">IF($A47="","",INDEX(PERLINE!$I$2:$I$3001,MATCH($A47,PERLINE!$N$2:$N$3001,0)))</f>
        <v/>
      </c>
      <c r="D47" s="17" t="str">
        <f aca="false">IF($A47="","",'كشف المطالبة'!$D$6)</f>
        <v/>
      </c>
      <c r="E47" s="18" t="str">
        <f aca="false">IF($A47="","",SUMIFS(PERLINE!$U$2:$U$3001,PERLINE!$N$2:$N$3001,$A47,PERLINE!$AK$2:$AK$3001,0))</f>
        <v/>
      </c>
      <c r="F47" s="19" t="str">
        <f aca="false">IF($A47="","",E47*D47)</f>
        <v/>
      </c>
      <c r="G47" s="17" t="str">
        <f aca="false">IF($A47="","",'كشف المطالبة'!$D$5)</f>
        <v/>
      </c>
      <c r="H47" s="18" t="str">
        <f aca="false">IF($A47="","",SUMIFS(PERLINE!$U$2:$U$3001,PERLINE!$N$2:$N$3001,$A47,PERLINE!$AK$2:$AK$3001,1))</f>
        <v/>
      </c>
      <c r="I47" s="19" t="str">
        <f aca="false">IF($A47="","",H47*G47)</f>
        <v/>
      </c>
      <c r="J47" s="19" t="str">
        <f aca="false">IF($A47="","",F47+I47)</f>
        <v/>
      </c>
      <c r="K47" s="19" t="str">
        <f aca="false">IF($A47="","",H47+E47)</f>
        <v/>
      </c>
      <c r="L47" s="20" t="str">
        <f aca="false">IF($A47="","",K47-J47-N47)</f>
        <v/>
      </c>
      <c r="M47" s="15" t="str">
        <f aca="false">IF($A47="","",INDEX(PERLINE!$A$2:$A$3001,MATCH($A47,PERLINE!$N$2:$N$3001,0)))</f>
        <v/>
      </c>
      <c r="N47" s="21" t="str">
        <f aca="false">IF($A47="","",SUMIFS(PERLINE!$M$2:$M$3001,PERLINE!$N$2:$N$3001,$A47))</f>
        <v/>
      </c>
    </row>
    <row r="48" customFormat="false" ht="15.75" hidden="false" customHeight="true" outlineLevel="0" collapsed="false">
      <c r="A48" s="15" t="str">
        <f aca="false">IF(ROWS($A$2:$A48)&lt;=Check!$C$4,SMALL(PERLINE!$AL$2:$AL$3001,ROWS($A$2:$A48)),"")</f>
        <v/>
      </c>
      <c r="B48" s="15" t="str">
        <f aca="false">IF($A48="","",INDEX(PERLINE!$J$2:$J$3001,MATCH($A48,PERLINE!$N$2:$N$3001,0)))</f>
        <v/>
      </c>
      <c r="C48" s="16" t="str">
        <f aca="false">IF($A48="","",INDEX(PERLINE!$I$2:$I$3001,MATCH($A48,PERLINE!$N$2:$N$3001,0)))</f>
        <v/>
      </c>
      <c r="D48" s="17" t="str">
        <f aca="false">IF($A48="","",'كشف المطالبة'!$D$6)</f>
        <v/>
      </c>
      <c r="E48" s="18" t="str">
        <f aca="false">IF($A48="","",SUMIFS(PERLINE!$U$2:$U$3001,PERLINE!$N$2:$N$3001,$A48,PERLINE!$AK$2:$AK$3001,0))</f>
        <v/>
      </c>
      <c r="F48" s="19" t="str">
        <f aca="false">IF($A48="","",E48*D48)</f>
        <v/>
      </c>
      <c r="G48" s="17" t="str">
        <f aca="false">IF($A48="","",'كشف المطالبة'!$D$5)</f>
        <v/>
      </c>
      <c r="H48" s="18" t="str">
        <f aca="false">IF($A48="","",SUMIFS(PERLINE!$U$2:$U$3001,PERLINE!$N$2:$N$3001,$A48,PERLINE!$AK$2:$AK$3001,1))</f>
        <v/>
      </c>
      <c r="I48" s="19" t="str">
        <f aca="false">IF($A48="","",H48*G48)</f>
        <v/>
      </c>
      <c r="J48" s="19" t="str">
        <f aca="false">IF($A48="","",F48+I48)</f>
        <v/>
      </c>
      <c r="K48" s="19" t="str">
        <f aca="false">IF($A48="","",H48+E48)</f>
        <v/>
      </c>
      <c r="L48" s="20" t="str">
        <f aca="false">IF($A48="","",K48-J48-N48)</f>
        <v/>
      </c>
      <c r="M48" s="15" t="str">
        <f aca="false">IF($A48="","",INDEX(PERLINE!$A$2:$A$3001,MATCH($A48,PERLINE!$N$2:$N$3001,0)))</f>
        <v/>
      </c>
      <c r="N48" s="21" t="str">
        <f aca="false">IF($A48="","",SUMIFS(PERLINE!$M$2:$M$3001,PERLINE!$N$2:$N$3001,$A48))</f>
        <v/>
      </c>
    </row>
    <row r="49" customFormat="false" ht="15.75" hidden="false" customHeight="true" outlineLevel="0" collapsed="false">
      <c r="A49" s="15" t="str">
        <f aca="false">IF(ROWS($A$2:$A49)&lt;=Check!$C$4,SMALL(PERLINE!$AL$2:$AL$3001,ROWS($A$2:$A49)),"")</f>
        <v/>
      </c>
      <c r="B49" s="15" t="str">
        <f aca="false">IF($A49="","",INDEX(PERLINE!$J$2:$J$3001,MATCH($A49,PERLINE!$N$2:$N$3001,0)))</f>
        <v/>
      </c>
      <c r="C49" s="16" t="str">
        <f aca="false">IF($A49="","",INDEX(PERLINE!$I$2:$I$3001,MATCH($A49,PERLINE!$N$2:$N$3001,0)))</f>
        <v/>
      </c>
      <c r="D49" s="17" t="str">
        <f aca="false">IF($A49="","",'كشف المطالبة'!$D$6)</f>
        <v/>
      </c>
      <c r="E49" s="18" t="str">
        <f aca="false">IF($A49="","",SUMIFS(PERLINE!$U$2:$U$3001,PERLINE!$N$2:$N$3001,$A49,PERLINE!$AK$2:$AK$3001,0))</f>
        <v/>
      </c>
      <c r="F49" s="19" t="str">
        <f aca="false">IF($A49="","",E49*D49)</f>
        <v/>
      </c>
      <c r="G49" s="17" t="str">
        <f aca="false">IF($A49="","",'كشف المطالبة'!$D$5)</f>
        <v/>
      </c>
      <c r="H49" s="18" t="str">
        <f aca="false">IF($A49="","",SUMIFS(PERLINE!$U$2:$U$3001,PERLINE!$N$2:$N$3001,$A49,PERLINE!$AK$2:$AK$3001,1))</f>
        <v/>
      </c>
      <c r="I49" s="19" t="str">
        <f aca="false">IF($A49="","",H49*G49)</f>
        <v/>
      </c>
      <c r="J49" s="19" t="str">
        <f aca="false">IF($A49="","",F49+I49)</f>
        <v/>
      </c>
      <c r="K49" s="19" t="str">
        <f aca="false">IF($A49="","",H49+E49)</f>
        <v/>
      </c>
      <c r="L49" s="20" t="str">
        <f aca="false">IF($A49="","",K49-J49-N49)</f>
        <v/>
      </c>
      <c r="M49" s="15" t="str">
        <f aca="false">IF($A49="","",INDEX(PERLINE!$A$2:$A$3001,MATCH($A49,PERLINE!$N$2:$N$3001,0)))</f>
        <v/>
      </c>
      <c r="N49" s="21" t="str">
        <f aca="false">IF($A49="","",SUMIFS(PERLINE!$M$2:$M$3001,PERLINE!$N$2:$N$3001,$A49))</f>
        <v/>
      </c>
    </row>
    <row r="50" customFormat="false" ht="15.75" hidden="false" customHeight="true" outlineLevel="0" collapsed="false">
      <c r="A50" s="15" t="str">
        <f aca="false">IF(ROWS($A$2:$A50)&lt;=Check!$C$4,SMALL(PERLINE!$AL$2:$AL$3001,ROWS($A$2:$A50)),"")</f>
        <v/>
      </c>
      <c r="B50" s="15" t="str">
        <f aca="false">IF($A50="","",INDEX(PERLINE!$J$2:$J$3001,MATCH($A50,PERLINE!$N$2:$N$3001,0)))</f>
        <v/>
      </c>
      <c r="C50" s="16" t="str">
        <f aca="false">IF($A50="","",INDEX(PERLINE!$I$2:$I$3001,MATCH($A50,PERLINE!$N$2:$N$3001,0)))</f>
        <v/>
      </c>
      <c r="D50" s="17" t="str">
        <f aca="false">IF($A50="","",'كشف المطالبة'!$D$6)</f>
        <v/>
      </c>
      <c r="E50" s="18" t="str">
        <f aca="false">IF($A50="","",SUMIFS(PERLINE!$U$2:$U$3001,PERLINE!$N$2:$N$3001,$A50,PERLINE!$AK$2:$AK$3001,0))</f>
        <v/>
      </c>
      <c r="F50" s="19" t="str">
        <f aca="false">IF($A50="","",E50*D50)</f>
        <v/>
      </c>
      <c r="G50" s="17" t="str">
        <f aca="false">IF($A50="","",'كشف المطالبة'!$D$5)</f>
        <v/>
      </c>
      <c r="H50" s="18" t="str">
        <f aca="false">IF($A50="","",SUMIFS(PERLINE!$U$2:$U$3001,PERLINE!$N$2:$N$3001,$A50,PERLINE!$AK$2:$AK$3001,1))</f>
        <v/>
      </c>
      <c r="I50" s="19" t="str">
        <f aca="false">IF($A50="","",H50*G50)</f>
        <v/>
      </c>
      <c r="J50" s="19" t="str">
        <f aca="false">IF($A50="","",F50+I50)</f>
        <v/>
      </c>
      <c r="K50" s="19" t="str">
        <f aca="false">IF($A50="","",H50+E50)</f>
        <v/>
      </c>
      <c r="L50" s="20" t="str">
        <f aca="false">IF($A50="","",K50-J50-N50)</f>
        <v/>
      </c>
      <c r="M50" s="15" t="str">
        <f aca="false">IF($A50="","",INDEX(PERLINE!$A$2:$A$3001,MATCH($A50,PERLINE!$N$2:$N$3001,0)))</f>
        <v/>
      </c>
      <c r="N50" s="21" t="str">
        <f aca="false">IF($A50="","",SUMIFS(PERLINE!$M$2:$M$3001,PERLINE!$N$2:$N$3001,$A50))</f>
        <v/>
      </c>
    </row>
    <row r="51" customFormat="false" ht="15.75" hidden="false" customHeight="true" outlineLevel="0" collapsed="false">
      <c r="A51" s="15" t="str">
        <f aca="false">IF(ROWS($A$2:$A51)&lt;=Check!$C$4,SMALL(PERLINE!$AL$2:$AL$3001,ROWS($A$2:$A51)),"")</f>
        <v/>
      </c>
      <c r="B51" s="15" t="str">
        <f aca="false">IF($A51="","",INDEX(PERLINE!$J$2:$J$3001,MATCH($A51,PERLINE!$N$2:$N$3001,0)))</f>
        <v/>
      </c>
      <c r="C51" s="16" t="str">
        <f aca="false">IF($A51="","",INDEX(PERLINE!$I$2:$I$3001,MATCH($A51,PERLINE!$N$2:$N$3001,0)))</f>
        <v/>
      </c>
      <c r="D51" s="17" t="str">
        <f aca="false">IF($A51="","",'كشف المطالبة'!$D$6)</f>
        <v/>
      </c>
      <c r="E51" s="18" t="str">
        <f aca="false">IF($A51="","",SUMIFS(PERLINE!$U$2:$U$3001,PERLINE!$N$2:$N$3001,$A51,PERLINE!$AK$2:$AK$3001,0))</f>
        <v/>
      </c>
      <c r="F51" s="19" t="str">
        <f aca="false">IF($A51="","",E51*D51)</f>
        <v/>
      </c>
      <c r="G51" s="17" t="str">
        <f aca="false">IF($A51="","",'كشف المطالبة'!$D$5)</f>
        <v/>
      </c>
      <c r="H51" s="18" t="str">
        <f aca="false">IF($A51="","",SUMIFS(PERLINE!$U$2:$U$3001,PERLINE!$N$2:$N$3001,$A51,PERLINE!$AK$2:$AK$3001,1))</f>
        <v/>
      </c>
      <c r="I51" s="19" t="str">
        <f aca="false">IF($A51="","",H51*G51)</f>
        <v/>
      </c>
      <c r="J51" s="19" t="str">
        <f aca="false">IF($A51="","",F51+I51)</f>
        <v/>
      </c>
      <c r="K51" s="19" t="str">
        <f aca="false">IF($A51="","",H51+E51)</f>
        <v/>
      </c>
      <c r="L51" s="20" t="str">
        <f aca="false">IF($A51="","",K51-J51-N51)</f>
        <v/>
      </c>
      <c r="M51" s="15" t="str">
        <f aca="false">IF($A51="","",INDEX(PERLINE!$A$2:$A$3001,MATCH($A51,PERLINE!$N$2:$N$3001,0)))</f>
        <v/>
      </c>
      <c r="N51" s="21" t="str">
        <f aca="false">IF($A51="","",SUMIFS(PERLINE!$M$2:$M$3001,PERLINE!$N$2:$N$3001,$A51))</f>
        <v/>
      </c>
    </row>
    <row r="52" customFormat="false" ht="15.75" hidden="false" customHeight="true" outlineLevel="0" collapsed="false">
      <c r="A52" s="15" t="str">
        <f aca="false">IF(ROWS($A$2:$A52)&lt;=Check!$C$4,SMALL(PERLINE!$AL$2:$AL$3001,ROWS($A$2:$A52)),"")</f>
        <v/>
      </c>
      <c r="B52" s="15" t="str">
        <f aca="false">IF($A52="","",INDEX(PERLINE!$J$2:$J$3001,MATCH($A52,PERLINE!$N$2:$N$3001,0)))</f>
        <v/>
      </c>
      <c r="C52" s="16" t="str">
        <f aca="false">IF($A52="","",INDEX(PERLINE!$I$2:$I$3001,MATCH($A52,PERLINE!$N$2:$N$3001,0)))</f>
        <v/>
      </c>
      <c r="D52" s="17" t="str">
        <f aca="false">IF($A52="","",'كشف المطالبة'!$D$6)</f>
        <v/>
      </c>
      <c r="E52" s="18" t="str">
        <f aca="false">IF($A52="","",SUMIFS(PERLINE!$U$2:$U$3001,PERLINE!$N$2:$N$3001,$A52,PERLINE!$AK$2:$AK$3001,0))</f>
        <v/>
      </c>
      <c r="F52" s="19" t="str">
        <f aca="false">IF($A52="","",E52*D52)</f>
        <v/>
      </c>
      <c r="G52" s="17" t="str">
        <f aca="false">IF($A52="","",'كشف المطالبة'!$D$5)</f>
        <v/>
      </c>
      <c r="H52" s="18" t="str">
        <f aca="false">IF($A52="","",SUMIFS(PERLINE!$U$2:$U$3001,PERLINE!$N$2:$N$3001,$A52,PERLINE!$AK$2:$AK$3001,1))</f>
        <v/>
      </c>
      <c r="I52" s="19" t="str">
        <f aca="false">IF($A52="","",H52*G52)</f>
        <v/>
      </c>
      <c r="J52" s="19" t="str">
        <f aca="false">IF($A52="","",F52+I52)</f>
        <v/>
      </c>
      <c r="K52" s="19" t="str">
        <f aca="false">IF($A52="","",H52+E52)</f>
        <v/>
      </c>
      <c r="L52" s="20" t="str">
        <f aca="false">IF($A52="","",K52-J52-N52)</f>
        <v/>
      </c>
      <c r="M52" s="15" t="str">
        <f aca="false">IF($A52="","",INDEX(PERLINE!$A$2:$A$3001,MATCH($A52,PERLINE!$N$2:$N$3001,0)))</f>
        <v/>
      </c>
      <c r="N52" s="21" t="str">
        <f aca="false">IF($A52="","",SUMIFS(PERLINE!$M$2:$M$3001,PERLINE!$N$2:$N$3001,$A52))</f>
        <v/>
      </c>
    </row>
    <row r="53" customFormat="false" ht="15.75" hidden="false" customHeight="true" outlineLevel="0" collapsed="false">
      <c r="A53" s="15" t="str">
        <f aca="false">IF(ROWS($A$2:$A53)&lt;=Check!$C$4,SMALL(PERLINE!$AL$2:$AL$3001,ROWS($A$2:$A53)),"")</f>
        <v/>
      </c>
      <c r="B53" s="15" t="str">
        <f aca="false">IF($A53="","",INDEX(PERLINE!$J$2:$J$3001,MATCH($A53,PERLINE!$N$2:$N$3001,0)))</f>
        <v/>
      </c>
      <c r="C53" s="16" t="str">
        <f aca="false">IF($A53="","",INDEX(PERLINE!$I$2:$I$3001,MATCH($A53,PERLINE!$N$2:$N$3001,0)))</f>
        <v/>
      </c>
      <c r="D53" s="17" t="str">
        <f aca="false">IF($A53="","",'كشف المطالبة'!$D$6)</f>
        <v/>
      </c>
      <c r="E53" s="18" t="str">
        <f aca="false">IF($A53="","",SUMIFS(PERLINE!$U$2:$U$3001,PERLINE!$N$2:$N$3001,$A53,PERLINE!$AK$2:$AK$3001,0))</f>
        <v/>
      </c>
      <c r="F53" s="19" t="str">
        <f aca="false">IF($A53="","",E53*D53)</f>
        <v/>
      </c>
      <c r="G53" s="17" t="str">
        <f aca="false">IF($A53="","",'كشف المطالبة'!$D$5)</f>
        <v/>
      </c>
      <c r="H53" s="18" t="str">
        <f aca="false">IF($A53="","",SUMIFS(PERLINE!$U$2:$U$3001,PERLINE!$N$2:$N$3001,$A53,PERLINE!$AK$2:$AK$3001,1))</f>
        <v/>
      </c>
      <c r="I53" s="19" t="str">
        <f aca="false">IF($A53="","",H53*G53)</f>
        <v/>
      </c>
      <c r="J53" s="19" t="str">
        <f aca="false">IF($A53="","",F53+I53)</f>
        <v/>
      </c>
      <c r="K53" s="19" t="str">
        <f aca="false">IF($A53="","",H53+E53)</f>
        <v/>
      </c>
      <c r="L53" s="20" t="str">
        <f aca="false">IF($A53="","",K53-J53-N53)</f>
        <v/>
      </c>
      <c r="M53" s="15" t="str">
        <f aca="false">IF($A53="","",INDEX(PERLINE!$A$2:$A$3001,MATCH($A53,PERLINE!$N$2:$N$3001,0)))</f>
        <v/>
      </c>
      <c r="N53" s="21" t="str">
        <f aca="false">IF($A53="","",SUMIFS(PERLINE!$M$2:$M$3001,PERLINE!$N$2:$N$3001,$A53))</f>
        <v/>
      </c>
    </row>
    <row r="54" customFormat="false" ht="15.75" hidden="false" customHeight="true" outlineLevel="0" collapsed="false">
      <c r="A54" s="15" t="str">
        <f aca="false">IF(ROWS($A$2:$A54)&lt;=Check!$C$4,SMALL(PERLINE!$AL$2:$AL$3001,ROWS($A$2:$A54)),"")</f>
        <v/>
      </c>
      <c r="B54" s="15" t="str">
        <f aca="false">IF($A54="","",INDEX(PERLINE!$J$2:$J$3001,MATCH($A54,PERLINE!$N$2:$N$3001,0)))</f>
        <v/>
      </c>
      <c r="C54" s="16" t="str">
        <f aca="false">IF($A54="","",INDEX(PERLINE!$I$2:$I$3001,MATCH($A54,PERLINE!$N$2:$N$3001,0)))</f>
        <v/>
      </c>
      <c r="D54" s="17" t="str">
        <f aca="false">IF($A54="","",'كشف المطالبة'!$D$6)</f>
        <v/>
      </c>
      <c r="E54" s="18" t="str">
        <f aca="false">IF($A54="","",SUMIFS(PERLINE!$U$2:$U$3001,PERLINE!$N$2:$N$3001,$A54,PERLINE!$AK$2:$AK$3001,0))</f>
        <v/>
      </c>
      <c r="F54" s="19" t="str">
        <f aca="false">IF($A54="","",E54*D54)</f>
        <v/>
      </c>
      <c r="G54" s="17" t="str">
        <f aca="false">IF($A54="","",'كشف المطالبة'!$D$5)</f>
        <v/>
      </c>
      <c r="H54" s="18" t="str">
        <f aca="false">IF($A54="","",SUMIFS(PERLINE!$U$2:$U$3001,PERLINE!$N$2:$N$3001,$A54,PERLINE!$AK$2:$AK$3001,1))</f>
        <v/>
      </c>
      <c r="I54" s="19" t="str">
        <f aca="false">IF($A54="","",H54*G54)</f>
        <v/>
      </c>
      <c r="J54" s="19" t="str">
        <f aca="false">IF($A54="","",F54+I54)</f>
        <v/>
      </c>
      <c r="K54" s="19" t="str">
        <f aca="false">IF($A54="","",H54+E54)</f>
        <v/>
      </c>
      <c r="L54" s="20" t="str">
        <f aca="false">IF($A54="","",K54-J54-N54)</f>
        <v/>
      </c>
      <c r="M54" s="15" t="str">
        <f aca="false">IF($A54="","",INDEX(PERLINE!$A$2:$A$3001,MATCH($A54,PERLINE!$N$2:$N$3001,0)))</f>
        <v/>
      </c>
      <c r="N54" s="21" t="str">
        <f aca="false">IF($A54="","",SUMIFS(PERLINE!$M$2:$M$3001,PERLINE!$N$2:$N$3001,$A54))</f>
        <v/>
      </c>
    </row>
    <row r="55" customFormat="false" ht="15.75" hidden="false" customHeight="true" outlineLevel="0" collapsed="false">
      <c r="A55" s="15" t="str">
        <f aca="false">IF(ROWS($A$2:$A55)&lt;=Check!$C$4,SMALL(PERLINE!$AL$2:$AL$3001,ROWS($A$2:$A55)),"")</f>
        <v/>
      </c>
      <c r="B55" s="15" t="str">
        <f aca="false">IF($A55="","",INDEX(PERLINE!$J$2:$J$3001,MATCH($A55,PERLINE!$N$2:$N$3001,0)))</f>
        <v/>
      </c>
      <c r="C55" s="16" t="str">
        <f aca="false">IF($A55="","",INDEX(PERLINE!$I$2:$I$3001,MATCH($A55,PERLINE!$N$2:$N$3001,0)))</f>
        <v/>
      </c>
      <c r="D55" s="17" t="str">
        <f aca="false">IF($A55="","",'كشف المطالبة'!$D$6)</f>
        <v/>
      </c>
      <c r="E55" s="18" t="str">
        <f aca="false">IF($A55="","",SUMIFS(PERLINE!$U$2:$U$3001,PERLINE!$N$2:$N$3001,$A55,PERLINE!$AK$2:$AK$3001,0))</f>
        <v/>
      </c>
      <c r="F55" s="19" t="str">
        <f aca="false">IF($A55="","",E55*D55)</f>
        <v/>
      </c>
      <c r="G55" s="17" t="str">
        <f aca="false">IF($A55="","",'كشف المطالبة'!$D$5)</f>
        <v/>
      </c>
      <c r="H55" s="18" t="str">
        <f aca="false">IF($A55="","",SUMIFS(PERLINE!$U$2:$U$3001,PERLINE!$N$2:$N$3001,$A55,PERLINE!$AK$2:$AK$3001,1))</f>
        <v/>
      </c>
      <c r="I55" s="19" t="str">
        <f aca="false">IF($A55="","",H55*G55)</f>
        <v/>
      </c>
      <c r="J55" s="19" t="str">
        <f aca="false">IF($A55="","",F55+I55)</f>
        <v/>
      </c>
      <c r="K55" s="19" t="str">
        <f aca="false">IF($A55="","",H55+E55)</f>
        <v/>
      </c>
      <c r="L55" s="20" t="str">
        <f aca="false">IF($A55="","",K55-J55-N55)</f>
        <v/>
      </c>
      <c r="M55" s="15" t="str">
        <f aca="false">IF($A55="","",INDEX(PERLINE!$A$2:$A$3001,MATCH($A55,PERLINE!$N$2:$N$3001,0)))</f>
        <v/>
      </c>
      <c r="N55" s="21" t="str">
        <f aca="false">IF($A55="","",SUMIFS(PERLINE!$M$2:$M$3001,PERLINE!$N$2:$N$3001,$A55))</f>
        <v/>
      </c>
    </row>
    <row r="56" customFormat="false" ht="15.75" hidden="false" customHeight="true" outlineLevel="0" collapsed="false">
      <c r="A56" s="15" t="str">
        <f aca="false">IF(ROWS($A$2:$A56)&lt;=Check!$C$4,SMALL(PERLINE!$AL$2:$AL$3001,ROWS($A$2:$A56)),"")</f>
        <v/>
      </c>
      <c r="B56" s="15" t="str">
        <f aca="false">IF($A56="","",INDEX(PERLINE!$J$2:$J$3001,MATCH($A56,PERLINE!$N$2:$N$3001,0)))</f>
        <v/>
      </c>
      <c r="C56" s="16" t="str">
        <f aca="false">IF($A56="","",INDEX(PERLINE!$I$2:$I$3001,MATCH($A56,PERLINE!$N$2:$N$3001,0)))</f>
        <v/>
      </c>
      <c r="D56" s="17" t="str">
        <f aca="false">IF($A56="","",'كشف المطالبة'!$D$6)</f>
        <v/>
      </c>
      <c r="E56" s="18" t="str">
        <f aca="false">IF($A56="","",SUMIFS(PERLINE!$U$2:$U$3001,PERLINE!$N$2:$N$3001,$A56,PERLINE!$AK$2:$AK$3001,0))</f>
        <v/>
      </c>
      <c r="F56" s="19" t="str">
        <f aca="false">IF($A56="","",E56*D56)</f>
        <v/>
      </c>
      <c r="G56" s="17" t="str">
        <f aca="false">IF($A56="","",'كشف المطالبة'!$D$5)</f>
        <v/>
      </c>
      <c r="H56" s="18" t="str">
        <f aca="false">IF($A56="","",SUMIFS(PERLINE!$U$2:$U$3001,PERLINE!$N$2:$N$3001,$A56,PERLINE!$AK$2:$AK$3001,1))</f>
        <v/>
      </c>
      <c r="I56" s="19" t="str">
        <f aca="false">IF($A56="","",H56*G56)</f>
        <v/>
      </c>
      <c r="J56" s="19" t="str">
        <f aca="false">IF($A56="","",F56+I56)</f>
        <v/>
      </c>
      <c r="K56" s="19" t="str">
        <f aca="false">IF($A56="","",H56+E56)</f>
        <v/>
      </c>
      <c r="L56" s="20" t="str">
        <f aca="false">IF($A56="","",K56-J56-N56)</f>
        <v/>
      </c>
      <c r="M56" s="15" t="str">
        <f aca="false">IF($A56="","",INDEX(PERLINE!$A$2:$A$3001,MATCH($A56,PERLINE!$N$2:$N$3001,0)))</f>
        <v/>
      </c>
      <c r="N56" s="21" t="str">
        <f aca="false">IF($A56="","",SUMIFS(PERLINE!$M$2:$M$3001,PERLINE!$N$2:$N$3001,$A56))</f>
        <v/>
      </c>
    </row>
    <row r="57" customFormat="false" ht="15.75" hidden="false" customHeight="true" outlineLevel="0" collapsed="false">
      <c r="A57" s="15" t="str">
        <f aca="false">IF(ROWS($A$2:$A57)&lt;=Check!$C$4,SMALL(PERLINE!$AL$2:$AL$3001,ROWS($A$2:$A57)),"")</f>
        <v/>
      </c>
      <c r="B57" s="15" t="str">
        <f aca="false">IF($A57="","",INDEX(PERLINE!$J$2:$J$3001,MATCH($A57,PERLINE!$N$2:$N$3001,0)))</f>
        <v/>
      </c>
      <c r="C57" s="16" t="str">
        <f aca="false">IF($A57="","",INDEX(PERLINE!$I$2:$I$3001,MATCH($A57,PERLINE!$N$2:$N$3001,0)))</f>
        <v/>
      </c>
      <c r="D57" s="17" t="str">
        <f aca="false">IF($A57="","",'كشف المطالبة'!$D$6)</f>
        <v/>
      </c>
      <c r="E57" s="18" t="str">
        <f aca="false">IF($A57="","",SUMIFS(PERLINE!$U$2:$U$3001,PERLINE!$N$2:$N$3001,$A57,PERLINE!$AK$2:$AK$3001,0))</f>
        <v/>
      </c>
      <c r="F57" s="19" t="str">
        <f aca="false">IF($A57="","",E57*D57)</f>
        <v/>
      </c>
      <c r="G57" s="17" t="str">
        <f aca="false">IF($A57="","",'كشف المطالبة'!$D$5)</f>
        <v/>
      </c>
      <c r="H57" s="18" t="str">
        <f aca="false">IF($A57="","",SUMIFS(PERLINE!$U$2:$U$3001,PERLINE!$N$2:$N$3001,$A57,PERLINE!$AK$2:$AK$3001,1))</f>
        <v/>
      </c>
      <c r="I57" s="19" t="str">
        <f aca="false">IF($A57="","",H57*G57)</f>
        <v/>
      </c>
      <c r="J57" s="19" t="str">
        <f aca="false">IF($A57="","",F57+I57)</f>
        <v/>
      </c>
      <c r="K57" s="19" t="str">
        <f aca="false">IF($A57="","",H57+E57)</f>
        <v/>
      </c>
      <c r="L57" s="20" t="str">
        <f aca="false">IF($A57="","",K57-J57-N57)</f>
        <v/>
      </c>
      <c r="M57" s="15" t="str">
        <f aca="false">IF($A57="","",INDEX(PERLINE!$A$2:$A$3001,MATCH($A57,PERLINE!$N$2:$N$3001,0)))</f>
        <v/>
      </c>
      <c r="N57" s="21" t="str">
        <f aca="false">IF($A57="","",SUMIFS(PERLINE!$M$2:$M$3001,PERLINE!$N$2:$N$3001,$A57))</f>
        <v/>
      </c>
    </row>
    <row r="58" customFormat="false" ht="15.75" hidden="false" customHeight="true" outlineLevel="0" collapsed="false">
      <c r="A58" s="15" t="str">
        <f aca="false">IF(ROWS($A$2:$A58)&lt;=Check!$C$4,SMALL(PERLINE!$AL$2:$AL$3001,ROWS($A$2:$A58)),"")</f>
        <v/>
      </c>
      <c r="B58" s="15" t="str">
        <f aca="false">IF($A58="","",INDEX(PERLINE!$J$2:$J$3001,MATCH($A58,PERLINE!$N$2:$N$3001,0)))</f>
        <v/>
      </c>
      <c r="C58" s="16" t="str">
        <f aca="false">IF($A58="","",INDEX(PERLINE!$I$2:$I$3001,MATCH($A58,PERLINE!$N$2:$N$3001,0)))</f>
        <v/>
      </c>
      <c r="D58" s="17" t="str">
        <f aca="false">IF($A58="","",'كشف المطالبة'!$D$6)</f>
        <v/>
      </c>
      <c r="E58" s="18" t="str">
        <f aca="false">IF($A58="","",SUMIFS(PERLINE!$U$2:$U$3001,PERLINE!$N$2:$N$3001,$A58,PERLINE!$AK$2:$AK$3001,0))</f>
        <v/>
      </c>
      <c r="F58" s="19" t="str">
        <f aca="false">IF($A58="","",E58*D58)</f>
        <v/>
      </c>
      <c r="G58" s="17" t="str">
        <f aca="false">IF($A58="","",'كشف المطالبة'!$D$5)</f>
        <v/>
      </c>
      <c r="H58" s="18" t="str">
        <f aca="false">IF($A58="","",SUMIFS(PERLINE!$U$2:$U$3001,PERLINE!$N$2:$N$3001,$A58,PERLINE!$AK$2:$AK$3001,1))</f>
        <v/>
      </c>
      <c r="I58" s="19" t="str">
        <f aca="false">IF($A58="","",H58*G58)</f>
        <v/>
      </c>
      <c r="J58" s="19" t="str">
        <f aca="false">IF($A58="","",F58+I58)</f>
        <v/>
      </c>
      <c r="K58" s="19" t="str">
        <f aca="false">IF($A58="","",H58+E58)</f>
        <v/>
      </c>
      <c r="L58" s="20" t="str">
        <f aca="false">IF($A58="","",K58-J58-N58)</f>
        <v/>
      </c>
      <c r="M58" s="15" t="str">
        <f aca="false">IF($A58="","",INDEX(PERLINE!$A$2:$A$3001,MATCH($A58,PERLINE!$N$2:$N$3001,0)))</f>
        <v/>
      </c>
      <c r="N58" s="21" t="str">
        <f aca="false">IF($A58="","",SUMIFS(PERLINE!$M$2:$M$3001,PERLINE!$N$2:$N$3001,$A58))</f>
        <v/>
      </c>
    </row>
    <row r="59" customFormat="false" ht="15.75" hidden="false" customHeight="true" outlineLevel="0" collapsed="false">
      <c r="A59" s="15" t="str">
        <f aca="false">IF(ROWS($A$2:$A59)&lt;=Check!$C$4,SMALL(PERLINE!$AL$2:$AL$3001,ROWS($A$2:$A59)),"")</f>
        <v/>
      </c>
      <c r="B59" s="15" t="str">
        <f aca="false">IF($A59="","",INDEX(PERLINE!$J$2:$J$3001,MATCH($A59,PERLINE!$N$2:$N$3001,0)))</f>
        <v/>
      </c>
      <c r="C59" s="16" t="str">
        <f aca="false">IF($A59="","",INDEX(PERLINE!$I$2:$I$3001,MATCH($A59,PERLINE!$N$2:$N$3001,0)))</f>
        <v/>
      </c>
      <c r="D59" s="17" t="str">
        <f aca="false">IF($A59="","",'كشف المطالبة'!$D$6)</f>
        <v/>
      </c>
      <c r="E59" s="18" t="str">
        <f aca="false">IF($A59="","",SUMIFS(PERLINE!$U$2:$U$3001,PERLINE!$N$2:$N$3001,$A59,PERLINE!$AK$2:$AK$3001,0))</f>
        <v/>
      </c>
      <c r="F59" s="19" t="str">
        <f aca="false">IF($A59="","",E59*D59)</f>
        <v/>
      </c>
      <c r="G59" s="17" t="str">
        <f aca="false">IF($A59="","",'كشف المطالبة'!$D$5)</f>
        <v/>
      </c>
      <c r="H59" s="18" t="str">
        <f aca="false">IF($A59="","",SUMIFS(PERLINE!$U$2:$U$3001,PERLINE!$N$2:$N$3001,$A59,PERLINE!$AK$2:$AK$3001,1))</f>
        <v/>
      </c>
      <c r="I59" s="19" t="str">
        <f aca="false">IF($A59="","",H59*G59)</f>
        <v/>
      </c>
      <c r="J59" s="19" t="str">
        <f aca="false">IF($A59="","",F59+I59)</f>
        <v/>
      </c>
      <c r="K59" s="19" t="str">
        <f aca="false">IF($A59="","",H59+E59)</f>
        <v/>
      </c>
      <c r="L59" s="20" t="str">
        <f aca="false">IF($A59="","",K59-J59-N59)</f>
        <v/>
      </c>
      <c r="M59" s="15" t="str">
        <f aca="false">IF($A59="","",INDEX(PERLINE!$A$2:$A$3001,MATCH($A59,PERLINE!$N$2:$N$3001,0)))</f>
        <v/>
      </c>
      <c r="N59" s="21" t="str">
        <f aca="false">IF($A59="","",SUMIFS(PERLINE!$M$2:$M$3001,PERLINE!$N$2:$N$3001,$A59))</f>
        <v/>
      </c>
    </row>
    <row r="60" customFormat="false" ht="15.75" hidden="false" customHeight="true" outlineLevel="0" collapsed="false">
      <c r="A60" s="15" t="str">
        <f aca="false">IF(ROWS($A$2:$A60)&lt;=Check!$C$4,SMALL(PERLINE!$AL$2:$AL$3001,ROWS($A$2:$A60)),"")</f>
        <v/>
      </c>
      <c r="B60" s="15" t="str">
        <f aca="false">IF($A60="","",INDEX(PERLINE!$J$2:$J$3001,MATCH($A60,PERLINE!$N$2:$N$3001,0)))</f>
        <v/>
      </c>
      <c r="C60" s="16" t="str">
        <f aca="false">IF($A60="","",INDEX(PERLINE!$I$2:$I$3001,MATCH($A60,PERLINE!$N$2:$N$3001,0)))</f>
        <v/>
      </c>
      <c r="D60" s="17" t="str">
        <f aca="false">IF($A60="","",'كشف المطالبة'!$D$6)</f>
        <v/>
      </c>
      <c r="E60" s="18" t="str">
        <f aca="false">IF($A60="","",SUMIFS(PERLINE!$U$2:$U$3001,PERLINE!$N$2:$N$3001,$A60,PERLINE!$AK$2:$AK$3001,0))</f>
        <v/>
      </c>
      <c r="F60" s="19" t="str">
        <f aca="false">IF($A60="","",E60*D60)</f>
        <v/>
      </c>
      <c r="G60" s="17" t="str">
        <f aca="false">IF($A60="","",'كشف المطالبة'!$D$5)</f>
        <v/>
      </c>
      <c r="H60" s="18" t="str">
        <f aca="false">IF($A60="","",SUMIFS(PERLINE!$U$2:$U$3001,PERLINE!$N$2:$N$3001,$A60,PERLINE!$AK$2:$AK$3001,1))</f>
        <v/>
      </c>
      <c r="I60" s="19" t="str">
        <f aca="false">IF($A60="","",H60*G60)</f>
        <v/>
      </c>
      <c r="J60" s="19" t="str">
        <f aca="false">IF($A60="","",F60+I60)</f>
        <v/>
      </c>
      <c r="K60" s="19" t="str">
        <f aca="false">IF($A60="","",H60+E60)</f>
        <v/>
      </c>
      <c r="L60" s="20" t="str">
        <f aca="false">IF($A60="","",K60-J60-N60)</f>
        <v/>
      </c>
      <c r="M60" s="15" t="str">
        <f aca="false">IF($A60="","",INDEX(PERLINE!$A$2:$A$3001,MATCH($A60,PERLINE!$N$2:$N$3001,0)))</f>
        <v/>
      </c>
      <c r="N60" s="21" t="str">
        <f aca="false">IF($A60="","",SUMIFS(PERLINE!$M$2:$M$3001,PERLINE!$N$2:$N$3001,$A60))</f>
        <v/>
      </c>
    </row>
    <row r="61" customFormat="false" ht="15.75" hidden="false" customHeight="true" outlineLevel="0" collapsed="false">
      <c r="A61" s="15" t="str">
        <f aca="false">IF(ROWS($A$2:$A61)&lt;=Check!$C$4,SMALL(PERLINE!$AL$2:$AL$3001,ROWS($A$2:$A61)),"")</f>
        <v/>
      </c>
      <c r="B61" s="15" t="str">
        <f aca="false">IF($A61="","",INDEX(PERLINE!$J$2:$J$3001,MATCH($A61,PERLINE!$N$2:$N$3001,0)))</f>
        <v/>
      </c>
      <c r="C61" s="16" t="str">
        <f aca="false">IF($A61="","",INDEX(PERLINE!$I$2:$I$3001,MATCH($A61,PERLINE!$N$2:$N$3001,0)))</f>
        <v/>
      </c>
      <c r="D61" s="17" t="str">
        <f aca="false">IF($A61="","",'كشف المطالبة'!$D$6)</f>
        <v/>
      </c>
      <c r="E61" s="18" t="str">
        <f aca="false">IF($A61="","",SUMIFS(PERLINE!$U$2:$U$3001,PERLINE!$N$2:$N$3001,$A61,PERLINE!$AK$2:$AK$3001,0))</f>
        <v/>
      </c>
      <c r="F61" s="19" t="str">
        <f aca="false">IF($A61="","",E61*D61)</f>
        <v/>
      </c>
      <c r="G61" s="17" t="str">
        <f aca="false">IF($A61="","",'كشف المطالبة'!$D$5)</f>
        <v/>
      </c>
      <c r="H61" s="18" t="str">
        <f aca="false">IF($A61="","",SUMIFS(PERLINE!$U$2:$U$3001,PERLINE!$N$2:$N$3001,$A61,PERLINE!$AK$2:$AK$3001,1))</f>
        <v/>
      </c>
      <c r="I61" s="19" t="str">
        <f aca="false">IF($A61="","",H61*G61)</f>
        <v/>
      </c>
      <c r="J61" s="19" t="str">
        <f aca="false">IF($A61="","",F61+I61)</f>
        <v/>
      </c>
      <c r="K61" s="19" t="str">
        <f aca="false">IF($A61="","",H61+E61)</f>
        <v/>
      </c>
      <c r="L61" s="20" t="str">
        <f aca="false">IF($A61="","",K61-J61-N61)</f>
        <v/>
      </c>
      <c r="M61" s="15" t="str">
        <f aca="false">IF($A61="","",INDEX(PERLINE!$A$2:$A$3001,MATCH($A61,PERLINE!$N$2:$N$3001,0)))</f>
        <v/>
      </c>
      <c r="N61" s="21" t="str">
        <f aca="false">IF($A61="","",SUMIFS(PERLINE!$M$2:$M$3001,PERLINE!$N$2:$N$3001,$A61))</f>
        <v/>
      </c>
    </row>
    <row r="62" customFormat="false" ht="15.75" hidden="false" customHeight="true" outlineLevel="0" collapsed="false">
      <c r="A62" s="15" t="str">
        <f aca="false">IF(ROWS($A$2:$A62)&lt;=Check!$C$4,SMALL(PERLINE!$AL$2:$AL$3001,ROWS($A$2:$A62)),"")</f>
        <v/>
      </c>
      <c r="B62" s="15" t="str">
        <f aca="false">IF($A62="","",INDEX(PERLINE!$J$2:$J$3001,MATCH($A62,PERLINE!$N$2:$N$3001,0)))</f>
        <v/>
      </c>
      <c r="C62" s="16" t="str">
        <f aca="false">IF($A62="","",INDEX(PERLINE!$I$2:$I$3001,MATCH($A62,PERLINE!$N$2:$N$3001,0)))</f>
        <v/>
      </c>
      <c r="D62" s="17" t="str">
        <f aca="false">IF($A62="","",'كشف المطالبة'!$D$6)</f>
        <v/>
      </c>
      <c r="E62" s="18" t="str">
        <f aca="false">IF($A62="","",SUMIFS(PERLINE!$U$2:$U$3001,PERLINE!$N$2:$N$3001,$A62,PERLINE!$AK$2:$AK$3001,0))</f>
        <v/>
      </c>
      <c r="F62" s="19" t="str">
        <f aca="false">IF($A62="","",E62*D62)</f>
        <v/>
      </c>
      <c r="G62" s="17" t="str">
        <f aca="false">IF($A62="","",'كشف المطالبة'!$D$5)</f>
        <v/>
      </c>
      <c r="H62" s="18" t="str">
        <f aca="false">IF($A62="","",SUMIFS(PERLINE!$U$2:$U$3001,PERLINE!$N$2:$N$3001,$A62,PERLINE!$AK$2:$AK$3001,1))</f>
        <v/>
      </c>
      <c r="I62" s="19" t="str">
        <f aca="false">IF($A62="","",H62*G62)</f>
        <v/>
      </c>
      <c r="J62" s="19" t="str">
        <f aca="false">IF($A62="","",F62+I62)</f>
        <v/>
      </c>
      <c r="K62" s="19" t="str">
        <f aca="false">IF($A62="","",H62+E62)</f>
        <v/>
      </c>
      <c r="L62" s="20" t="str">
        <f aca="false">IF($A62="","",K62-J62-N62)</f>
        <v/>
      </c>
      <c r="M62" s="15" t="str">
        <f aca="false">IF($A62="","",INDEX(PERLINE!$A$2:$A$3001,MATCH($A62,PERLINE!$N$2:$N$3001,0)))</f>
        <v/>
      </c>
      <c r="N62" s="21" t="str">
        <f aca="false">IF($A62="","",SUMIFS(PERLINE!$M$2:$M$3001,PERLINE!$N$2:$N$3001,$A62))</f>
        <v/>
      </c>
    </row>
    <row r="63" customFormat="false" ht="15.75" hidden="false" customHeight="true" outlineLevel="0" collapsed="false">
      <c r="A63" s="15" t="str">
        <f aca="false">IF(ROWS($A$2:$A63)&lt;=Check!$C$4,SMALL(PERLINE!$AL$2:$AL$3001,ROWS($A$2:$A63)),"")</f>
        <v/>
      </c>
      <c r="B63" s="15" t="str">
        <f aca="false">IF($A63="","",INDEX(PERLINE!$J$2:$J$3001,MATCH($A63,PERLINE!$N$2:$N$3001,0)))</f>
        <v/>
      </c>
      <c r="C63" s="16" t="str">
        <f aca="false">IF($A63="","",INDEX(PERLINE!$I$2:$I$3001,MATCH($A63,PERLINE!$N$2:$N$3001,0)))</f>
        <v/>
      </c>
      <c r="D63" s="17" t="str">
        <f aca="false">IF($A63="","",'كشف المطالبة'!$D$6)</f>
        <v/>
      </c>
      <c r="E63" s="18" t="str">
        <f aca="false">IF($A63="","",SUMIFS(PERLINE!$U$2:$U$3001,PERLINE!$N$2:$N$3001,$A63,PERLINE!$AK$2:$AK$3001,0))</f>
        <v/>
      </c>
      <c r="F63" s="19" t="str">
        <f aca="false">IF($A63="","",E63*D63)</f>
        <v/>
      </c>
      <c r="G63" s="17" t="str">
        <f aca="false">IF($A63="","",'كشف المطالبة'!$D$5)</f>
        <v/>
      </c>
      <c r="H63" s="18" t="str">
        <f aca="false">IF($A63="","",SUMIFS(PERLINE!$U$2:$U$3001,PERLINE!$N$2:$N$3001,$A63,PERLINE!$AK$2:$AK$3001,1))</f>
        <v/>
      </c>
      <c r="I63" s="19" t="str">
        <f aca="false">IF($A63="","",H63*G63)</f>
        <v/>
      </c>
      <c r="J63" s="19" t="str">
        <f aca="false">IF($A63="","",F63+I63)</f>
        <v/>
      </c>
      <c r="K63" s="19" t="str">
        <f aca="false">IF($A63="","",H63+E63)</f>
        <v/>
      </c>
      <c r="L63" s="20" t="str">
        <f aca="false">IF($A63="","",K63-J63-N63)</f>
        <v/>
      </c>
      <c r="M63" s="15" t="str">
        <f aca="false">IF($A63="","",INDEX(PERLINE!$A$2:$A$3001,MATCH($A63,PERLINE!$N$2:$N$3001,0)))</f>
        <v/>
      </c>
      <c r="N63" s="21" t="str">
        <f aca="false">IF($A63="","",SUMIFS(PERLINE!$M$2:$M$3001,PERLINE!$N$2:$N$3001,$A63))</f>
        <v/>
      </c>
    </row>
    <row r="64" customFormat="false" ht="15.75" hidden="false" customHeight="true" outlineLevel="0" collapsed="false">
      <c r="A64" s="15" t="str">
        <f aca="false">IF(ROWS($A$2:$A64)&lt;=Check!$C$4,SMALL(PERLINE!$AL$2:$AL$3001,ROWS($A$2:$A64)),"")</f>
        <v/>
      </c>
      <c r="B64" s="15" t="str">
        <f aca="false">IF($A64="","",INDEX(PERLINE!$J$2:$J$3001,MATCH($A64,PERLINE!$N$2:$N$3001,0)))</f>
        <v/>
      </c>
      <c r="C64" s="16" t="str">
        <f aca="false">IF($A64="","",INDEX(PERLINE!$I$2:$I$3001,MATCH($A64,PERLINE!$N$2:$N$3001,0)))</f>
        <v/>
      </c>
      <c r="D64" s="17" t="str">
        <f aca="false">IF($A64="","",'كشف المطالبة'!$D$6)</f>
        <v/>
      </c>
      <c r="E64" s="18" t="str">
        <f aca="false">IF($A64="","",SUMIFS(PERLINE!$U$2:$U$3001,PERLINE!$N$2:$N$3001,$A64,PERLINE!$AK$2:$AK$3001,0))</f>
        <v/>
      </c>
      <c r="F64" s="19" t="str">
        <f aca="false">IF($A64="","",E64*D64)</f>
        <v/>
      </c>
      <c r="G64" s="17" t="str">
        <f aca="false">IF($A64="","",'كشف المطالبة'!$D$5)</f>
        <v/>
      </c>
      <c r="H64" s="18" t="str">
        <f aca="false">IF($A64="","",SUMIFS(PERLINE!$U$2:$U$3001,PERLINE!$N$2:$N$3001,$A64,PERLINE!$AK$2:$AK$3001,1))</f>
        <v/>
      </c>
      <c r="I64" s="19" t="str">
        <f aca="false">IF($A64="","",H64*G64)</f>
        <v/>
      </c>
      <c r="J64" s="19" t="str">
        <f aca="false">IF($A64="","",F64+I64)</f>
        <v/>
      </c>
      <c r="K64" s="19" t="str">
        <f aca="false">IF($A64="","",H64+E64)</f>
        <v/>
      </c>
      <c r="L64" s="20" t="str">
        <f aca="false">IF($A64="","",K64-J64-N64)</f>
        <v/>
      </c>
      <c r="M64" s="15" t="str">
        <f aca="false">IF($A64="","",INDEX(PERLINE!$A$2:$A$3001,MATCH($A64,PERLINE!$N$2:$N$3001,0)))</f>
        <v/>
      </c>
      <c r="N64" s="21" t="str">
        <f aca="false">IF($A64="","",SUMIFS(PERLINE!$M$2:$M$3001,PERLINE!$N$2:$N$3001,$A64))</f>
        <v/>
      </c>
    </row>
    <row r="65" customFormat="false" ht="15.75" hidden="false" customHeight="true" outlineLevel="0" collapsed="false">
      <c r="A65" s="15" t="str">
        <f aca="false">IF(ROWS($A$2:$A65)&lt;=Check!$C$4,SMALL(PERLINE!$AL$2:$AL$3001,ROWS($A$2:$A65)),"")</f>
        <v/>
      </c>
      <c r="B65" s="15" t="str">
        <f aca="false">IF($A65="","",INDEX(PERLINE!$J$2:$J$3001,MATCH($A65,PERLINE!$N$2:$N$3001,0)))</f>
        <v/>
      </c>
      <c r="C65" s="16" t="str">
        <f aca="false">IF($A65="","",INDEX(PERLINE!$I$2:$I$3001,MATCH($A65,PERLINE!$N$2:$N$3001,0)))</f>
        <v/>
      </c>
      <c r="D65" s="17" t="str">
        <f aca="false">IF($A65="","",'كشف المطالبة'!$D$6)</f>
        <v/>
      </c>
      <c r="E65" s="18" t="str">
        <f aca="false">IF($A65="","",SUMIFS(PERLINE!$U$2:$U$3001,PERLINE!$N$2:$N$3001,$A65,PERLINE!$AK$2:$AK$3001,0))</f>
        <v/>
      </c>
      <c r="F65" s="19" t="str">
        <f aca="false">IF($A65="","",E65*D65)</f>
        <v/>
      </c>
      <c r="G65" s="17" t="str">
        <f aca="false">IF($A65="","",'كشف المطالبة'!$D$5)</f>
        <v/>
      </c>
      <c r="H65" s="18" t="str">
        <f aca="false">IF($A65="","",SUMIFS(PERLINE!$U$2:$U$3001,PERLINE!$N$2:$N$3001,$A65,PERLINE!$AK$2:$AK$3001,1))</f>
        <v/>
      </c>
      <c r="I65" s="19" t="str">
        <f aca="false">IF($A65="","",H65*G65)</f>
        <v/>
      </c>
      <c r="J65" s="19" t="str">
        <f aca="false">IF($A65="","",F65+I65)</f>
        <v/>
      </c>
      <c r="K65" s="19" t="str">
        <f aca="false">IF($A65="","",H65+E65)</f>
        <v/>
      </c>
      <c r="L65" s="20" t="str">
        <f aca="false">IF($A65="","",K65-J65-N65)</f>
        <v/>
      </c>
      <c r="M65" s="15" t="str">
        <f aca="false">IF($A65="","",INDEX(PERLINE!$A$2:$A$3001,MATCH($A65,PERLINE!$N$2:$N$3001,0)))</f>
        <v/>
      </c>
      <c r="N65" s="21" t="str">
        <f aca="false">IF($A65="","",SUMIFS(PERLINE!$M$2:$M$3001,PERLINE!$N$2:$N$3001,$A65))</f>
        <v/>
      </c>
    </row>
    <row r="66" customFormat="false" ht="15.75" hidden="false" customHeight="true" outlineLevel="0" collapsed="false">
      <c r="A66" s="15" t="str">
        <f aca="false">IF(ROWS($A$2:$A66)&lt;=Check!$C$4,SMALL(PERLINE!$AL$2:$AL$3001,ROWS($A$2:$A66)),"")</f>
        <v/>
      </c>
      <c r="B66" s="15" t="str">
        <f aca="false">IF($A66="","",INDEX(PERLINE!$J$2:$J$3001,MATCH($A66,PERLINE!$N$2:$N$3001,0)))</f>
        <v/>
      </c>
      <c r="C66" s="16" t="str">
        <f aca="false">IF($A66="","",INDEX(PERLINE!$I$2:$I$3001,MATCH($A66,PERLINE!$N$2:$N$3001,0)))</f>
        <v/>
      </c>
      <c r="D66" s="17" t="str">
        <f aca="false">IF($A66="","",'كشف المطالبة'!$D$6)</f>
        <v/>
      </c>
      <c r="E66" s="18" t="str">
        <f aca="false">IF($A66="","",SUMIFS(PERLINE!$U$2:$U$3001,PERLINE!$N$2:$N$3001,$A66,PERLINE!$AK$2:$AK$3001,0))</f>
        <v/>
      </c>
      <c r="F66" s="19" t="str">
        <f aca="false">IF($A66="","",E66*D66)</f>
        <v/>
      </c>
      <c r="G66" s="17" t="str">
        <f aca="false">IF($A66="","",'كشف المطالبة'!$D$5)</f>
        <v/>
      </c>
      <c r="H66" s="18" t="str">
        <f aca="false">IF($A66="","",SUMIFS(PERLINE!$U$2:$U$3001,PERLINE!$N$2:$N$3001,$A66,PERLINE!$AK$2:$AK$3001,1))</f>
        <v/>
      </c>
      <c r="I66" s="19" t="str">
        <f aca="false">IF($A66="","",H66*G66)</f>
        <v/>
      </c>
      <c r="J66" s="19" t="str">
        <f aca="false">IF($A66="","",F66+I66)</f>
        <v/>
      </c>
      <c r="K66" s="19" t="str">
        <f aca="false">IF($A66="","",H66+E66)</f>
        <v/>
      </c>
      <c r="L66" s="20" t="str">
        <f aca="false">IF($A66="","",K66-J66-N66)</f>
        <v/>
      </c>
      <c r="M66" s="15" t="str">
        <f aca="false">IF($A66="","",INDEX(PERLINE!$A$2:$A$3001,MATCH($A66,PERLINE!$N$2:$N$3001,0)))</f>
        <v/>
      </c>
      <c r="N66" s="21" t="str">
        <f aca="false">IF($A66="","",SUMIFS(PERLINE!$M$2:$M$3001,PERLINE!$N$2:$N$3001,$A66))</f>
        <v/>
      </c>
    </row>
    <row r="67" customFormat="false" ht="15.75" hidden="false" customHeight="true" outlineLevel="0" collapsed="false">
      <c r="A67" s="15" t="str">
        <f aca="false">IF(ROWS($A$2:$A67)&lt;=Check!$C$4,SMALL(PERLINE!$AL$2:$AL$3001,ROWS($A$2:$A67)),"")</f>
        <v/>
      </c>
      <c r="B67" s="15" t="str">
        <f aca="false">IF($A67="","",INDEX(PERLINE!$J$2:$J$3001,MATCH($A67,PERLINE!$N$2:$N$3001,0)))</f>
        <v/>
      </c>
      <c r="C67" s="16" t="str">
        <f aca="false">IF($A67="","",INDEX(PERLINE!$I$2:$I$3001,MATCH($A67,PERLINE!$N$2:$N$3001,0)))</f>
        <v/>
      </c>
      <c r="D67" s="17" t="str">
        <f aca="false">IF($A67="","",'كشف المطالبة'!$D$6)</f>
        <v/>
      </c>
      <c r="E67" s="18" t="str">
        <f aca="false">IF($A67="","",SUMIFS(PERLINE!$U$2:$U$3001,PERLINE!$N$2:$N$3001,$A67,PERLINE!$AK$2:$AK$3001,0))</f>
        <v/>
      </c>
      <c r="F67" s="19" t="str">
        <f aca="false">IF($A67="","",E67*D67)</f>
        <v/>
      </c>
      <c r="G67" s="17" t="str">
        <f aca="false">IF($A67="","",'كشف المطالبة'!$D$5)</f>
        <v/>
      </c>
      <c r="H67" s="18" t="str">
        <f aca="false">IF($A67="","",SUMIFS(PERLINE!$U$2:$U$3001,PERLINE!$N$2:$N$3001,$A67,PERLINE!$AK$2:$AK$3001,1))</f>
        <v/>
      </c>
      <c r="I67" s="19" t="str">
        <f aca="false">IF($A67="","",H67*G67)</f>
        <v/>
      </c>
      <c r="J67" s="19" t="str">
        <f aca="false">IF($A67="","",F67+I67)</f>
        <v/>
      </c>
      <c r="K67" s="19" t="str">
        <f aca="false">IF($A67="","",H67+E67)</f>
        <v/>
      </c>
      <c r="L67" s="20" t="str">
        <f aca="false">IF($A67="","",K67-J67-N67)</f>
        <v/>
      </c>
      <c r="M67" s="15" t="str">
        <f aca="false">IF($A67="","",INDEX(PERLINE!$A$2:$A$3001,MATCH($A67,PERLINE!$N$2:$N$3001,0)))</f>
        <v/>
      </c>
      <c r="N67" s="21" t="str">
        <f aca="false">IF($A67="","",SUMIFS(PERLINE!$M$2:$M$3001,PERLINE!$N$2:$N$3001,$A67))</f>
        <v/>
      </c>
    </row>
    <row r="68" customFormat="false" ht="15.75" hidden="false" customHeight="true" outlineLevel="0" collapsed="false">
      <c r="A68" s="15" t="str">
        <f aca="false">IF(ROWS($A$2:$A68)&lt;=Check!$C$4,SMALL(PERLINE!$AL$2:$AL$3001,ROWS($A$2:$A68)),"")</f>
        <v/>
      </c>
      <c r="B68" s="15" t="str">
        <f aca="false">IF($A68="","",INDEX(PERLINE!$J$2:$J$3001,MATCH($A68,PERLINE!$N$2:$N$3001,0)))</f>
        <v/>
      </c>
      <c r="C68" s="16" t="str">
        <f aca="false">IF($A68="","",INDEX(PERLINE!$I$2:$I$3001,MATCH($A68,PERLINE!$N$2:$N$3001,0)))</f>
        <v/>
      </c>
      <c r="D68" s="17" t="str">
        <f aca="false">IF($A68="","",'كشف المطالبة'!$D$6)</f>
        <v/>
      </c>
      <c r="E68" s="18" t="str">
        <f aca="false">IF($A68="","",SUMIFS(PERLINE!$U$2:$U$3001,PERLINE!$N$2:$N$3001,$A68,PERLINE!$AK$2:$AK$3001,0))</f>
        <v/>
      </c>
      <c r="F68" s="19" t="str">
        <f aca="false">IF($A68="","",E68*D68)</f>
        <v/>
      </c>
      <c r="G68" s="17" t="str">
        <f aca="false">IF($A68="","",'كشف المطالبة'!$D$5)</f>
        <v/>
      </c>
      <c r="H68" s="18" t="str">
        <f aca="false">IF($A68="","",SUMIFS(PERLINE!$U$2:$U$3001,PERLINE!$N$2:$N$3001,$A68,PERLINE!$AK$2:$AK$3001,1))</f>
        <v/>
      </c>
      <c r="I68" s="19" t="str">
        <f aca="false">IF($A68="","",H68*G68)</f>
        <v/>
      </c>
      <c r="J68" s="19" t="str">
        <f aca="false">IF($A68="","",F68+I68)</f>
        <v/>
      </c>
      <c r="K68" s="19" t="str">
        <f aca="false">IF($A68="","",H68+E68)</f>
        <v/>
      </c>
      <c r="L68" s="20" t="str">
        <f aca="false">IF($A68="","",K68-J68-N68)</f>
        <v/>
      </c>
      <c r="M68" s="15" t="str">
        <f aca="false">IF($A68="","",INDEX(PERLINE!$A$2:$A$3001,MATCH($A68,PERLINE!$N$2:$N$3001,0)))</f>
        <v/>
      </c>
      <c r="N68" s="21" t="str">
        <f aca="false">IF($A68="","",SUMIFS(PERLINE!$M$2:$M$3001,PERLINE!$N$2:$N$3001,$A68))</f>
        <v/>
      </c>
    </row>
    <row r="69" customFormat="false" ht="15.75" hidden="false" customHeight="true" outlineLevel="0" collapsed="false">
      <c r="A69" s="15" t="str">
        <f aca="false">IF(ROWS($A$2:$A69)&lt;=Check!$C$4,SMALL(PERLINE!$AL$2:$AL$3001,ROWS($A$2:$A69)),"")</f>
        <v/>
      </c>
      <c r="B69" s="15" t="str">
        <f aca="false">IF($A69="","",INDEX(PERLINE!$J$2:$J$3001,MATCH($A69,PERLINE!$N$2:$N$3001,0)))</f>
        <v/>
      </c>
      <c r="C69" s="16" t="str">
        <f aca="false">IF($A69="","",INDEX(PERLINE!$I$2:$I$3001,MATCH($A69,PERLINE!$N$2:$N$3001,0)))</f>
        <v/>
      </c>
      <c r="D69" s="17" t="str">
        <f aca="false">IF($A69="","",'كشف المطالبة'!$D$6)</f>
        <v/>
      </c>
      <c r="E69" s="18" t="str">
        <f aca="false">IF($A69="","",SUMIFS(PERLINE!$U$2:$U$3001,PERLINE!$N$2:$N$3001,$A69,PERLINE!$AK$2:$AK$3001,0))</f>
        <v/>
      </c>
      <c r="F69" s="19" t="str">
        <f aca="false">IF($A69="","",E69*D69)</f>
        <v/>
      </c>
      <c r="G69" s="17" t="str">
        <f aca="false">IF($A69="","",'كشف المطالبة'!$D$5)</f>
        <v/>
      </c>
      <c r="H69" s="18" t="str">
        <f aca="false">IF($A69="","",SUMIFS(PERLINE!$U$2:$U$3001,PERLINE!$N$2:$N$3001,$A69,PERLINE!$AK$2:$AK$3001,1))</f>
        <v/>
      </c>
      <c r="I69" s="19" t="str">
        <f aca="false">IF($A69="","",H69*G69)</f>
        <v/>
      </c>
      <c r="J69" s="19" t="str">
        <f aca="false">IF($A69="","",F69+I69)</f>
        <v/>
      </c>
      <c r="K69" s="19" t="str">
        <f aca="false">IF($A69="","",H69+E69)</f>
        <v/>
      </c>
      <c r="L69" s="20" t="str">
        <f aca="false">IF($A69="","",K69-J69-N69)</f>
        <v/>
      </c>
      <c r="M69" s="15" t="str">
        <f aca="false">IF($A69="","",INDEX(PERLINE!$A$2:$A$3001,MATCH($A69,PERLINE!$N$2:$N$3001,0)))</f>
        <v/>
      </c>
      <c r="N69" s="21" t="str">
        <f aca="false">IF($A69="","",SUMIFS(PERLINE!$M$2:$M$3001,PERLINE!$N$2:$N$3001,$A69))</f>
        <v/>
      </c>
    </row>
    <row r="70" customFormat="false" ht="15.75" hidden="false" customHeight="true" outlineLevel="0" collapsed="false">
      <c r="A70" s="15" t="str">
        <f aca="false">IF(ROWS($A$2:$A70)&lt;=Check!$C$4,SMALL(PERLINE!$AL$2:$AL$3001,ROWS($A$2:$A70)),"")</f>
        <v/>
      </c>
      <c r="B70" s="15" t="str">
        <f aca="false">IF($A70="","",INDEX(PERLINE!$J$2:$J$3001,MATCH($A70,PERLINE!$N$2:$N$3001,0)))</f>
        <v/>
      </c>
      <c r="C70" s="16" t="str">
        <f aca="false">IF($A70="","",INDEX(PERLINE!$I$2:$I$3001,MATCH($A70,PERLINE!$N$2:$N$3001,0)))</f>
        <v/>
      </c>
      <c r="D70" s="17" t="str">
        <f aca="false">IF($A70="","",'كشف المطالبة'!$D$6)</f>
        <v/>
      </c>
      <c r="E70" s="18" t="str">
        <f aca="false">IF($A70="","",SUMIFS(PERLINE!$U$2:$U$3001,PERLINE!$N$2:$N$3001,$A70,PERLINE!$AK$2:$AK$3001,0))</f>
        <v/>
      </c>
      <c r="F70" s="19" t="str">
        <f aca="false">IF($A70="","",E70*D70)</f>
        <v/>
      </c>
      <c r="G70" s="17" t="str">
        <f aca="false">IF($A70="","",'كشف المطالبة'!$D$5)</f>
        <v/>
      </c>
      <c r="H70" s="18" t="str">
        <f aca="false">IF($A70="","",SUMIFS(PERLINE!$U$2:$U$3001,PERLINE!$N$2:$N$3001,$A70,PERLINE!$AK$2:$AK$3001,1))</f>
        <v/>
      </c>
      <c r="I70" s="19" t="str">
        <f aca="false">IF($A70="","",H70*G70)</f>
        <v/>
      </c>
      <c r="J70" s="19" t="str">
        <f aca="false">IF($A70="","",F70+I70)</f>
        <v/>
      </c>
      <c r="K70" s="19" t="str">
        <f aca="false">IF($A70="","",H70+E70)</f>
        <v/>
      </c>
      <c r="L70" s="20" t="str">
        <f aca="false">IF($A70="","",K70-J70-N70)</f>
        <v/>
      </c>
      <c r="M70" s="15" t="str">
        <f aca="false">IF($A70="","",INDEX(PERLINE!$A$2:$A$3001,MATCH($A70,PERLINE!$N$2:$N$3001,0)))</f>
        <v/>
      </c>
      <c r="N70" s="21" t="str">
        <f aca="false">IF($A70="","",SUMIFS(PERLINE!$M$2:$M$3001,PERLINE!$N$2:$N$3001,$A70))</f>
        <v/>
      </c>
    </row>
    <row r="71" customFormat="false" ht="15.75" hidden="false" customHeight="true" outlineLevel="0" collapsed="false">
      <c r="A71" s="15" t="str">
        <f aca="false">IF(ROWS($A$2:$A71)&lt;=Check!$C$4,SMALL(PERLINE!$AL$2:$AL$3001,ROWS($A$2:$A71)),"")</f>
        <v/>
      </c>
      <c r="B71" s="15" t="str">
        <f aca="false">IF($A71="","",INDEX(PERLINE!$J$2:$J$3001,MATCH($A71,PERLINE!$N$2:$N$3001,0)))</f>
        <v/>
      </c>
      <c r="C71" s="16" t="str">
        <f aca="false">IF($A71="","",INDEX(PERLINE!$I$2:$I$3001,MATCH($A71,PERLINE!$N$2:$N$3001,0)))</f>
        <v/>
      </c>
      <c r="D71" s="17" t="str">
        <f aca="false">IF($A71="","",'كشف المطالبة'!$D$6)</f>
        <v/>
      </c>
      <c r="E71" s="18" t="str">
        <f aca="false">IF($A71="","",SUMIFS(PERLINE!$U$2:$U$3001,PERLINE!$N$2:$N$3001,$A71,PERLINE!$AK$2:$AK$3001,0))</f>
        <v/>
      </c>
      <c r="F71" s="19" t="str">
        <f aca="false">IF($A71="","",E71*D71)</f>
        <v/>
      </c>
      <c r="G71" s="17" t="str">
        <f aca="false">IF($A71="","",'كشف المطالبة'!$D$5)</f>
        <v/>
      </c>
      <c r="H71" s="18" t="str">
        <f aca="false">IF($A71="","",SUMIFS(PERLINE!$U$2:$U$3001,PERLINE!$N$2:$N$3001,$A71,PERLINE!$AK$2:$AK$3001,1))</f>
        <v/>
      </c>
      <c r="I71" s="19" t="str">
        <f aca="false">IF($A71="","",H71*G71)</f>
        <v/>
      </c>
      <c r="J71" s="19" t="str">
        <f aca="false">IF($A71="","",F71+I71)</f>
        <v/>
      </c>
      <c r="K71" s="19" t="str">
        <f aca="false">IF($A71="","",H71+E71)</f>
        <v/>
      </c>
      <c r="L71" s="20" t="str">
        <f aca="false">IF($A71="","",K71-J71-N71)</f>
        <v/>
      </c>
      <c r="M71" s="15" t="str">
        <f aca="false">IF($A71="","",INDEX(PERLINE!$A$2:$A$3001,MATCH($A71,PERLINE!$N$2:$N$3001,0)))</f>
        <v/>
      </c>
      <c r="N71" s="21" t="str">
        <f aca="false">IF($A71="","",SUMIFS(PERLINE!$M$2:$M$3001,PERLINE!$N$2:$N$3001,$A71))</f>
        <v/>
      </c>
    </row>
    <row r="72" customFormat="false" ht="15.75" hidden="false" customHeight="true" outlineLevel="0" collapsed="false">
      <c r="A72" s="15" t="str">
        <f aca="false">IF(ROWS($A$2:$A72)&lt;=Check!$C$4,SMALL(PERLINE!$AL$2:$AL$3001,ROWS($A$2:$A72)),"")</f>
        <v/>
      </c>
      <c r="B72" s="15" t="str">
        <f aca="false">IF($A72="","",INDEX(PERLINE!$J$2:$J$3001,MATCH($A72,PERLINE!$N$2:$N$3001,0)))</f>
        <v/>
      </c>
      <c r="C72" s="16" t="str">
        <f aca="false">IF($A72="","",INDEX(PERLINE!$I$2:$I$3001,MATCH($A72,PERLINE!$N$2:$N$3001,0)))</f>
        <v/>
      </c>
      <c r="D72" s="17" t="str">
        <f aca="false">IF($A72="","",'كشف المطالبة'!$D$6)</f>
        <v/>
      </c>
      <c r="E72" s="18" t="str">
        <f aca="false">IF($A72="","",SUMIFS(PERLINE!$U$2:$U$3001,PERLINE!$N$2:$N$3001,$A72,PERLINE!$AK$2:$AK$3001,0))</f>
        <v/>
      </c>
      <c r="F72" s="19" t="str">
        <f aca="false">IF($A72="","",E72*D72)</f>
        <v/>
      </c>
      <c r="G72" s="17" t="str">
        <f aca="false">IF($A72="","",'كشف المطالبة'!$D$5)</f>
        <v/>
      </c>
      <c r="H72" s="18" t="str">
        <f aca="false">IF($A72="","",SUMIFS(PERLINE!$U$2:$U$3001,PERLINE!$N$2:$N$3001,$A72,PERLINE!$AK$2:$AK$3001,1))</f>
        <v/>
      </c>
      <c r="I72" s="19" t="str">
        <f aca="false">IF($A72="","",H72*G72)</f>
        <v/>
      </c>
      <c r="J72" s="19" t="str">
        <f aca="false">IF($A72="","",F72+I72)</f>
        <v/>
      </c>
      <c r="K72" s="19" t="str">
        <f aca="false">IF($A72="","",H72+E72)</f>
        <v/>
      </c>
      <c r="L72" s="20" t="str">
        <f aca="false">IF($A72="","",K72-J72-N72)</f>
        <v/>
      </c>
      <c r="M72" s="15" t="str">
        <f aca="false">IF($A72="","",INDEX(PERLINE!$A$2:$A$3001,MATCH($A72,PERLINE!$N$2:$N$3001,0)))</f>
        <v/>
      </c>
      <c r="N72" s="21" t="str">
        <f aca="false">IF($A72="","",SUMIFS(PERLINE!$M$2:$M$3001,PERLINE!$N$2:$N$3001,$A72))</f>
        <v/>
      </c>
    </row>
    <row r="73" customFormat="false" ht="15.75" hidden="false" customHeight="true" outlineLevel="0" collapsed="false">
      <c r="A73" s="15" t="str">
        <f aca="false">IF(ROWS($A$2:$A73)&lt;=Check!$C$4,SMALL(PERLINE!$AL$2:$AL$3001,ROWS($A$2:$A73)),"")</f>
        <v/>
      </c>
      <c r="B73" s="15" t="str">
        <f aca="false">IF($A73="","",INDEX(PERLINE!$J$2:$J$3001,MATCH($A73,PERLINE!$N$2:$N$3001,0)))</f>
        <v/>
      </c>
      <c r="C73" s="16" t="str">
        <f aca="false">IF($A73="","",INDEX(PERLINE!$I$2:$I$3001,MATCH($A73,PERLINE!$N$2:$N$3001,0)))</f>
        <v/>
      </c>
      <c r="D73" s="17" t="str">
        <f aca="false">IF($A73="","",'كشف المطالبة'!$D$6)</f>
        <v/>
      </c>
      <c r="E73" s="18" t="str">
        <f aca="false">IF($A73="","",SUMIFS(PERLINE!$U$2:$U$3001,PERLINE!$N$2:$N$3001,$A73,PERLINE!$AK$2:$AK$3001,0))</f>
        <v/>
      </c>
      <c r="F73" s="19" t="str">
        <f aca="false">IF($A73="","",E73*D73)</f>
        <v/>
      </c>
      <c r="G73" s="17" t="str">
        <f aca="false">IF($A73="","",'كشف المطالبة'!$D$5)</f>
        <v/>
      </c>
      <c r="H73" s="18" t="str">
        <f aca="false">IF($A73="","",SUMIFS(PERLINE!$U$2:$U$3001,PERLINE!$N$2:$N$3001,$A73,PERLINE!$AK$2:$AK$3001,1))</f>
        <v/>
      </c>
      <c r="I73" s="19" t="str">
        <f aca="false">IF($A73="","",H73*G73)</f>
        <v/>
      </c>
      <c r="J73" s="19" t="str">
        <f aca="false">IF($A73="","",F73+I73)</f>
        <v/>
      </c>
      <c r="K73" s="19" t="str">
        <f aca="false">IF($A73="","",H73+E73)</f>
        <v/>
      </c>
      <c r="L73" s="20" t="str">
        <f aca="false">IF($A73="","",K73-J73-N73)</f>
        <v/>
      </c>
      <c r="M73" s="15" t="str">
        <f aca="false">IF($A73="","",INDEX(PERLINE!$A$2:$A$3001,MATCH($A73,PERLINE!$N$2:$N$3001,0)))</f>
        <v/>
      </c>
      <c r="N73" s="21" t="str">
        <f aca="false">IF($A73="","",SUMIFS(PERLINE!$M$2:$M$3001,PERLINE!$N$2:$N$3001,$A73))</f>
        <v/>
      </c>
    </row>
    <row r="74" customFormat="false" ht="15.75" hidden="false" customHeight="true" outlineLevel="0" collapsed="false">
      <c r="A74" s="15" t="str">
        <f aca="false">IF(ROWS($A$2:$A74)&lt;=Check!$C$4,SMALL(PERLINE!$AL$2:$AL$3001,ROWS($A$2:$A74)),"")</f>
        <v/>
      </c>
      <c r="B74" s="15" t="str">
        <f aca="false">IF($A74="","",INDEX(PERLINE!$J$2:$J$3001,MATCH($A74,PERLINE!$N$2:$N$3001,0)))</f>
        <v/>
      </c>
      <c r="C74" s="16" t="str">
        <f aca="false">IF($A74="","",INDEX(PERLINE!$I$2:$I$3001,MATCH($A74,PERLINE!$N$2:$N$3001,0)))</f>
        <v/>
      </c>
      <c r="D74" s="17" t="str">
        <f aca="false">IF($A74="","",'كشف المطالبة'!$D$6)</f>
        <v/>
      </c>
      <c r="E74" s="18" t="str">
        <f aca="false">IF($A74="","",SUMIFS(PERLINE!$U$2:$U$3001,PERLINE!$N$2:$N$3001,$A74,PERLINE!$AK$2:$AK$3001,0))</f>
        <v/>
      </c>
      <c r="F74" s="19" t="str">
        <f aca="false">IF($A74="","",E74*D74)</f>
        <v/>
      </c>
      <c r="G74" s="17" t="str">
        <f aca="false">IF($A74="","",'كشف المطالبة'!$D$5)</f>
        <v/>
      </c>
      <c r="H74" s="18" t="str">
        <f aca="false">IF($A74="","",SUMIFS(PERLINE!$U$2:$U$3001,PERLINE!$N$2:$N$3001,$A74,PERLINE!$AK$2:$AK$3001,1))</f>
        <v/>
      </c>
      <c r="I74" s="19" t="str">
        <f aca="false">IF($A74="","",H74*G74)</f>
        <v/>
      </c>
      <c r="J74" s="19" t="str">
        <f aca="false">IF($A74="","",F74+I74)</f>
        <v/>
      </c>
      <c r="K74" s="19" t="str">
        <f aca="false">IF($A74="","",H74+E74)</f>
        <v/>
      </c>
      <c r="L74" s="20" t="str">
        <f aca="false">IF($A74="","",K74-J74-N74)</f>
        <v/>
      </c>
      <c r="M74" s="15" t="str">
        <f aca="false">IF($A74="","",INDEX(PERLINE!$A$2:$A$3001,MATCH($A74,PERLINE!$N$2:$N$3001,0)))</f>
        <v/>
      </c>
      <c r="N74" s="21" t="str">
        <f aca="false">IF($A74="","",SUMIFS(PERLINE!$M$2:$M$3001,PERLINE!$N$2:$N$3001,$A74))</f>
        <v/>
      </c>
    </row>
    <row r="75" customFormat="false" ht="15.75" hidden="false" customHeight="true" outlineLevel="0" collapsed="false">
      <c r="A75" s="15" t="str">
        <f aca="false">IF(ROWS($A$2:$A75)&lt;=Check!$C$4,SMALL(PERLINE!$AL$2:$AL$3001,ROWS($A$2:$A75)),"")</f>
        <v/>
      </c>
      <c r="B75" s="15" t="str">
        <f aca="false">IF($A75="","",INDEX(PERLINE!$J$2:$J$3001,MATCH($A75,PERLINE!$N$2:$N$3001,0)))</f>
        <v/>
      </c>
      <c r="C75" s="16" t="str">
        <f aca="false">IF($A75="","",INDEX(PERLINE!$I$2:$I$3001,MATCH($A75,PERLINE!$N$2:$N$3001,0)))</f>
        <v/>
      </c>
      <c r="D75" s="17" t="str">
        <f aca="false">IF($A75="","",'كشف المطالبة'!$D$6)</f>
        <v/>
      </c>
      <c r="E75" s="18" t="str">
        <f aca="false">IF($A75="","",SUMIFS(PERLINE!$U$2:$U$3001,PERLINE!$N$2:$N$3001,$A75,PERLINE!$AK$2:$AK$3001,0))</f>
        <v/>
      </c>
      <c r="F75" s="19" t="str">
        <f aca="false">IF($A75="","",E75*D75)</f>
        <v/>
      </c>
      <c r="G75" s="17" t="str">
        <f aca="false">IF($A75="","",'كشف المطالبة'!$D$5)</f>
        <v/>
      </c>
      <c r="H75" s="18" t="str">
        <f aca="false">IF($A75="","",SUMIFS(PERLINE!$U$2:$U$3001,PERLINE!$N$2:$N$3001,$A75,PERLINE!$AK$2:$AK$3001,1))</f>
        <v/>
      </c>
      <c r="I75" s="19" t="str">
        <f aca="false">IF($A75="","",H75*G75)</f>
        <v/>
      </c>
      <c r="J75" s="19" t="str">
        <f aca="false">IF($A75="","",F75+I75)</f>
        <v/>
      </c>
      <c r="K75" s="19" t="str">
        <f aca="false">IF($A75="","",H75+E75)</f>
        <v/>
      </c>
      <c r="L75" s="20" t="str">
        <f aca="false">IF($A75="","",K75-J75-N75)</f>
        <v/>
      </c>
      <c r="M75" s="15" t="str">
        <f aca="false">IF($A75="","",INDEX(PERLINE!$A$2:$A$3001,MATCH($A75,PERLINE!$N$2:$N$3001,0)))</f>
        <v/>
      </c>
      <c r="N75" s="21" t="str">
        <f aca="false">IF($A75="","",SUMIFS(PERLINE!$M$2:$M$3001,PERLINE!$N$2:$N$3001,$A75))</f>
        <v/>
      </c>
    </row>
    <row r="76" customFormat="false" ht="15.75" hidden="false" customHeight="true" outlineLevel="0" collapsed="false">
      <c r="A76" s="15" t="str">
        <f aca="false">IF(ROWS($A$2:$A76)&lt;=Check!$C$4,SMALL(PERLINE!$AL$2:$AL$3001,ROWS($A$2:$A76)),"")</f>
        <v/>
      </c>
      <c r="B76" s="15" t="str">
        <f aca="false">IF($A76="","",INDEX(PERLINE!$J$2:$J$3001,MATCH($A76,PERLINE!$N$2:$N$3001,0)))</f>
        <v/>
      </c>
      <c r="C76" s="16" t="str">
        <f aca="false">IF($A76="","",INDEX(PERLINE!$I$2:$I$3001,MATCH($A76,PERLINE!$N$2:$N$3001,0)))</f>
        <v/>
      </c>
      <c r="D76" s="17" t="str">
        <f aca="false">IF($A76="","",'كشف المطالبة'!$D$6)</f>
        <v/>
      </c>
      <c r="E76" s="18" t="str">
        <f aca="false">IF($A76="","",SUMIFS(PERLINE!$U$2:$U$3001,PERLINE!$N$2:$N$3001,$A76,PERLINE!$AK$2:$AK$3001,0))</f>
        <v/>
      </c>
      <c r="F76" s="19" t="str">
        <f aca="false">IF($A76="","",E76*D76)</f>
        <v/>
      </c>
      <c r="G76" s="17" t="str">
        <f aca="false">IF($A76="","",'كشف المطالبة'!$D$5)</f>
        <v/>
      </c>
      <c r="H76" s="18" t="str">
        <f aca="false">IF($A76="","",SUMIFS(PERLINE!$U$2:$U$3001,PERLINE!$N$2:$N$3001,$A76,PERLINE!$AK$2:$AK$3001,1))</f>
        <v/>
      </c>
      <c r="I76" s="19" t="str">
        <f aca="false">IF($A76="","",H76*G76)</f>
        <v/>
      </c>
      <c r="J76" s="19" t="str">
        <f aca="false">IF($A76="","",F76+I76)</f>
        <v/>
      </c>
      <c r="K76" s="19" t="str">
        <f aca="false">IF($A76="","",H76+E76)</f>
        <v/>
      </c>
      <c r="L76" s="20" t="str">
        <f aca="false">IF($A76="","",K76-J76-N76)</f>
        <v/>
      </c>
      <c r="M76" s="15" t="str">
        <f aca="false">IF($A76="","",INDEX(PERLINE!$A$2:$A$3001,MATCH($A76,PERLINE!$N$2:$N$3001,0)))</f>
        <v/>
      </c>
      <c r="N76" s="21" t="str">
        <f aca="false">IF($A76="","",SUMIFS(PERLINE!$M$2:$M$3001,PERLINE!$N$2:$N$3001,$A76))</f>
        <v/>
      </c>
    </row>
    <row r="77" customFormat="false" ht="15.75" hidden="false" customHeight="true" outlineLevel="0" collapsed="false">
      <c r="A77" s="15" t="str">
        <f aca="false">IF(ROWS($A$2:$A77)&lt;=Check!$C$4,SMALL(PERLINE!$AL$2:$AL$3001,ROWS($A$2:$A77)),"")</f>
        <v/>
      </c>
      <c r="B77" s="15" t="str">
        <f aca="false">IF($A77="","",INDEX(PERLINE!$J$2:$J$3001,MATCH($A77,PERLINE!$N$2:$N$3001,0)))</f>
        <v/>
      </c>
      <c r="C77" s="16" t="str">
        <f aca="false">IF($A77="","",INDEX(PERLINE!$I$2:$I$3001,MATCH($A77,PERLINE!$N$2:$N$3001,0)))</f>
        <v/>
      </c>
      <c r="D77" s="17" t="str">
        <f aca="false">IF($A77="","",'كشف المطالبة'!$D$6)</f>
        <v/>
      </c>
      <c r="E77" s="18" t="str">
        <f aca="false">IF($A77="","",SUMIFS(PERLINE!$U$2:$U$3001,PERLINE!$N$2:$N$3001,$A77,PERLINE!$AK$2:$AK$3001,0))</f>
        <v/>
      </c>
      <c r="F77" s="19" t="str">
        <f aca="false">IF($A77="","",E77*D77)</f>
        <v/>
      </c>
      <c r="G77" s="17" t="str">
        <f aca="false">IF($A77="","",'كشف المطالبة'!$D$5)</f>
        <v/>
      </c>
      <c r="H77" s="18" t="str">
        <f aca="false">IF($A77="","",SUMIFS(PERLINE!$U$2:$U$3001,PERLINE!$N$2:$N$3001,$A77,PERLINE!$AK$2:$AK$3001,1))</f>
        <v/>
      </c>
      <c r="I77" s="19" t="str">
        <f aca="false">IF($A77="","",H77*G77)</f>
        <v/>
      </c>
      <c r="J77" s="19" t="str">
        <f aca="false">IF($A77="","",F77+I77)</f>
        <v/>
      </c>
      <c r="K77" s="19" t="str">
        <f aca="false">IF($A77="","",H77+E77)</f>
        <v/>
      </c>
      <c r="L77" s="20" t="str">
        <f aca="false">IF($A77="","",K77-J77-N77)</f>
        <v/>
      </c>
      <c r="M77" s="15" t="str">
        <f aca="false">IF($A77="","",INDEX(PERLINE!$A$2:$A$3001,MATCH($A77,PERLINE!$N$2:$N$3001,0)))</f>
        <v/>
      </c>
      <c r="N77" s="21" t="str">
        <f aca="false">IF($A77="","",SUMIFS(PERLINE!$M$2:$M$3001,PERLINE!$N$2:$N$3001,$A77))</f>
        <v/>
      </c>
    </row>
    <row r="78" customFormat="false" ht="15.75" hidden="false" customHeight="true" outlineLevel="0" collapsed="false">
      <c r="A78" s="15" t="str">
        <f aca="false">IF(ROWS($A$2:$A78)&lt;=Check!$C$4,SMALL(PERLINE!$AL$2:$AL$3001,ROWS($A$2:$A78)),"")</f>
        <v/>
      </c>
      <c r="B78" s="15" t="str">
        <f aca="false">IF($A78="","",INDEX(PERLINE!$J$2:$J$3001,MATCH($A78,PERLINE!$N$2:$N$3001,0)))</f>
        <v/>
      </c>
      <c r="C78" s="16" t="str">
        <f aca="false">IF($A78="","",INDEX(PERLINE!$I$2:$I$3001,MATCH($A78,PERLINE!$N$2:$N$3001,0)))</f>
        <v/>
      </c>
      <c r="D78" s="17" t="str">
        <f aca="false">IF($A78="","",'كشف المطالبة'!$D$6)</f>
        <v/>
      </c>
      <c r="E78" s="18" t="str">
        <f aca="false">IF($A78="","",SUMIFS(PERLINE!$U$2:$U$3001,PERLINE!$N$2:$N$3001,$A78,PERLINE!$AK$2:$AK$3001,0))</f>
        <v/>
      </c>
      <c r="F78" s="19" t="str">
        <f aca="false">IF($A78="","",E78*D78)</f>
        <v/>
      </c>
      <c r="G78" s="17" t="str">
        <f aca="false">IF($A78="","",'كشف المطالبة'!$D$5)</f>
        <v/>
      </c>
      <c r="H78" s="18" t="str">
        <f aca="false">IF($A78="","",SUMIFS(PERLINE!$U$2:$U$3001,PERLINE!$N$2:$N$3001,$A78,PERLINE!$AK$2:$AK$3001,1))</f>
        <v/>
      </c>
      <c r="I78" s="19" t="str">
        <f aca="false">IF($A78="","",H78*G78)</f>
        <v/>
      </c>
      <c r="J78" s="19" t="str">
        <f aca="false">IF($A78="","",F78+I78)</f>
        <v/>
      </c>
      <c r="K78" s="19" t="str">
        <f aca="false">IF($A78="","",H78+E78)</f>
        <v/>
      </c>
      <c r="L78" s="20" t="str">
        <f aca="false">IF($A78="","",K78-J78-N78)</f>
        <v/>
      </c>
      <c r="M78" s="15" t="str">
        <f aca="false">IF($A78="","",INDEX(PERLINE!$A$2:$A$3001,MATCH($A78,PERLINE!$N$2:$N$3001,0)))</f>
        <v/>
      </c>
      <c r="N78" s="21" t="str">
        <f aca="false">IF($A78="","",SUMIFS(PERLINE!$M$2:$M$3001,PERLINE!$N$2:$N$3001,$A78))</f>
        <v/>
      </c>
    </row>
    <row r="79" customFormat="false" ht="15.75" hidden="false" customHeight="true" outlineLevel="0" collapsed="false">
      <c r="A79" s="15" t="str">
        <f aca="false">IF(ROWS($A$2:$A79)&lt;=Check!$C$4,SMALL(PERLINE!$AL$2:$AL$3001,ROWS($A$2:$A79)),"")</f>
        <v/>
      </c>
      <c r="B79" s="15" t="str">
        <f aca="false">IF($A79="","",INDEX(PERLINE!$J$2:$J$3001,MATCH($A79,PERLINE!$N$2:$N$3001,0)))</f>
        <v/>
      </c>
      <c r="C79" s="16" t="str">
        <f aca="false">IF($A79="","",INDEX(PERLINE!$I$2:$I$3001,MATCH($A79,PERLINE!$N$2:$N$3001,0)))</f>
        <v/>
      </c>
      <c r="D79" s="17" t="str">
        <f aca="false">IF($A79="","",'كشف المطالبة'!$D$6)</f>
        <v/>
      </c>
      <c r="E79" s="18" t="str">
        <f aca="false">IF($A79="","",SUMIFS(PERLINE!$U$2:$U$3001,PERLINE!$N$2:$N$3001,$A79,PERLINE!$AK$2:$AK$3001,0))</f>
        <v/>
      </c>
      <c r="F79" s="19" t="str">
        <f aca="false">IF($A79="","",E79*D79)</f>
        <v/>
      </c>
      <c r="G79" s="17" t="str">
        <f aca="false">IF($A79="","",'كشف المطالبة'!$D$5)</f>
        <v/>
      </c>
      <c r="H79" s="18" t="str">
        <f aca="false">IF($A79="","",SUMIFS(PERLINE!$U$2:$U$3001,PERLINE!$N$2:$N$3001,$A79,PERLINE!$AK$2:$AK$3001,1))</f>
        <v/>
      </c>
      <c r="I79" s="19" t="str">
        <f aca="false">IF($A79="","",H79*G79)</f>
        <v/>
      </c>
      <c r="J79" s="19" t="str">
        <f aca="false">IF($A79="","",F79+I79)</f>
        <v/>
      </c>
      <c r="K79" s="19" t="str">
        <f aca="false">IF($A79="","",H79+E79)</f>
        <v/>
      </c>
      <c r="L79" s="20" t="str">
        <f aca="false">IF($A79="","",K79-J79-N79)</f>
        <v/>
      </c>
      <c r="M79" s="15" t="str">
        <f aca="false">IF($A79="","",INDEX(PERLINE!$A$2:$A$3001,MATCH($A79,PERLINE!$N$2:$N$3001,0)))</f>
        <v/>
      </c>
      <c r="N79" s="21" t="str">
        <f aca="false">IF($A79="","",SUMIFS(PERLINE!$M$2:$M$3001,PERLINE!$N$2:$N$3001,$A79))</f>
        <v/>
      </c>
    </row>
    <row r="80" customFormat="false" ht="15.75" hidden="false" customHeight="true" outlineLevel="0" collapsed="false">
      <c r="A80" s="15" t="str">
        <f aca="false">IF(ROWS($A$2:$A80)&lt;=Check!$C$4,SMALL(PERLINE!$AL$2:$AL$3001,ROWS($A$2:$A80)),"")</f>
        <v/>
      </c>
      <c r="B80" s="15" t="str">
        <f aca="false">IF($A80="","",INDEX(PERLINE!$J$2:$J$3001,MATCH($A80,PERLINE!$N$2:$N$3001,0)))</f>
        <v/>
      </c>
      <c r="C80" s="16" t="str">
        <f aca="false">IF($A80="","",INDEX(PERLINE!$I$2:$I$3001,MATCH($A80,PERLINE!$N$2:$N$3001,0)))</f>
        <v/>
      </c>
      <c r="D80" s="17" t="str">
        <f aca="false">IF($A80="","",'كشف المطالبة'!$D$6)</f>
        <v/>
      </c>
      <c r="E80" s="18" t="str">
        <f aca="false">IF($A80="","",SUMIFS(PERLINE!$U$2:$U$3001,PERLINE!$N$2:$N$3001,$A80,PERLINE!$AK$2:$AK$3001,0))</f>
        <v/>
      </c>
      <c r="F80" s="19" t="str">
        <f aca="false">IF($A80="","",E80*D80)</f>
        <v/>
      </c>
      <c r="G80" s="17" t="str">
        <f aca="false">IF($A80="","",'كشف المطالبة'!$D$5)</f>
        <v/>
      </c>
      <c r="H80" s="18" t="str">
        <f aca="false">IF($A80="","",SUMIFS(PERLINE!$U$2:$U$3001,PERLINE!$N$2:$N$3001,$A80,PERLINE!$AK$2:$AK$3001,1))</f>
        <v/>
      </c>
      <c r="I80" s="19" t="str">
        <f aca="false">IF($A80="","",H80*G80)</f>
        <v/>
      </c>
      <c r="J80" s="19" t="str">
        <f aca="false">IF($A80="","",F80+I80)</f>
        <v/>
      </c>
      <c r="K80" s="19" t="str">
        <f aca="false">IF($A80="","",H80+E80)</f>
        <v/>
      </c>
      <c r="L80" s="20" t="str">
        <f aca="false">IF($A80="","",K80-J80-N80)</f>
        <v/>
      </c>
      <c r="M80" s="15" t="str">
        <f aca="false">IF($A80="","",INDEX(PERLINE!$A$2:$A$3001,MATCH($A80,PERLINE!$N$2:$N$3001,0)))</f>
        <v/>
      </c>
      <c r="N80" s="21" t="str">
        <f aca="false">IF($A80="","",SUMIFS(PERLINE!$M$2:$M$3001,PERLINE!$N$2:$N$3001,$A80))</f>
        <v/>
      </c>
    </row>
    <row r="81" customFormat="false" ht="15.75" hidden="false" customHeight="true" outlineLevel="0" collapsed="false">
      <c r="A81" s="15" t="str">
        <f aca="false">IF(ROWS($A$2:$A81)&lt;=Check!$C$4,SMALL(PERLINE!$AL$2:$AL$3001,ROWS($A$2:$A81)),"")</f>
        <v/>
      </c>
      <c r="B81" s="15" t="str">
        <f aca="false">IF($A81="","",INDEX(PERLINE!$J$2:$J$3001,MATCH($A81,PERLINE!$N$2:$N$3001,0)))</f>
        <v/>
      </c>
      <c r="C81" s="16" t="str">
        <f aca="false">IF($A81="","",INDEX(PERLINE!$I$2:$I$3001,MATCH($A81,PERLINE!$N$2:$N$3001,0)))</f>
        <v/>
      </c>
      <c r="D81" s="17" t="str">
        <f aca="false">IF($A81="","",'كشف المطالبة'!$D$6)</f>
        <v/>
      </c>
      <c r="E81" s="18" t="str">
        <f aca="false">IF($A81="","",SUMIFS(PERLINE!$U$2:$U$3001,PERLINE!$N$2:$N$3001,$A81,PERLINE!$AK$2:$AK$3001,0))</f>
        <v/>
      </c>
      <c r="F81" s="19" t="str">
        <f aca="false">IF($A81="","",E81*D81)</f>
        <v/>
      </c>
      <c r="G81" s="17" t="str">
        <f aca="false">IF($A81="","",'كشف المطالبة'!$D$5)</f>
        <v/>
      </c>
      <c r="H81" s="18" t="str">
        <f aca="false">IF($A81="","",SUMIFS(PERLINE!$U$2:$U$3001,PERLINE!$N$2:$N$3001,$A81,PERLINE!$AK$2:$AK$3001,1))</f>
        <v/>
      </c>
      <c r="I81" s="19" t="str">
        <f aca="false">IF($A81="","",H81*G81)</f>
        <v/>
      </c>
      <c r="J81" s="19" t="str">
        <f aca="false">IF($A81="","",F81+I81)</f>
        <v/>
      </c>
      <c r="K81" s="19" t="str">
        <f aca="false">IF($A81="","",H81+E81)</f>
        <v/>
      </c>
      <c r="L81" s="20" t="str">
        <f aca="false">IF($A81="","",K81-J81-N81)</f>
        <v/>
      </c>
      <c r="M81" s="15" t="str">
        <f aca="false">IF($A81="","",INDEX(PERLINE!$A$2:$A$3001,MATCH($A81,PERLINE!$N$2:$N$3001,0)))</f>
        <v/>
      </c>
      <c r="N81" s="21" t="str">
        <f aca="false">IF($A81="","",SUMIFS(PERLINE!$M$2:$M$3001,PERLINE!$N$2:$N$3001,$A81))</f>
        <v/>
      </c>
    </row>
    <row r="82" customFormat="false" ht="15.75" hidden="false" customHeight="true" outlineLevel="0" collapsed="false">
      <c r="A82" s="15" t="str">
        <f aca="false">IF(ROWS($A$2:$A82)&lt;=Check!$C$4,SMALL(PERLINE!$AL$2:$AL$3001,ROWS($A$2:$A82)),"")</f>
        <v/>
      </c>
      <c r="B82" s="15" t="str">
        <f aca="false">IF($A82="","",INDEX(PERLINE!$J$2:$J$3001,MATCH($A82,PERLINE!$N$2:$N$3001,0)))</f>
        <v/>
      </c>
      <c r="C82" s="16" t="str">
        <f aca="false">IF($A82="","",INDEX(PERLINE!$I$2:$I$3001,MATCH($A82,PERLINE!$N$2:$N$3001,0)))</f>
        <v/>
      </c>
      <c r="D82" s="17" t="str">
        <f aca="false">IF($A82="","",'كشف المطالبة'!$D$6)</f>
        <v/>
      </c>
      <c r="E82" s="18" t="str">
        <f aca="false">IF($A82="","",SUMIFS(PERLINE!$U$2:$U$3001,PERLINE!$N$2:$N$3001,$A82,PERLINE!$AK$2:$AK$3001,0))</f>
        <v/>
      </c>
      <c r="F82" s="19" t="str">
        <f aca="false">IF($A82="","",E82*D82)</f>
        <v/>
      </c>
      <c r="G82" s="17" t="str">
        <f aca="false">IF($A82="","",'كشف المطالبة'!$D$5)</f>
        <v/>
      </c>
      <c r="H82" s="18" t="str">
        <f aca="false">IF($A82="","",SUMIFS(PERLINE!$U$2:$U$3001,PERLINE!$N$2:$N$3001,$A82,PERLINE!$AK$2:$AK$3001,1))</f>
        <v/>
      </c>
      <c r="I82" s="19" t="str">
        <f aca="false">IF($A82="","",H82*G82)</f>
        <v/>
      </c>
      <c r="J82" s="19" t="str">
        <f aca="false">IF($A82="","",F82+I82)</f>
        <v/>
      </c>
      <c r="K82" s="19" t="str">
        <f aca="false">IF($A82="","",H82+E82)</f>
        <v/>
      </c>
      <c r="L82" s="20" t="str">
        <f aca="false">IF($A82="","",K82-J82-N82)</f>
        <v/>
      </c>
      <c r="M82" s="15" t="str">
        <f aca="false">IF($A82="","",INDEX(PERLINE!$A$2:$A$3001,MATCH($A82,PERLINE!$N$2:$N$3001,0)))</f>
        <v/>
      </c>
      <c r="N82" s="21" t="str">
        <f aca="false">IF($A82="","",SUMIFS(PERLINE!$M$2:$M$3001,PERLINE!$N$2:$N$3001,$A82))</f>
        <v/>
      </c>
    </row>
    <row r="83" customFormat="false" ht="15.75" hidden="false" customHeight="true" outlineLevel="0" collapsed="false">
      <c r="A83" s="15" t="str">
        <f aca="false">IF(ROWS($A$2:$A83)&lt;=Check!$C$4,SMALL(PERLINE!$AL$2:$AL$3001,ROWS($A$2:$A83)),"")</f>
        <v/>
      </c>
      <c r="B83" s="15" t="str">
        <f aca="false">IF($A83="","",INDEX(PERLINE!$J$2:$J$3001,MATCH($A83,PERLINE!$N$2:$N$3001,0)))</f>
        <v/>
      </c>
      <c r="C83" s="16" t="str">
        <f aca="false">IF($A83="","",INDEX(PERLINE!$I$2:$I$3001,MATCH($A83,PERLINE!$N$2:$N$3001,0)))</f>
        <v/>
      </c>
      <c r="D83" s="17" t="str">
        <f aca="false">IF($A83="","",'كشف المطالبة'!$D$6)</f>
        <v/>
      </c>
      <c r="E83" s="18" t="str">
        <f aca="false">IF($A83="","",SUMIFS(PERLINE!$U$2:$U$3001,PERLINE!$N$2:$N$3001,$A83,PERLINE!$AK$2:$AK$3001,0))</f>
        <v/>
      </c>
      <c r="F83" s="19" t="str">
        <f aca="false">IF($A83="","",E83*D83)</f>
        <v/>
      </c>
      <c r="G83" s="17" t="str">
        <f aca="false">IF($A83="","",'كشف المطالبة'!$D$5)</f>
        <v/>
      </c>
      <c r="H83" s="18" t="str">
        <f aca="false">IF($A83="","",SUMIFS(PERLINE!$U$2:$U$3001,PERLINE!$N$2:$N$3001,$A83,PERLINE!$AK$2:$AK$3001,1))</f>
        <v/>
      </c>
      <c r="I83" s="19" t="str">
        <f aca="false">IF($A83="","",H83*G83)</f>
        <v/>
      </c>
      <c r="J83" s="19" t="str">
        <f aca="false">IF($A83="","",F83+I83)</f>
        <v/>
      </c>
      <c r="K83" s="19" t="str">
        <f aca="false">IF($A83="","",H83+E83)</f>
        <v/>
      </c>
      <c r="L83" s="20" t="str">
        <f aca="false">IF($A83="","",K83-J83-N83)</f>
        <v/>
      </c>
      <c r="M83" s="15" t="str">
        <f aca="false">IF($A83="","",INDEX(PERLINE!$A$2:$A$3001,MATCH($A83,PERLINE!$N$2:$N$3001,0)))</f>
        <v/>
      </c>
      <c r="N83" s="21" t="str">
        <f aca="false">IF($A83="","",SUMIFS(PERLINE!$M$2:$M$3001,PERLINE!$N$2:$N$3001,$A83))</f>
        <v/>
      </c>
    </row>
    <row r="84" customFormat="false" ht="15.75" hidden="false" customHeight="true" outlineLevel="0" collapsed="false">
      <c r="A84" s="15" t="str">
        <f aca="false">IF(ROWS($A$2:$A84)&lt;=Check!$C$4,SMALL(PERLINE!$AL$2:$AL$3001,ROWS($A$2:$A84)),"")</f>
        <v/>
      </c>
      <c r="B84" s="15" t="str">
        <f aca="false">IF($A84="","",INDEX(PERLINE!$J$2:$J$3001,MATCH($A84,PERLINE!$N$2:$N$3001,0)))</f>
        <v/>
      </c>
      <c r="C84" s="16" t="str">
        <f aca="false">IF($A84="","",INDEX(PERLINE!$I$2:$I$3001,MATCH($A84,PERLINE!$N$2:$N$3001,0)))</f>
        <v/>
      </c>
      <c r="D84" s="17" t="str">
        <f aca="false">IF($A84="","",'كشف المطالبة'!$D$6)</f>
        <v/>
      </c>
      <c r="E84" s="18" t="str">
        <f aca="false">IF($A84="","",SUMIFS(PERLINE!$U$2:$U$3001,PERLINE!$N$2:$N$3001,$A84,PERLINE!$AK$2:$AK$3001,0))</f>
        <v/>
      </c>
      <c r="F84" s="19" t="str">
        <f aca="false">IF($A84="","",E84*D84)</f>
        <v/>
      </c>
      <c r="G84" s="17" t="str">
        <f aca="false">IF($A84="","",'كشف المطالبة'!$D$5)</f>
        <v/>
      </c>
      <c r="H84" s="18" t="str">
        <f aca="false">IF($A84="","",SUMIFS(PERLINE!$U$2:$U$3001,PERLINE!$N$2:$N$3001,$A84,PERLINE!$AK$2:$AK$3001,1))</f>
        <v/>
      </c>
      <c r="I84" s="19" t="str">
        <f aca="false">IF($A84="","",H84*G84)</f>
        <v/>
      </c>
      <c r="J84" s="19" t="str">
        <f aca="false">IF($A84="","",F84+I84)</f>
        <v/>
      </c>
      <c r="K84" s="19" t="str">
        <f aca="false">IF($A84="","",H84+E84)</f>
        <v/>
      </c>
      <c r="L84" s="20" t="str">
        <f aca="false">IF($A84="","",K84-J84-N84)</f>
        <v/>
      </c>
      <c r="M84" s="15" t="str">
        <f aca="false">IF($A84="","",INDEX(PERLINE!$A$2:$A$3001,MATCH($A84,PERLINE!$N$2:$N$3001,0)))</f>
        <v/>
      </c>
      <c r="N84" s="21" t="str">
        <f aca="false">IF($A84="","",SUMIFS(PERLINE!$M$2:$M$3001,PERLINE!$N$2:$N$3001,$A84))</f>
        <v/>
      </c>
    </row>
    <row r="85" customFormat="false" ht="15.75" hidden="false" customHeight="true" outlineLevel="0" collapsed="false">
      <c r="A85" s="15" t="str">
        <f aca="false">IF(ROWS($A$2:$A85)&lt;=Check!$C$4,SMALL(PERLINE!$AL$2:$AL$3001,ROWS($A$2:$A85)),"")</f>
        <v/>
      </c>
      <c r="B85" s="15" t="str">
        <f aca="false">IF($A85="","",INDEX(PERLINE!$J$2:$J$3001,MATCH($A85,PERLINE!$N$2:$N$3001,0)))</f>
        <v/>
      </c>
      <c r="C85" s="16" t="str">
        <f aca="false">IF($A85="","",INDEX(PERLINE!$I$2:$I$3001,MATCH($A85,PERLINE!$N$2:$N$3001,0)))</f>
        <v/>
      </c>
      <c r="D85" s="17" t="str">
        <f aca="false">IF($A85="","",'كشف المطالبة'!$D$6)</f>
        <v/>
      </c>
      <c r="E85" s="18" t="str">
        <f aca="false">IF($A85="","",SUMIFS(PERLINE!$U$2:$U$3001,PERLINE!$N$2:$N$3001,$A85,PERLINE!$AK$2:$AK$3001,0))</f>
        <v/>
      </c>
      <c r="F85" s="19" t="str">
        <f aca="false">IF($A85="","",E85*D85)</f>
        <v/>
      </c>
      <c r="G85" s="17" t="str">
        <f aca="false">IF($A85="","",'كشف المطالبة'!$D$5)</f>
        <v/>
      </c>
      <c r="H85" s="18" t="str">
        <f aca="false">IF($A85="","",SUMIFS(PERLINE!$U$2:$U$3001,PERLINE!$N$2:$N$3001,$A85,PERLINE!$AK$2:$AK$3001,1))</f>
        <v/>
      </c>
      <c r="I85" s="19" t="str">
        <f aca="false">IF($A85="","",H85*G85)</f>
        <v/>
      </c>
      <c r="J85" s="19" t="str">
        <f aca="false">IF($A85="","",F85+I85)</f>
        <v/>
      </c>
      <c r="K85" s="19" t="str">
        <f aca="false">IF($A85="","",H85+E85)</f>
        <v/>
      </c>
      <c r="L85" s="20" t="str">
        <f aca="false">IF($A85="","",K85-J85-N85)</f>
        <v/>
      </c>
      <c r="M85" s="15" t="str">
        <f aca="false">IF($A85="","",INDEX(PERLINE!$A$2:$A$3001,MATCH($A85,PERLINE!$N$2:$N$3001,0)))</f>
        <v/>
      </c>
      <c r="N85" s="21" t="str">
        <f aca="false">IF($A85="","",SUMIFS(PERLINE!$M$2:$M$3001,PERLINE!$N$2:$N$3001,$A85))</f>
        <v/>
      </c>
    </row>
    <row r="86" customFormat="false" ht="15.75" hidden="false" customHeight="true" outlineLevel="0" collapsed="false">
      <c r="A86" s="15" t="str">
        <f aca="false">IF(ROWS($A$2:$A86)&lt;=Check!$C$4,SMALL(PERLINE!$AL$2:$AL$3001,ROWS($A$2:$A86)),"")</f>
        <v/>
      </c>
      <c r="B86" s="15" t="str">
        <f aca="false">IF($A86="","",INDEX(PERLINE!$J$2:$J$3001,MATCH($A86,PERLINE!$N$2:$N$3001,0)))</f>
        <v/>
      </c>
      <c r="C86" s="16" t="str">
        <f aca="false">IF($A86="","",INDEX(PERLINE!$I$2:$I$3001,MATCH($A86,PERLINE!$N$2:$N$3001,0)))</f>
        <v/>
      </c>
      <c r="D86" s="17" t="str">
        <f aca="false">IF($A86="","",'كشف المطالبة'!$D$6)</f>
        <v/>
      </c>
      <c r="E86" s="18" t="str">
        <f aca="false">IF($A86="","",SUMIFS(PERLINE!$U$2:$U$3001,PERLINE!$N$2:$N$3001,$A86,PERLINE!$AK$2:$AK$3001,0))</f>
        <v/>
      </c>
      <c r="F86" s="19" t="str">
        <f aca="false">IF($A86="","",E86*D86)</f>
        <v/>
      </c>
      <c r="G86" s="17" t="str">
        <f aca="false">IF($A86="","",'كشف المطالبة'!$D$5)</f>
        <v/>
      </c>
      <c r="H86" s="18" t="str">
        <f aca="false">IF($A86="","",SUMIFS(PERLINE!$U$2:$U$3001,PERLINE!$N$2:$N$3001,$A86,PERLINE!$AK$2:$AK$3001,1))</f>
        <v/>
      </c>
      <c r="I86" s="19" t="str">
        <f aca="false">IF($A86="","",H86*G86)</f>
        <v/>
      </c>
      <c r="J86" s="19" t="str">
        <f aca="false">IF($A86="","",F86+I86)</f>
        <v/>
      </c>
      <c r="K86" s="19" t="str">
        <f aca="false">IF($A86="","",H86+E86)</f>
        <v/>
      </c>
      <c r="L86" s="20" t="str">
        <f aca="false">IF($A86="","",K86-J86-N86)</f>
        <v/>
      </c>
      <c r="M86" s="15" t="str">
        <f aca="false">IF($A86="","",INDEX(PERLINE!$A$2:$A$3001,MATCH($A86,PERLINE!$N$2:$N$3001,0)))</f>
        <v/>
      </c>
      <c r="N86" s="21" t="str">
        <f aca="false">IF($A86="","",SUMIFS(PERLINE!$M$2:$M$3001,PERLINE!$N$2:$N$3001,$A86))</f>
        <v/>
      </c>
    </row>
    <row r="87" customFormat="false" ht="15.75" hidden="false" customHeight="true" outlineLevel="0" collapsed="false">
      <c r="A87" s="15" t="str">
        <f aca="false">IF(ROWS($A$2:$A87)&lt;=Check!$C$4,SMALL(PERLINE!$AL$2:$AL$3001,ROWS($A$2:$A87)),"")</f>
        <v/>
      </c>
      <c r="B87" s="15" t="str">
        <f aca="false">IF($A87="","",INDEX(PERLINE!$J$2:$J$3001,MATCH($A87,PERLINE!$N$2:$N$3001,0)))</f>
        <v/>
      </c>
      <c r="C87" s="16" t="str">
        <f aca="false">IF($A87="","",INDEX(PERLINE!$I$2:$I$3001,MATCH($A87,PERLINE!$N$2:$N$3001,0)))</f>
        <v/>
      </c>
      <c r="D87" s="17" t="str">
        <f aca="false">IF($A87="","",'كشف المطالبة'!$D$6)</f>
        <v/>
      </c>
      <c r="E87" s="18" t="str">
        <f aca="false">IF($A87="","",SUMIFS(PERLINE!$U$2:$U$3001,PERLINE!$N$2:$N$3001,$A87,PERLINE!$AK$2:$AK$3001,0))</f>
        <v/>
      </c>
      <c r="F87" s="19" t="str">
        <f aca="false">IF($A87="","",E87*D87)</f>
        <v/>
      </c>
      <c r="G87" s="17" t="str">
        <f aca="false">IF($A87="","",'كشف المطالبة'!$D$5)</f>
        <v/>
      </c>
      <c r="H87" s="18" t="str">
        <f aca="false">IF($A87="","",SUMIFS(PERLINE!$U$2:$U$3001,PERLINE!$N$2:$N$3001,$A87,PERLINE!$AK$2:$AK$3001,1))</f>
        <v/>
      </c>
      <c r="I87" s="19" t="str">
        <f aca="false">IF($A87="","",H87*G87)</f>
        <v/>
      </c>
      <c r="J87" s="19" t="str">
        <f aca="false">IF($A87="","",F87+I87)</f>
        <v/>
      </c>
      <c r="K87" s="19" t="str">
        <f aca="false">IF($A87="","",H87+E87)</f>
        <v/>
      </c>
      <c r="L87" s="20" t="str">
        <f aca="false">IF($A87="","",K87-J87-N87)</f>
        <v/>
      </c>
      <c r="M87" s="15" t="str">
        <f aca="false">IF($A87="","",INDEX(PERLINE!$A$2:$A$3001,MATCH($A87,PERLINE!$N$2:$N$3001,0)))</f>
        <v/>
      </c>
      <c r="N87" s="21" t="str">
        <f aca="false">IF($A87="","",SUMIFS(PERLINE!$M$2:$M$3001,PERLINE!$N$2:$N$3001,$A87))</f>
        <v/>
      </c>
    </row>
    <row r="88" customFormat="false" ht="15.75" hidden="false" customHeight="true" outlineLevel="0" collapsed="false">
      <c r="A88" s="15" t="str">
        <f aca="false">IF(ROWS($A$2:$A88)&lt;=Check!$C$4,SMALL(PERLINE!$AL$2:$AL$3001,ROWS($A$2:$A88)),"")</f>
        <v/>
      </c>
      <c r="B88" s="15" t="str">
        <f aca="false">IF($A88="","",INDEX(PERLINE!$J$2:$J$3001,MATCH($A88,PERLINE!$N$2:$N$3001,0)))</f>
        <v/>
      </c>
      <c r="C88" s="16" t="str">
        <f aca="false">IF($A88="","",INDEX(PERLINE!$I$2:$I$3001,MATCH($A88,PERLINE!$N$2:$N$3001,0)))</f>
        <v/>
      </c>
      <c r="D88" s="17" t="str">
        <f aca="false">IF($A88="","",'كشف المطالبة'!$D$6)</f>
        <v/>
      </c>
      <c r="E88" s="18" t="str">
        <f aca="false">IF($A88="","",SUMIFS(PERLINE!$U$2:$U$3001,PERLINE!$N$2:$N$3001,$A88,PERLINE!$AK$2:$AK$3001,0))</f>
        <v/>
      </c>
      <c r="F88" s="19" t="str">
        <f aca="false">IF($A88="","",E88*D88)</f>
        <v/>
      </c>
      <c r="G88" s="17" t="str">
        <f aca="false">IF($A88="","",'كشف المطالبة'!$D$5)</f>
        <v/>
      </c>
      <c r="H88" s="18" t="str">
        <f aca="false">IF($A88="","",SUMIFS(PERLINE!$U$2:$U$3001,PERLINE!$N$2:$N$3001,$A88,PERLINE!$AK$2:$AK$3001,1))</f>
        <v/>
      </c>
      <c r="I88" s="19" t="str">
        <f aca="false">IF($A88="","",H88*G88)</f>
        <v/>
      </c>
      <c r="J88" s="19" t="str">
        <f aca="false">IF($A88="","",F88+I88)</f>
        <v/>
      </c>
      <c r="K88" s="19" t="str">
        <f aca="false">IF($A88="","",H88+E88)</f>
        <v/>
      </c>
      <c r="L88" s="20" t="str">
        <f aca="false">IF($A88="","",K88-J88-N88)</f>
        <v/>
      </c>
      <c r="M88" s="15" t="str">
        <f aca="false">IF($A88="","",INDEX(PERLINE!$A$2:$A$3001,MATCH($A88,PERLINE!$N$2:$N$3001,0)))</f>
        <v/>
      </c>
      <c r="N88" s="21" t="str">
        <f aca="false">IF($A88="","",SUMIFS(PERLINE!$M$2:$M$3001,PERLINE!$N$2:$N$3001,$A88))</f>
        <v/>
      </c>
    </row>
    <row r="89" customFormat="false" ht="15.75" hidden="false" customHeight="true" outlineLevel="0" collapsed="false">
      <c r="A89" s="15" t="str">
        <f aca="false">IF(ROWS($A$2:$A89)&lt;=Check!$C$4,SMALL(PERLINE!$AL$2:$AL$3001,ROWS($A$2:$A89)),"")</f>
        <v/>
      </c>
      <c r="B89" s="15" t="str">
        <f aca="false">IF($A89="","",INDEX(PERLINE!$J$2:$J$3001,MATCH($A89,PERLINE!$N$2:$N$3001,0)))</f>
        <v/>
      </c>
      <c r="C89" s="16" t="str">
        <f aca="false">IF($A89="","",INDEX(PERLINE!$I$2:$I$3001,MATCH($A89,PERLINE!$N$2:$N$3001,0)))</f>
        <v/>
      </c>
      <c r="D89" s="17" t="str">
        <f aca="false">IF($A89="","",'كشف المطالبة'!$D$6)</f>
        <v/>
      </c>
      <c r="E89" s="18" t="str">
        <f aca="false">IF($A89="","",SUMIFS(PERLINE!$U$2:$U$3001,PERLINE!$N$2:$N$3001,$A89,PERLINE!$AK$2:$AK$3001,0))</f>
        <v/>
      </c>
      <c r="F89" s="19" t="str">
        <f aca="false">IF($A89="","",E89*D89)</f>
        <v/>
      </c>
      <c r="G89" s="17" t="str">
        <f aca="false">IF($A89="","",'كشف المطالبة'!$D$5)</f>
        <v/>
      </c>
      <c r="H89" s="18" t="str">
        <f aca="false">IF($A89="","",SUMIFS(PERLINE!$U$2:$U$3001,PERLINE!$N$2:$N$3001,$A89,PERLINE!$AK$2:$AK$3001,1))</f>
        <v/>
      </c>
      <c r="I89" s="19" t="str">
        <f aca="false">IF($A89="","",H89*G89)</f>
        <v/>
      </c>
      <c r="J89" s="19" t="str">
        <f aca="false">IF($A89="","",F89+I89)</f>
        <v/>
      </c>
      <c r="K89" s="19" t="str">
        <f aca="false">IF($A89="","",H89+E89)</f>
        <v/>
      </c>
      <c r="L89" s="20" t="str">
        <f aca="false">IF($A89="","",K89-J89-N89)</f>
        <v/>
      </c>
      <c r="M89" s="15" t="str">
        <f aca="false">IF($A89="","",INDEX(PERLINE!$A$2:$A$3001,MATCH($A89,PERLINE!$N$2:$N$3001,0)))</f>
        <v/>
      </c>
      <c r="N89" s="21" t="str">
        <f aca="false">IF($A89="","",SUMIFS(PERLINE!$M$2:$M$3001,PERLINE!$N$2:$N$3001,$A89))</f>
        <v/>
      </c>
    </row>
    <row r="90" customFormat="false" ht="15.75" hidden="false" customHeight="true" outlineLevel="0" collapsed="false">
      <c r="A90" s="15" t="str">
        <f aca="false">IF(ROWS($A$2:$A90)&lt;=Check!$C$4,SMALL(PERLINE!$AL$2:$AL$3001,ROWS($A$2:$A90)),"")</f>
        <v/>
      </c>
      <c r="B90" s="15" t="str">
        <f aca="false">IF($A90="","",INDEX(PERLINE!$J$2:$J$3001,MATCH($A90,PERLINE!$N$2:$N$3001,0)))</f>
        <v/>
      </c>
      <c r="C90" s="16" t="str">
        <f aca="false">IF($A90="","",INDEX(PERLINE!$I$2:$I$3001,MATCH($A90,PERLINE!$N$2:$N$3001,0)))</f>
        <v/>
      </c>
      <c r="D90" s="17" t="str">
        <f aca="false">IF($A90="","",'كشف المطالبة'!$D$6)</f>
        <v/>
      </c>
      <c r="E90" s="18" t="str">
        <f aca="false">IF($A90="","",SUMIFS(PERLINE!$U$2:$U$3001,PERLINE!$N$2:$N$3001,$A90,PERLINE!$AK$2:$AK$3001,0))</f>
        <v/>
      </c>
      <c r="F90" s="19" t="str">
        <f aca="false">IF($A90="","",E90*D90)</f>
        <v/>
      </c>
      <c r="G90" s="17" t="str">
        <f aca="false">IF($A90="","",'كشف المطالبة'!$D$5)</f>
        <v/>
      </c>
      <c r="H90" s="18" t="str">
        <f aca="false">IF($A90="","",SUMIFS(PERLINE!$U$2:$U$3001,PERLINE!$N$2:$N$3001,$A90,PERLINE!$AK$2:$AK$3001,1))</f>
        <v/>
      </c>
      <c r="I90" s="19" t="str">
        <f aca="false">IF($A90="","",H90*G90)</f>
        <v/>
      </c>
      <c r="J90" s="19" t="str">
        <f aca="false">IF($A90="","",F90+I90)</f>
        <v/>
      </c>
      <c r="K90" s="19" t="str">
        <f aca="false">IF($A90="","",H90+E90)</f>
        <v/>
      </c>
      <c r="L90" s="20" t="str">
        <f aca="false">IF($A90="","",K90-J90-N90)</f>
        <v/>
      </c>
      <c r="M90" s="15" t="str">
        <f aca="false">IF($A90="","",INDEX(PERLINE!$A$2:$A$3001,MATCH($A90,PERLINE!$N$2:$N$3001,0)))</f>
        <v/>
      </c>
      <c r="N90" s="21" t="str">
        <f aca="false">IF($A90="","",SUMIFS(PERLINE!$M$2:$M$3001,PERLINE!$N$2:$N$3001,$A90))</f>
        <v/>
      </c>
    </row>
    <row r="91" customFormat="false" ht="15.75" hidden="false" customHeight="true" outlineLevel="0" collapsed="false">
      <c r="A91" s="15" t="str">
        <f aca="false">IF(ROWS($A$2:$A91)&lt;=Check!$C$4,SMALL(PERLINE!$AL$2:$AL$3001,ROWS($A$2:$A91)),"")</f>
        <v/>
      </c>
      <c r="B91" s="15" t="str">
        <f aca="false">IF($A91="","",INDEX(PERLINE!$J$2:$J$3001,MATCH($A91,PERLINE!$N$2:$N$3001,0)))</f>
        <v/>
      </c>
      <c r="C91" s="16" t="str">
        <f aca="false">IF($A91="","",INDEX(PERLINE!$I$2:$I$3001,MATCH($A91,PERLINE!$N$2:$N$3001,0)))</f>
        <v/>
      </c>
      <c r="D91" s="17" t="str">
        <f aca="false">IF($A91="","",'كشف المطالبة'!$D$6)</f>
        <v/>
      </c>
      <c r="E91" s="18" t="str">
        <f aca="false">IF($A91="","",SUMIFS(PERLINE!$U$2:$U$3001,PERLINE!$N$2:$N$3001,$A91,PERLINE!$AK$2:$AK$3001,0))</f>
        <v/>
      </c>
      <c r="F91" s="19" t="str">
        <f aca="false">IF($A91="","",E91*D91)</f>
        <v/>
      </c>
      <c r="G91" s="17" t="str">
        <f aca="false">IF($A91="","",'كشف المطالبة'!$D$5)</f>
        <v/>
      </c>
      <c r="H91" s="18" t="str">
        <f aca="false">IF($A91="","",SUMIFS(PERLINE!$U$2:$U$3001,PERLINE!$N$2:$N$3001,$A91,PERLINE!$AK$2:$AK$3001,1))</f>
        <v/>
      </c>
      <c r="I91" s="19" t="str">
        <f aca="false">IF($A91="","",H91*G91)</f>
        <v/>
      </c>
      <c r="J91" s="19" t="str">
        <f aca="false">IF($A91="","",F91+I91)</f>
        <v/>
      </c>
      <c r="K91" s="19" t="str">
        <f aca="false">IF($A91="","",H91+E91)</f>
        <v/>
      </c>
      <c r="L91" s="20" t="str">
        <f aca="false">IF($A91="","",K91-J91-N91)</f>
        <v/>
      </c>
      <c r="M91" s="15" t="str">
        <f aca="false">IF($A91="","",INDEX(PERLINE!$A$2:$A$3001,MATCH($A91,PERLINE!$N$2:$N$3001,0)))</f>
        <v/>
      </c>
      <c r="N91" s="21" t="str">
        <f aca="false">IF($A91="","",SUMIFS(PERLINE!$M$2:$M$3001,PERLINE!$N$2:$N$3001,$A91))</f>
        <v/>
      </c>
    </row>
    <row r="92" customFormat="false" ht="15.75" hidden="false" customHeight="true" outlineLevel="0" collapsed="false">
      <c r="A92" s="15" t="str">
        <f aca="false">IF(ROWS($A$2:$A92)&lt;=Check!$C$4,SMALL(PERLINE!$AL$2:$AL$3001,ROWS($A$2:$A92)),"")</f>
        <v/>
      </c>
      <c r="B92" s="15" t="str">
        <f aca="false">IF($A92="","",INDEX(PERLINE!$J$2:$J$3001,MATCH($A92,PERLINE!$N$2:$N$3001,0)))</f>
        <v/>
      </c>
      <c r="C92" s="16" t="str">
        <f aca="false">IF($A92="","",INDEX(PERLINE!$I$2:$I$3001,MATCH($A92,PERLINE!$N$2:$N$3001,0)))</f>
        <v/>
      </c>
      <c r="D92" s="17" t="str">
        <f aca="false">IF($A92="","",'كشف المطالبة'!$D$6)</f>
        <v/>
      </c>
      <c r="E92" s="18" t="str">
        <f aca="false">IF($A92="","",SUMIFS(PERLINE!$U$2:$U$3001,PERLINE!$N$2:$N$3001,$A92,PERLINE!$AK$2:$AK$3001,0))</f>
        <v/>
      </c>
      <c r="F92" s="19" t="str">
        <f aca="false">IF($A92="","",E92*D92)</f>
        <v/>
      </c>
      <c r="G92" s="17" t="str">
        <f aca="false">IF($A92="","",'كشف المطالبة'!$D$5)</f>
        <v/>
      </c>
      <c r="H92" s="18" t="str">
        <f aca="false">IF($A92="","",SUMIFS(PERLINE!$U$2:$U$3001,PERLINE!$N$2:$N$3001,$A92,PERLINE!$AK$2:$AK$3001,1))</f>
        <v/>
      </c>
      <c r="I92" s="19" t="str">
        <f aca="false">IF($A92="","",H92*G92)</f>
        <v/>
      </c>
      <c r="J92" s="19" t="str">
        <f aca="false">IF($A92="","",F92+I92)</f>
        <v/>
      </c>
      <c r="K92" s="19" t="str">
        <f aca="false">IF($A92="","",H92+E92)</f>
        <v/>
      </c>
      <c r="L92" s="20" t="str">
        <f aca="false">IF($A92="","",K92-J92-N92)</f>
        <v/>
      </c>
      <c r="M92" s="15" t="str">
        <f aca="false">IF($A92="","",INDEX(PERLINE!$A$2:$A$3001,MATCH($A92,PERLINE!$N$2:$N$3001,0)))</f>
        <v/>
      </c>
      <c r="N92" s="21" t="str">
        <f aca="false">IF($A92="","",SUMIFS(PERLINE!$M$2:$M$3001,PERLINE!$N$2:$N$3001,$A92))</f>
        <v/>
      </c>
    </row>
    <row r="93" customFormat="false" ht="15.75" hidden="false" customHeight="true" outlineLevel="0" collapsed="false">
      <c r="A93" s="15" t="str">
        <f aca="false">IF(ROWS($A$2:$A93)&lt;=Check!$C$4,SMALL(PERLINE!$AL$2:$AL$3001,ROWS($A$2:$A93)),"")</f>
        <v/>
      </c>
      <c r="B93" s="15" t="str">
        <f aca="false">IF($A93="","",INDEX(PERLINE!$J$2:$J$3001,MATCH($A93,PERLINE!$N$2:$N$3001,0)))</f>
        <v/>
      </c>
      <c r="C93" s="16" t="str">
        <f aca="false">IF($A93="","",INDEX(PERLINE!$I$2:$I$3001,MATCH($A93,PERLINE!$N$2:$N$3001,0)))</f>
        <v/>
      </c>
      <c r="D93" s="17" t="str">
        <f aca="false">IF($A93="","",'كشف المطالبة'!$D$6)</f>
        <v/>
      </c>
      <c r="E93" s="18" t="str">
        <f aca="false">IF($A93="","",SUMIFS(PERLINE!$U$2:$U$3001,PERLINE!$N$2:$N$3001,$A93,PERLINE!$AK$2:$AK$3001,0))</f>
        <v/>
      </c>
      <c r="F93" s="19" t="str">
        <f aca="false">IF($A93="","",E93*D93)</f>
        <v/>
      </c>
      <c r="G93" s="17" t="str">
        <f aca="false">IF($A93="","",'كشف المطالبة'!$D$5)</f>
        <v/>
      </c>
      <c r="H93" s="18" t="str">
        <f aca="false">IF($A93="","",SUMIFS(PERLINE!$U$2:$U$3001,PERLINE!$N$2:$N$3001,$A93,PERLINE!$AK$2:$AK$3001,1))</f>
        <v/>
      </c>
      <c r="I93" s="19" t="str">
        <f aca="false">IF($A93="","",H93*G93)</f>
        <v/>
      </c>
      <c r="J93" s="19" t="str">
        <f aca="false">IF($A93="","",F93+I93)</f>
        <v/>
      </c>
      <c r="K93" s="19" t="str">
        <f aca="false">IF($A93="","",H93+E93)</f>
        <v/>
      </c>
      <c r="L93" s="20" t="str">
        <f aca="false">IF($A93="","",K93-J93-N93)</f>
        <v/>
      </c>
      <c r="M93" s="15" t="str">
        <f aca="false">IF($A93="","",INDEX(PERLINE!$A$2:$A$3001,MATCH($A93,PERLINE!$N$2:$N$3001,0)))</f>
        <v/>
      </c>
      <c r="N93" s="21" t="str">
        <f aca="false">IF($A93="","",SUMIFS(PERLINE!$M$2:$M$3001,PERLINE!$N$2:$N$3001,$A93))</f>
        <v/>
      </c>
    </row>
    <row r="94" customFormat="false" ht="15.75" hidden="false" customHeight="true" outlineLevel="0" collapsed="false">
      <c r="A94" s="15" t="str">
        <f aca="false">IF(ROWS($A$2:$A94)&lt;=Check!$C$4,SMALL(PERLINE!$AL$2:$AL$3001,ROWS($A$2:$A94)),"")</f>
        <v/>
      </c>
      <c r="B94" s="15" t="str">
        <f aca="false">IF($A94="","",INDEX(PERLINE!$J$2:$J$3001,MATCH($A94,PERLINE!$N$2:$N$3001,0)))</f>
        <v/>
      </c>
      <c r="C94" s="16" t="str">
        <f aca="false">IF($A94="","",INDEX(PERLINE!$I$2:$I$3001,MATCH($A94,PERLINE!$N$2:$N$3001,0)))</f>
        <v/>
      </c>
      <c r="D94" s="17" t="str">
        <f aca="false">IF($A94="","",'كشف المطالبة'!$D$6)</f>
        <v/>
      </c>
      <c r="E94" s="18" t="str">
        <f aca="false">IF($A94="","",SUMIFS(PERLINE!$U$2:$U$3001,PERLINE!$N$2:$N$3001,$A94,PERLINE!$AK$2:$AK$3001,0))</f>
        <v/>
      </c>
      <c r="F94" s="19" t="str">
        <f aca="false">IF($A94="","",E94*D94)</f>
        <v/>
      </c>
      <c r="G94" s="17" t="str">
        <f aca="false">IF($A94="","",'كشف المطالبة'!$D$5)</f>
        <v/>
      </c>
      <c r="H94" s="18" t="str">
        <f aca="false">IF($A94="","",SUMIFS(PERLINE!$U$2:$U$3001,PERLINE!$N$2:$N$3001,$A94,PERLINE!$AK$2:$AK$3001,1))</f>
        <v/>
      </c>
      <c r="I94" s="19" t="str">
        <f aca="false">IF($A94="","",H94*G94)</f>
        <v/>
      </c>
      <c r="J94" s="19" t="str">
        <f aca="false">IF($A94="","",F94+I94)</f>
        <v/>
      </c>
      <c r="K94" s="19" t="str">
        <f aca="false">IF($A94="","",H94+E94)</f>
        <v/>
      </c>
      <c r="L94" s="20" t="str">
        <f aca="false">IF($A94="","",K94-J94-N94)</f>
        <v/>
      </c>
      <c r="M94" s="15" t="str">
        <f aca="false">IF($A94="","",INDEX(PERLINE!$A$2:$A$3001,MATCH($A94,PERLINE!$N$2:$N$3001,0)))</f>
        <v/>
      </c>
      <c r="N94" s="21" t="str">
        <f aca="false">IF($A94="","",SUMIFS(PERLINE!$M$2:$M$3001,PERLINE!$N$2:$N$3001,$A94))</f>
        <v/>
      </c>
    </row>
    <row r="95" customFormat="false" ht="15.75" hidden="false" customHeight="true" outlineLevel="0" collapsed="false">
      <c r="A95" s="15" t="str">
        <f aca="false">IF(ROWS($A$2:$A95)&lt;=Check!$C$4,SMALL(PERLINE!$AL$2:$AL$3001,ROWS($A$2:$A95)),"")</f>
        <v/>
      </c>
      <c r="B95" s="15" t="str">
        <f aca="false">IF($A95="","",INDEX(PERLINE!$J$2:$J$3001,MATCH($A95,PERLINE!$N$2:$N$3001,0)))</f>
        <v/>
      </c>
      <c r="C95" s="16" t="str">
        <f aca="false">IF($A95="","",INDEX(PERLINE!$I$2:$I$3001,MATCH($A95,PERLINE!$N$2:$N$3001,0)))</f>
        <v/>
      </c>
      <c r="D95" s="17" t="str">
        <f aca="false">IF($A95="","",'كشف المطالبة'!$D$6)</f>
        <v/>
      </c>
      <c r="E95" s="18" t="str">
        <f aca="false">IF($A95="","",SUMIFS(PERLINE!$U$2:$U$3001,PERLINE!$N$2:$N$3001,$A95,PERLINE!$AK$2:$AK$3001,0))</f>
        <v/>
      </c>
      <c r="F95" s="19" t="str">
        <f aca="false">IF($A95="","",E95*D95)</f>
        <v/>
      </c>
      <c r="G95" s="17" t="str">
        <f aca="false">IF($A95="","",'كشف المطالبة'!$D$5)</f>
        <v/>
      </c>
      <c r="H95" s="18" t="str">
        <f aca="false">IF($A95="","",SUMIFS(PERLINE!$U$2:$U$3001,PERLINE!$N$2:$N$3001,$A95,PERLINE!$AK$2:$AK$3001,1))</f>
        <v/>
      </c>
      <c r="I95" s="19" t="str">
        <f aca="false">IF($A95="","",H95*G95)</f>
        <v/>
      </c>
      <c r="J95" s="19" t="str">
        <f aca="false">IF($A95="","",F95+I95)</f>
        <v/>
      </c>
      <c r="K95" s="19" t="str">
        <f aca="false">IF($A95="","",H95+E95)</f>
        <v/>
      </c>
      <c r="L95" s="20" t="str">
        <f aca="false">IF($A95="","",K95-J95-N95)</f>
        <v/>
      </c>
      <c r="M95" s="15" t="str">
        <f aca="false">IF($A95="","",INDEX(PERLINE!$A$2:$A$3001,MATCH($A95,PERLINE!$N$2:$N$3001,0)))</f>
        <v/>
      </c>
      <c r="N95" s="21" t="str">
        <f aca="false">IF($A95="","",SUMIFS(PERLINE!$M$2:$M$3001,PERLINE!$N$2:$N$3001,$A95))</f>
        <v/>
      </c>
    </row>
    <row r="96" customFormat="false" ht="15.75" hidden="false" customHeight="true" outlineLevel="0" collapsed="false">
      <c r="A96" s="15" t="str">
        <f aca="false">IF(ROWS($A$2:$A96)&lt;=Check!$C$4,SMALL(PERLINE!$AL$2:$AL$3001,ROWS($A$2:$A96)),"")</f>
        <v/>
      </c>
      <c r="B96" s="15" t="str">
        <f aca="false">IF($A96="","",INDEX(PERLINE!$J$2:$J$3001,MATCH($A96,PERLINE!$N$2:$N$3001,0)))</f>
        <v/>
      </c>
      <c r="C96" s="16" t="str">
        <f aca="false">IF($A96="","",INDEX(PERLINE!$I$2:$I$3001,MATCH($A96,PERLINE!$N$2:$N$3001,0)))</f>
        <v/>
      </c>
      <c r="D96" s="17" t="str">
        <f aca="false">IF($A96="","",'كشف المطالبة'!$D$6)</f>
        <v/>
      </c>
      <c r="E96" s="18" t="str">
        <f aca="false">IF($A96="","",SUMIFS(PERLINE!$U$2:$U$3001,PERLINE!$N$2:$N$3001,$A96,PERLINE!$AK$2:$AK$3001,0))</f>
        <v/>
      </c>
      <c r="F96" s="19" t="str">
        <f aca="false">IF($A96="","",E96*D96)</f>
        <v/>
      </c>
      <c r="G96" s="17" t="str">
        <f aca="false">IF($A96="","",'كشف المطالبة'!$D$5)</f>
        <v/>
      </c>
      <c r="H96" s="18" t="str">
        <f aca="false">IF($A96="","",SUMIFS(PERLINE!$U$2:$U$3001,PERLINE!$N$2:$N$3001,$A96,PERLINE!$AK$2:$AK$3001,1))</f>
        <v/>
      </c>
      <c r="I96" s="19" t="str">
        <f aca="false">IF($A96="","",H96*G96)</f>
        <v/>
      </c>
      <c r="J96" s="19" t="str">
        <f aca="false">IF($A96="","",F96+I96)</f>
        <v/>
      </c>
      <c r="K96" s="19" t="str">
        <f aca="false">IF($A96="","",H96+E96)</f>
        <v/>
      </c>
      <c r="L96" s="20" t="str">
        <f aca="false">IF($A96="","",K96-J96-N96)</f>
        <v/>
      </c>
      <c r="M96" s="15" t="str">
        <f aca="false">IF($A96="","",INDEX(PERLINE!$A$2:$A$3001,MATCH($A96,PERLINE!$N$2:$N$3001,0)))</f>
        <v/>
      </c>
      <c r="N96" s="21" t="str">
        <f aca="false">IF($A96="","",SUMIFS(PERLINE!$M$2:$M$3001,PERLINE!$N$2:$N$3001,$A96))</f>
        <v/>
      </c>
    </row>
    <row r="97" customFormat="false" ht="15.75" hidden="false" customHeight="true" outlineLevel="0" collapsed="false">
      <c r="A97" s="15" t="str">
        <f aca="false">IF(ROWS($A$2:$A97)&lt;=Check!$C$4,SMALL(PERLINE!$AL$2:$AL$3001,ROWS($A$2:$A97)),"")</f>
        <v/>
      </c>
      <c r="B97" s="15" t="str">
        <f aca="false">IF($A97="","",INDEX(PERLINE!$J$2:$J$3001,MATCH($A97,PERLINE!$N$2:$N$3001,0)))</f>
        <v/>
      </c>
      <c r="C97" s="16" t="str">
        <f aca="false">IF($A97="","",INDEX(PERLINE!$I$2:$I$3001,MATCH($A97,PERLINE!$N$2:$N$3001,0)))</f>
        <v/>
      </c>
      <c r="D97" s="17" t="str">
        <f aca="false">IF($A97="","",'كشف المطالبة'!$D$6)</f>
        <v/>
      </c>
      <c r="E97" s="18" t="str">
        <f aca="false">IF($A97="","",SUMIFS(PERLINE!$U$2:$U$3001,PERLINE!$N$2:$N$3001,$A97,PERLINE!$AK$2:$AK$3001,0))</f>
        <v/>
      </c>
      <c r="F97" s="19" t="str">
        <f aca="false">IF($A97="","",E97*D97)</f>
        <v/>
      </c>
      <c r="G97" s="17" t="str">
        <f aca="false">IF($A97="","",'كشف المطالبة'!$D$5)</f>
        <v/>
      </c>
      <c r="H97" s="18" t="str">
        <f aca="false">IF($A97="","",SUMIFS(PERLINE!$U$2:$U$3001,PERLINE!$N$2:$N$3001,$A97,PERLINE!$AK$2:$AK$3001,1))</f>
        <v/>
      </c>
      <c r="I97" s="19" t="str">
        <f aca="false">IF($A97="","",H97*G97)</f>
        <v/>
      </c>
      <c r="J97" s="19" t="str">
        <f aca="false">IF($A97="","",F97+I97)</f>
        <v/>
      </c>
      <c r="K97" s="19" t="str">
        <f aca="false">IF($A97="","",H97+E97)</f>
        <v/>
      </c>
      <c r="L97" s="20" t="str">
        <f aca="false">IF($A97="","",K97-J97-N97)</f>
        <v/>
      </c>
      <c r="M97" s="15" t="str">
        <f aca="false">IF($A97="","",INDEX(PERLINE!$A$2:$A$3001,MATCH($A97,PERLINE!$N$2:$N$3001,0)))</f>
        <v/>
      </c>
      <c r="N97" s="21" t="str">
        <f aca="false">IF($A97="","",SUMIFS(PERLINE!$M$2:$M$3001,PERLINE!$N$2:$N$3001,$A97))</f>
        <v/>
      </c>
    </row>
    <row r="98" customFormat="false" ht="15.75" hidden="false" customHeight="true" outlineLevel="0" collapsed="false">
      <c r="A98" s="15" t="str">
        <f aca="false">IF(ROWS($A$2:$A98)&lt;=Check!$C$4,SMALL(PERLINE!$AL$2:$AL$3001,ROWS($A$2:$A98)),"")</f>
        <v/>
      </c>
      <c r="B98" s="15" t="str">
        <f aca="false">IF($A98="","",INDEX(PERLINE!$J$2:$J$3001,MATCH($A98,PERLINE!$N$2:$N$3001,0)))</f>
        <v/>
      </c>
      <c r="C98" s="16" t="str">
        <f aca="false">IF($A98="","",INDEX(PERLINE!$I$2:$I$3001,MATCH($A98,PERLINE!$N$2:$N$3001,0)))</f>
        <v/>
      </c>
      <c r="D98" s="17" t="str">
        <f aca="false">IF($A98="","",'كشف المطالبة'!$D$6)</f>
        <v/>
      </c>
      <c r="E98" s="18" t="str">
        <f aca="false">IF($A98="","",SUMIFS(PERLINE!$U$2:$U$3001,PERLINE!$N$2:$N$3001,$A98,PERLINE!$AK$2:$AK$3001,0))</f>
        <v/>
      </c>
      <c r="F98" s="19" t="str">
        <f aca="false">IF($A98="","",E98*D98)</f>
        <v/>
      </c>
      <c r="G98" s="17" t="str">
        <f aca="false">IF($A98="","",'كشف المطالبة'!$D$5)</f>
        <v/>
      </c>
      <c r="H98" s="18" t="str">
        <f aca="false">IF($A98="","",SUMIFS(PERLINE!$U$2:$U$3001,PERLINE!$N$2:$N$3001,$A98,PERLINE!$AK$2:$AK$3001,1))</f>
        <v/>
      </c>
      <c r="I98" s="19" t="str">
        <f aca="false">IF($A98="","",H98*G98)</f>
        <v/>
      </c>
      <c r="J98" s="19" t="str">
        <f aca="false">IF($A98="","",F98+I98)</f>
        <v/>
      </c>
      <c r="K98" s="19" t="str">
        <f aca="false">IF($A98="","",H98+E98)</f>
        <v/>
      </c>
      <c r="L98" s="20" t="str">
        <f aca="false">IF($A98="","",K98-J98-N98)</f>
        <v/>
      </c>
      <c r="M98" s="15" t="str">
        <f aca="false">IF($A98="","",INDEX(PERLINE!$A$2:$A$3001,MATCH($A98,PERLINE!$N$2:$N$3001,0)))</f>
        <v/>
      </c>
      <c r="N98" s="21" t="str">
        <f aca="false">IF($A98="","",SUMIFS(PERLINE!$M$2:$M$3001,PERLINE!$N$2:$N$3001,$A98))</f>
        <v/>
      </c>
    </row>
    <row r="99" customFormat="false" ht="15.75" hidden="false" customHeight="true" outlineLevel="0" collapsed="false">
      <c r="A99" s="15" t="str">
        <f aca="false">IF(ROWS($A$2:$A99)&lt;=Check!$C$4,SMALL(PERLINE!$AL$2:$AL$3001,ROWS($A$2:$A99)),"")</f>
        <v/>
      </c>
      <c r="B99" s="15" t="str">
        <f aca="false">IF($A99="","",INDEX(PERLINE!$J$2:$J$3001,MATCH($A99,PERLINE!$N$2:$N$3001,0)))</f>
        <v/>
      </c>
      <c r="C99" s="16" t="str">
        <f aca="false">IF($A99="","",INDEX(PERLINE!$I$2:$I$3001,MATCH($A99,PERLINE!$N$2:$N$3001,0)))</f>
        <v/>
      </c>
      <c r="D99" s="17" t="str">
        <f aca="false">IF($A99="","",'كشف المطالبة'!$D$6)</f>
        <v/>
      </c>
      <c r="E99" s="18" t="str">
        <f aca="false">IF($A99="","",SUMIFS(PERLINE!$U$2:$U$3001,PERLINE!$N$2:$N$3001,$A99,PERLINE!$AK$2:$AK$3001,0))</f>
        <v/>
      </c>
      <c r="F99" s="19" t="str">
        <f aca="false">IF($A99="","",E99*D99)</f>
        <v/>
      </c>
      <c r="G99" s="17" t="str">
        <f aca="false">IF($A99="","",'كشف المطالبة'!$D$5)</f>
        <v/>
      </c>
      <c r="H99" s="18" t="str">
        <f aca="false">IF($A99="","",SUMIFS(PERLINE!$U$2:$U$3001,PERLINE!$N$2:$N$3001,$A99,PERLINE!$AK$2:$AK$3001,1))</f>
        <v/>
      </c>
      <c r="I99" s="19" t="str">
        <f aca="false">IF($A99="","",H99*G99)</f>
        <v/>
      </c>
      <c r="J99" s="19" t="str">
        <f aca="false">IF($A99="","",F99+I99)</f>
        <v/>
      </c>
      <c r="K99" s="19" t="str">
        <f aca="false">IF($A99="","",H99+E99)</f>
        <v/>
      </c>
      <c r="L99" s="20" t="str">
        <f aca="false">IF($A99="","",K99-J99-N99)</f>
        <v/>
      </c>
      <c r="M99" s="15" t="str">
        <f aca="false">IF($A99="","",INDEX(PERLINE!$A$2:$A$3001,MATCH($A99,PERLINE!$N$2:$N$3001,0)))</f>
        <v/>
      </c>
      <c r="N99" s="21" t="str">
        <f aca="false">IF($A99="","",SUMIFS(PERLINE!$M$2:$M$3001,PERLINE!$N$2:$N$3001,$A99))</f>
        <v/>
      </c>
    </row>
    <row r="100" customFormat="false" ht="15.75" hidden="false" customHeight="true" outlineLevel="0" collapsed="false">
      <c r="A100" s="15" t="str">
        <f aca="false">IF(ROWS($A$2:$A100)&lt;=Check!$C$4,SMALL(PERLINE!$AL$2:$AL$3001,ROWS($A$2:$A100)),"")</f>
        <v/>
      </c>
      <c r="B100" s="15" t="str">
        <f aca="false">IF($A100="","",INDEX(PERLINE!$J$2:$J$3001,MATCH($A100,PERLINE!$N$2:$N$3001,0)))</f>
        <v/>
      </c>
      <c r="C100" s="16" t="str">
        <f aca="false">IF($A100="","",INDEX(PERLINE!$I$2:$I$3001,MATCH($A100,PERLINE!$N$2:$N$3001,0)))</f>
        <v/>
      </c>
      <c r="D100" s="17" t="str">
        <f aca="false">IF($A100="","",'كشف المطالبة'!$D$6)</f>
        <v/>
      </c>
      <c r="E100" s="18" t="str">
        <f aca="false">IF($A100="","",SUMIFS(PERLINE!$U$2:$U$3001,PERLINE!$N$2:$N$3001,$A100,PERLINE!$AK$2:$AK$3001,0))</f>
        <v/>
      </c>
      <c r="F100" s="19" t="str">
        <f aca="false">IF($A100="","",E100*D100)</f>
        <v/>
      </c>
      <c r="G100" s="17" t="str">
        <f aca="false">IF($A100="","",'كشف المطالبة'!$D$5)</f>
        <v/>
      </c>
      <c r="H100" s="18" t="str">
        <f aca="false">IF($A100="","",SUMIFS(PERLINE!$U$2:$U$3001,PERLINE!$N$2:$N$3001,$A100,PERLINE!$AK$2:$AK$3001,1))</f>
        <v/>
      </c>
      <c r="I100" s="19" t="str">
        <f aca="false">IF($A100="","",H100*G100)</f>
        <v/>
      </c>
      <c r="J100" s="19" t="str">
        <f aca="false">IF($A100="","",F100+I100)</f>
        <v/>
      </c>
      <c r="K100" s="19" t="str">
        <f aca="false">IF($A100="","",H100+E100)</f>
        <v/>
      </c>
      <c r="L100" s="20" t="str">
        <f aca="false">IF($A100="","",K100-J100-N100)</f>
        <v/>
      </c>
      <c r="M100" s="15" t="str">
        <f aca="false">IF($A100="","",INDEX(PERLINE!$A$2:$A$3001,MATCH($A100,PERLINE!$N$2:$N$3001,0)))</f>
        <v/>
      </c>
      <c r="N100" s="21" t="str">
        <f aca="false">IF($A100="","",SUMIFS(PERLINE!$M$2:$M$3001,PERLINE!$N$2:$N$3001,$A100))</f>
        <v/>
      </c>
    </row>
    <row r="101" customFormat="false" ht="15.75" hidden="false" customHeight="true" outlineLevel="0" collapsed="false">
      <c r="A101" s="15" t="str">
        <f aca="false">IF(ROWS($A$2:$A101)&lt;=Check!$C$4,SMALL(PERLINE!$AL$2:$AL$3001,ROWS($A$2:$A101)),"")</f>
        <v/>
      </c>
      <c r="B101" s="15" t="str">
        <f aca="false">IF($A101="","",INDEX(PERLINE!$J$2:$J$3001,MATCH($A101,PERLINE!$N$2:$N$3001,0)))</f>
        <v/>
      </c>
      <c r="C101" s="16" t="str">
        <f aca="false">IF($A101="","",INDEX(PERLINE!$I$2:$I$3001,MATCH($A101,PERLINE!$N$2:$N$3001,0)))</f>
        <v/>
      </c>
      <c r="D101" s="17" t="str">
        <f aca="false">IF($A101="","",'كشف المطالبة'!$D$6)</f>
        <v/>
      </c>
      <c r="E101" s="18" t="str">
        <f aca="false">IF($A101="","",SUMIFS(PERLINE!$U$2:$U$3001,PERLINE!$N$2:$N$3001,$A101,PERLINE!$AK$2:$AK$3001,0))</f>
        <v/>
      </c>
      <c r="F101" s="19" t="str">
        <f aca="false">IF($A101="","",E101*D101)</f>
        <v/>
      </c>
      <c r="G101" s="17" t="str">
        <f aca="false">IF($A101="","",'كشف المطالبة'!$D$5)</f>
        <v/>
      </c>
      <c r="H101" s="18" t="str">
        <f aca="false">IF($A101="","",SUMIFS(PERLINE!$U$2:$U$3001,PERLINE!$N$2:$N$3001,$A101,PERLINE!$AK$2:$AK$3001,1))</f>
        <v/>
      </c>
      <c r="I101" s="19" t="str">
        <f aca="false">IF($A101="","",H101*G101)</f>
        <v/>
      </c>
      <c r="J101" s="19" t="str">
        <f aca="false">IF($A101="","",F101+I101)</f>
        <v/>
      </c>
      <c r="K101" s="19" t="str">
        <f aca="false">IF($A101="","",H101+E101)</f>
        <v/>
      </c>
      <c r="L101" s="20" t="str">
        <f aca="false">IF($A101="","",K101-J101-N101)</f>
        <v/>
      </c>
      <c r="M101" s="15" t="str">
        <f aca="false">IF($A101="","",INDEX(PERLINE!$A$2:$A$3001,MATCH($A101,PERLINE!$N$2:$N$3001,0)))</f>
        <v/>
      </c>
      <c r="N101" s="21" t="str">
        <f aca="false">IF($A101="","",SUMIFS(PERLINE!$M$2:$M$3001,PERLINE!$N$2:$N$3001,$A101))</f>
        <v/>
      </c>
    </row>
    <row r="102" customFormat="false" ht="15.75" hidden="false" customHeight="true" outlineLevel="0" collapsed="false">
      <c r="A102" s="15" t="str">
        <f aca="false">IF(ROWS($A$2:$A102)&lt;=Check!$C$4,SMALL(PERLINE!$AL$2:$AL$3001,ROWS($A$2:$A102)),"")</f>
        <v/>
      </c>
      <c r="B102" s="15" t="str">
        <f aca="false">IF($A102="","",INDEX(PERLINE!$J$2:$J$3001,MATCH($A102,PERLINE!$N$2:$N$3001,0)))</f>
        <v/>
      </c>
      <c r="C102" s="16" t="str">
        <f aca="false">IF($A102="","",INDEX(PERLINE!$I$2:$I$3001,MATCH($A102,PERLINE!$N$2:$N$3001,0)))</f>
        <v/>
      </c>
      <c r="D102" s="17" t="str">
        <f aca="false">IF($A102="","",'كشف المطالبة'!$D$6)</f>
        <v/>
      </c>
      <c r="E102" s="18" t="str">
        <f aca="false">IF($A102="","",SUMIFS(PERLINE!$U$2:$U$3001,PERLINE!$N$2:$N$3001,$A102,PERLINE!$AK$2:$AK$3001,0))</f>
        <v/>
      </c>
      <c r="F102" s="19" t="str">
        <f aca="false">IF($A102="","",E102*D102)</f>
        <v/>
      </c>
      <c r="G102" s="17" t="str">
        <f aca="false">IF($A102="","",'كشف المطالبة'!$D$5)</f>
        <v/>
      </c>
      <c r="H102" s="18" t="str">
        <f aca="false">IF($A102="","",SUMIFS(PERLINE!$U$2:$U$3001,PERLINE!$N$2:$N$3001,$A102,PERLINE!$AK$2:$AK$3001,1))</f>
        <v/>
      </c>
      <c r="I102" s="19" t="str">
        <f aca="false">IF($A102="","",H102*G102)</f>
        <v/>
      </c>
      <c r="J102" s="19" t="str">
        <f aca="false">IF($A102="","",F102+I102)</f>
        <v/>
      </c>
      <c r="K102" s="19" t="str">
        <f aca="false">IF($A102="","",H102+E102)</f>
        <v/>
      </c>
      <c r="L102" s="20" t="str">
        <f aca="false">IF($A102="","",K102-J102-N102)</f>
        <v/>
      </c>
      <c r="M102" s="15" t="str">
        <f aca="false">IF($A102="","",INDEX(PERLINE!$A$2:$A$3001,MATCH($A102,PERLINE!$N$2:$N$3001,0)))</f>
        <v/>
      </c>
      <c r="N102" s="21" t="str">
        <f aca="false">IF($A102="","",SUMIFS(PERLINE!$M$2:$M$3001,PERLINE!$N$2:$N$3001,$A102))</f>
        <v/>
      </c>
    </row>
    <row r="103" customFormat="false" ht="15.75" hidden="false" customHeight="true" outlineLevel="0" collapsed="false">
      <c r="A103" s="15" t="str">
        <f aca="false">IF(ROWS($A$2:$A103)&lt;=Check!$C$4,SMALL(PERLINE!$AL$2:$AL$3001,ROWS($A$2:$A103)),"")</f>
        <v/>
      </c>
      <c r="B103" s="15" t="str">
        <f aca="false">IF($A103="","",INDEX(PERLINE!$J$2:$J$3001,MATCH($A103,PERLINE!$N$2:$N$3001,0)))</f>
        <v/>
      </c>
      <c r="C103" s="16" t="str">
        <f aca="false">IF($A103="","",INDEX(PERLINE!$I$2:$I$3001,MATCH($A103,PERLINE!$N$2:$N$3001,0)))</f>
        <v/>
      </c>
      <c r="D103" s="17" t="str">
        <f aca="false">IF($A103="","",'كشف المطالبة'!$D$6)</f>
        <v/>
      </c>
      <c r="E103" s="18" t="str">
        <f aca="false">IF($A103="","",SUMIFS(PERLINE!$U$2:$U$3001,PERLINE!$N$2:$N$3001,$A103,PERLINE!$AK$2:$AK$3001,0))</f>
        <v/>
      </c>
      <c r="F103" s="19" t="str">
        <f aca="false">IF($A103="","",E103*D103)</f>
        <v/>
      </c>
      <c r="G103" s="17" t="str">
        <f aca="false">IF($A103="","",'كشف المطالبة'!$D$5)</f>
        <v/>
      </c>
      <c r="H103" s="18" t="str">
        <f aca="false">IF($A103="","",SUMIFS(PERLINE!$U$2:$U$3001,PERLINE!$N$2:$N$3001,$A103,PERLINE!$AK$2:$AK$3001,1))</f>
        <v/>
      </c>
      <c r="I103" s="19" t="str">
        <f aca="false">IF($A103="","",H103*G103)</f>
        <v/>
      </c>
      <c r="J103" s="19" t="str">
        <f aca="false">IF($A103="","",F103+I103)</f>
        <v/>
      </c>
      <c r="K103" s="19" t="str">
        <f aca="false">IF($A103="","",H103+E103)</f>
        <v/>
      </c>
      <c r="L103" s="20" t="str">
        <f aca="false">IF($A103="","",K103-J103-N103)</f>
        <v/>
      </c>
      <c r="M103" s="15" t="str">
        <f aca="false">IF($A103="","",INDEX(PERLINE!$A$2:$A$3001,MATCH($A103,PERLINE!$N$2:$N$3001,0)))</f>
        <v/>
      </c>
      <c r="N103" s="21" t="str">
        <f aca="false">IF($A103="","",SUMIFS(PERLINE!$M$2:$M$3001,PERLINE!$N$2:$N$3001,$A103))</f>
        <v/>
      </c>
    </row>
    <row r="104" customFormat="false" ht="15.75" hidden="false" customHeight="true" outlineLevel="0" collapsed="false">
      <c r="A104" s="15" t="str">
        <f aca="false">IF(ROWS($A$2:$A104)&lt;=Check!$C$4,SMALL(PERLINE!$AL$2:$AL$3001,ROWS($A$2:$A104)),"")</f>
        <v/>
      </c>
      <c r="B104" s="15" t="str">
        <f aca="false">IF($A104="","",INDEX(PERLINE!$J$2:$J$3001,MATCH($A104,PERLINE!$N$2:$N$3001,0)))</f>
        <v/>
      </c>
      <c r="C104" s="16" t="str">
        <f aca="false">IF($A104="","",INDEX(PERLINE!$I$2:$I$3001,MATCH($A104,PERLINE!$N$2:$N$3001,0)))</f>
        <v/>
      </c>
      <c r="D104" s="17" t="str">
        <f aca="false">IF($A104="","",'كشف المطالبة'!$D$6)</f>
        <v/>
      </c>
      <c r="E104" s="18" t="str">
        <f aca="false">IF($A104="","",SUMIFS(PERLINE!$U$2:$U$3001,PERLINE!$N$2:$N$3001,$A104,PERLINE!$AK$2:$AK$3001,0))</f>
        <v/>
      </c>
      <c r="F104" s="19" t="str">
        <f aca="false">IF($A104="","",E104*D104)</f>
        <v/>
      </c>
      <c r="G104" s="17" t="str">
        <f aca="false">IF($A104="","",'كشف المطالبة'!$D$5)</f>
        <v/>
      </c>
      <c r="H104" s="18" t="str">
        <f aca="false">IF($A104="","",SUMIFS(PERLINE!$U$2:$U$3001,PERLINE!$N$2:$N$3001,$A104,PERLINE!$AK$2:$AK$3001,1))</f>
        <v/>
      </c>
      <c r="I104" s="19" t="str">
        <f aca="false">IF($A104="","",H104*G104)</f>
        <v/>
      </c>
      <c r="J104" s="19" t="str">
        <f aca="false">IF($A104="","",F104+I104)</f>
        <v/>
      </c>
      <c r="K104" s="19" t="str">
        <f aca="false">IF($A104="","",H104+E104)</f>
        <v/>
      </c>
      <c r="L104" s="20" t="str">
        <f aca="false">IF($A104="","",K104-J104-N104)</f>
        <v/>
      </c>
      <c r="M104" s="15" t="str">
        <f aca="false">IF($A104="","",INDEX(PERLINE!$A$2:$A$3001,MATCH($A104,PERLINE!$N$2:$N$3001,0)))</f>
        <v/>
      </c>
      <c r="N104" s="21" t="str">
        <f aca="false">IF($A104="","",SUMIFS(PERLINE!$M$2:$M$3001,PERLINE!$N$2:$N$3001,$A104))</f>
        <v/>
      </c>
    </row>
    <row r="105" customFormat="false" ht="15.75" hidden="false" customHeight="true" outlineLevel="0" collapsed="false">
      <c r="A105" s="15" t="str">
        <f aca="false">IF(ROWS($A$2:$A105)&lt;=Check!$C$4,SMALL(PERLINE!$AL$2:$AL$3001,ROWS($A$2:$A105)),"")</f>
        <v/>
      </c>
      <c r="B105" s="15" t="str">
        <f aca="false">IF($A105="","",INDEX(PERLINE!$J$2:$J$3001,MATCH($A105,PERLINE!$N$2:$N$3001,0)))</f>
        <v/>
      </c>
      <c r="C105" s="16" t="str">
        <f aca="false">IF($A105="","",INDEX(PERLINE!$I$2:$I$3001,MATCH($A105,PERLINE!$N$2:$N$3001,0)))</f>
        <v/>
      </c>
      <c r="D105" s="17" t="str">
        <f aca="false">IF($A105="","",'كشف المطالبة'!$D$6)</f>
        <v/>
      </c>
      <c r="E105" s="18" t="str">
        <f aca="false">IF($A105="","",SUMIFS(PERLINE!$U$2:$U$3001,PERLINE!$N$2:$N$3001,$A105,PERLINE!$AK$2:$AK$3001,0))</f>
        <v/>
      </c>
      <c r="F105" s="19" t="str">
        <f aca="false">IF($A105="","",E105*D105)</f>
        <v/>
      </c>
      <c r="G105" s="17" t="str">
        <f aca="false">IF($A105="","",'كشف المطالبة'!$D$5)</f>
        <v/>
      </c>
      <c r="H105" s="18" t="str">
        <f aca="false">IF($A105="","",SUMIFS(PERLINE!$U$2:$U$3001,PERLINE!$N$2:$N$3001,$A105,PERLINE!$AK$2:$AK$3001,1))</f>
        <v/>
      </c>
      <c r="I105" s="19" t="str">
        <f aca="false">IF($A105="","",H105*G105)</f>
        <v/>
      </c>
      <c r="J105" s="19" t="str">
        <f aca="false">IF($A105="","",F105+I105)</f>
        <v/>
      </c>
      <c r="K105" s="19" t="str">
        <f aca="false">IF($A105="","",H105+E105)</f>
        <v/>
      </c>
      <c r="L105" s="20" t="str">
        <f aca="false">IF($A105="","",K105-J105-N105)</f>
        <v/>
      </c>
      <c r="M105" s="15" t="str">
        <f aca="false">IF($A105="","",INDEX(PERLINE!$A$2:$A$3001,MATCH($A105,PERLINE!$N$2:$N$3001,0)))</f>
        <v/>
      </c>
      <c r="N105" s="21" t="str">
        <f aca="false">IF($A105="","",SUMIFS(PERLINE!$M$2:$M$3001,PERLINE!$N$2:$N$3001,$A105))</f>
        <v/>
      </c>
    </row>
    <row r="106" customFormat="false" ht="15.75" hidden="false" customHeight="true" outlineLevel="0" collapsed="false">
      <c r="A106" s="15" t="str">
        <f aca="false">IF(ROWS($A$2:$A106)&lt;=Check!$C$4,SMALL(PERLINE!$AL$2:$AL$3001,ROWS($A$2:$A106)),"")</f>
        <v/>
      </c>
      <c r="B106" s="15" t="str">
        <f aca="false">IF($A106="","",INDEX(PERLINE!$J$2:$J$3001,MATCH($A106,PERLINE!$N$2:$N$3001,0)))</f>
        <v/>
      </c>
      <c r="C106" s="16" t="str">
        <f aca="false">IF($A106="","",INDEX(PERLINE!$I$2:$I$3001,MATCH($A106,PERLINE!$N$2:$N$3001,0)))</f>
        <v/>
      </c>
      <c r="D106" s="17" t="str">
        <f aca="false">IF($A106="","",'كشف المطالبة'!$D$6)</f>
        <v/>
      </c>
      <c r="E106" s="18" t="str">
        <f aca="false">IF($A106="","",SUMIFS(PERLINE!$U$2:$U$3001,PERLINE!$N$2:$N$3001,$A106,PERLINE!$AK$2:$AK$3001,0))</f>
        <v/>
      </c>
      <c r="F106" s="19" t="str">
        <f aca="false">IF($A106="","",E106*D106)</f>
        <v/>
      </c>
      <c r="G106" s="17" t="str">
        <f aca="false">IF($A106="","",'كشف المطالبة'!$D$5)</f>
        <v/>
      </c>
      <c r="H106" s="18" t="str">
        <f aca="false">IF($A106="","",SUMIFS(PERLINE!$U$2:$U$3001,PERLINE!$N$2:$N$3001,$A106,PERLINE!$AK$2:$AK$3001,1))</f>
        <v/>
      </c>
      <c r="I106" s="19" t="str">
        <f aca="false">IF($A106="","",H106*G106)</f>
        <v/>
      </c>
      <c r="J106" s="19" t="str">
        <f aca="false">IF($A106="","",F106+I106)</f>
        <v/>
      </c>
      <c r="K106" s="19" t="str">
        <f aca="false">IF($A106="","",H106+E106)</f>
        <v/>
      </c>
      <c r="L106" s="20" t="str">
        <f aca="false">IF($A106="","",K106-J106-N106)</f>
        <v/>
      </c>
      <c r="M106" s="15" t="str">
        <f aca="false">IF($A106="","",INDEX(PERLINE!$A$2:$A$3001,MATCH($A106,PERLINE!$N$2:$N$3001,0)))</f>
        <v/>
      </c>
      <c r="N106" s="21" t="str">
        <f aca="false">IF($A106="","",SUMIFS(PERLINE!$M$2:$M$3001,PERLINE!$N$2:$N$3001,$A106))</f>
        <v/>
      </c>
    </row>
    <row r="107" customFormat="false" ht="15.75" hidden="false" customHeight="true" outlineLevel="0" collapsed="false">
      <c r="A107" s="15" t="str">
        <f aca="false">IF(ROWS($A$2:$A107)&lt;=Check!$C$4,SMALL(PERLINE!$AL$2:$AL$3001,ROWS($A$2:$A107)),"")</f>
        <v/>
      </c>
      <c r="B107" s="15" t="str">
        <f aca="false">IF($A107="","",INDEX(PERLINE!$J$2:$J$3001,MATCH($A107,PERLINE!$N$2:$N$3001,0)))</f>
        <v/>
      </c>
      <c r="C107" s="16" t="str">
        <f aca="false">IF($A107="","",INDEX(PERLINE!$I$2:$I$3001,MATCH($A107,PERLINE!$N$2:$N$3001,0)))</f>
        <v/>
      </c>
      <c r="D107" s="17" t="str">
        <f aca="false">IF($A107="","",'كشف المطالبة'!$D$6)</f>
        <v/>
      </c>
      <c r="E107" s="18" t="str">
        <f aca="false">IF($A107="","",SUMIFS(PERLINE!$U$2:$U$3001,PERLINE!$N$2:$N$3001,$A107,PERLINE!$AK$2:$AK$3001,0))</f>
        <v/>
      </c>
      <c r="F107" s="19" t="str">
        <f aca="false">IF($A107="","",E107*D107)</f>
        <v/>
      </c>
      <c r="G107" s="17" t="str">
        <f aca="false">IF($A107="","",'كشف المطالبة'!$D$5)</f>
        <v/>
      </c>
      <c r="H107" s="18" t="str">
        <f aca="false">IF($A107="","",SUMIFS(PERLINE!$U$2:$U$3001,PERLINE!$N$2:$N$3001,$A107,PERLINE!$AK$2:$AK$3001,1))</f>
        <v/>
      </c>
      <c r="I107" s="19" t="str">
        <f aca="false">IF($A107="","",H107*G107)</f>
        <v/>
      </c>
      <c r="J107" s="19" t="str">
        <f aca="false">IF($A107="","",F107+I107)</f>
        <v/>
      </c>
      <c r="K107" s="19" t="str">
        <f aca="false">IF($A107="","",H107+E107)</f>
        <v/>
      </c>
      <c r="L107" s="20" t="str">
        <f aca="false">IF($A107="","",K107-J107-N107)</f>
        <v/>
      </c>
      <c r="M107" s="15" t="str">
        <f aca="false">IF($A107="","",INDEX(PERLINE!$A$2:$A$3001,MATCH($A107,PERLINE!$N$2:$N$3001,0)))</f>
        <v/>
      </c>
      <c r="N107" s="21" t="str">
        <f aca="false">IF($A107="","",SUMIFS(PERLINE!$M$2:$M$3001,PERLINE!$N$2:$N$3001,$A107))</f>
        <v/>
      </c>
    </row>
    <row r="108" customFormat="false" ht="15.75" hidden="false" customHeight="true" outlineLevel="0" collapsed="false">
      <c r="A108" s="15" t="str">
        <f aca="false">IF(ROWS($A$2:$A108)&lt;=Check!$C$4,SMALL(PERLINE!$AL$2:$AL$3001,ROWS($A$2:$A108)),"")</f>
        <v/>
      </c>
      <c r="B108" s="15" t="str">
        <f aca="false">IF($A108="","",INDEX(PERLINE!$J$2:$J$3001,MATCH($A108,PERLINE!$N$2:$N$3001,0)))</f>
        <v/>
      </c>
      <c r="C108" s="16" t="str">
        <f aca="false">IF($A108="","",INDEX(PERLINE!$I$2:$I$3001,MATCH($A108,PERLINE!$N$2:$N$3001,0)))</f>
        <v/>
      </c>
      <c r="D108" s="17" t="str">
        <f aca="false">IF($A108="","",'كشف المطالبة'!$D$6)</f>
        <v/>
      </c>
      <c r="E108" s="18" t="str">
        <f aca="false">IF($A108="","",SUMIFS(PERLINE!$U$2:$U$3001,PERLINE!$N$2:$N$3001,$A108,PERLINE!$AK$2:$AK$3001,0))</f>
        <v/>
      </c>
      <c r="F108" s="19" t="str">
        <f aca="false">IF($A108="","",E108*D108)</f>
        <v/>
      </c>
      <c r="G108" s="17" t="str">
        <f aca="false">IF($A108="","",'كشف المطالبة'!$D$5)</f>
        <v/>
      </c>
      <c r="H108" s="18" t="str">
        <f aca="false">IF($A108="","",SUMIFS(PERLINE!$U$2:$U$3001,PERLINE!$N$2:$N$3001,$A108,PERLINE!$AK$2:$AK$3001,1))</f>
        <v/>
      </c>
      <c r="I108" s="19" t="str">
        <f aca="false">IF($A108="","",H108*G108)</f>
        <v/>
      </c>
      <c r="J108" s="19" t="str">
        <f aca="false">IF($A108="","",F108+I108)</f>
        <v/>
      </c>
      <c r="K108" s="19" t="str">
        <f aca="false">IF($A108="","",H108+E108)</f>
        <v/>
      </c>
      <c r="L108" s="20" t="str">
        <f aca="false">IF($A108="","",K108-J108-N108)</f>
        <v/>
      </c>
      <c r="M108" s="15" t="str">
        <f aca="false">IF($A108="","",INDEX(PERLINE!$A$2:$A$3001,MATCH($A108,PERLINE!$N$2:$N$3001,0)))</f>
        <v/>
      </c>
      <c r="N108" s="21" t="str">
        <f aca="false">IF($A108="","",SUMIFS(PERLINE!$M$2:$M$3001,PERLINE!$N$2:$N$3001,$A108))</f>
        <v/>
      </c>
    </row>
    <row r="109" customFormat="false" ht="15.75" hidden="false" customHeight="true" outlineLevel="0" collapsed="false">
      <c r="A109" s="15" t="str">
        <f aca="false">IF(ROWS($A$2:$A109)&lt;=Check!$C$4,SMALL(PERLINE!$AL$2:$AL$3001,ROWS($A$2:$A109)),"")</f>
        <v/>
      </c>
      <c r="B109" s="15" t="str">
        <f aca="false">IF($A109="","",INDEX(PERLINE!$J$2:$J$3001,MATCH($A109,PERLINE!$N$2:$N$3001,0)))</f>
        <v/>
      </c>
      <c r="C109" s="16" t="str">
        <f aca="false">IF($A109="","",INDEX(PERLINE!$I$2:$I$3001,MATCH($A109,PERLINE!$N$2:$N$3001,0)))</f>
        <v/>
      </c>
      <c r="D109" s="17" t="str">
        <f aca="false">IF($A109="","",'كشف المطالبة'!$D$6)</f>
        <v/>
      </c>
      <c r="E109" s="18" t="str">
        <f aca="false">IF($A109="","",SUMIFS(PERLINE!$U$2:$U$3001,PERLINE!$N$2:$N$3001,$A109,PERLINE!$AK$2:$AK$3001,0))</f>
        <v/>
      </c>
      <c r="F109" s="19" t="str">
        <f aca="false">IF($A109="","",E109*D109)</f>
        <v/>
      </c>
      <c r="G109" s="17" t="str">
        <f aca="false">IF($A109="","",'كشف المطالبة'!$D$5)</f>
        <v/>
      </c>
      <c r="H109" s="18" t="str">
        <f aca="false">IF($A109="","",SUMIFS(PERLINE!$U$2:$U$3001,PERLINE!$N$2:$N$3001,$A109,PERLINE!$AK$2:$AK$3001,1))</f>
        <v/>
      </c>
      <c r="I109" s="19" t="str">
        <f aca="false">IF($A109="","",H109*G109)</f>
        <v/>
      </c>
      <c r="J109" s="19" t="str">
        <f aca="false">IF($A109="","",F109+I109)</f>
        <v/>
      </c>
      <c r="K109" s="19" t="str">
        <f aca="false">IF($A109="","",H109+E109)</f>
        <v/>
      </c>
      <c r="L109" s="20" t="str">
        <f aca="false">IF($A109="","",K109-J109-N109)</f>
        <v/>
      </c>
      <c r="M109" s="15" t="str">
        <f aca="false">IF($A109="","",INDEX(PERLINE!$A$2:$A$3001,MATCH($A109,PERLINE!$N$2:$N$3001,0)))</f>
        <v/>
      </c>
      <c r="N109" s="21" t="str">
        <f aca="false">IF($A109="","",SUMIFS(PERLINE!$M$2:$M$3001,PERLINE!$N$2:$N$3001,$A109))</f>
        <v/>
      </c>
    </row>
    <row r="110" customFormat="false" ht="15.75" hidden="false" customHeight="true" outlineLevel="0" collapsed="false">
      <c r="A110" s="15" t="str">
        <f aca="false">IF(ROWS($A$2:$A110)&lt;=Check!$C$4,SMALL(PERLINE!$AL$2:$AL$3001,ROWS($A$2:$A110)),"")</f>
        <v/>
      </c>
      <c r="B110" s="15" t="str">
        <f aca="false">IF($A110="","",INDEX(PERLINE!$J$2:$J$3001,MATCH($A110,PERLINE!$N$2:$N$3001,0)))</f>
        <v/>
      </c>
      <c r="C110" s="16" t="str">
        <f aca="false">IF($A110="","",INDEX(PERLINE!$I$2:$I$3001,MATCH($A110,PERLINE!$N$2:$N$3001,0)))</f>
        <v/>
      </c>
      <c r="D110" s="17" t="str">
        <f aca="false">IF($A110="","",'كشف المطالبة'!$D$6)</f>
        <v/>
      </c>
      <c r="E110" s="18" t="str">
        <f aca="false">IF($A110="","",SUMIFS(PERLINE!$U$2:$U$3001,PERLINE!$N$2:$N$3001,$A110,PERLINE!$AK$2:$AK$3001,0))</f>
        <v/>
      </c>
      <c r="F110" s="19" t="str">
        <f aca="false">IF($A110="","",E110*D110)</f>
        <v/>
      </c>
      <c r="G110" s="17" t="str">
        <f aca="false">IF($A110="","",'كشف المطالبة'!$D$5)</f>
        <v/>
      </c>
      <c r="H110" s="18" t="str">
        <f aca="false">IF($A110="","",SUMIFS(PERLINE!$U$2:$U$3001,PERLINE!$N$2:$N$3001,$A110,PERLINE!$AK$2:$AK$3001,1))</f>
        <v/>
      </c>
      <c r="I110" s="19" t="str">
        <f aca="false">IF($A110="","",H110*G110)</f>
        <v/>
      </c>
      <c r="J110" s="19" t="str">
        <f aca="false">IF($A110="","",F110+I110)</f>
        <v/>
      </c>
      <c r="K110" s="19" t="str">
        <f aca="false">IF($A110="","",H110+E110)</f>
        <v/>
      </c>
      <c r="L110" s="20" t="str">
        <f aca="false">IF($A110="","",K110-J110-N110)</f>
        <v/>
      </c>
      <c r="M110" s="15" t="str">
        <f aca="false">IF($A110="","",INDEX(PERLINE!$A$2:$A$3001,MATCH($A110,PERLINE!$N$2:$N$3001,0)))</f>
        <v/>
      </c>
      <c r="N110" s="21" t="str">
        <f aca="false">IF($A110="","",SUMIFS(PERLINE!$M$2:$M$3001,PERLINE!$N$2:$N$3001,$A110))</f>
        <v/>
      </c>
    </row>
    <row r="111" customFormat="false" ht="15.75" hidden="false" customHeight="true" outlineLevel="0" collapsed="false">
      <c r="A111" s="15" t="str">
        <f aca="false">IF(ROWS($A$2:$A111)&lt;=Check!$C$4,SMALL(PERLINE!$AL$2:$AL$3001,ROWS($A$2:$A111)),"")</f>
        <v/>
      </c>
      <c r="B111" s="15" t="str">
        <f aca="false">IF($A111="","",INDEX(PERLINE!$J$2:$J$3001,MATCH($A111,PERLINE!$N$2:$N$3001,0)))</f>
        <v/>
      </c>
      <c r="C111" s="16" t="str">
        <f aca="false">IF($A111="","",INDEX(PERLINE!$I$2:$I$3001,MATCH($A111,PERLINE!$N$2:$N$3001,0)))</f>
        <v/>
      </c>
      <c r="D111" s="17" t="str">
        <f aca="false">IF($A111="","",'كشف المطالبة'!$D$6)</f>
        <v/>
      </c>
      <c r="E111" s="18" t="str">
        <f aca="false">IF($A111="","",SUMIFS(PERLINE!$U$2:$U$3001,PERLINE!$N$2:$N$3001,$A111,PERLINE!$AK$2:$AK$3001,0))</f>
        <v/>
      </c>
      <c r="F111" s="19" t="str">
        <f aca="false">IF($A111="","",E111*D111)</f>
        <v/>
      </c>
      <c r="G111" s="17" t="str">
        <f aca="false">IF($A111="","",'كشف المطالبة'!$D$5)</f>
        <v/>
      </c>
      <c r="H111" s="18" t="str">
        <f aca="false">IF($A111="","",SUMIFS(PERLINE!$U$2:$U$3001,PERLINE!$N$2:$N$3001,$A111,PERLINE!$AK$2:$AK$3001,1))</f>
        <v/>
      </c>
      <c r="I111" s="19" t="str">
        <f aca="false">IF($A111="","",H111*G111)</f>
        <v/>
      </c>
      <c r="J111" s="19" t="str">
        <f aca="false">IF($A111="","",F111+I111)</f>
        <v/>
      </c>
      <c r="K111" s="19" t="str">
        <f aca="false">IF($A111="","",H111+E111)</f>
        <v/>
      </c>
      <c r="L111" s="20" t="str">
        <f aca="false">IF($A111="","",K111-J111-N111)</f>
        <v/>
      </c>
      <c r="M111" s="15" t="str">
        <f aca="false">IF($A111="","",INDEX(PERLINE!$A$2:$A$3001,MATCH($A111,PERLINE!$N$2:$N$3001,0)))</f>
        <v/>
      </c>
      <c r="N111" s="21" t="str">
        <f aca="false">IF($A111="","",SUMIFS(PERLINE!$M$2:$M$3001,PERLINE!$N$2:$N$3001,$A111))</f>
        <v/>
      </c>
    </row>
    <row r="112" customFormat="false" ht="15.75" hidden="false" customHeight="true" outlineLevel="0" collapsed="false">
      <c r="A112" s="15" t="str">
        <f aca="false">IF(ROWS($A$2:$A112)&lt;=Check!$C$4,SMALL(PERLINE!$AL$2:$AL$3001,ROWS($A$2:$A112)),"")</f>
        <v/>
      </c>
      <c r="B112" s="15" t="str">
        <f aca="false">IF($A112="","",INDEX(PERLINE!$J$2:$J$3001,MATCH($A112,PERLINE!$N$2:$N$3001,0)))</f>
        <v/>
      </c>
      <c r="C112" s="16" t="str">
        <f aca="false">IF($A112="","",INDEX(PERLINE!$I$2:$I$3001,MATCH($A112,PERLINE!$N$2:$N$3001,0)))</f>
        <v/>
      </c>
      <c r="D112" s="17" t="str">
        <f aca="false">IF($A112="","",'كشف المطالبة'!$D$6)</f>
        <v/>
      </c>
      <c r="E112" s="18" t="str">
        <f aca="false">IF($A112="","",SUMIFS(PERLINE!$U$2:$U$3001,PERLINE!$N$2:$N$3001,$A112,PERLINE!$AK$2:$AK$3001,0))</f>
        <v/>
      </c>
      <c r="F112" s="19" t="str">
        <f aca="false">IF($A112="","",E112*D112)</f>
        <v/>
      </c>
      <c r="G112" s="17" t="str">
        <f aca="false">IF($A112="","",'كشف المطالبة'!$D$5)</f>
        <v/>
      </c>
      <c r="H112" s="18" t="str">
        <f aca="false">IF($A112="","",SUMIFS(PERLINE!$U$2:$U$3001,PERLINE!$N$2:$N$3001,$A112,PERLINE!$AK$2:$AK$3001,1))</f>
        <v/>
      </c>
      <c r="I112" s="19" t="str">
        <f aca="false">IF($A112="","",H112*G112)</f>
        <v/>
      </c>
      <c r="J112" s="19" t="str">
        <f aca="false">IF($A112="","",F112+I112)</f>
        <v/>
      </c>
      <c r="K112" s="19" t="str">
        <f aca="false">IF($A112="","",H112+E112)</f>
        <v/>
      </c>
      <c r="L112" s="20" t="str">
        <f aca="false">IF($A112="","",K112-J112-N112)</f>
        <v/>
      </c>
      <c r="M112" s="15" t="str">
        <f aca="false">IF($A112="","",INDEX(PERLINE!$A$2:$A$3001,MATCH($A112,PERLINE!$N$2:$N$3001,0)))</f>
        <v/>
      </c>
      <c r="N112" s="21" t="str">
        <f aca="false">IF($A112="","",SUMIFS(PERLINE!$M$2:$M$3001,PERLINE!$N$2:$N$3001,$A112))</f>
        <v/>
      </c>
    </row>
    <row r="113" customFormat="false" ht="15.75" hidden="false" customHeight="true" outlineLevel="0" collapsed="false">
      <c r="A113" s="15" t="str">
        <f aca="false">IF(ROWS($A$2:$A113)&lt;=Check!$C$4,SMALL(PERLINE!$AL$2:$AL$3001,ROWS($A$2:$A113)),"")</f>
        <v/>
      </c>
      <c r="B113" s="15" t="str">
        <f aca="false">IF($A113="","",INDEX(PERLINE!$J$2:$J$3001,MATCH($A113,PERLINE!$N$2:$N$3001,0)))</f>
        <v/>
      </c>
      <c r="C113" s="16" t="str">
        <f aca="false">IF($A113="","",INDEX(PERLINE!$I$2:$I$3001,MATCH($A113,PERLINE!$N$2:$N$3001,0)))</f>
        <v/>
      </c>
      <c r="D113" s="17" t="str">
        <f aca="false">IF($A113="","",'كشف المطالبة'!$D$6)</f>
        <v/>
      </c>
      <c r="E113" s="18" t="str">
        <f aca="false">IF($A113="","",SUMIFS(PERLINE!$U$2:$U$3001,PERLINE!$N$2:$N$3001,$A113,PERLINE!$AK$2:$AK$3001,0))</f>
        <v/>
      </c>
      <c r="F113" s="19" t="str">
        <f aca="false">IF($A113="","",E113*D113)</f>
        <v/>
      </c>
      <c r="G113" s="17" t="str">
        <f aca="false">IF($A113="","",'كشف المطالبة'!$D$5)</f>
        <v/>
      </c>
      <c r="H113" s="18" t="str">
        <f aca="false">IF($A113="","",SUMIFS(PERLINE!$U$2:$U$3001,PERLINE!$N$2:$N$3001,$A113,PERLINE!$AK$2:$AK$3001,1))</f>
        <v/>
      </c>
      <c r="I113" s="19" t="str">
        <f aca="false">IF($A113="","",H113*G113)</f>
        <v/>
      </c>
      <c r="J113" s="19" t="str">
        <f aca="false">IF($A113="","",F113+I113)</f>
        <v/>
      </c>
      <c r="K113" s="19" t="str">
        <f aca="false">IF($A113="","",H113+E113)</f>
        <v/>
      </c>
      <c r="L113" s="20" t="str">
        <f aca="false">IF($A113="","",K113-J113-N113)</f>
        <v/>
      </c>
      <c r="M113" s="15" t="str">
        <f aca="false">IF($A113="","",INDEX(PERLINE!$A$2:$A$3001,MATCH($A113,PERLINE!$N$2:$N$3001,0)))</f>
        <v/>
      </c>
      <c r="N113" s="21" t="str">
        <f aca="false">IF($A113="","",SUMIFS(PERLINE!$M$2:$M$3001,PERLINE!$N$2:$N$3001,$A113))</f>
        <v/>
      </c>
    </row>
    <row r="114" customFormat="false" ht="15.75" hidden="false" customHeight="true" outlineLevel="0" collapsed="false">
      <c r="A114" s="15" t="str">
        <f aca="false">IF(ROWS($A$2:$A114)&lt;=Check!$C$4,SMALL(PERLINE!$AL$2:$AL$3001,ROWS($A$2:$A114)),"")</f>
        <v/>
      </c>
      <c r="B114" s="15" t="str">
        <f aca="false">IF($A114="","",INDEX(PERLINE!$J$2:$J$3001,MATCH($A114,PERLINE!$N$2:$N$3001,0)))</f>
        <v/>
      </c>
      <c r="C114" s="16" t="str">
        <f aca="false">IF($A114="","",INDEX(PERLINE!$I$2:$I$3001,MATCH($A114,PERLINE!$N$2:$N$3001,0)))</f>
        <v/>
      </c>
      <c r="D114" s="17" t="str">
        <f aca="false">IF($A114="","",'كشف المطالبة'!$D$6)</f>
        <v/>
      </c>
      <c r="E114" s="18" t="str">
        <f aca="false">IF($A114="","",SUMIFS(PERLINE!$U$2:$U$3001,PERLINE!$N$2:$N$3001,$A114,PERLINE!$AK$2:$AK$3001,0))</f>
        <v/>
      </c>
      <c r="F114" s="19" t="str">
        <f aca="false">IF($A114="","",E114*D114)</f>
        <v/>
      </c>
      <c r="G114" s="17" t="str">
        <f aca="false">IF($A114="","",'كشف المطالبة'!$D$5)</f>
        <v/>
      </c>
      <c r="H114" s="18" t="str">
        <f aca="false">IF($A114="","",SUMIFS(PERLINE!$U$2:$U$3001,PERLINE!$N$2:$N$3001,$A114,PERLINE!$AK$2:$AK$3001,1))</f>
        <v/>
      </c>
      <c r="I114" s="19" t="str">
        <f aca="false">IF($A114="","",H114*G114)</f>
        <v/>
      </c>
      <c r="J114" s="19" t="str">
        <f aca="false">IF($A114="","",F114+I114)</f>
        <v/>
      </c>
      <c r="K114" s="19" t="str">
        <f aca="false">IF($A114="","",H114+E114)</f>
        <v/>
      </c>
      <c r="L114" s="20" t="str">
        <f aca="false">IF($A114="","",K114-J114-N114)</f>
        <v/>
      </c>
      <c r="M114" s="15" t="str">
        <f aca="false">IF($A114="","",INDEX(PERLINE!$A$2:$A$3001,MATCH($A114,PERLINE!$N$2:$N$3001,0)))</f>
        <v/>
      </c>
      <c r="N114" s="21" t="str">
        <f aca="false">IF($A114="","",SUMIFS(PERLINE!$M$2:$M$3001,PERLINE!$N$2:$N$3001,$A114))</f>
        <v/>
      </c>
    </row>
    <row r="115" customFormat="false" ht="15.75" hidden="false" customHeight="true" outlineLevel="0" collapsed="false">
      <c r="A115" s="15" t="str">
        <f aca="false">IF(ROWS($A$2:$A115)&lt;=Check!$C$4,SMALL(PERLINE!$AL$2:$AL$3001,ROWS($A$2:$A115)),"")</f>
        <v/>
      </c>
      <c r="B115" s="15" t="str">
        <f aca="false">IF($A115="","",INDEX(PERLINE!$J$2:$J$3001,MATCH($A115,PERLINE!$N$2:$N$3001,0)))</f>
        <v/>
      </c>
      <c r="C115" s="16" t="str">
        <f aca="false">IF($A115="","",INDEX(PERLINE!$I$2:$I$3001,MATCH($A115,PERLINE!$N$2:$N$3001,0)))</f>
        <v/>
      </c>
      <c r="D115" s="17" t="str">
        <f aca="false">IF($A115="","",'كشف المطالبة'!$D$6)</f>
        <v/>
      </c>
      <c r="E115" s="18" t="str">
        <f aca="false">IF($A115="","",SUMIFS(PERLINE!$U$2:$U$3001,PERLINE!$N$2:$N$3001,$A115,PERLINE!$AK$2:$AK$3001,0))</f>
        <v/>
      </c>
      <c r="F115" s="19" t="str">
        <f aca="false">IF($A115="","",E115*D115)</f>
        <v/>
      </c>
      <c r="G115" s="17" t="str">
        <f aca="false">IF($A115="","",'كشف المطالبة'!$D$5)</f>
        <v/>
      </c>
      <c r="H115" s="18" t="str">
        <f aca="false">IF($A115="","",SUMIFS(PERLINE!$U$2:$U$3001,PERLINE!$N$2:$N$3001,$A115,PERLINE!$AK$2:$AK$3001,1))</f>
        <v/>
      </c>
      <c r="I115" s="19" t="str">
        <f aca="false">IF($A115="","",H115*G115)</f>
        <v/>
      </c>
      <c r="J115" s="19" t="str">
        <f aca="false">IF($A115="","",F115+I115)</f>
        <v/>
      </c>
      <c r="K115" s="19" t="str">
        <f aca="false">IF($A115="","",H115+E115)</f>
        <v/>
      </c>
      <c r="L115" s="20" t="str">
        <f aca="false">IF($A115="","",K115-J115-N115)</f>
        <v/>
      </c>
      <c r="M115" s="15" t="str">
        <f aca="false">IF($A115="","",INDEX(PERLINE!$A$2:$A$3001,MATCH($A115,PERLINE!$N$2:$N$3001,0)))</f>
        <v/>
      </c>
      <c r="N115" s="21" t="str">
        <f aca="false">IF($A115="","",SUMIFS(PERLINE!$M$2:$M$3001,PERLINE!$N$2:$N$3001,$A115))</f>
        <v/>
      </c>
    </row>
    <row r="116" customFormat="false" ht="15.75" hidden="false" customHeight="true" outlineLevel="0" collapsed="false">
      <c r="A116" s="15" t="str">
        <f aca="false">IF(ROWS($A$2:$A116)&lt;=Check!$C$4,SMALL(PERLINE!$AL$2:$AL$3001,ROWS($A$2:$A116)),"")</f>
        <v/>
      </c>
      <c r="B116" s="15" t="str">
        <f aca="false">IF($A116="","",INDEX(PERLINE!$J$2:$J$3001,MATCH($A116,PERLINE!$N$2:$N$3001,0)))</f>
        <v/>
      </c>
      <c r="C116" s="16" t="str">
        <f aca="false">IF($A116="","",INDEX(PERLINE!$I$2:$I$3001,MATCH($A116,PERLINE!$N$2:$N$3001,0)))</f>
        <v/>
      </c>
      <c r="D116" s="17" t="str">
        <f aca="false">IF($A116="","",'كشف المطالبة'!$D$6)</f>
        <v/>
      </c>
      <c r="E116" s="18" t="str">
        <f aca="false">IF($A116="","",SUMIFS(PERLINE!$U$2:$U$3001,PERLINE!$N$2:$N$3001,$A116,PERLINE!$AK$2:$AK$3001,0))</f>
        <v/>
      </c>
      <c r="F116" s="19" t="str">
        <f aca="false">IF($A116="","",E116*D116)</f>
        <v/>
      </c>
      <c r="G116" s="17" t="str">
        <f aca="false">IF($A116="","",'كشف المطالبة'!$D$5)</f>
        <v/>
      </c>
      <c r="H116" s="18" t="str">
        <f aca="false">IF($A116="","",SUMIFS(PERLINE!$U$2:$U$3001,PERLINE!$N$2:$N$3001,$A116,PERLINE!$AK$2:$AK$3001,1))</f>
        <v/>
      </c>
      <c r="I116" s="19" t="str">
        <f aca="false">IF($A116="","",H116*G116)</f>
        <v/>
      </c>
      <c r="J116" s="19" t="str">
        <f aca="false">IF($A116="","",F116+I116)</f>
        <v/>
      </c>
      <c r="K116" s="19" t="str">
        <f aca="false">IF($A116="","",H116+E116)</f>
        <v/>
      </c>
      <c r="L116" s="20" t="str">
        <f aca="false">IF($A116="","",K116-J116-N116)</f>
        <v/>
      </c>
      <c r="M116" s="15" t="str">
        <f aca="false">IF($A116="","",INDEX(PERLINE!$A$2:$A$3001,MATCH($A116,PERLINE!$N$2:$N$3001,0)))</f>
        <v/>
      </c>
      <c r="N116" s="21" t="str">
        <f aca="false">IF($A116="","",SUMIFS(PERLINE!$M$2:$M$3001,PERLINE!$N$2:$N$3001,$A116))</f>
        <v/>
      </c>
    </row>
    <row r="117" customFormat="false" ht="15.75" hidden="false" customHeight="true" outlineLevel="0" collapsed="false">
      <c r="A117" s="15" t="str">
        <f aca="false">IF(ROWS($A$2:$A117)&lt;=Check!$C$4,SMALL(PERLINE!$AL$2:$AL$3001,ROWS($A$2:$A117)),"")</f>
        <v/>
      </c>
      <c r="B117" s="15" t="str">
        <f aca="false">IF($A117="","",INDEX(PERLINE!$J$2:$J$3001,MATCH($A117,PERLINE!$N$2:$N$3001,0)))</f>
        <v/>
      </c>
      <c r="C117" s="16" t="str">
        <f aca="false">IF($A117="","",INDEX(PERLINE!$I$2:$I$3001,MATCH($A117,PERLINE!$N$2:$N$3001,0)))</f>
        <v/>
      </c>
      <c r="D117" s="17" t="str">
        <f aca="false">IF($A117="","",'كشف المطالبة'!$D$6)</f>
        <v/>
      </c>
      <c r="E117" s="18" t="str">
        <f aca="false">IF($A117="","",SUMIFS(PERLINE!$U$2:$U$3001,PERLINE!$N$2:$N$3001,$A117,PERLINE!$AK$2:$AK$3001,0))</f>
        <v/>
      </c>
      <c r="F117" s="19" t="str">
        <f aca="false">IF($A117="","",E117*D117)</f>
        <v/>
      </c>
      <c r="G117" s="17" t="str">
        <f aca="false">IF($A117="","",'كشف المطالبة'!$D$5)</f>
        <v/>
      </c>
      <c r="H117" s="18" t="str">
        <f aca="false">IF($A117="","",SUMIFS(PERLINE!$U$2:$U$3001,PERLINE!$N$2:$N$3001,$A117,PERLINE!$AK$2:$AK$3001,1))</f>
        <v/>
      </c>
      <c r="I117" s="19" t="str">
        <f aca="false">IF($A117="","",H117*G117)</f>
        <v/>
      </c>
      <c r="J117" s="19" t="str">
        <f aca="false">IF($A117="","",F117+I117)</f>
        <v/>
      </c>
      <c r="K117" s="19" t="str">
        <f aca="false">IF($A117="","",H117+E117)</f>
        <v/>
      </c>
      <c r="L117" s="20" t="str">
        <f aca="false">IF($A117="","",K117-J117-N117)</f>
        <v/>
      </c>
      <c r="M117" s="15" t="str">
        <f aca="false">IF($A117="","",INDEX(PERLINE!$A$2:$A$3001,MATCH($A117,PERLINE!$N$2:$N$3001,0)))</f>
        <v/>
      </c>
      <c r="N117" s="21" t="str">
        <f aca="false">IF($A117="","",SUMIFS(PERLINE!$M$2:$M$3001,PERLINE!$N$2:$N$3001,$A117))</f>
        <v/>
      </c>
    </row>
    <row r="118" customFormat="false" ht="15.75" hidden="false" customHeight="true" outlineLevel="0" collapsed="false">
      <c r="A118" s="15" t="str">
        <f aca="false">IF(ROWS($A$2:$A118)&lt;=Check!$C$4,SMALL(PERLINE!$AL$2:$AL$3001,ROWS($A$2:$A118)),"")</f>
        <v/>
      </c>
      <c r="B118" s="15" t="str">
        <f aca="false">IF($A118="","",INDEX(PERLINE!$J$2:$J$3001,MATCH($A118,PERLINE!$N$2:$N$3001,0)))</f>
        <v/>
      </c>
      <c r="C118" s="16" t="str">
        <f aca="false">IF($A118="","",INDEX(PERLINE!$I$2:$I$3001,MATCH($A118,PERLINE!$N$2:$N$3001,0)))</f>
        <v/>
      </c>
      <c r="D118" s="17" t="str">
        <f aca="false">IF($A118="","",'كشف المطالبة'!$D$6)</f>
        <v/>
      </c>
      <c r="E118" s="18" t="str">
        <f aca="false">IF($A118="","",SUMIFS(PERLINE!$U$2:$U$3001,PERLINE!$N$2:$N$3001,$A118,PERLINE!$AK$2:$AK$3001,0))</f>
        <v/>
      </c>
      <c r="F118" s="19" t="str">
        <f aca="false">IF($A118="","",E118*D118)</f>
        <v/>
      </c>
      <c r="G118" s="17" t="str">
        <f aca="false">IF($A118="","",'كشف المطالبة'!$D$5)</f>
        <v/>
      </c>
      <c r="H118" s="18" t="str">
        <f aca="false">IF($A118="","",SUMIFS(PERLINE!$U$2:$U$3001,PERLINE!$N$2:$N$3001,$A118,PERLINE!$AK$2:$AK$3001,1))</f>
        <v/>
      </c>
      <c r="I118" s="19" t="str">
        <f aca="false">IF($A118="","",H118*G118)</f>
        <v/>
      </c>
      <c r="J118" s="19" t="str">
        <f aca="false">IF($A118="","",F118+I118)</f>
        <v/>
      </c>
      <c r="K118" s="19" t="str">
        <f aca="false">IF($A118="","",H118+E118)</f>
        <v/>
      </c>
      <c r="L118" s="20" t="str">
        <f aca="false">IF($A118="","",K118-J118-N118)</f>
        <v/>
      </c>
      <c r="M118" s="15" t="str">
        <f aca="false">IF($A118="","",INDEX(PERLINE!$A$2:$A$3001,MATCH($A118,PERLINE!$N$2:$N$3001,0)))</f>
        <v/>
      </c>
      <c r="N118" s="21" t="str">
        <f aca="false">IF($A118="","",SUMIFS(PERLINE!$M$2:$M$3001,PERLINE!$N$2:$N$3001,$A118))</f>
        <v/>
      </c>
    </row>
    <row r="119" customFormat="false" ht="15.75" hidden="false" customHeight="true" outlineLevel="0" collapsed="false">
      <c r="A119" s="15" t="str">
        <f aca="false">IF(ROWS($A$2:$A119)&lt;=Check!$C$4,SMALL(PERLINE!$AL$2:$AL$3001,ROWS($A$2:$A119)),"")</f>
        <v/>
      </c>
      <c r="B119" s="15" t="str">
        <f aca="false">IF($A119="","",INDEX(PERLINE!$J$2:$J$3001,MATCH($A119,PERLINE!$N$2:$N$3001,0)))</f>
        <v/>
      </c>
      <c r="C119" s="16" t="str">
        <f aca="false">IF($A119="","",INDEX(PERLINE!$I$2:$I$3001,MATCH($A119,PERLINE!$N$2:$N$3001,0)))</f>
        <v/>
      </c>
      <c r="D119" s="17" t="str">
        <f aca="false">IF($A119="","",'كشف المطالبة'!$D$6)</f>
        <v/>
      </c>
      <c r="E119" s="18" t="str">
        <f aca="false">IF($A119="","",SUMIFS(PERLINE!$U$2:$U$3001,PERLINE!$N$2:$N$3001,$A119,PERLINE!$AK$2:$AK$3001,0))</f>
        <v/>
      </c>
      <c r="F119" s="19" t="str">
        <f aca="false">IF($A119="","",E119*D119)</f>
        <v/>
      </c>
      <c r="G119" s="17" t="str">
        <f aca="false">IF($A119="","",'كشف المطالبة'!$D$5)</f>
        <v/>
      </c>
      <c r="H119" s="18" t="str">
        <f aca="false">IF($A119="","",SUMIFS(PERLINE!$U$2:$U$3001,PERLINE!$N$2:$N$3001,$A119,PERLINE!$AK$2:$AK$3001,1))</f>
        <v/>
      </c>
      <c r="I119" s="19" t="str">
        <f aca="false">IF($A119="","",H119*G119)</f>
        <v/>
      </c>
      <c r="J119" s="19" t="str">
        <f aca="false">IF($A119="","",F119+I119)</f>
        <v/>
      </c>
      <c r="K119" s="19" t="str">
        <f aca="false">IF($A119="","",H119+E119)</f>
        <v/>
      </c>
      <c r="L119" s="20" t="str">
        <f aca="false">IF($A119="","",K119-J119-N119)</f>
        <v/>
      </c>
      <c r="M119" s="15" t="str">
        <f aca="false">IF($A119="","",INDEX(PERLINE!$A$2:$A$3001,MATCH($A119,PERLINE!$N$2:$N$3001,0)))</f>
        <v/>
      </c>
      <c r="N119" s="21" t="str">
        <f aca="false">IF($A119="","",SUMIFS(PERLINE!$M$2:$M$3001,PERLINE!$N$2:$N$3001,$A119))</f>
        <v/>
      </c>
    </row>
    <row r="120" customFormat="false" ht="15.75" hidden="false" customHeight="true" outlineLevel="0" collapsed="false">
      <c r="A120" s="15" t="str">
        <f aca="false">IF(ROWS($A$2:$A120)&lt;=Check!$C$4,SMALL(PERLINE!$AL$2:$AL$3001,ROWS($A$2:$A120)),"")</f>
        <v/>
      </c>
      <c r="B120" s="15" t="str">
        <f aca="false">IF($A120="","",INDEX(PERLINE!$J$2:$J$3001,MATCH($A120,PERLINE!$N$2:$N$3001,0)))</f>
        <v/>
      </c>
      <c r="C120" s="16" t="str">
        <f aca="false">IF($A120="","",INDEX(PERLINE!$I$2:$I$3001,MATCH($A120,PERLINE!$N$2:$N$3001,0)))</f>
        <v/>
      </c>
      <c r="D120" s="17" t="str">
        <f aca="false">IF($A120="","",'كشف المطالبة'!$D$6)</f>
        <v/>
      </c>
      <c r="E120" s="18" t="str">
        <f aca="false">IF($A120="","",SUMIFS(PERLINE!$U$2:$U$3001,PERLINE!$N$2:$N$3001,$A120,PERLINE!$AK$2:$AK$3001,0))</f>
        <v/>
      </c>
      <c r="F120" s="19" t="str">
        <f aca="false">IF($A120="","",E120*D120)</f>
        <v/>
      </c>
      <c r="G120" s="17" t="str">
        <f aca="false">IF($A120="","",'كشف المطالبة'!$D$5)</f>
        <v/>
      </c>
      <c r="H120" s="18" t="str">
        <f aca="false">IF($A120="","",SUMIFS(PERLINE!$U$2:$U$3001,PERLINE!$N$2:$N$3001,$A120,PERLINE!$AK$2:$AK$3001,1))</f>
        <v/>
      </c>
      <c r="I120" s="19" t="str">
        <f aca="false">IF($A120="","",H120*G120)</f>
        <v/>
      </c>
      <c r="J120" s="19" t="str">
        <f aca="false">IF($A120="","",F120+I120)</f>
        <v/>
      </c>
      <c r="K120" s="19" t="str">
        <f aca="false">IF($A120="","",H120+E120)</f>
        <v/>
      </c>
      <c r="L120" s="20" t="str">
        <f aca="false">IF($A120="","",K120-J120-N120)</f>
        <v/>
      </c>
      <c r="M120" s="15" t="str">
        <f aca="false">IF($A120="","",INDEX(PERLINE!$A$2:$A$3001,MATCH($A120,PERLINE!$N$2:$N$3001,0)))</f>
        <v/>
      </c>
      <c r="N120" s="21" t="str">
        <f aca="false">IF($A120="","",SUMIFS(PERLINE!$M$2:$M$3001,PERLINE!$N$2:$N$3001,$A120))</f>
        <v/>
      </c>
    </row>
    <row r="121" customFormat="false" ht="15.75" hidden="false" customHeight="true" outlineLevel="0" collapsed="false">
      <c r="A121" s="15" t="str">
        <f aca="false">IF(ROWS($A$2:$A121)&lt;=Check!$C$4,SMALL(PERLINE!$AL$2:$AL$3001,ROWS($A$2:$A121)),"")</f>
        <v/>
      </c>
      <c r="B121" s="15" t="str">
        <f aca="false">IF($A121="","",INDEX(PERLINE!$J$2:$J$3001,MATCH($A121,PERLINE!$N$2:$N$3001,0)))</f>
        <v/>
      </c>
      <c r="C121" s="16" t="str">
        <f aca="false">IF($A121="","",INDEX(PERLINE!$I$2:$I$3001,MATCH($A121,PERLINE!$N$2:$N$3001,0)))</f>
        <v/>
      </c>
      <c r="D121" s="17" t="str">
        <f aca="false">IF($A121="","",'كشف المطالبة'!$D$6)</f>
        <v/>
      </c>
      <c r="E121" s="18" t="str">
        <f aca="false">IF($A121="","",SUMIFS(PERLINE!$U$2:$U$3001,PERLINE!$N$2:$N$3001,$A121,PERLINE!$AK$2:$AK$3001,0))</f>
        <v/>
      </c>
      <c r="F121" s="19" t="str">
        <f aca="false">IF($A121="","",E121*D121)</f>
        <v/>
      </c>
      <c r="G121" s="17" t="str">
        <f aca="false">IF($A121="","",'كشف المطالبة'!$D$5)</f>
        <v/>
      </c>
      <c r="H121" s="18" t="str">
        <f aca="false">IF($A121="","",SUMIFS(PERLINE!$U$2:$U$3001,PERLINE!$N$2:$N$3001,$A121,PERLINE!$AK$2:$AK$3001,1))</f>
        <v/>
      </c>
      <c r="I121" s="19" t="str">
        <f aca="false">IF($A121="","",H121*G121)</f>
        <v/>
      </c>
      <c r="J121" s="19" t="str">
        <f aca="false">IF($A121="","",F121+I121)</f>
        <v/>
      </c>
      <c r="K121" s="19" t="str">
        <f aca="false">IF($A121="","",H121+E121)</f>
        <v/>
      </c>
      <c r="L121" s="20" t="str">
        <f aca="false">IF($A121="","",K121-J121-N121)</f>
        <v/>
      </c>
      <c r="M121" s="15" t="str">
        <f aca="false">IF($A121="","",INDEX(PERLINE!$A$2:$A$3001,MATCH($A121,PERLINE!$N$2:$N$3001,0)))</f>
        <v/>
      </c>
      <c r="N121" s="21" t="str">
        <f aca="false">IF($A121="","",SUMIFS(PERLINE!$M$2:$M$3001,PERLINE!$N$2:$N$3001,$A121))</f>
        <v/>
      </c>
    </row>
    <row r="122" customFormat="false" ht="15.75" hidden="false" customHeight="true" outlineLevel="0" collapsed="false">
      <c r="A122" s="15" t="str">
        <f aca="false">IF(ROWS($A$2:$A122)&lt;=Check!$C$4,SMALL(PERLINE!$AL$2:$AL$3001,ROWS($A$2:$A122)),"")</f>
        <v/>
      </c>
      <c r="B122" s="15" t="str">
        <f aca="false">IF($A122="","",INDEX(PERLINE!$J$2:$J$3001,MATCH($A122,PERLINE!$N$2:$N$3001,0)))</f>
        <v/>
      </c>
      <c r="C122" s="16" t="str">
        <f aca="false">IF($A122="","",INDEX(PERLINE!$I$2:$I$3001,MATCH($A122,PERLINE!$N$2:$N$3001,0)))</f>
        <v/>
      </c>
      <c r="D122" s="17" t="str">
        <f aca="false">IF($A122="","",'كشف المطالبة'!$D$6)</f>
        <v/>
      </c>
      <c r="E122" s="18" t="str">
        <f aca="false">IF($A122="","",SUMIFS(PERLINE!$U$2:$U$3001,PERLINE!$N$2:$N$3001,$A122,PERLINE!$AK$2:$AK$3001,0))</f>
        <v/>
      </c>
      <c r="F122" s="19" t="str">
        <f aca="false">IF($A122="","",E122*D122)</f>
        <v/>
      </c>
      <c r="G122" s="17" t="str">
        <f aca="false">IF($A122="","",'كشف المطالبة'!$D$5)</f>
        <v/>
      </c>
      <c r="H122" s="18" t="str">
        <f aca="false">IF($A122="","",SUMIFS(PERLINE!$U$2:$U$3001,PERLINE!$N$2:$N$3001,$A122,PERLINE!$AK$2:$AK$3001,1))</f>
        <v/>
      </c>
      <c r="I122" s="19" t="str">
        <f aca="false">IF($A122="","",H122*G122)</f>
        <v/>
      </c>
      <c r="J122" s="19" t="str">
        <f aca="false">IF($A122="","",F122+I122)</f>
        <v/>
      </c>
      <c r="K122" s="19" t="str">
        <f aca="false">IF($A122="","",H122+E122)</f>
        <v/>
      </c>
      <c r="L122" s="20" t="str">
        <f aca="false">IF($A122="","",K122-J122-N122)</f>
        <v/>
      </c>
      <c r="M122" s="15" t="str">
        <f aca="false">IF($A122="","",INDEX(PERLINE!$A$2:$A$3001,MATCH($A122,PERLINE!$N$2:$N$3001,0)))</f>
        <v/>
      </c>
      <c r="N122" s="21" t="str">
        <f aca="false">IF($A122="","",SUMIFS(PERLINE!$M$2:$M$3001,PERLINE!$N$2:$N$3001,$A122))</f>
        <v/>
      </c>
    </row>
    <row r="123" customFormat="false" ht="15.75" hidden="false" customHeight="true" outlineLevel="0" collapsed="false">
      <c r="A123" s="15" t="str">
        <f aca="false">IF(ROWS($A$2:$A123)&lt;=Check!$C$4,SMALL(PERLINE!$AL$2:$AL$3001,ROWS($A$2:$A123)),"")</f>
        <v/>
      </c>
      <c r="B123" s="15" t="str">
        <f aca="false">IF($A123="","",INDEX(PERLINE!$J$2:$J$3001,MATCH($A123,PERLINE!$N$2:$N$3001,0)))</f>
        <v/>
      </c>
      <c r="C123" s="16" t="str">
        <f aca="false">IF($A123="","",INDEX(PERLINE!$I$2:$I$3001,MATCH($A123,PERLINE!$N$2:$N$3001,0)))</f>
        <v/>
      </c>
      <c r="D123" s="17" t="str">
        <f aca="false">IF($A123="","",'كشف المطالبة'!$D$6)</f>
        <v/>
      </c>
      <c r="E123" s="18" t="str">
        <f aca="false">IF($A123="","",SUMIFS(PERLINE!$U$2:$U$3001,PERLINE!$N$2:$N$3001,$A123,PERLINE!$AK$2:$AK$3001,0))</f>
        <v/>
      </c>
      <c r="F123" s="19" t="str">
        <f aca="false">IF($A123="","",E123*D123)</f>
        <v/>
      </c>
      <c r="G123" s="17" t="str">
        <f aca="false">IF($A123="","",'كشف المطالبة'!$D$5)</f>
        <v/>
      </c>
      <c r="H123" s="18" t="str">
        <f aca="false">IF($A123="","",SUMIFS(PERLINE!$U$2:$U$3001,PERLINE!$N$2:$N$3001,$A123,PERLINE!$AK$2:$AK$3001,1))</f>
        <v/>
      </c>
      <c r="I123" s="19" t="str">
        <f aca="false">IF($A123="","",H123*G123)</f>
        <v/>
      </c>
      <c r="J123" s="19" t="str">
        <f aca="false">IF($A123="","",F123+I123)</f>
        <v/>
      </c>
      <c r="K123" s="19" t="str">
        <f aca="false">IF($A123="","",H123+E123)</f>
        <v/>
      </c>
      <c r="L123" s="20" t="str">
        <f aca="false">IF($A123="","",K123-J123-N123)</f>
        <v/>
      </c>
      <c r="M123" s="15" t="str">
        <f aca="false">IF($A123="","",INDEX(PERLINE!$A$2:$A$3001,MATCH($A123,PERLINE!$N$2:$N$3001,0)))</f>
        <v/>
      </c>
      <c r="N123" s="21" t="str">
        <f aca="false">IF($A123="","",SUMIFS(PERLINE!$M$2:$M$3001,PERLINE!$N$2:$N$3001,$A123))</f>
        <v/>
      </c>
    </row>
    <row r="124" customFormat="false" ht="15.75" hidden="false" customHeight="true" outlineLevel="0" collapsed="false">
      <c r="A124" s="15" t="str">
        <f aca="false">IF(ROWS($A$2:$A124)&lt;=Check!$C$4,SMALL(PERLINE!$AL$2:$AL$3001,ROWS($A$2:$A124)),"")</f>
        <v/>
      </c>
      <c r="B124" s="15" t="str">
        <f aca="false">IF($A124="","",INDEX(PERLINE!$J$2:$J$3001,MATCH($A124,PERLINE!$N$2:$N$3001,0)))</f>
        <v/>
      </c>
      <c r="C124" s="16" t="str">
        <f aca="false">IF($A124="","",INDEX(PERLINE!$I$2:$I$3001,MATCH($A124,PERLINE!$N$2:$N$3001,0)))</f>
        <v/>
      </c>
      <c r="D124" s="17" t="str">
        <f aca="false">IF($A124="","",'كشف المطالبة'!$D$6)</f>
        <v/>
      </c>
      <c r="E124" s="18" t="str">
        <f aca="false">IF($A124="","",SUMIFS(PERLINE!$U$2:$U$3001,PERLINE!$N$2:$N$3001,$A124,PERLINE!$AK$2:$AK$3001,0))</f>
        <v/>
      </c>
      <c r="F124" s="19" t="str">
        <f aca="false">IF($A124="","",E124*D124)</f>
        <v/>
      </c>
      <c r="G124" s="17" t="str">
        <f aca="false">IF($A124="","",'كشف المطالبة'!$D$5)</f>
        <v/>
      </c>
      <c r="H124" s="18" t="str">
        <f aca="false">IF($A124="","",SUMIFS(PERLINE!$U$2:$U$3001,PERLINE!$N$2:$N$3001,$A124,PERLINE!$AK$2:$AK$3001,1))</f>
        <v/>
      </c>
      <c r="I124" s="19" t="str">
        <f aca="false">IF($A124="","",H124*G124)</f>
        <v/>
      </c>
      <c r="J124" s="19" t="str">
        <f aca="false">IF($A124="","",F124+I124)</f>
        <v/>
      </c>
      <c r="K124" s="19" t="str">
        <f aca="false">IF($A124="","",H124+E124)</f>
        <v/>
      </c>
      <c r="L124" s="20" t="str">
        <f aca="false">IF($A124="","",K124-J124-N124)</f>
        <v/>
      </c>
      <c r="M124" s="15" t="str">
        <f aca="false">IF($A124="","",INDEX(PERLINE!$A$2:$A$3001,MATCH($A124,PERLINE!$N$2:$N$3001,0)))</f>
        <v/>
      </c>
      <c r="N124" s="21" t="str">
        <f aca="false">IF($A124="","",SUMIFS(PERLINE!$M$2:$M$3001,PERLINE!$N$2:$N$3001,$A124))</f>
        <v/>
      </c>
    </row>
    <row r="125" customFormat="false" ht="15" hidden="false" customHeight="true" outlineLevel="0" collapsed="false">
      <c r="A125" s="15" t="str">
        <f aca="false">IF(ROWS($A$2:$A125)&lt;=Check!$C$4,SMALL(PERLINE!$AL$2:$AL$3001,ROWS($A$2:$A125)),"")</f>
        <v/>
      </c>
      <c r="B125" s="15" t="str">
        <f aca="false">IF($A125="","",INDEX(PERLINE!$J$2:$J$3001,MATCH($A125,PERLINE!$N$2:$N$3001,0)))</f>
        <v/>
      </c>
      <c r="C125" s="16" t="str">
        <f aca="false">IF($A125="","",INDEX(PERLINE!$I$2:$I$3001,MATCH($A125,PERLINE!$N$2:$N$3001,0)))</f>
        <v/>
      </c>
      <c r="D125" s="17" t="str">
        <f aca="false">IF($A125="","",'كشف المطالبة'!$D$6)</f>
        <v/>
      </c>
      <c r="E125" s="18" t="str">
        <f aca="false">IF($A125="","",SUMIFS(PERLINE!$U$2:$U$3001,PERLINE!$N$2:$N$3001,$A125,PERLINE!$AK$2:$AK$3001,0))</f>
        <v/>
      </c>
      <c r="F125" s="19" t="str">
        <f aca="false">IF($A125="","",E125*D125)</f>
        <v/>
      </c>
      <c r="G125" s="17" t="str">
        <f aca="false">IF($A125="","",'كشف المطالبة'!$D$5)</f>
        <v/>
      </c>
      <c r="H125" s="18" t="str">
        <f aca="false">IF($A125="","",SUMIFS(PERLINE!$U$2:$U$3001,PERLINE!$N$2:$N$3001,$A125,PERLINE!$AK$2:$AK$3001,1))</f>
        <v/>
      </c>
      <c r="I125" s="19" t="str">
        <f aca="false">IF($A125="","",H125*G125)</f>
        <v/>
      </c>
      <c r="J125" s="19" t="str">
        <f aca="false">IF($A125="","",F125+I125)</f>
        <v/>
      </c>
      <c r="K125" s="19" t="str">
        <f aca="false">IF($A125="","",H125+E125)</f>
        <v/>
      </c>
      <c r="L125" s="20" t="str">
        <f aca="false">IF($A125="","",K125-J125-N125)</f>
        <v/>
      </c>
      <c r="M125" s="15" t="str">
        <f aca="false">IF($A125="","",INDEX(PERLINE!$A$2:$A$3001,MATCH($A125,PERLINE!$N$2:$N$3001,0)))</f>
        <v/>
      </c>
      <c r="N125" s="21" t="str">
        <f aca="false">IF($A125="","",SUMIFS(PERLINE!$M$2:$M$3001,PERLINE!$N$2:$N$3001,$A125))</f>
        <v/>
      </c>
    </row>
    <row r="126" customFormat="false" ht="15" hidden="false" customHeight="true" outlineLevel="0" collapsed="false">
      <c r="A126" s="15" t="str">
        <f aca="false">IF(ROWS($A$2:$A126)&lt;=Check!$C$4,SMALL(PERLINE!$AL$2:$AL$3001,ROWS($A$2:$A126)),"")</f>
        <v/>
      </c>
      <c r="B126" s="15" t="str">
        <f aca="false">IF($A126="","",INDEX(PERLINE!$J$2:$J$3001,MATCH($A126,PERLINE!$N$2:$N$3001,0)))</f>
        <v/>
      </c>
      <c r="C126" s="16" t="str">
        <f aca="false">IF($A126="","",INDEX(PERLINE!$I$2:$I$3001,MATCH($A126,PERLINE!$N$2:$N$3001,0)))</f>
        <v/>
      </c>
      <c r="D126" s="17" t="str">
        <f aca="false">IF($A126="","",'كشف المطالبة'!$D$6)</f>
        <v/>
      </c>
      <c r="E126" s="18" t="str">
        <f aca="false">IF($A126="","",SUMIFS(PERLINE!$U$2:$U$3001,PERLINE!$N$2:$N$3001,$A126,PERLINE!$AK$2:$AK$3001,0))</f>
        <v/>
      </c>
      <c r="F126" s="19" t="str">
        <f aca="false">IF($A126="","",E126*D126)</f>
        <v/>
      </c>
      <c r="G126" s="17" t="str">
        <f aca="false">IF($A126="","",'كشف المطالبة'!$D$5)</f>
        <v/>
      </c>
      <c r="H126" s="18" t="str">
        <f aca="false">IF($A126="","",SUMIFS(PERLINE!$U$2:$U$3001,PERLINE!$N$2:$N$3001,$A126,PERLINE!$AK$2:$AK$3001,1))</f>
        <v/>
      </c>
      <c r="I126" s="19" t="str">
        <f aca="false">IF($A126="","",H126*G126)</f>
        <v/>
      </c>
      <c r="J126" s="19" t="str">
        <f aca="false">IF($A126="","",F126+I126)</f>
        <v/>
      </c>
      <c r="K126" s="19" t="str">
        <f aca="false">IF($A126="","",H126+E126)</f>
        <v/>
      </c>
      <c r="L126" s="20" t="str">
        <f aca="false">IF($A126="","",K126-J126-N126)</f>
        <v/>
      </c>
      <c r="M126" s="15" t="str">
        <f aca="false">IF($A126="","",INDEX(PERLINE!$A$2:$A$3001,MATCH($A126,PERLINE!$N$2:$N$3001,0)))</f>
        <v/>
      </c>
      <c r="N126" s="21" t="str">
        <f aca="false">IF($A126="","",SUMIFS(PERLINE!$M$2:$M$3001,PERLINE!$N$2:$N$3001,$A126))</f>
        <v/>
      </c>
    </row>
    <row r="127" customFormat="false" ht="15" hidden="false" customHeight="true" outlineLevel="0" collapsed="false">
      <c r="A127" s="15" t="str">
        <f aca="false">IF(ROWS($A$2:$A127)&lt;=Check!$C$4,SMALL(PERLINE!$AL$2:$AL$3001,ROWS($A$2:$A127)),"")</f>
        <v/>
      </c>
      <c r="B127" s="15" t="str">
        <f aca="false">IF($A127="","",INDEX(PERLINE!$J$2:$J$3001,MATCH($A127,PERLINE!$N$2:$N$3001,0)))</f>
        <v/>
      </c>
      <c r="C127" s="16" t="str">
        <f aca="false">IF($A127="","",INDEX(PERLINE!$I$2:$I$3001,MATCH($A127,PERLINE!$N$2:$N$3001,0)))</f>
        <v/>
      </c>
      <c r="D127" s="17" t="str">
        <f aca="false">IF($A127="","",'كشف المطالبة'!$D$6)</f>
        <v/>
      </c>
      <c r="E127" s="18" t="str">
        <f aca="false">IF($A127="","",SUMIFS(PERLINE!$U$2:$U$3001,PERLINE!$N$2:$N$3001,$A127,PERLINE!$AK$2:$AK$3001,0))</f>
        <v/>
      </c>
      <c r="F127" s="19" t="str">
        <f aca="false">IF($A127="","",E127*D127)</f>
        <v/>
      </c>
      <c r="G127" s="17" t="str">
        <f aca="false">IF($A127="","",'كشف المطالبة'!$D$5)</f>
        <v/>
      </c>
      <c r="H127" s="18" t="str">
        <f aca="false">IF($A127="","",SUMIFS(PERLINE!$U$2:$U$3001,PERLINE!$N$2:$N$3001,$A127,PERLINE!$AK$2:$AK$3001,1))</f>
        <v/>
      </c>
      <c r="I127" s="19" t="str">
        <f aca="false">IF($A127="","",H127*G127)</f>
        <v/>
      </c>
      <c r="J127" s="19" t="str">
        <f aca="false">IF($A127="","",F127+I127)</f>
        <v/>
      </c>
      <c r="K127" s="19" t="str">
        <f aca="false">IF($A127="","",H127+E127)</f>
        <v/>
      </c>
      <c r="L127" s="20" t="str">
        <f aca="false">IF($A127="","",K127-J127-N127)</f>
        <v/>
      </c>
      <c r="M127" s="15" t="str">
        <f aca="false">IF($A127="","",INDEX(PERLINE!$A$2:$A$3001,MATCH($A127,PERLINE!$N$2:$N$3001,0)))</f>
        <v/>
      </c>
      <c r="N127" s="21" t="str">
        <f aca="false">IF($A127="","",SUMIFS(PERLINE!$M$2:$M$3001,PERLINE!$N$2:$N$3001,$A127))</f>
        <v/>
      </c>
    </row>
    <row r="128" customFormat="false" ht="15" hidden="false" customHeight="true" outlineLevel="0" collapsed="false">
      <c r="A128" s="15" t="str">
        <f aca="false">IF(ROWS($A$2:$A128)&lt;=Check!$C$4,SMALL(PERLINE!$AL$2:$AL$3001,ROWS($A$2:$A128)),"")</f>
        <v/>
      </c>
      <c r="B128" s="15" t="str">
        <f aca="false">IF($A128="","",INDEX(PERLINE!$J$2:$J$3001,MATCH($A128,PERLINE!$N$2:$N$3001,0)))</f>
        <v/>
      </c>
      <c r="C128" s="16" t="str">
        <f aca="false">IF($A128="","",INDEX(PERLINE!$I$2:$I$3001,MATCH($A128,PERLINE!$N$2:$N$3001,0)))</f>
        <v/>
      </c>
      <c r="D128" s="17" t="str">
        <f aca="false">IF($A128="","",'كشف المطالبة'!$D$6)</f>
        <v/>
      </c>
      <c r="E128" s="18" t="str">
        <f aca="false">IF($A128="","",SUMIFS(PERLINE!$U$2:$U$3001,PERLINE!$N$2:$N$3001,$A128,PERLINE!$AK$2:$AK$3001,0))</f>
        <v/>
      </c>
      <c r="F128" s="19" t="str">
        <f aca="false">IF($A128="","",E128*D128)</f>
        <v/>
      </c>
      <c r="G128" s="17" t="str">
        <f aca="false">IF($A128="","",'كشف المطالبة'!$D$5)</f>
        <v/>
      </c>
      <c r="H128" s="18" t="str">
        <f aca="false">IF($A128="","",SUMIFS(PERLINE!$U$2:$U$3001,PERLINE!$N$2:$N$3001,$A128,PERLINE!$AK$2:$AK$3001,1))</f>
        <v/>
      </c>
      <c r="I128" s="19" t="str">
        <f aca="false">IF($A128="","",H128*G128)</f>
        <v/>
      </c>
      <c r="J128" s="19" t="str">
        <f aca="false">IF($A128="","",F128+I128)</f>
        <v/>
      </c>
      <c r="K128" s="19" t="str">
        <f aca="false">IF($A128="","",H128+E128)</f>
        <v/>
      </c>
      <c r="L128" s="20" t="str">
        <f aca="false">IF($A128="","",K128-J128-N128)</f>
        <v/>
      </c>
      <c r="M128" s="15" t="str">
        <f aca="false">IF($A128="","",INDEX(PERLINE!$A$2:$A$3001,MATCH($A128,PERLINE!$N$2:$N$3001,0)))</f>
        <v/>
      </c>
      <c r="N128" s="21" t="str">
        <f aca="false">IF($A128="","",SUMIFS(PERLINE!$M$2:$M$3001,PERLINE!$N$2:$N$3001,$A128))</f>
        <v/>
      </c>
    </row>
    <row r="129" customFormat="false" ht="15" hidden="false" customHeight="true" outlineLevel="0" collapsed="false">
      <c r="A129" s="15" t="str">
        <f aca="false">IF(ROWS($A$2:$A129)&lt;=Check!$C$4,SMALL(PERLINE!$AL$2:$AL$3001,ROWS($A$2:$A129)),"")</f>
        <v/>
      </c>
      <c r="B129" s="15" t="str">
        <f aca="false">IF($A129="","",INDEX(PERLINE!$J$2:$J$3001,MATCH($A129,PERLINE!$N$2:$N$3001,0)))</f>
        <v/>
      </c>
      <c r="C129" s="16" t="str">
        <f aca="false">IF($A129="","",INDEX(PERLINE!$I$2:$I$3001,MATCH($A129,PERLINE!$N$2:$N$3001,0)))</f>
        <v/>
      </c>
      <c r="D129" s="17" t="str">
        <f aca="false">IF($A129="","",'كشف المطالبة'!$D$6)</f>
        <v/>
      </c>
      <c r="E129" s="18" t="str">
        <f aca="false">IF($A129="","",SUMIFS(PERLINE!$U$2:$U$3001,PERLINE!$N$2:$N$3001,$A129,PERLINE!$AK$2:$AK$3001,0))</f>
        <v/>
      </c>
      <c r="F129" s="19" t="str">
        <f aca="false">IF($A129="","",E129*D129)</f>
        <v/>
      </c>
      <c r="G129" s="17" t="str">
        <f aca="false">IF($A129="","",'كشف المطالبة'!$D$5)</f>
        <v/>
      </c>
      <c r="H129" s="18" t="str">
        <f aca="false">IF($A129="","",SUMIFS(PERLINE!$U$2:$U$3001,PERLINE!$N$2:$N$3001,$A129,PERLINE!$AK$2:$AK$3001,1))</f>
        <v/>
      </c>
      <c r="I129" s="19" t="str">
        <f aca="false">IF($A129="","",H129*G129)</f>
        <v/>
      </c>
      <c r="J129" s="19" t="str">
        <f aca="false">IF($A129="","",F129+I129)</f>
        <v/>
      </c>
      <c r="K129" s="19" t="str">
        <f aca="false">IF($A129="","",H129+E129)</f>
        <v/>
      </c>
      <c r="L129" s="20" t="str">
        <f aca="false">IF($A129="","",K129-J129-N129)</f>
        <v/>
      </c>
      <c r="M129" s="15" t="str">
        <f aca="false">IF($A129="","",INDEX(PERLINE!$A$2:$A$3001,MATCH($A129,PERLINE!$N$2:$N$3001,0)))</f>
        <v/>
      </c>
      <c r="N129" s="21" t="str">
        <f aca="false">IF($A129="","",SUMIFS(PERLINE!$M$2:$M$3001,PERLINE!$N$2:$N$3001,$A129))</f>
        <v/>
      </c>
    </row>
    <row r="130" customFormat="false" ht="15" hidden="false" customHeight="true" outlineLevel="0" collapsed="false">
      <c r="A130" s="15" t="str">
        <f aca="false">IF(ROWS($A$2:$A130)&lt;=Check!$C$4,SMALL(PERLINE!$AL$2:$AL$3001,ROWS($A$2:$A130)),"")</f>
        <v/>
      </c>
      <c r="B130" s="15" t="str">
        <f aca="false">IF($A130="","",INDEX(PERLINE!$J$2:$J$3001,MATCH($A130,PERLINE!$N$2:$N$3001,0)))</f>
        <v/>
      </c>
      <c r="C130" s="16" t="str">
        <f aca="false">IF($A130="","",INDEX(PERLINE!$I$2:$I$3001,MATCH($A130,PERLINE!$N$2:$N$3001,0)))</f>
        <v/>
      </c>
      <c r="D130" s="17" t="str">
        <f aca="false">IF($A130="","",'كشف المطالبة'!$D$6)</f>
        <v/>
      </c>
      <c r="E130" s="18" t="str">
        <f aca="false">IF($A130="","",SUMIFS(PERLINE!$U$2:$U$3001,PERLINE!$N$2:$N$3001,$A130,PERLINE!$AK$2:$AK$3001,0))</f>
        <v/>
      </c>
      <c r="F130" s="19" t="str">
        <f aca="false">IF($A130="","",E130*D130)</f>
        <v/>
      </c>
      <c r="G130" s="17" t="str">
        <f aca="false">IF($A130="","",'كشف المطالبة'!$D$5)</f>
        <v/>
      </c>
      <c r="H130" s="18" t="str">
        <f aca="false">IF($A130="","",SUMIFS(PERLINE!$U$2:$U$3001,PERLINE!$N$2:$N$3001,$A130,PERLINE!$AK$2:$AK$3001,1))</f>
        <v/>
      </c>
      <c r="I130" s="19" t="str">
        <f aca="false">IF($A130="","",H130*G130)</f>
        <v/>
      </c>
      <c r="J130" s="19" t="str">
        <f aca="false">IF($A130="","",F130+I130)</f>
        <v/>
      </c>
      <c r="K130" s="19" t="str">
        <f aca="false">IF($A130="","",H130+E130)</f>
        <v/>
      </c>
      <c r="L130" s="20" t="str">
        <f aca="false">IF($A130="","",K130-J130-N130)</f>
        <v/>
      </c>
      <c r="M130" s="15" t="str">
        <f aca="false">IF($A130="","",INDEX(PERLINE!$A$2:$A$3001,MATCH($A130,PERLINE!$N$2:$N$3001,0)))</f>
        <v/>
      </c>
      <c r="N130" s="21" t="str">
        <f aca="false">IF($A130="","",SUMIFS(PERLINE!$M$2:$M$3001,PERLINE!$N$2:$N$3001,$A130))</f>
        <v/>
      </c>
    </row>
    <row r="131" customFormat="false" ht="15" hidden="false" customHeight="true" outlineLevel="0" collapsed="false">
      <c r="A131" s="15" t="str">
        <f aca="false">IF(ROWS($A$2:$A131)&lt;=Check!$C$4,SMALL(PERLINE!$AL$2:$AL$3001,ROWS($A$2:$A131)),"")</f>
        <v/>
      </c>
      <c r="B131" s="15" t="str">
        <f aca="false">IF($A131="","",INDEX(PERLINE!$J$2:$J$3001,MATCH($A131,PERLINE!$N$2:$N$3001,0)))</f>
        <v/>
      </c>
      <c r="C131" s="16" t="str">
        <f aca="false">IF($A131="","",INDEX(PERLINE!$I$2:$I$3001,MATCH($A131,PERLINE!$N$2:$N$3001,0)))</f>
        <v/>
      </c>
      <c r="D131" s="17" t="str">
        <f aca="false">IF($A131="","",'كشف المطالبة'!$D$6)</f>
        <v/>
      </c>
      <c r="E131" s="18" t="str">
        <f aca="false">IF($A131="","",SUMIFS(PERLINE!$U$2:$U$3001,PERLINE!$N$2:$N$3001,$A131,PERLINE!$AK$2:$AK$3001,0))</f>
        <v/>
      </c>
      <c r="F131" s="19" t="str">
        <f aca="false">IF($A131="","",E131*D131)</f>
        <v/>
      </c>
      <c r="G131" s="17" t="str">
        <f aca="false">IF($A131="","",'كشف المطالبة'!$D$5)</f>
        <v/>
      </c>
      <c r="H131" s="18" t="str">
        <f aca="false">IF($A131="","",SUMIFS(PERLINE!$U$2:$U$3001,PERLINE!$N$2:$N$3001,$A131,PERLINE!$AK$2:$AK$3001,1))</f>
        <v/>
      </c>
      <c r="I131" s="19" t="str">
        <f aca="false">IF($A131="","",H131*G131)</f>
        <v/>
      </c>
      <c r="J131" s="19" t="str">
        <f aca="false">IF($A131="","",F131+I131)</f>
        <v/>
      </c>
      <c r="K131" s="19" t="str">
        <f aca="false">IF($A131="","",H131+E131)</f>
        <v/>
      </c>
      <c r="L131" s="20" t="str">
        <f aca="false">IF($A131="","",K131-J131-N131)</f>
        <v/>
      </c>
      <c r="M131" s="15" t="str">
        <f aca="false">IF($A131="","",INDEX(PERLINE!$A$2:$A$3001,MATCH($A131,PERLINE!$N$2:$N$3001,0)))</f>
        <v/>
      </c>
      <c r="N131" s="21" t="str">
        <f aca="false">IF($A131="","",SUMIFS(PERLINE!$M$2:$M$3001,PERLINE!$N$2:$N$3001,$A131))</f>
        <v/>
      </c>
    </row>
    <row r="132" customFormat="false" ht="15" hidden="false" customHeight="true" outlineLevel="0" collapsed="false">
      <c r="A132" s="15" t="str">
        <f aca="false">IF(ROWS($A$2:$A132)&lt;=Check!$C$4,SMALL(PERLINE!$AL$2:$AL$3001,ROWS($A$2:$A132)),"")</f>
        <v/>
      </c>
      <c r="B132" s="15" t="str">
        <f aca="false">IF($A132="","",INDEX(PERLINE!$J$2:$J$3001,MATCH($A132,PERLINE!$N$2:$N$3001,0)))</f>
        <v/>
      </c>
      <c r="C132" s="16" t="str">
        <f aca="false">IF($A132="","",INDEX(PERLINE!$I$2:$I$3001,MATCH($A132,PERLINE!$N$2:$N$3001,0)))</f>
        <v/>
      </c>
      <c r="D132" s="17" t="str">
        <f aca="false">IF($A132="","",'كشف المطالبة'!$D$6)</f>
        <v/>
      </c>
      <c r="E132" s="18" t="str">
        <f aca="false">IF($A132="","",SUMIFS(PERLINE!$U$2:$U$3001,PERLINE!$N$2:$N$3001,$A132,PERLINE!$AK$2:$AK$3001,0))</f>
        <v/>
      </c>
      <c r="F132" s="19" t="str">
        <f aca="false">IF($A132="","",E132*D132)</f>
        <v/>
      </c>
      <c r="G132" s="17" t="str">
        <f aca="false">IF($A132="","",'كشف المطالبة'!$D$5)</f>
        <v/>
      </c>
      <c r="H132" s="18" t="str">
        <f aca="false">IF($A132="","",SUMIFS(PERLINE!$U$2:$U$3001,PERLINE!$N$2:$N$3001,$A132,PERLINE!$AK$2:$AK$3001,1))</f>
        <v/>
      </c>
      <c r="I132" s="19" t="str">
        <f aca="false">IF($A132="","",H132*G132)</f>
        <v/>
      </c>
      <c r="J132" s="19" t="str">
        <f aca="false">IF($A132="","",F132+I132)</f>
        <v/>
      </c>
      <c r="K132" s="19" t="str">
        <f aca="false">IF($A132="","",H132+E132)</f>
        <v/>
      </c>
      <c r="L132" s="20" t="str">
        <f aca="false">IF($A132="","",K132-J132-N132)</f>
        <v/>
      </c>
      <c r="M132" s="15" t="str">
        <f aca="false">IF($A132="","",INDEX(PERLINE!$A$2:$A$3001,MATCH($A132,PERLINE!$N$2:$N$3001,0)))</f>
        <v/>
      </c>
      <c r="N132" s="21" t="str">
        <f aca="false">IF($A132="","",SUMIFS(PERLINE!$M$2:$M$3001,PERLINE!$N$2:$N$3001,$A132))</f>
        <v/>
      </c>
    </row>
    <row r="133" customFormat="false" ht="15" hidden="false" customHeight="true" outlineLevel="0" collapsed="false">
      <c r="A133" s="15" t="str">
        <f aca="false">IF(ROWS($A$2:$A133)&lt;=Check!$C$4,SMALL(PERLINE!$AL$2:$AL$3001,ROWS($A$2:$A133)),"")</f>
        <v/>
      </c>
      <c r="B133" s="15" t="str">
        <f aca="false">IF($A133="","",INDEX(PERLINE!$J$2:$J$3001,MATCH($A133,PERLINE!$N$2:$N$3001,0)))</f>
        <v/>
      </c>
      <c r="C133" s="16" t="str">
        <f aca="false">IF($A133="","",INDEX(PERLINE!$I$2:$I$3001,MATCH($A133,PERLINE!$N$2:$N$3001,0)))</f>
        <v/>
      </c>
      <c r="D133" s="17" t="str">
        <f aca="false">IF($A133="","",'كشف المطالبة'!$D$6)</f>
        <v/>
      </c>
      <c r="E133" s="18" t="str">
        <f aca="false">IF($A133="","",SUMIFS(PERLINE!$U$2:$U$3001,PERLINE!$N$2:$N$3001,$A133,PERLINE!$AK$2:$AK$3001,0))</f>
        <v/>
      </c>
      <c r="F133" s="19" t="str">
        <f aca="false">IF($A133="","",E133*D133)</f>
        <v/>
      </c>
      <c r="G133" s="17" t="str">
        <f aca="false">IF($A133="","",'كشف المطالبة'!$D$5)</f>
        <v/>
      </c>
      <c r="H133" s="18" t="str">
        <f aca="false">IF($A133="","",SUMIFS(PERLINE!$U$2:$U$3001,PERLINE!$N$2:$N$3001,$A133,PERLINE!$AK$2:$AK$3001,1))</f>
        <v/>
      </c>
      <c r="I133" s="19" t="str">
        <f aca="false">IF($A133="","",H133*G133)</f>
        <v/>
      </c>
      <c r="J133" s="19" t="str">
        <f aca="false">IF($A133="","",F133+I133)</f>
        <v/>
      </c>
      <c r="K133" s="19" t="str">
        <f aca="false">IF($A133="","",H133+E133)</f>
        <v/>
      </c>
      <c r="L133" s="20" t="str">
        <f aca="false">IF($A133="","",K133-J133-N133)</f>
        <v/>
      </c>
      <c r="M133" s="15" t="str">
        <f aca="false">IF($A133="","",INDEX(PERLINE!$A$2:$A$3001,MATCH($A133,PERLINE!$N$2:$N$3001,0)))</f>
        <v/>
      </c>
      <c r="N133" s="21" t="str">
        <f aca="false">IF($A133="","",SUMIFS(PERLINE!$M$2:$M$3001,PERLINE!$N$2:$N$3001,$A133))</f>
        <v/>
      </c>
    </row>
    <row r="134" customFormat="false" ht="15" hidden="false" customHeight="true" outlineLevel="0" collapsed="false">
      <c r="A134" s="15" t="str">
        <f aca="false">IF(ROWS($A$2:$A134)&lt;=Check!$C$4,SMALL(PERLINE!$AL$2:$AL$3001,ROWS($A$2:$A134)),"")</f>
        <v/>
      </c>
      <c r="B134" s="15" t="str">
        <f aca="false">IF($A134="","",INDEX(PERLINE!$J$2:$J$3001,MATCH($A134,PERLINE!$N$2:$N$3001,0)))</f>
        <v/>
      </c>
      <c r="C134" s="16" t="str">
        <f aca="false">IF($A134="","",INDEX(PERLINE!$I$2:$I$3001,MATCH($A134,PERLINE!$N$2:$N$3001,0)))</f>
        <v/>
      </c>
      <c r="D134" s="17" t="str">
        <f aca="false">IF($A134="","",'كشف المطالبة'!$D$6)</f>
        <v/>
      </c>
      <c r="E134" s="18" t="str">
        <f aca="false">IF($A134="","",SUMIFS(PERLINE!$U$2:$U$3001,PERLINE!$N$2:$N$3001,$A134,PERLINE!$AK$2:$AK$3001,0))</f>
        <v/>
      </c>
      <c r="F134" s="19" t="str">
        <f aca="false">IF($A134="","",E134*D134)</f>
        <v/>
      </c>
      <c r="G134" s="17" t="str">
        <f aca="false">IF($A134="","",'كشف المطالبة'!$D$5)</f>
        <v/>
      </c>
      <c r="H134" s="18" t="str">
        <f aca="false">IF($A134="","",SUMIFS(PERLINE!$U$2:$U$3001,PERLINE!$N$2:$N$3001,$A134,PERLINE!$AK$2:$AK$3001,1))</f>
        <v/>
      </c>
      <c r="I134" s="19" t="str">
        <f aca="false">IF($A134="","",H134*G134)</f>
        <v/>
      </c>
      <c r="J134" s="19" t="str">
        <f aca="false">IF($A134="","",F134+I134)</f>
        <v/>
      </c>
      <c r="K134" s="19" t="str">
        <f aca="false">IF($A134="","",H134+E134)</f>
        <v/>
      </c>
      <c r="L134" s="20" t="str">
        <f aca="false">IF($A134="","",K134-J134-N134)</f>
        <v/>
      </c>
      <c r="M134" s="15" t="str">
        <f aca="false">IF($A134="","",INDEX(PERLINE!$A$2:$A$3001,MATCH($A134,PERLINE!$N$2:$N$3001,0)))</f>
        <v/>
      </c>
      <c r="N134" s="21" t="str">
        <f aca="false">IF($A134="","",SUMIFS(PERLINE!$M$2:$M$3001,PERLINE!$N$2:$N$3001,$A134))</f>
        <v/>
      </c>
    </row>
    <row r="135" customFormat="false" ht="15" hidden="false" customHeight="true" outlineLevel="0" collapsed="false">
      <c r="A135" s="15" t="str">
        <f aca="false">IF(ROWS($A$2:$A135)&lt;=Check!$C$4,SMALL(PERLINE!$AL$2:$AL$3001,ROWS($A$2:$A135)),"")</f>
        <v/>
      </c>
      <c r="B135" s="15" t="str">
        <f aca="false">IF($A135="","",INDEX(PERLINE!$J$2:$J$3001,MATCH($A135,PERLINE!$N$2:$N$3001,0)))</f>
        <v/>
      </c>
      <c r="C135" s="16" t="str">
        <f aca="false">IF($A135="","",INDEX(PERLINE!$I$2:$I$3001,MATCH($A135,PERLINE!$N$2:$N$3001,0)))</f>
        <v/>
      </c>
      <c r="D135" s="17" t="str">
        <f aca="false">IF($A135="","",'كشف المطالبة'!$D$6)</f>
        <v/>
      </c>
      <c r="E135" s="18" t="str">
        <f aca="false">IF($A135="","",SUMIFS(PERLINE!$U$2:$U$3001,PERLINE!$N$2:$N$3001,$A135,PERLINE!$AK$2:$AK$3001,0))</f>
        <v/>
      </c>
      <c r="F135" s="19" t="str">
        <f aca="false">IF($A135="","",E135*D135)</f>
        <v/>
      </c>
      <c r="G135" s="17" t="str">
        <f aca="false">IF($A135="","",'كشف المطالبة'!$D$5)</f>
        <v/>
      </c>
      <c r="H135" s="18" t="str">
        <f aca="false">IF($A135="","",SUMIFS(PERLINE!$U$2:$U$3001,PERLINE!$N$2:$N$3001,$A135,PERLINE!$AK$2:$AK$3001,1))</f>
        <v/>
      </c>
      <c r="I135" s="19" t="str">
        <f aca="false">IF($A135="","",H135*G135)</f>
        <v/>
      </c>
      <c r="J135" s="19" t="str">
        <f aca="false">IF($A135="","",F135+I135)</f>
        <v/>
      </c>
      <c r="K135" s="19" t="str">
        <f aca="false">IF($A135="","",H135+E135)</f>
        <v/>
      </c>
      <c r="L135" s="20" t="str">
        <f aca="false">IF($A135="","",K135-J135-N135)</f>
        <v/>
      </c>
      <c r="M135" s="15" t="str">
        <f aca="false">IF($A135="","",INDEX(PERLINE!$A$2:$A$3001,MATCH($A135,PERLINE!$N$2:$N$3001,0)))</f>
        <v/>
      </c>
      <c r="N135" s="21" t="str">
        <f aca="false">IF($A135="","",SUMIFS(PERLINE!$M$2:$M$3001,PERLINE!$N$2:$N$3001,$A135))</f>
        <v/>
      </c>
    </row>
    <row r="136" customFormat="false" ht="15" hidden="false" customHeight="true" outlineLevel="0" collapsed="false">
      <c r="A136" s="15" t="str">
        <f aca="false">IF(ROWS($A$2:$A136)&lt;=Check!$C$4,SMALL(PERLINE!$AL$2:$AL$3001,ROWS($A$2:$A136)),"")</f>
        <v/>
      </c>
      <c r="B136" s="15" t="str">
        <f aca="false">IF($A136="","",INDEX(PERLINE!$J$2:$J$3001,MATCH($A136,PERLINE!$N$2:$N$3001,0)))</f>
        <v/>
      </c>
      <c r="C136" s="16" t="str">
        <f aca="false">IF($A136="","",INDEX(PERLINE!$I$2:$I$3001,MATCH($A136,PERLINE!$N$2:$N$3001,0)))</f>
        <v/>
      </c>
      <c r="D136" s="17" t="str">
        <f aca="false">IF($A136="","",'كشف المطالبة'!$D$6)</f>
        <v/>
      </c>
      <c r="E136" s="18" t="str">
        <f aca="false">IF($A136="","",SUMIFS(PERLINE!$U$2:$U$3001,PERLINE!$N$2:$N$3001,$A136,PERLINE!$AK$2:$AK$3001,0))</f>
        <v/>
      </c>
      <c r="F136" s="19" t="str">
        <f aca="false">IF($A136="","",E136*D136)</f>
        <v/>
      </c>
      <c r="G136" s="17" t="str">
        <f aca="false">IF($A136="","",'كشف المطالبة'!$D$5)</f>
        <v/>
      </c>
      <c r="H136" s="18" t="str">
        <f aca="false">IF($A136="","",SUMIFS(PERLINE!$U$2:$U$3001,PERLINE!$N$2:$N$3001,$A136,PERLINE!$AK$2:$AK$3001,1))</f>
        <v/>
      </c>
      <c r="I136" s="19" t="str">
        <f aca="false">IF($A136="","",H136*G136)</f>
        <v/>
      </c>
      <c r="J136" s="19" t="str">
        <f aca="false">IF($A136="","",F136+I136)</f>
        <v/>
      </c>
      <c r="K136" s="19" t="str">
        <f aca="false">IF($A136="","",H136+E136)</f>
        <v/>
      </c>
      <c r="L136" s="20" t="str">
        <f aca="false">IF($A136="","",K136-J136-N136)</f>
        <v/>
      </c>
      <c r="M136" s="15" t="str">
        <f aca="false">IF($A136="","",INDEX(PERLINE!$A$2:$A$3001,MATCH($A136,PERLINE!$N$2:$N$3001,0)))</f>
        <v/>
      </c>
      <c r="N136" s="21" t="str">
        <f aca="false">IF($A136="","",SUMIFS(PERLINE!$M$2:$M$3001,PERLINE!$N$2:$N$3001,$A136))</f>
        <v/>
      </c>
    </row>
    <row r="137" customFormat="false" ht="15" hidden="false" customHeight="true" outlineLevel="0" collapsed="false">
      <c r="A137" s="15" t="str">
        <f aca="false">IF(ROWS($A$2:$A137)&lt;=Check!$C$4,SMALL(PERLINE!$AL$2:$AL$3001,ROWS($A$2:$A137)),"")</f>
        <v/>
      </c>
      <c r="B137" s="15" t="str">
        <f aca="false">IF($A137="","",INDEX(PERLINE!$J$2:$J$3001,MATCH($A137,PERLINE!$N$2:$N$3001,0)))</f>
        <v/>
      </c>
      <c r="C137" s="16" t="str">
        <f aca="false">IF($A137="","",INDEX(PERLINE!$I$2:$I$3001,MATCH($A137,PERLINE!$N$2:$N$3001,0)))</f>
        <v/>
      </c>
      <c r="D137" s="17" t="str">
        <f aca="false">IF($A137="","",'كشف المطالبة'!$D$6)</f>
        <v/>
      </c>
      <c r="E137" s="18" t="str">
        <f aca="false">IF($A137="","",SUMIFS(PERLINE!$U$2:$U$3001,PERLINE!$N$2:$N$3001,$A137,PERLINE!$AK$2:$AK$3001,0))</f>
        <v/>
      </c>
      <c r="F137" s="19" t="str">
        <f aca="false">IF($A137="","",E137*D137)</f>
        <v/>
      </c>
      <c r="G137" s="17" t="str">
        <f aca="false">IF($A137="","",'كشف المطالبة'!$D$5)</f>
        <v/>
      </c>
      <c r="H137" s="18" t="str">
        <f aca="false">IF($A137="","",SUMIFS(PERLINE!$U$2:$U$3001,PERLINE!$N$2:$N$3001,$A137,PERLINE!$AK$2:$AK$3001,1))</f>
        <v/>
      </c>
      <c r="I137" s="19" t="str">
        <f aca="false">IF($A137="","",H137*G137)</f>
        <v/>
      </c>
      <c r="J137" s="19" t="str">
        <f aca="false">IF($A137="","",F137+I137)</f>
        <v/>
      </c>
      <c r="K137" s="19" t="str">
        <f aca="false">IF($A137="","",H137+E137)</f>
        <v/>
      </c>
      <c r="L137" s="20" t="str">
        <f aca="false">IF($A137="","",K137-J137-N137)</f>
        <v/>
      </c>
      <c r="M137" s="15" t="str">
        <f aca="false">IF($A137="","",INDEX(PERLINE!$A$2:$A$3001,MATCH($A137,PERLINE!$N$2:$N$3001,0)))</f>
        <v/>
      </c>
      <c r="N137" s="21" t="str">
        <f aca="false">IF($A137="","",SUMIFS(PERLINE!$M$2:$M$3001,PERLINE!$N$2:$N$3001,$A137))</f>
        <v/>
      </c>
    </row>
    <row r="138" customFormat="false" ht="15" hidden="false" customHeight="true" outlineLevel="0" collapsed="false">
      <c r="A138" s="15" t="str">
        <f aca="false">IF(ROWS($A$2:$A138)&lt;=Check!$C$4,SMALL(PERLINE!$AL$2:$AL$3001,ROWS($A$2:$A138)),"")</f>
        <v/>
      </c>
      <c r="B138" s="15" t="str">
        <f aca="false">IF($A138="","",INDEX(PERLINE!$J$2:$J$3001,MATCH($A138,PERLINE!$N$2:$N$3001,0)))</f>
        <v/>
      </c>
      <c r="C138" s="16" t="str">
        <f aca="false">IF($A138="","",INDEX(PERLINE!$I$2:$I$3001,MATCH($A138,PERLINE!$N$2:$N$3001,0)))</f>
        <v/>
      </c>
      <c r="D138" s="17" t="str">
        <f aca="false">IF($A138="","",'كشف المطالبة'!$D$6)</f>
        <v/>
      </c>
      <c r="E138" s="18" t="str">
        <f aca="false">IF($A138="","",SUMIFS(PERLINE!$U$2:$U$3001,PERLINE!$N$2:$N$3001,$A138,PERLINE!$AK$2:$AK$3001,0))</f>
        <v/>
      </c>
      <c r="F138" s="19" t="str">
        <f aca="false">IF($A138="","",E138*D138)</f>
        <v/>
      </c>
      <c r="G138" s="17" t="str">
        <f aca="false">IF($A138="","",'كشف المطالبة'!$D$5)</f>
        <v/>
      </c>
      <c r="H138" s="18" t="str">
        <f aca="false">IF($A138="","",SUMIFS(PERLINE!$U$2:$U$3001,PERLINE!$N$2:$N$3001,$A138,PERLINE!$AK$2:$AK$3001,1))</f>
        <v/>
      </c>
      <c r="I138" s="19" t="str">
        <f aca="false">IF($A138="","",H138*G138)</f>
        <v/>
      </c>
      <c r="J138" s="19" t="str">
        <f aca="false">IF($A138="","",F138+I138)</f>
        <v/>
      </c>
      <c r="K138" s="19" t="str">
        <f aca="false">IF($A138="","",H138+E138)</f>
        <v/>
      </c>
      <c r="L138" s="20" t="str">
        <f aca="false">IF($A138="","",K138-J138-N138)</f>
        <v/>
      </c>
      <c r="M138" s="15" t="str">
        <f aca="false">IF($A138="","",INDEX(PERLINE!$A$2:$A$3001,MATCH($A138,PERLINE!$N$2:$N$3001,0)))</f>
        <v/>
      </c>
      <c r="N138" s="21" t="str">
        <f aca="false">IF($A138="","",SUMIFS(PERLINE!$M$2:$M$3001,PERLINE!$N$2:$N$3001,$A138))</f>
        <v/>
      </c>
    </row>
    <row r="139" customFormat="false" ht="15" hidden="false" customHeight="true" outlineLevel="0" collapsed="false">
      <c r="A139" s="15" t="str">
        <f aca="false">IF(ROWS($A$2:$A139)&lt;=Check!$C$4,SMALL(PERLINE!$AL$2:$AL$3001,ROWS($A$2:$A139)),"")</f>
        <v/>
      </c>
      <c r="B139" s="15" t="str">
        <f aca="false">IF($A139="","",INDEX(PERLINE!$J$2:$J$3001,MATCH($A139,PERLINE!$N$2:$N$3001,0)))</f>
        <v/>
      </c>
      <c r="C139" s="16" t="str">
        <f aca="false">IF($A139="","",INDEX(PERLINE!$I$2:$I$3001,MATCH($A139,PERLINE!$N$2:$N$3001,0)))</f>
        <v/>
      </c>
      <c r="D139" s="17" t="str">
        <f aca="false">IF($A139="","",'كشف المطالبة'!$D$6)</f>
        <v/>
      </c>
      <c r="E139" s="18" t="str">
        <f aca="false">IF($A139="","",SUMIFS(PERLINE!$U$2:$U$3001,PERLINE!$N$2:$N$3001,$A139,PERLINE!$AK$2:$AK$3001,0))</f>
        <v/>
      </c>
      <c r="F139" s="19" t="str">
        <f aca="false">IF($A139="","",E139*D139)</f>
        <v/>
      </c>
      <c r="G139" s="17" t="str">
        <f aca="false">IF($A139="","",'كشف المطالبة'!$D$5)</f>
        <v/>
      </c>
      <c r="H139" s="18" t="str">
        <f aca="false">IF($A139="","",SUMIFS(PERLINE!$U$2:$U$3001,PERLINE!$N$2:$N$3001,$A139,PERLINE!$AK$2:$AK$3001,1))</f>
        <v/>
      </c>
      <c r="I139" s="19" t="str">
        <f aca="false">IF($A139="","",H139*G139)</f>
        <v/>
      </c>
      <c r="J139" s="19" t="str">
        <f aca="false">IF($A139="","",F139+I139)</f>
        <v/>
      </c>
      <c r="K139" s="19" t="str">
        <f aca="false">IF($A139="","",H139+E139)</f>
        <v/>
      </c>
      <c r="L139" s="20" t="str">
        <f aca="false">IF($A139="","",K139-J139-N139)</f>
        <v/>
      </c>
      <c r="M139" s="15" t="str">
        <f aca="false">IF($A139="","",INDEX(PERLINE!$A$2:$A$3001,MATCH($A139,PERLINE!$N$2:$N$3001,0)))</f>
        <v/>
      </c>
      <c r="N139" s="21" t="str">
        <f aca="false">IF($A139="","",SUMIFS(PERLINE!$M$2:$M$3001,PERLINE!$N$2:$N$3001,$A139))</f>
        <v/>
      </c>
    </row>
    <row r="140" customFormat="false" ht="15" hidden="false" customHeight="true" outlineLevel="0" collapsed="false">
      <c r="A140" s="15" t="str">
        <f aca="false">IF(ROWS($A$2:$A140)&lt;=Check!$C$4,SMALL(PERLINE!$AL$2:$AL$3001,ROWS($A$2:$A140)),"")</f>
        <v/>
      </c>
      <c r="B140" s="15" t="str">
        <f aca="false">IF($A140="","",INDEX(PERLINE!$J$2:$J$3001,MATCH($A140,PERLINE!$N$2:$N$3001,0)))</f>
        <v/>
      </c>
      <c r="C140" s="16" t="str">
        <f aca="false">IF($A140="","",INDEX(PERLINE!$I$2:$I$3001,MATCH($A140,PERLINE!$N$2:$N$3001,0)))</f>
        <v/>
      </c>
      <c r="D140" s="17" t="str">
        <f aca="false">IF($A140="","",'كشف المطالبة'!$D$6)</f>
        <v/>
      </c>
      <c r="E140" s="18" t="str">
        <f aca="false">IF($A140="","",SUMIFS(PERLINE!$U$2:$U$3001,PERLINE!$N$2:$N$3001,$A140,PERLINE!$AK$2:$AK$3001,0))</f>
        <v/>
      </c>
      <c r="F140" s="19" t="str">
        <f aca="false">IF($A140="","",E140*D140)</f>
        <v/>
      </c>
      <c r="G140" s="17" t="str">
        <f aca="false">IF($A140="","",'كشف المطالبة'!$D$5)</f>
        <v/>
      </c>
      <c r="H140" s="18" t="str">
        <f aca="false">IF($A140="","",SUMIFS(PERLINE!$U$2:$U$3001,PERLINE!$N$2:$N$3001,$A140,PERLINE!$AK$2:$AK$3001,1))</f>
        <v/>
      </c>
      <c r="I140" s="19" t="str">
        <f aca="false">IF($A140="","",H140*G140)</f>
        <v/>
      </c>
      <c r="J140" s="19" t="str">
        <f aca="false">IF($A140="","",F140+I140)</f>
        <v/>
      </c>
      <c r="K140" s="19" t="str">
        <f aca="false">IF($A140="","",H140+E140)</f>
        <v/>
      </c>
      <c r="L140" s="20" t="str">
        <f aca="false">IF($A140="","",K140-J140-N140)</f>
        <v/>
      </c>
      <c r="M140" s="15" t="str">
        <f aca="false">IF($A140="","",INDEX(PERLINE!$A$2:$A$3001,MATCH($A140,PERLINE!$N$2:$N$3001,0)))</f>
        <v/>
      </c>
      <c r="N140" s="21" t="str">
        <f aca="false">IF($A140="","",SUMIFS(PERLINE!$M$2:$M$3001,PERLINE!$N$2:$N$3001,$A140))</f>
        <v/>
      </c>
    </row>
    <row r="141" customFormat="false" ht="15" hidden="false" customHeight="true" outlineLevel="0" collapsed="false">
      <c r="A141" s="15" t="str">
        <f aca="false">IF(ROWS($A$2:$A141)&lt;=Check!$C$4,SMALL(PERLINE!$AL$2:$AL$3001,ROWS($A$2:$A141)),"")</f>
        <v/>
      </c>
      <c r="B141" s="15" t="str">
        <f aca="false">IF($A141="","",INDEX(PERLINE!$J$2:$J$3001,MATCH($A141,PERLINE!$N$2:$N$3001,0)))</f>
        <v/>
      </c>
      <c r="C141" s="16" t="str">
        <f aca="false">IF($A141="","",INDEX(PERLINE!$I$2:$I$3001,MATCH($A141,PERLINE!$N$2:$N$3001,0)))</f>
        <v/>
      </c>
      <c r="D141" s="17" t="str">
        <f aca="false">IF($A141="","",'كشف المطالبة'!$D$6)</f>
        <v/>
      </c>
      <c r="E141" s="18" t="str">
        <f aca="false">IF($A141="","",SUMIFS(PERLINE!$U$2:$U$3001,PERLINE!$N$2:$N$3001,$A141,PERLINE!$AK$2:$AK$3001,0))</f>
        <v/>
      </c>
      <c r="F141" s="19" t="str">
        <f aca="false">IF($A141="","",E141*D141)</f>
        <v/>
      </c>
      <c r="G141" s="17" t="str">
        <f aca="false">IF($A141="","",'كشف المطالبة'!$D$5)</f>
        <v/>
      </c>
      <c r="H141" s="18" t="str">
        <f aca="false">IF($A141="","",SUMIFS(PERLINE!$U$2:$U$3001,PERLINE!$N$2:$N$3001,$A141,PERLINE!$AK$2:$AK$3001,1))</f>
        <v/>
      </c>
      <c r="I141" s="19" t="str">
        <f aca="false">IF($A141="","",H141*G141)</f>
        <v/>
      </c>
      <c r="J141" s="19" t="str">
        <f aca="false">IF($A141="","",F141+I141)</f>
        <v/>
      </c>
      <c r="K141" s="19" t="str">
        <f aca="false">IF($A141="","",H141+E141)</f>
        <v/>
      </c>
      <c r="L141" s="20" t="str">
        <f aca="false">IF($A141="","",K141-J141-N141)</f>
        <v/>
      </c>
      <c r="M141" s="15" t="str">
        <f aca="false">IF($A141="","",INDEX(PERLINE!$A$2:$A$3001,MATCH($A141,PERLINE!$N$2:$N$3001,0)))</f>
        <v/>
      </c>
      <c r="N141" s="21" t="str">
        <f aca="false">IF($A141="","",SUMIFS(PERLINE!$M$2:$M$3001,PERLINE!$N$2:$N$3001,$A141))</f>
        <v/>
      </c>
    </row>
    <row r="142" customFormat="false" ht="15" hidden="false" customHeight="true" outlineLevel="0" collapsed="false">
      <c r="A142" s="15" t="str">
        <f aca="false">IF(ROWS($A$2:$A142)&lt;=Check!$C$4,SMALL(PERLINE!$AL$2:$AL$3001,ROWS($A$2:$A142)),"")</f>
        <v/>
      </c>
      <c r="B142" s="15" t="str">
        <f aca="false">IF($A142="","",INDEX(PERLINE!$J$2:$J$3001,MATCH($A142,PERLINE!$N$2:$N$3001,0)))</f>
        <v/>
      </c>
      <c r="C142" s="16" t="str">
        <f aca="false">IF($A142="","",INDEX(PERLINE!$I$2:$I$3001,MATCH($A142,PERLINE!$N$2:$N$3001,0)))</f>
        <v/>
      </c>
      <c r="D142" s="17" t="str">
        <f aca="false">IF($A142="","",'كشف المطالبة'!$D$6)</f>
        <v/>
      </c>
      <c r="E142" s="18" t="str">
        <f aca="false">IF($A142="","",SUMIFS(PERLINE!$U$2:$U$3001,PERLINE!$N$2:$N$3001,$A142,PERLINE!$AK$2:$AK$3001,0))</f>
        <v/>
      </c>
      <c r="F142" s="19" t="str">
        <f aca="false">IF($A142="","",E142*D142)</f>
        <v/>
      </c>
      <c r="G142" s="17" t="str">
        <f aca="false">IF($A142="","",'كشف المطالبة'!$D$5)</f>
        <v/>
      </c>
      <c r="H142" s="18" t="str">
        <f aca="false">IF($A142="","",SUMIFS(PERLINE!$U$2:$U$3001,PERLINE!$N$2:$N$3001,$A142,PERLINE!$AK$2:$AK$3001,1))</f>
        <v/>
      </c>
      <c r="I142" s="19" t="str">
        <f aca="false">IF($A142="","",H142*G142)</f>
        <v/>
      </c>
      <c r="J142" s="19" t="str">
        <f aca="false">IF($A142="","",F142+I142)</f>
        <v/>
      </c>
      <c r="K142" s="19" t="str">
        <f aca="false">IF($A142="","",H142+E142)</f>
        <v/>
      </c>
      <c r="L142" s="20" t="str">
        <f aca="false">IF($A142="","",K142-J142-N142)</f>
        <v/>
      </c>
      <c r="M142" s="15" t="str">
        <f aca="false">IF($A142="","",INDEX(PERLINE!$A$2:$A$3001,MATCH($A142,PERLINE!$N$2:$N$3001,0)))</f>
        <v/>
      </c>
      <c r="N142" s="21" t="str">
        <f aca="false">IF($A142="","",SUMIFS(PERLINE!$M$2:$M$3001,PERLINE!$N$2:$N$3001,$A142))</f>
        <v/>
      </c>
    </row>
    <row r="143" customFormat="false" ht="15" hidden="false" customHeight="true" outlineLevel="0" collapsed="false">
      <c r="A143" s="15" t="str">
        <f aca="false">IF(ROWS($A$2:$A143)&lt;=Check!$C$4,SMALL(PERLINE!$AL$2:$AL$3001,ROWS($A$2:$A143)),"")</f>
        <v/>
      </c>
      <c r="B143" s="15" t="str">
        <f aca="false">IF($A143="","",INDEX(PERLINE!$J$2:$J$3001,MATCH($A143,PERLINE!$N$2:$N$3001,0)))</f>
        <v/>
      </c>
      <c r="C143" s="16" t="str">
        <f aca="false">IF($A143="","",INDEX(PERLINE!$I$2:$I$3001,MATCH($A143,PERLINE!$N$2:$N$3001,0)))</f>
        <v/>
      </c>
      <c r="D143" s="17" t="str">
        <f aca="false">IF($A143="","",'كشف المطالبة'!$D$6)</f>
        <v/>
      </c>
      <c r="E143" s="18" t="str">
        <f aca="false">IF($A143="","",SUMIFS(PERLINE!$U$2:$U$3001,PERLINE!$N$2:$N$3001,$A143,PERLINE!$AK$2:$AK$3001,0))</f>
        <v/>
      </c>
      <c r="F143" s="19" t="str">
        <f aca="false">IF($A143="","",E143*D143)</f>
        <v/>
      </c>
      <c r="G143" s="17" t="str">
        <f aca="false">IF($A143="","",'كشف المطالبة'!$D$5)</f>
        <v/>
      </c>
      <c r="H143" s="18" t="str">
        <f aca="false">IF($A143="","",SUMIFS(PERLINE!$U$2:$U$3001,PERLINE!$N$2:$N$3001,$A143,PERLINE!$AK$2:$AK$3001,1))</f>
        <v/>
      </c>
      <c r="I143" s="19" t="str">
        <f aca="false">IF($A143="","",H143*G143)</f>
        <v/>
      </c>
      <c r="J143" s="19" t="str">
        <f aca="false">IF($A143="","",F143+I143)</f>
        <v/>
      </c>
      <c r="K143" s="19" t="str">
        <f aca="false">IF($A143="","",H143+E143)</f>
        <v/>
      </c>
      <c r="L143" s="20" t="str">
        <f aca="false">IF($A143="","",K143-J143-N143)</f>
        <v/>
      </c>
      <c r="M143" s="15" t="str">
        <f aca="false">IF($A143="","",INDEX(PERLINE!$A$2:$A$3001,MATCH($A143,PERLINE!$N$2:$N$3001,0)))</f>
        <v/>
      </c>
      <c r="N143" s="21" t="str">
        <f aca="false">IF($A143="","",SUMIFS(PERLINE!$M$2:$M$3001,PERLINE!$N$2:$N$3001,$A143))</f>
        <v/>
      </c>
    </row>
    <row r="144" customFormat="false" ht="15" hidden="false" customHeight="true" outlineLevel="0" collapsed="false">
      <c r="A144" s="15" t="str">
        <f aca="false">IF(ROWS($A$2:$A144)&lt;=Check!$C$4,SMALL(PERLINE!$AL$2:$AL$3001,ROWS($A$2:$A144)),"")</f>
        <v/>
      </c>
      <c r="B144" s="15" t="str">
        <f aca="false">IF($A144="","",INDEX(PERLINE!$J$2:$J$3001,MATCH($A144,PERLINE!$N$2:$N$3001,0)))</f>
        <v/>
      </c>
      <c r="C144" s="16" t="str">
        <f aca="false">IF($A144="","",INDEX(PERLINE!$I$2:$I$3001,MATCH($A144,PERLINE!$N$2:$N$3001,0)))</f>
        <v/>
      </c>
      <c r="D144" s="17" t="str">
        <f aca="false">IF($A144="","",'كشف المطالبة'!$D$6)</f>
        <v/>
      </c>
      <c r="E144" s="18" t="str">
        <f aca="false">IF($A144="","",SUMIFS(PERLINE!$U$2:$U$3001,PERLINE!$N$2:$N$3001,$A144,PERLINE!$AK$2:$AK$3001,0))</f>
        <v/>
      </c>
      <c r="F144" s="19" t="str">
        <f aca="false">IF($A144="","",E144*D144)</f>
        <v/>
      </c>
      <c r="G144" s="17" t="str">
        <f aca="false">IF($A144="","",'كشف المطالبة'!$D$5)</f>
        <v/>
      </c>
      <c r="H144" s="18" t="str">
        <f aca="false">IF($A144="","",SUMIFS(PERLINE!$U$2:$U$3001,PERLINE!$N$2:$N$3001,$A144,PERLINE!$AK$2:$AK$3001,1))</f>
        <v/>
      </c>
      <c r="I144" s="19" t="str">
        <f aca="false">IF($A144="","",H144*G144)</f>
        <v/>
      </c>
      <c r="J144" s="19" t="str">
        <f aca="false">IF($A144="","",F144+I144)</f>
        <v/>
      </c>
      <c r="K144" s="19" t="str">
        <f aca="false">IF($A144="","",H144+E144)</f>
        <v/>
      </c>
      <c r="L144" s="20" t="str">
        <f aca="false">IF($A144="","",K144-J144-N144)</f>
        <v/>
      </c>
      <c r="M144" s="15" t="str">
        <f aca="false">IF($A144="","",INDEX(PERLINE!$A$2:$A$3001,MATCH($A144,PERLINE!$N$2:$N$3001,0)))</f>
        <v/>
      </c>
      <c r="N144" s="21" t="str">
        <f aca="false">IF($A144="","",SUMIFS(PERLINE!$M$2:$M$3001,PERLINE!$N$2:$N$3001,$A144))</f>
        <v/>
      </c>
    </row>
    <row r="145" customFormat="false" ht="15" hidden="false" customHeight="true" outlineLevel="0" collapsed="false">
      <c r="A145" s="15" t="str">
        <f aca="false">IF(ROWS($A$2:$A145)&lt;=Check!$C$4,SMALL(PERLINE!$AL$2:$AL$3001,ROWS($A$2:$A145)),"")</f>
        <v/>
      </c>
      <c r="B145" s="15" t="str">
        <f aca="false">IF($A145="","",INDEX(PERLINE!$J$2:$J$3001,MATCH($A145,PERLINE!$N$2:$N$3001,0)))</f>
        <v/>
      </c>
      <c r="C145" s="16" t="str">
        <f aca="false">IF($A145="","",INDEX(PERLINE!$I$2:$I$3001,MATCH($A145,PERLINE!$N$2:$N$3001,0)))</f>
        <v/>
      </c>
      <c r="D145" s="17" t="str">
        <f aca="false">IF($A145="","",'كشف المطالبة'!$D$6)</f>
        <v/>
      </c>
      <c r="E145" s="18" t="str">
        <f aca="false">IF($A145="","",SUMIFS(PERLINE!$U$2:$U$3001,PERLINE!$N$2:$N$3001,$A145,PERLINE!$AK$2:$AK$3001,0))</f>
        <v/>
      </c>
      <c r="F145" s="19" t="str">
        <f aca="false">IF($A145="","",E145*D145)</f>
        <v/>
      </c>
      <c r="G145" s="17" t="str">
        <f aca="false">IF($A145="","",'كشف المطالبة'!$D$5)</f>
        <v/>
      </c>
      <c r="H145" s="18" t="str">
        <f aca="false">IF($A145="","",SUMIFS(PERLINE!$U$2:$U$3001,PERLINE!$N$2:$N$3001,$A145,PERLINE!$AK$2:$AK$3001,1))</f>
        <v/>
      </c>
      <c r="I145" s="19" t="str">
        <f aca="false">IF($A145="","",H145*G145)</f>
        <v/>
      </c>
      <c r="J145" s="19" t="str">
        <f aca="false">IF($A145="","",F145+I145)</f>
        <v/>
      </c>
      <c r="K145" s="19" t="str">
        <f aca="false">IF($A145="","",H145+E145)</f>
        <v/>
      </c>
      <c r="L145" s="20" t="str">
        <f aca="false">IF($A145="","",K145-J145-N145)</f>
        <v/>
      </c>
      <c r="M145" s="15" t="str">
        <f aca="false">IF($A145="","",INDEX(PERLINE!$A$2:$A$3001,MATCH($A145,PERLINE!$N$2:$N$3001,0)))</f>
        <v/>
      </c>
      <c r="N145" s="21" t="str">
        <f aca="false">IF($A145="","",SUMIFS(PERLINE!$M$2:$M$3001,PERLINE!$N$2:$N$3001,$A145))</f>
        <v/>
      </c>
    </row>
    <row r="146" customFormat="false" ht="15" hidden="false" customHeight="true" outlineLevel="0" collapsed="false">
      <c r="A146" s="15" t="str">
        <f aca="false">IF(ROWS($A$2:$A146)&lt;=Check!$C$4,SMALL(PERLINE!$AL$2:$AL$3001,ROWS($A$2:$A146)),"")</f>
        <v/>
      </c>
      <c r="B146" s="15" t="str">
        <f aca="false">IF($A146="","",INDEX(PERLINE!$J$2:$J$3001,MATCH($A146,PERLINE!$N$2:$N$3001,0)))</f>
        <v/>
      </c>
      <c r="C146" s="16" t="str">
        <f aca="false">IF($A146="","",INDEX(PERLINE!$I$2:$I$3001,MATCH($A146,PERLINE!$N$2:$N$3001,0)))</f>
        <v/>
      </c>
      <c r="D146" s="17" t="str">
        <f aca="false">IF($A146="","",'كشف المطالبة'!$D$6)</f>
        <v/>
      </c>
      <c r="E146" s="18" t="str">
        <f aca="false">IF($A146="","",SUMIFS(PERLINE!$U$2:$U$3001,PERLINE!$N$2:$N$3001,$A146,PERLINE!$AK$2:$AK$3001,0))</f>
        <v/>
      </c>
      <c r="F146" s="19" t="str">
        <f aca="false">IF($A146="","",E146*D146)</f>
        <v/>
      </c>
      <c r="G146" s="17" t="str">
        <f aca="false">IF($A146="","",'كشف المطالبة'!$D$5)</f>
        <v/>
      </c>
      <c r="H146" s="18" t="str">
        <f aca="false">IF($A146="","",SUMIFS(PERLINE!$U$2:$U$3001,PERLINE!$N$2:$N$3001,$A146,PERLINE!$AK$2:$AK$3001,1))</f>
        <v/>
      </c>
      <c r="I146" s="19" t="str">
        <f aca="false">IF($A146="","",H146*G146)</f>
        <v/>
      </c>
      <c r="J146" s="19" t="str">
        <f aca="false">IF($A146="","",F146+I146)</f>
        <v/>
      </c>
      <c r="K146" s="19" t="str">
        <f aca="false">IF($A146="","",H146+E146)</f>
        <v/>
      </c>
      <c r="L146" s="20" t="str">
        <f aca="false">IF($A146="","",K146-J146-N146)</f>
        <v/>
      </c>
      <c r="M146" s="15" t="str">
        <f aca="false">IF($A146="","",INDEX(PERLINE!$A$2:$A$3001,MATCH($A146,PERLINE!$N$2:$N$3001,0)))</f>
        <v/>
      </c>
      <c r="N146" s="21" t="str">
        <f aca="false">IF($A146="","",SUMIFS(PERLINE!$M$2:$M$3001,PERLINE!$N$2:$N$3001,$A146))</f>
        <v/>
      </c>
    </row>
    <row r="147" customFormat="false" ht="15" hidden="false" customHeight="true" outlineLevel="0" collapsed="false">
      <c r="A147" s="15" t="str">
        <f aca="false">IF(ROWS($A$2:$A147)&lt;=Check!$C$4,SMALL(PERLINE!$AL$2:$AL$3001,ROWS($A$2:$A147)),"")</f>
        <v/>
      </c>
      <c r="B147" s="15" t="str">
        <f aca="false">IF($A147="","",INDEX(PERLINE!$J$2:$J$3001,MATCH($A147,PERLINE!$N$2:$N$3001,0)))</f>
        <v/>
      </c>
      <c r="C147" s="16" t="str">
        <f aca="false">IF($A147="","",INDEX(PERLINE!$I$2:$I$3001,MATCH($A147,PERLINE!$N$2:$N$3001,0)))</f>
        <v/>
      </c>
      <c r="D147" s="17" t="str">
        <f aca="false">IF($A147="","",'كشف المطالبة'!$D$6)</f>
        <v/>
      </c>
      <c r="E147" s="18" t="str">
        <f aca="false">IF($A147="","",SUMIFS(PERLINE!$U$2:$U$3001,PERLINE!$N$2:$N$3001,$A147,PERLINE!$AK$2:$AK$3001,0))</f>
        <v/>
      </c>
      <c r="F147" s="19" t="str">
        <f aca="false">IF($A147="","",E147*D147)</f>
        <v/>
      </c>
      <c r="G147" s="17" t="str">
        <f aca="false">IF($A147="","",'كشف المطالبة'!$D$5)</f>
        <v/>
      </c>
      <c r="H147" s="18" t="str">
        <f aca="false">IF($A147="","",SUMIFS(PERLINE!$U$2:$U$3001,PERLINE!$N$2:$N$3001,$A147,PERLINE!$AK$2:$AK$3001,1))</f>
        <v/>
      </c>
      <c r="I147" s="19" t="str">
        <f aca="false">IF($A147="","",H147*G147)</f>
        <v/>
      </c>
      <c r="J147" s="19" t="str">
        <f aca="false">IF($A147="","",F147+I147)</f>
        <v/>
      </c>
      <c r="K147" s="19" t="str">
        <f aca="false">IF($A147="","",H147+E147)</f>
        <v/>
      </c>
      <c r="L147" s="20" t="str">
        <f aca="false">IF($A147="","",K147-J147-N147)</f>
        <v/>
      </c>
      <c r="M147" s="15" t="str">
        <f aca="false">IF($A147="","",INDEX(PERLINE!$A$2:$A$3001,MATCH($A147,PERLINE!$N$2:$N$3001,0)))</f>
        <v/>
      </c>
      <c r="N147" s="21" t="str">
        <f aca="false">IF($A147="","",SUMIFS(PERLINE!$M$2:$M$3001,PERLINE!$N$2:$N$3001,$A147))</f>
        <v/>
      </c>
    </row>
    <row r="148" customFormat="false" ht="15" hidden="false" customHeight="true" outlineLevel="0" collapsed="false">
      <c r="A148" s="15" t="str">
        <f aca="false">IF(ROWS($A$2:$A148)&lt;=Check!$C$4,SMALL(PERLINE!$AL$2:$AL$3001,ROWS($A$2:$A148)),"")</f>
        <v/>
      </c>
      <c r="B148" s="15" t="str">
        <f aca="false">IF($A148="","",INDEX(PERLINE!$J$2:$J$3001,MATCH($A148,PERLINE!$N$2:$N$3001,0)))</f>
        <v/>
      </c>
      <c r="C148" s="16" t="str">
        <f aca="false">IF($A148="","",INDEX(PERLINE!$I$2:$I$3001,MATCH($A148,PERLINE!$N$2:$N$3001,0)))</f>
        <v/>
      </c>
      <c r="D148" s="17" t="str">
        <f aca="false">IF($A148="","",'كشف المطالبة'!$D$6)</f>
        <v/>
      </c>
      <c r="E148" s="18" t="str">
        <f aca="false">IF($A148="","",SUMIFS(PERLINE!$U$2:$U$3001,PERLINE!$N$2:$N$3001,$A148,PERLINE!$AK$2:$AK$3001,0))</f>
        <v/>
      </c>
      <c r="F148" s="19" t="str">
        <f aca="false">IF($A148="","",E148*D148)</f>
        <v/>
      </c>
      <c r="G148" s="17" t="str">
        <f aca="false">IF($A148="","",'كشف المطالبة'!$D$5)</f>
        <v/>
      </c>
      <c r="H148" s="18" t="str">
        <f aca="false">IF($A148="","",SUMIFS(PERLINE!$U$2:$U$3001,PERLINE!$N$2:$N$3001,$A148,PERLINE!$AK$2:$AK$3001,1))</f>
        <v/>
      </c>
      <c r="I148" s="19" t="str">
        <f aca="false">IF($A148="","",H148*G148)</f>
        <v/>
      </c>
      <c r="J148" s="19" t="str">
        <f aca="false">IF($A148="","",F148+I148)</f>
        <v/>
      </c>
      <c r="K148" s="19" t="str">
        <f aca="false">IF($A148="","",H148+E148)</f>
        <v/>
      </c>
      <c r="L148" s="20" t="str">
        <f aca="false">IF($A148="","",K148-J148-N148)</f>
        <v/>
      </c>
      <c r="M148" s="15" t="str">
        <f aca="false">IF($A148="","",INDEX(PERLINE!$A$2:$A$3001,MATCH($A148,PERLINE!$N$2:$N$3001,0)))</f>
        <v/>
      </c>
      <c r="N148" s="21" t="str">
        <f aca="false">IF($A148="","",SUMIFS(PERLINE!$M$2:$M$3001,PERLINE!$N$2:$N$3001,$A148))</f>
        <v/>
      </c>
    </row>
    <row r="149" customFormat="false" ht="15" hidden="false" customHeight="true" outlineLevel="0" collapsed="false">
      <c r="A149" s="15" t="str">
        <f aca="false">IF(ROWS($A$2:$A149)&lt;=Check!$C$4,SMALL(PERLINE!$AL$2:$AL$3001,ROWS($A$2:$A149)),"")</f>
        <v/>
      </c>
      <c r="B149" s="15" t="str">
        <f aca="false">IF($A149="","",INDEX(PERLINE!$J$2:$J$3001,MATCH($A149,PERLINE!$N$2:$N$3001,0)))</f>
        <v/>
      </c>
      <c r="C149" s="16" t="str">
        <f aca="false">IF($A149="","",INDEX(PERLINE!$I$2:$I$3001,MATCH($A149,PERLINE!$N$2:$N$3001,0)))</f>
        <v/>
      </c>
      <c r="D149" s="17" t="str">
        <f aca="false">IF($A149="","",'كشف المطالبة'!$D$6)</f>
        <v/>
      </c>
      <c r="E149" s="18" t="str">
        <f aca="false">IF($A149="","",SUMIFS(PERLINE!$U$2:$U$3001,PERLINE!$N$2:$N$3001,$A149,PERLINE!$AK$2:$AK$3001,0))</f>
        <v/>
      </c>
      <c r="F149" s="19" t="str">
        <f aca="false">IF($A149="","",E149*D149)</f>
        <v/>
      </c>
      <c r="G149" s="17" t="str">
        <f aca="false">IF($A149="","",'كشف المطالبة'!$D$5)</f>
        <v/>
      </c>
      <c r="H149" s="18" t="str">
        <f aca="false">IF($A149="","",SUMIFS(PERLINE!$U$2:$U$3001,PERLINE!$N$2:$N$3001,$A149,PERLINE!$AK$2:$AK$3001,1))</f>
        <v/>
      </c>
      <c r="I149" s="19" t="str">
        <f aca="false">IF($A149="","",H149*G149)</f>
        <v/>
      </c>
      <c r="J149" s="19" t="str">
        <f aca="false">IF($A149="","",F149+I149)</f>
        <v/>
      </c>
      <c r="K149" s="19" t="str">
        <f aca="false">IF($A149="","",H149+E149)</f>
        <v/>
      </c>
      <c r="L149" s="20" t="str">
        <f aca="false">IF($A149="","",K149-J149-N149)</f>
        <v/>
      </c>
      <c r="M149" s="15" t="str">
        <f aca="false">IF($A149="","",INDEX(PERLINE!$A$2:$A$3001,MATCH($A149,PERLINE!$N$2:$N$3001,0)))</f>
        <v/>
      </c>
      <c r="N149" s="21" t="str">
        <f aca="false">IF($A149="","",SUMIFS(PERLINE!$M$2:$M$3001,PERLINE!$N$2:$N$3001,$A149))</f>
        <v/>
      </c>
    </row>
    <row r="150" customFormat="false" ht="15" hidden="false" customHeight="true" outlineLevel="0" collapsed="false">
      <c r="A150" s="15" t="str">
        <f aca="false">IF(ROWS($A$2:$A150)&lt;=Check!$C$4,SMALL(PERLINE!$AL$2:$AL$3001,ROWS($A$2:$A150)),"")</f>
        <v/>
      </c>
      <c r="B150" s="15" t="str">
        <f aca="false">IF($A150="","",INDEX(PERLINE!$J$2:$J$3001,MATCH($A150,PERLINE!$N$2:$N$3001,0)))</f>
        <v/>
      </c>
      <c r="C150" s="16" t="str">
        <f aca="false">IF($A150="","",INDEX(PERLINE!$I$2:$I$3001,MATCH($A150,PERLINE!$N$2:$N$3001,0)))</f>
        <v/>
      </c>
      <c r="D150" s="17" t="str">
        <f aca="false">IF($A150="","",'كشف المطالبة'!$D$6)</f>
        <v/>
      </c>
      <c r="E150" s="18" t="str">
        <f aca="false">IF($A150="","",SUMIFS(PERLINE!$U$2:$U$3001,PERLINE!$N$2:$N$3001,$A150,PERLINE!$AK$2:$AK$3001,0))</f>
        <v/>
      </c>
      <c r="F150" s="19" t="str">
        <f aca="false">IF($A150="","",E150*D150)</f>
        <v/>
      </c>
      <c r="G150" s="17" t="str">
        <f aca="false">IF($A150="","",'كشف المطالبة'!$D$5)</f>
        <v/>
      </c>
      <c r="H150" s="18" t="str">
        <f aca="false">IF($A150="","",SUMIFS(PERLINE!$U$2:$U$3001,PERLINE!$N$2:$N$3001,$A150,PERLINE!$AK$2:$AK$3001,1))</f>
        <v/>
      </c>
      <c r="I150" s="19" t="str">
        <f aca="false">IF($A150="","",H150*G150)</f>
        <v/>
      </c>
      <c r="J150" s="19" t="str">
        <f aca="false">IF($A150="","",F150+I150)</f>
        <v/>
      </c>
      <c r="K150" s="19" t="str">
        <f aca="false">IF($A150="","",H150+E150)</f>
        <v/>
      </c>
      <c r="L150" s="20" t="str">
        <f aca="false">IF($A150="","",K150-J150-N150)</f>
        <v/>
      </c>
      <c r="M150" s="15" t="str">
        <f aca="false">IF($A150="","",INDEX(PERLINE!$A$2:$A$3001,MATCH($A150,PERLINE!$N$2:$N$3001,0)))</f>
        <v/>
      </c>
      <c r="N150" s="21" t="str">
        <f aca="false">IF($A150="","",SUMIFS(PERLINE!$M$2:$M$3001,PERLINE!$N$2:$N$3001,$A150))</f>
        <v/>
      </c>
    </row>
    <row r="151" customFormat="false" ht="15" hidden="false" customHeight="true" outlineLevel="0" collapsed="false">
      <c r="A151" s="15" t="str">
        <f aca="false">IF(ROWS($A$2:$A151)&lt;=Check!$C$4,SMALL(PERLINE!$AL$2:$AL$3001,ROWS($A$2:$A151)),"")</f>
        <v/>
      </c>
      <c r="B151" s="15" t="str">
        <f aca="false">IF($A151="","",INDEX(PERLINE!$J$2:$J$3001,MATCH($A151,PERLINE!$N$2:$N$3001,0)))</f>
        <v/>
      </c>
      <c r="C151" s="16" t="str">
        <f aca="false">IF($A151="","",INDEX(PERLINE!$I$2:$I$3001,MATCH($A151,PERLINE!$N$2:$N$3001,0)))</f>
        <v/>
      </c>
      <c r="D151" s="17" t="str">
        <f aca="false">IF($A151="","",'كشف المطالبة'!$D$6)</f>
        <v/>
      </c>
      <c r="E151" s="18" t="str">
        <f aca="false">IF($A151="","",SUMIFS(PERLINE!$U$2:$U$3001,PERLINE!$N$2:$N$3001,$A151,PERLINE!$AK$2:$AK$3001,0))</f>
        <v/>
      </c>
      <c r="F151" s="19" t="str">
        <f aca="false">IF($A151="","",E151*D151)</f>
        <v/>
      </c>
      <c r="G151" s="17" t="str">
        <f aca="false">IF($A151="","",'كشف المطالبة'!$D$5)</f>
        <v/>
      </c>
      <c r="H151" s="18" t="str">
        <f aca="false">IF($A151="","",SUMIFS(PERLINE!$U$2:$U$3001,PERLINE!$N$2:$N$3001,$A151,PERLINE!$AK$2:$AK$3001,1))</f>
        <v/>
      </c>
      <c r="I151" s="19" t="str">
        <f aca="false">IF($A151="","",H151*G151)</f>
        <v/>
      </c>
      <c r="J151" s="19" t="str">
        <f aca="false">IF($A151="","",F151+I151)</f>
        <v/>
      </c>
      <c r="K151" s="19" t="str">
        <f aca="false">IF($A151="","",H151+E151)</f>
        <v/>
      </c>
      <c r="L151" s="20" t="str">
        <f aca="false">IF($A151="","",K151-J151-N151)</f>
        <v/>
      </c>
      <c r="M151" s="15" t="str">
        <f aca="false">IF($A151="","",INDEX(PERLINE!$A$2:$A$3001,MATCH($A151,PERLINE!$N$2:$N$3001,0)))</f>
        <v/>
      </c>
      <c r="N151" s="21" t="str">
        <f aca="false">IF($A151="","",SUMIFS(PERLINE!$M$2:$M$3001,PERLINE!$N$2:$N$3001,$A151))</f>
        <v/>
      </c>
    </row>
    <row r="152" customFormat="false" ht="15" hidden="false" customHeight="true" outlineLevel="0" collapsed="false">
      <c r="A152" s="15" t="str">
        <f aca="false">IF(ROWS($A$2:$A152)&lt;=Check!$C$4,SMALL(PERLINE!$AL$2:$AL$3001,ROWS($A$2:$A152)),"")</f>
        <v/>
      </c>
      <c r="B152" s="15" t="str">
        <f aca="false">IF($A152="","",INDEX(PERLINE!$J$2:$J$3001,MATCH($A152,PERLINE!$N$2:$N$3001,0)))</f>
        <v/>
      </c>
      <c r="C152" s="16" t="str">
        <f aca="false">IF($A152="","",INDEX(PERLINE!$I$2:$I$3001,MATCH($A152,PERLINE!$N$2:$N$3001,0)))</f>
        <v/>
      </c>
      <c r="D152" s="17" t="str">
        <f aca="false">IF($A152="","",'كشف المطالبة'!$D$6)</f>
        <v/>
      </c>
      <c r="E152" s="18" t="str">
        <f aca="false">IF($A152="","",SUMIFS(PERLINE!$U$2:$U$3001,PERLINE!$N$2:$N$3001,$A152,PERLINE!$AK$2:$AK$3001,0))</f>
        <v/>
      </c>
      <c r="F152" s="19" t="str">
        <f aca="false">IF($A152="","",E152*D152)</f>
        <v/>
      </c>
      <c r="G152" s="17" t="str">
        <f aca="false">IF($A152="","",'كشف المطالبة'!$D$5)</f>
        <v/>
      </c>
      <c r="H152" s="18" t="str">
        <f aca="false">IF($A152="","",SUMIFS(PERLINE!$U$2:$U$3001,PERLINE!$N$2:$N$3001,$A152,PERLINE!$AK$2:$AK$3001,1))</f>
        <v/>
      </c>
      <c r="I152" s="19" t="str">
        <f aca="false">IF($A152="","",H152*G152)</f>
        <v/>
      </c>
      <c r="J152" s="19" t="str">
        <f aca="false">IF($A152="","",F152+I152)</f>
        <v/>
      </c>
      <c r="K152" s="19" t="str">
        <f aca="false">IF($A152="","",H152+E152)</f>
        <v/>
      </c>
      <c r="L152" s="20" t="str">
        <f aca="false">IF($A152="","",K152-J152-N152)</f>
        <v/>
      </c>
      <c r="M152" s="15" t="str">
        <f aca="false">IF($A152="","",INDEX(PERLINE!$A$2:$A$3001,MATCH($A152,PERLINE!$N$2:$N$3001,0)))</f>
        <v/>
      </c>
      <c r="N152" s="21" t="str">
        <f aca="false">IF($A152="","",SUMIFS(PERLINE!$M$2:$M$3001,PERLINE!$N$2:$N$3001,$A152))</f>
        <v/>
      </c>
    </row>
    <row r="153" customFormat="false" ht="15" hidden="false" customHeight="true" outlineLevel="0" collapsed="false">
      <c r="A153" s="15" t="str">
        <f aca="false">IF(ROWS($A$2:$A153)&lt;=Check!$C$4,SMALL(PERLINE!$AL$2:$AL$3001,ROWS($A$2:$A153)),"")</f>
        <v/>
      </c>
      <c r="B153" s="15" t="str">
        <f aca="false">IF($A153="","",INDEX(PERLINE!$J$2:$J$3001,MATCH($A153,PERLINE!$N$2:$N$3001,0)))</f>
        <v/>
      </c>
      <c r="C153" s="16" t="str">
        <f aca="false">IF($A153="","",INDEX(PERLINE!$I$2:$I$3001,MATCH($A153,PERLINE!$N$2:$N$3001,0)))</f>
        <v/>
      </c>
      <c r="D153" s="17" t="str">
        <f aca="false">IF($A153="","",'كشف المطالبة'!$D$6)</f>
        <v/>
      </c>
      <c r="E153" s="18" t="str">
        <f aca="false">IF($A153="","",SUMIFS(PERLINE!$U$2:$U$3001,PERLINE!$N$2:$N$3001,$A153,PERLINE!$AK$2:$AK$3001,0))</f>
        <v/>
      </c>
      <c r="F153" s="19" t="str">
        <f aca="false">IF($A153="","",E153*D153)</f>
        <v/>
      </c>
      <c r="G153" s="17" t="str">
        <f aca="false">IF($A153="","",'كشف المطالبة'!$D$5)</f>
        <v/>
      </c>
      <c r="H153" s="18" t="str">
        <f aca="false">IF($A153="","",SUMIFS(PERLINE!$U$2:$U$3001,PERLINE!$N$2:$N$3001,$A153,PERLINE!$AK$2:$AK$3001,1))</f>
        <v/>
      </c>
      <c r="I153" s="19" t="str">
        <f aca="false">IF($A153="","",H153*G153)</f>
        <v/>
      </c>
      <c r="J153" s="19" t="str">
        <f aca="false">IF($A153="","",F153+I153)</f>
        <v/>
      </c>
      <c r="K153" s="19" t="str">
        <f aca="false">IF($A153="","",H153+E153)</f>
        <v/>
      </c>
      <c r="L153" s="20" t="str">
        <f aca="false">IF($A153="","",K153-J153-N153)</f>
        <v/>
      </c>
      <c r="M153" s="15" t="str">
        <f aca="false">IF($A153="","",INDEX(PERLINE!$A$2:$A$3001,MATCH($A153,PERLINE!$N$2:$N$3001,0)))</f>
        <v/>
      </c>
      <c r="N153" s="21" t="str">
        <f aca="false">IF($A153="","",SUMIFS(PERLINE!$M$2:$M$3001,PERLINE!$N$2:$N$3001,$A153))</f>
        <v/>
      </c>
    </row>
    <row r="154" customFormat="false" ht="15" hidden="false" customHeight="true" outlineLevel="0" collapsed="false">
      <c r="A154" s="15" t="str">
        <f aca="false">IF(ROWS($A$2:$A154)&lt;=Check!$C$4,SMALL(PERLINE!$AL$2:$AL$3001,ROWS($A$2:$A154)),"")</f>
        <v/>
      </c>
      <c r="B154" s="15" t="str">
        <f aca="false">IF($A154="","",INDEX(PERLINE!$J$2:$J$3001,MATCH($A154,PERLINE!$N$2:$N$3001,0)))</f>
        <v/>
      </c>
      <c r="C154" s="16" t="str">
        <f aca="false">IF($A154="","",INDEX(PERLINE!$I$2:$I$3001,MATCH($A154,PERLINE!$N$2:$N$3001,0)))</f>
        <v/>
      </c>
      <c r="D154" s="17" t="str">
        <f aca="false">IF($A154="","",'كشف المطالبة'!$D$6)</f>
        <v/>
      </c>
      <c r="E154" s="18" t="str">
        <f aca="false">IF($A154="","",SUMIFS(PERLINE!$U$2:$U$3001,PERLINE!$N$2:$N$3001,$A154,PERLINE!$AK$2:$AK$3001,0))</f>
        <v/>
      </c>
      <c r="F154" s="19" t="str">
        <f aca="false">IF($A154="","",E154*D154)</f>
        <v/>
      </c>
      <c r="G154" s="17" t="str">
        <f aca="false">IF($A154="","",'كشف المطالبة'!$D$5)</f>
        <v/>
      </c>
      <c r="H154" s="18" t="str">
        <f aca="false">IF($A154="","",SUMIFS(PERLINE!$U$2:$U$3001,PERLINE!$N$2:$N$3001,$A154,PERLINE!$AK$2:$AK$3001,1))</f>
        <v/>
      </c>
      <c r="I154" s="19" t="str">
        <f aca="false">IF($A154="","",H154*G154)</f>
        <v/>
      </c>
      <c r="J154" s="19" t="str">
        <f aca="false">IF($A154="","",F154+I154)</f>
        <v/>
      </c>
      <c r="K154" s="19" t="str">
        <f aca="false">IF($A154="","",H154+E154)</f>
        <v/>
      </c>
      <c r="L154" s="20" t="str">
        <f aca="false">IF($A154="","",K154-J154-N154)</f>
        <v/>
      </c>
      <c r="M154" s="15" t="str">
        <f aca="false">IF($A154="","",INDEX(PERLINE!$A$2:$A$3001,MATCH($A154,PERLINE!$N$2:$N$3001,0)))</f>
        <v/>
      </c>
      <c r="N154" s="21" t="str">
        <f aca="false">IF($A154="","",SUMIFS(PERLINE!$M$2:$M$3001,PERLINE!$N$2:$N$3001,$A154))</f>
        <v/>
      </c>
    </row>
    <row r="155" customFormat="false" ht="15" hidden="false" customHeight="true" outlineLevel="0" collapsed="false">
      <c r="A155" s="15" t="str">
        <f aca="false">IF(ROWS($A$2:$A155)&lt;=Check!$C$4,SMALL(PERLINE!$AL$2:$AL$3001,ROWS($A$2:$A155)),"")</f>
        <v/>
      </c>
      <c r="B155" s="15" t="str">
        <f aca="false">IF($A155="","",INDEX(PERLINE!$J$2:$J$3001,MATCH($A155,PERLINE!$N$2:$N$3001,0)))</f>
        <v/>
      </c>
      <c r="C155" s="16" t="str">
        <f aca="false">IF($A155="","",INDEX(PERLINE!$I$2:$I$3001,MATCH($A155,PERLINE!$N$2:$N$3001,0)))</f>
        <v/>
      </c>
      <c r="D155" s="17" t="str">
        <f aca="false">IF($A155="","",'كشف المطالبة'!$D$6)</f>
        <v/>
      </c>
      <c r="E155" s="18" t="str">
        <f aca="false">IF($A155="","",SUMIFS(PERLINE!$U$2:$U$3001,PERLINE!$N$2:$N$3001,$A155,PERLINE!$AK$2:$AK$3001,0))</f>
        <v/>
      </c>
      <c r="F155" s="19" t="str">
        <f aca="false">IF($A155="","",E155*D155)</f>
        <v/>
      </c>
      <c r="G155" s="17" t="str">
        <f aca="false">IF($A155="","",'كشف المطالبة'!$D$5)</f>
        <v/>
      </c>
      <c r="H155" s="18" t="str">
        <f aca="false">IF($A155="","",SUMIFS(PERLINE!$U$2:$U$3001,PERLINE!$N$2:$N$3001,$A155,PERLINE!$AK$2:$AK$3001,1))</f>
        <v/>
      </c>
      <c r="I155" s="19" t="str">
        <f aca="false">IF($A155="","",H155*G155)</f>
        <v/>
      </c>
      <c r="J155" s="19" t="str">
        <f aca="false">IF($A155="","",F155+I155)</f>
        <v/>
      </c>
      <c r="K155" s="19" t="str">
        <f aca="false">IF($A155="","",H155+E155)</f>
        <v/>
      </c>
      <c r="L155" s="20" t="str">
        <f aca="false">IF($A155="","",K155-J155-N155)</f>
        <v/>
      </c>
      <c r="M155" s="15" t="str">
        <f aca="false">IF($A155="","",INDEX(PERLINE!$A$2:$A$3001,MATCH($A155,PERLINE!$N$2:$N$3001,0)))</f>
        <v/>
      </c>
      <c r="N155" s="21" t="str">
        <f aca="false">IF($A155="","",SUMIFS(PERLINE!$M$2:$M$3001,PERLINE!$N$2:$N$3001,$A155))</f>
        <v/>
      </c>
    </row>
    <row r="156" customFormat="false" ht="15" hidden="false" customHeight="true" outlineLevel="0" collapsed="false">
      <c r="A156" s="15" t="str">
        <f aca="false">IF(ROWS($A$2:$A156)&lt;=Check!$C$4,SMALL(PERLINE!$AL$2:$AL$3001,ROWS($A$2:$A156)),"")</f>
        <v/>
      </c>
      <c r="B156" s="15" t="str">
        <f aca="false">IF($A156="","",INDEX(PERLINE!$J$2:$J$3001,MATCH($A156,PERLINE!$N$2:$N$3001,0)))</f>
        <v/>
      </c>
      <c r="C156" s="16" t="str">
        <f aca="false">IF($A156="","",INDEX(PERLINE!$I$2:$I$3001,MATCH($A156,PERLINE!$N$2:$N$3001,0)))</f>
        <v/>
      </c>
      <c r="D156" s="17" t="str">
        <f aca="false">IF($A156="","",'كشف المطالبة'!$D$6)</f>
        <v/>
      </c>
      <c r="E156" s="18" t="str">
        <f aca="false">IF($A156="","",SUMIFS(PERLINE!$U$2:$U$3001,PERLINE!$N$2:$N$3001,$A156,PERLINE!$AK$2:$AK$3001,0))</f>
        <v/>
      </c>
      <c r="F156" s="19" t="str">
        <f aca="false">IF($A156="","",E156*D156)</f>
        <v/>
      </c>
      <c r="G156" s="17" t="str">
        <f aca="false">IF($A156="","",'كشف المطالبة'!$D$5)</f>
        <v/>
      </c>
      <c r="H156" s="18" t="str">
        <f aca="false">IF($A156="","",SUMIFS(PERLINE!$U$2:$U$3001,PERLINE!$N$2:$N$3001,$A156,PERLINE!$AK$2:$AK$3001,1))</f>
        <v/>
      </c>
      <c r="I156" s="19" t="str">
        <f aca="false">IF($A156="","",H156*G156)</f>
        <v/>
      </c>
      <c r="J156" s="19" t="str">
        <f aca="false">IF($A156="","",F156+I156)</f>
        <v/>
      </c>
      <c r="K156" s="19" t="str">
        <f aca="false">IF($A156="","",H156+E156)</f>
        <v/>
      </c>
      <c r="L156" s="20" t="str">
        <f aca="false">IF($A156="","",K156-J156-N156)</f>
        <v/>
      </c>
      <c r="M156" s="15" t="str">
        <f aca="false">IF($A156="","",INDEX(PERLINE!$A$2:$A$3001,MATCH($A156,PERLINE!$N$2:$N$3001,0)))</f>
        <v/>
      </c>
      <c r="N156" s="21" t="str">
        <f aca="false">IF($A156="","",SUMIFS(PERLINE!$M$2:$M$3001,PERLINE!$N$2:$N$3001,$A156))</f>
        <v/>
      </c>
    </row>
    <row r="157" customFormat="false" ht="15" hidden="false" customHeight="true" outlineLevel="0" collapsed="false">
      <c r="A157" s="15" t="str">
        <f aca="false">IF(ROWS($A$2:$A157)&lt;=Check!$C$4,SMALL(PERLINE!$AL$2:$AL$3001,ROWS($A$2:$A157)),"")</f>
        <v/>
      </c>
      <c r="B157" s="15" t="str">
        <f aca="false">IF($A157="","",INDEX(PERLINE!$J$2:$J$3001,MATCH($A157,PERLINE!$N$2:$N$3001,0)))</f>
        <v/>
      </c>
      <c r="C157" s="16" t="str">
        <f aca="false">IF($A157="","",INDEX(PERLINE!$I$2:$I$3001,MATCH($A157,PERLINE!$N$2:$N$3001,0)))</f>
        <v/>
      </c>
      <c r="D157" s="17" t="str">
        <f aca="false">IF($A157="","",'كشف المطالبة'!$D$6)</f>
        <v/>
      </c>
      <c r="E157" s="18" t="str">
        <f aca="false">IF($A157="","",SUMIFS(PERLINE!$U$2:$U$3001,PERLINE!$N$2:$N$3001,$A157,PERLINE!$AK$2:$AK$3001,0))</f>
        <v/>
      </c>
      <c r="F157" s="19" t="str">
        <f aca="false">IF($A157="","",E157*D157)</f>
        <v/>
      </c>
      <c r="G157" s="17" t="str">
        <f aca="false">IF($A157="","",'كشف المطالبة'!$D$5)</f>
        <v/>
      </c>
      <c r="H157" s="18" t="str">
        <f aca="false">IF($A157="","",SUMIFS(PERLINE!$U$2:$U$3001,PERLINE!$N$2:$N$3001,$A157,PERLINE!$AK$2:$AK$3001,1))</f>
        <v/>
      </c>
      <c r="I157" s="19" t="str">
        <f aca="false">IF($A157="","",H157*G157)</f>
        <v/>
      </c>
      <c r="J157" s="19" t="str">
        <f aca="false">IF($A157="","",F157+I157)</f>
        <v/>
      </c>
      <c r="K157" s="19" t="str">
        <f aca="false">IF($A157="","",H157+E157)</f>
        <v/>
      </c>
      <c r="L157" s="20" t="str">
        <f aca="false">IF($A157="","",K157-J157-N157)</f>
        <v/>
      </c>
      <c r="M157" s="15" t="str">
        <f aca="false">IF($A157="","",INDEX(PERLINE!$A$2:$A$3001,MATCH($A157,PERLINE!$N$2:$N$3001,0)))</f>
        <v/>
      </c>
      <c r="N157" s="21" t="str">
        <f aca="false">IF($A157="","",SUMIFS(PERLINE!$M$2:$M$3001,PERLINE!$N$2:$N$3001,$A157))</f>
        <v/>
      </c>
    </row>
    <row r="158" customFormat="false" ht="15" hidden="false" customHeight="true" outlineLevel="0" collapsed="false">
      <c r="A158" s="15" t="str">
        <f aca="false">IF(ROWS($A$2:$A158)&lt;=Check!$C$4,SMALL(PERLINE!$AL$2:$AL$3001,ROWS($A$2:$A158)),"")</f>
        <v/>
      </c>
      <c r="B158" s="15" t="str">
        <f aca="false">IF($A158="","",INDEX(PERLINE!$J$2:$J$3001,MATCH($A158,PERLINE!$N$2:$N$3001,0)))</f>
        <v/>
      </c>
      <c r="C158" s="16" t="str">
        <f aca="false">IF($A158="","",INDEX(PERLINE!$I$2:$I$3001,MATCH($A158,PERLINE!$N$2:$N$3001,0)))</f>
        <v/>
      </c>
      <c r="D158" s="17" t="str">
        <f aca="false">IF($A158="","",'كشف المطالبة'!$D$6)</f>
        <v/>
      </c>
      <c r="E158" s="18" t="str">
        <f aca="false">IF($A158="","",SUMIFS(PERLINE!$U$2:$U$3001,PERLINE!$N$2:$N$3001,$A158,PERLINE!$AK$2:$AK$3001,0))</f>
        <v/>
      </c>
      <c r="F158" s="19" t="str">
        <f aca="false">IF($A158="","",E158*D158)</f>
        <v/>
      </c>
      <c r="G158" s="17" t="str">
        <f aca="false">IF($A158="","",'كشف المطالبة'!$D$5)</f>
        <v/>
      </c>
      <c r="H158" s="18" t="str">
        <f aca="false">IF($A158="","",SUMIFS(PERLINE!$U$2:$U$3001,PERLINE!$N$2:$N$3001,$A158,PERLINE!$AK$2:$AK$3001,1))</f>
        <v/>
      </c>
      <c r="I158" s="19" t="str">
        <f aca="false">IF($A158="","",H158*G158)</f>
        <v/>
      </c>
      <c r="J158" s="19" t="str">
        <f aca="false">IF($A158="","",F158+I158)</f>
        <v/>
      </c>
      <c r="K158" s="19" t="str">
        <f aca="false">IF($A158="","",H158+E158)</f>
        <v/>
      </c>
      <c r="L158" s="20" t="str">
        <f aca="false">IF($A158="","",K158-J158-N158)</f>
        <v/>
      </c>
      <c r="M158" s="15" t="str">
        <f aca="false">IF($A158="","",INDEX(PERLINE!$A$2:$A$3001,MATCH($A158,PERLINE!$N$2:$N$3001,0)))</f>
        <v/>
      </c>
      <c r="N158" s="21" t="str">
        <f aca="false">IF($A158="","",SUMIFS(PERLINE!$M$2:$M$3001,PERLINE!$N$2:$N$3001,$A158))</f>
        <v/>
      </c>
    </row>
    <row r="159" customFormat="false" ht="15" hidden="false" customHeight="true" outlineLevel="0" collapsed="false">
      <c r="A159" s="15" t="str">
        <f aca="false">IF(ROWS($A$2:$A159)&lt;=Check!$C$4,SMALL(PERLINE!$AL$2:$AL$3001,ROWS($A$2:$A159)),"")</f>
        <v/>
      </c>
      <c r="B159" s="15" t="str">
        <f aca="false">IF($A159="","",INDEX(PERLINE!$J$2:$J$3001,MATCH($A159,PERLINE!$N$2:$N$3001,0)))</f>
        <v/>
      </c>
      <c r="C159" s="16" t="str">
        <f aca="false">IF($A159="","",INDEX(PERLINE!$I$2:$I$3001,MATCH($A159,PERLINE!$N$2:$N$3001,0)))</f>
        <v/>
      </c>
      <c r="D159" s="17" t="str">
        <f aca="false">IF($A159="","",'كشف المطالبة'!$D$6)</f>
        <v/>
      </c>
      <c r="E159" s="18" t="str">
        <f aca="false">IF($A159="","",SUMIFS(PERLINE!$U$2:$U$3001,PERLINE!$N$2:$N$3001,$A159,PERLINE!$AK$2:$AK$3001,0))</f>
        <v/>
      </c>
      <c r="F159" s="19" t="str">
        <f aca="false">IF($A159="","",E159*D159)</f>
        <v/>
      </c>
      <c r="G159" s="17" t="str">
        <f aca="false">IF($A159="","",'كشف المطالبة'!$D$5)</f>
        <v/>
      </c>
      <c r="H159" s="18" t="str">
        <f aca="false">IF($A159="","",SUMIFS(PERLINE!$U$2:$U$3001,PERLINE!$N$2:$N$3001,$A159,PERLINE!$AK$2:$AK$3001,1))</f>
        <v/>
      </c>
      <c r="I159" s="19" t="str">
        <f aca="false">IF($A159="","",H159*G159)</f>
        <v/>
      </c>
      <c r="J159" s="19" t="str">
        <f aca="false">IF($A159="","",F159+I159)</f>
        <v/>
      </c>
      <c r="K159" s="19" t="str">
        <f aca="false">IF($A159="","",H159+E159)</f>
        <v/>
      </c>
      <c r="L159" s="20" t="str">
        <f aca="false">IF($A159="","",K159-J159-N159)</f>
        <v/>
      </c>
      <c r="M159" s="15" t="str">
        <f aca="false">IF($A159="","",INDEX(PERLINE!$A$2:$A$3001,MATCH($A159,PERLINE!$N$2:$N$3001,0)))</f>
        <v/>
      </c>
      <c r="N159" s="21" t="str">
        <f aca="false">IF($A159="","",SUMIFS(PERLINE!$M$2:$M$3001,PERLINE!$N$2:$N$3001,$A159))</f>
        <v/>
      </c>
    </row>
    <row r="160" customFormat="false" ht="15" hidden="false" customHeight="true" outlineLevel="0" collapsed="false">
      <c r="A160" s="15" t="str">
        <f aca="false">IF(ROWS($A$2:$A160)&lt;=Check!$C$4,SMALL(PERLINE!$AL$2:$AL$3001,ROWS($A$2:$A160)),"")</f>
        <v/>
      </c>
      <c r="B160" s="15" t="str">
        <f aca="false">IF($A160="","",INDEX(PERLINE!$J$2:$J$3001,MATCH($A160,PERLINE!$N$2:$N$3001,0)))</f>
        <v/>
      </c>
      <c r="C160" s="16" t="str">
        <f aca="false">IF($A160="","",INDEX(PERLINE!$I$2:$I$3001,MATCH($A160,PERLINE!$N$2:$N$3001,0)))</f>
        <v/>
      </c>
      <c r="D160" s="17" t="str">
        <f aca="false">IF($A160="","",'كشف المطالبة'!$D$6)</f>
        <v/>
      </c>
      <c r="E160" s="18" t="str">
        <f aca="false">IF($A160="","",SUMIFS(PERLINE!$U$2:$U$3001,PERLINE!$N$2:$N$3001,$A160,PERLINE!$AK$2:$AK$3001,0))</f>
        <v/>
      </c>
      <c r="F160" s="19" t="str">
        <f aca="false">IF($A160="","",E160*D160)</f>
        <v/>
      </c>
      <c r="G160" s="17" t="str">
        <f aca="false">IF($A160="","",'كشف المطالبة'!$D$5)</f>
        <v/>
      </c>
      <c r="H160" s="18" t="str">
        <f aca="false">IF($A160="","",SUMIFS(PERLINE!$U$2:$U$3001,PERLINE!$N$2:$N$3001,$A160,PERLINE!$AK$2:$AK$3001,1))</f>
        <v/>
      </c>
      <c r="I160" s="19" t="str">
        <f aca="false">IF($A160="","",H160*G160)</f>
        <v/>
      </c>
      <c r="J160" s="19" t="str">
        <f aca="false">IF($A160="","",F160+I160)</f>
        <v/>
      </c>
      <c r="K160" s="19" t="str">
        <f aca="false">IF($A160="","",H160+E160)</f>
        <v/>
      </c>
      <c r="L160" s="20" t="str">
        <f aca="false">IF($A160="","",K160-J160-N160)</f>
        <v/>
      </c>
      <c r="M160" s="15" t="str">
        <f aca="false">IF($A160="","",INDEX(PERLINE!$A$2:$A$3001,MATCH($A160,PERLINE!$N$2:$N$3001,0)))</f>
        <v/>
      </c>
      <c r="N160" s="21" t="str">
        <f aca="false">IF($A160="","",SUMIFS(PERLINE!$M$2:$M$3001,PERLINE!$N$2:$N$3001,$A160))</f>
        <v/>
      </c>
    </row>
    <row r="161" customFormat="false" ht="15" hidden="false" customHeight="true" outlineLevel="0" collapsed="false">
      <c r="A161" s="15" t="str">
        <f aca="false">IF(ROWS($A$2:$A161)&lt;=Check!$C$4,SMALL(PERLINE!$AL$2:$AL$3001,ROWS($A$2:$A161)),"")</f>
        <v/>
      </c>
      <c r="B161" s="15" t="str">
        <f aca="false">IF($A161="","",INDEX(PERLINE!$J$2:$J$3001,MATCH($A161,PERLINE!$N$2:$N$3001,0)))</f>
        <v/>
      </c>
      <c r="C161" s="16" t="str">
        <f aca="false">IF($A161="","",INDEX(PERLINE!$I$2:$I$3001,MATCH($A161,PERLINE!$N$2:$N$3001,0)))</f>
        <v/>
      </c>
      <c r="D161" s="17" t="str">
        <f aca="false">IF($A161="","",'كشف المطالبة'!$D$6)</f>
        <v/>
      </c>
      <c r="E161" s="18" t="str">
        <f aca="false">IF($A161="","",SUMIFS(PERLINE!$U$2:$U$3001,PERLINE!$N$2:$N$3001,$A161,PERLINE!$AK$2:$AK$3001,0))</f>
        <v/>
      </c>
      <c r="F161" s="19" t="str">
        <f aca="false">IF($A161="","",E161*D161)</f>
        <v/>
      </c>
      <c r="G161" s="17" t="str">
        <f aca="false">IF($A161="","",'كشف المطالبة'!$D$5)</f>
        <v/>
      </c>
      <c r="H161" s="18" t="str">
        <f aca="false">IF($A161="","",SUMIFS(PERLINE!$U$2:$U$3001,PERLINE!$N$2:$N$3001,$A161,PERLINE!$AK$2:$AK$3001,1))</f>
        <v/>
      </c>
      <c r="I161" s="19" t="str">
        <f aca="false">IF($A161="","",H161*G161)</f>
        <v/>
      </c>
      <c r="J161" s="19" t="str">
        <f aca="false">IF($A161="","",F161+I161)</f>
        <v/>
      </c>
      <c r="K161" s="19" t="str">
        <f aca="false">IF($A161="","",H161+E161)</f>
        <v/>
      </c>
      <c r="L161" s="20" t="str">
        <f aca="false">IF($A161="","",K161-J161-N161)</f>
        <v/>
      </c>
      <c r="M161" s="15" t="str">
        <f aca="false">IF($A161="","",INDEX(PERLINE!$A$2:$A$3001,MATCH($A161,PERLINE!$N$2:$N$3001,0)))</f>
        <v/>
      </c>
      <c r="N161" s="21" t="str">
        <f aca="false">IF($A161="","",SUMIFS(PERLINE!$M$2:$M$3001,PERLINE!$N$2:$N$3001,$A161))</f>
        <v/>
      </c>
    </row>
    <row r="162" customFormat="false" ht="15" hidden="false" customHeight="true" outlineLevel="0" collapsed="false">
      <c r="A162" s="15" t="str">
        <f aca="false">IF(ROWS($A$2:$A162)&lt;=Check!$C$4,SMALL(PERLINE!$AL$2:$AL$3001,ROWS($A$2:$A162)),"")</f>
        <v/>
      </c>
      <c r="B162" s="15" t="str">
        <f aca="false">IF($A162="","",INDEX(PERLINE!$J$2:$J$3001,MATCH($A162,PERLINE!$N$2:$N$3001,0)))</f>
        <v/>
      </c>
      <c r="C162" s="16" t="str">
        <f aca="false">IF($A162="","",INDEX(PERLINE!$I$2:$I$3001,MATCH($A162,PERLINE!$N$2:$N$3001,0)))</f>
        <v/>
      </c>
      <c r="D162" s="17" t="str">
        <f aca="false">IF($A162="","",'كشف المطالبة'!$D$6)</f>
        <v/>
      </c>
      <c r="E162" s="18" t="str">
        <f aca="false">IF($A162="","",SUMIFS(PERLINE!$U$2:$U$3001,PERLINE!$N$2:$N$3001,$A162,PERLINE!$AK$2:$AK$3001,0))</f>
        <v/>
      </c>
      <c r="F162" s="19" t="str">
        <f aca="false">IF($A162="","",E162*D162)</f>
        <v/>
      </c>
      <c r="G162" s="17" t="str">
        <f aca="false">IF($A162="","",'كشف المطالبة'!$D$5)</f>
        <v/>
      </c>
      <c r="H162" s="18" t="str">
        <f aca="false">IF($A162="","",SUMIFS(PERLINE!$U$2:$U$3001,PERLINE!$N$2:$N$3001,$A162,PERLINE!$AK$2:$AK$3001,1))</f>
        <v/>
      </c>
      <c r="I162" s="19" t="str">
        <f aca="false">IF($A162="","",H162*G162)</f>
        <v/>
      </c>
      <c r="J162" s="19" t="str">
        <f aca="false">IF($A162="","",F162+I162)</f>
        <v/>
      </c>
      <c r="K162" s="19" t="str">
        <f aca="false">IF($A162="","",H162+E162)</f>
        <v/>
      </c>
      <c r="L162" s="20" t="str">
        <f aca="false">IF($A162="","",K162-J162-N162)</f>
        <v/>
      </c>
      <c r="M162" s="15" t="str">
        <f aca="false">IF($A162="","",INDEX(PERLINE!$A$2:$A$3001,MATCH($A162,PERLINE!$N$2:$N$3001,0)))</f>
        <v/>
      </c>
      <c r="N162" s="21" t="str">
        <f aca="false">IF($A162="","",SUMIFS(PERLINE!$M$2:$M$3001,PERLINE!$N$2:$N$3001,$A162))</f>
        <v/>
      </c>
    </row>
    <row r="163" customFormat="false" ht="15" hidden="false" customHeight="true" outlineLevel="0" collapsed="false">
      <c r="A163" s="15" t="str">
        <f aca="false">IF(ROWS($A$2:$A163)&lt;=Check!$C$4,SMALL(PERLINE!$AL$2:$AL$3001,ROWS($A$2:$A163)),"")</f>
        <v/>
      </c>
      <c r="B163" s="15" t="str">
        <f aca="false">IF($A163="","",INDEX(PERLINE!$J$2:$J$3001,MATCH($A163,PERLINE!$N$2:$N$3001,0)))</f>
        <v/>
      </c>
      <c r="C163" s="16" t="str">
        <f aca="false">IF($A163="","",INDEX(PERLINE!$I$2:$I$3001,MATCH($A163,PERLINE!$N$2:$N$3001,0)))</f>
        <v/>
      </c>
      <c r="D163" s="17" t="str">
        <f aca="false">IF($A163="","",'كشف المطالبة'!$D$6)</f>
        <v/>
      </c>
      <c r="E163" s="18" t="str">
        <f aca="false">IF($A163="","",SUMIFS(PERLINE!$U$2:$U$3001,PERLINE!$N$2:$N$3001,$A163,PERLINE!$AK$2:$AK$3001,0))</f>
        <v/>
      </c>
      <c r="F163" s="19" t="str">
        <f aca="false">IF($A163="","",E163*D163)</f>
        <v/>
      </c>
      <c r="G163" s="17" t="str">
        <f aca="false">IF($A163="","",'كشف المطالبة'!$D$5)</f>
        <v/>
      </c>
      <c r="H163" s="18" t="str">
        <f aca="false">IF($A163="","",SUMIFS(PERLINE!$U$2:$U$3001,PERLINE!$N$2:$N$3001,$A163,PERLINE!$AK$2:$AK$3001,1))</f>
        <v/>
      </c>
      <c r="I163" s="19" t="str">
        <f aca="false">IF($A163="","",H163*G163)</f>
        <v/>
      </c>
      <c r="J163" s="19" t="str">
        <f aca="false">IF($A163="","",F163+I163)</f>
        <v/>
      </c>
      <c r="K163" s="19" t="str">
        <f aca="false">IF($A163="","",H163+E163)</f>
        <v/>
      </c>
      <c r="L163" s="20" t="str">
        <f aca="false">IF($A163="","",K163-J163-N163)</f>
        <v/>
      </c>
      <c r="M163" s="15" t="str">
        <f aca="false">IF($A163="","",INDEX(PERLINE!$A$2:$A$3001,MATCH($A163,PERLINE!$N$2:$N$3001,0)))</f>
        <v/>
      </c>
      <c r="N163" s="21" t="str">
        <f aca="false">IF($A163="","",SUMIFS(PERLINE!$M$2:$M$3001,PERLINE!$N$2:$N$3001,$A163))</f>
        <v/>
      </c>
    </row>
    <row r="164" customFormat="false" ht="15" hidden="false" customHeight="true" outlineLevel="0" collapsed="false">
      <c r="A164" s="15" t="str">
        <f aca="false">IF(ROWS($A$2:$A164)&lt;=Check!$C$4,SMALL(PERLINE!$AL$2:$AL$3001,ROWS($A$2:$A164)),"")</f>
        <v/>
      </c>
      <c r="B164" s="15" t="str">
        <f aca="false">IF($A164="","",INDEX(PERLINE!$J$2:$J$3001,MATCH($A164,PERLINE!$N$2:$N$3001,0)))</f>
        <v/>
      </c>
      <c r="C164" s="16" t="str">
        <f aca="false">IF($A164="","",INDEX(PERLINE!$I$2:$I$3001,MATCH($A164,PERLINE!$N$2:$N$3001,0)))</f>
        <v/>
      </c>
      <c r="D164" s="17" t="str">
        <f aca="false">IF($A164="","",'كشف المطالبة'!$D$6)</f>
        <v/>
      </c>
      <c r="E164" s="18" t="str">
        <f aca="false">IF($A164="","",SUMIFS(PERLINE!$U$2:$U$3001,PERLINE!$N$2:$N$3001,$A164,PERLINE!$AK$2:$AK$3001,0))</f>
        <v/>
      </c>
      <c r="F164" s="19" t="str">
        <f aca="false">IF($A164="","",E164*D164)</f>
        <v/>
      </c>
      <c r="G164" s="17" t="str">
        <f aca="false">IF($A164="","",'كشف المطالبة'!$D$5)</f>
        <v/>
      </c>
      <c r="H164" s="18" t="str">
        <f aca="false">IF($A164="","",SUMIFS(PERLINE!$U$2:$U$3001,PERLINE!$N$2:$N$3001,$A164,PERLINE!$AK$2:$AK$3001,1))</f>
        <v/>
      </c>
      <c r="I164" s="19" t="str">
        <f aca="false">IF($A164="","",H164*G164)</f>
        <v/>
      </c>
      <c r="J164" s="19" t="str">
        <f aca="false">IF($A164="","",F164+I164)</f>
        <v/>
      </c>
      <c r="K164" s="19" t="str">
        <f aca="false">IF($A164="","",H164+E164)</f>
        <v/>
      </c>
      <c r="L164" s="20" t="str">
        <f aca="false">IF($A164="","",K164-J164-N164)</f>
        <v/>
      </c>
      <c r="M164" s="15" t="str">
        <f aca="false">IF($A164="","",INDEX(PERLINE!$A$2:$A$3001,MATCH($A164,PERLINE!$N$2:$N$3001,0)))</f>
        <v/>
      </c>
      <c r="N164" s="21" t="str">
        <f aca="false">IF($A164="","",SUMIFS(PERLINE!$M$2:$M$3001,PERLINE!$N$2:$N$3001,$A164))</f>
        <v/>
      </c>
    </row>
    <row r="165" customFormat="false" ht="15" hidden="false" customHeight="true" outlineLevel="0" collapsed="false">
      <c r="A165" s="15" t="str">
        <f aca="false">IF(ROWS($A$2:$A165)&lt;=Check!$C$4,SMALL(PERLINE!$AL$2:$AL$3001,ROWS($A$2:$A165)),"")</f>
        <v/>
      </c>
      <c r="B165" s="15" t="str">
        <f aca="false">IF($A165="","",INDEX(PERLINE!$J$2:$J$3001,MATCH($A165,PERLINE!$N$2:$N$3001,0)))</f>
        <v/>
      </c>
      <c r="C165" s="16" t="str">
        <f aca="false">IF($A165="","",INDEX(PERLINE!$I$2:$I$3001,MATCH($A165,PERLINE!$N$2:$N$3001,0)))</f>
        <v/>
      </c>
      <c r="D165" s="17" t="str">
        <f aca="false">IF($A165="","",'كشف المطالبة'!$D$6)</f>
        <v/>
      </c>
      <c r="E165" s="18" t="str">
        <f aca="false">IF($A165="","",SUMIFS(PERLINE!$U$2:$U$3001,PERLINE!$N$2:$N$3001,$A165,PERLINE!$AK$2:$AK$3001,0))</f>
        <v/>
      </c>
      <c r="F165" s="19" t="str">
        <f aca="false">IF($A165="","",E165*D165)</f>
        <v/>
      </c>
      <c r="G165" s="17" t="str">
        <f aca="false">IF($A165="","",'كشف المطالبة'!$D$5)</f>
        <v/>
      </c>
      <c r="H165" s="18" t="str">
        <f aca="false">IF($A165="","",SUMIFS(PERLINE!$U$2:$U$3001,PERLINE!$N$2:$N$3001,$A165,PERLINE!$AK$2:$AK$3001,1))</f>
        <v/>
      </c>
      <c r="I165" s="19" t="str">
        <f aca="false">IF($A165="","",H165*G165)</f>
        <v/>
      </c>
      <c r="J165" s="19" t="str">
        <f aca="false">IF($A165="","",F165+I165)</f>
        <v/>
      </c>
      <c r="K165" s="19" t="str">
        <f aca="false">IF($A165="","",H165+E165)</f>
        <v/>
      </c>
      <c r="L165" s="20" t="str">
        <f aca="false">IF($A165="","",K165-J165-N165)</f>
        <v/>
      </c>
      <c r="M165" s="15" t="str">
        <f aca="false">IF($A165="","",INDEX(PERLINE!$A$2:$A$3001,MATCH($A165,PERLINE!$N$2:$N$3001,0)))</f>
        <v/>
      </c>
      <c r="N165" s="21" t="str">
        <f aca="false">IF($A165="","",SUMIFS(PERLINE!$M$2:$M$3001,PERLINE!$N$2:$N$3001,$A165))</f>
        <v/>
      </c>
    </row>
    <row r="166" customFormat="false" ht="15" hidden="false" customHeight="true" outlineLevel="0" collapsed="false">
      <c r="A166" s="15" t="str">
        <f aca="false">IF(ROWS($A$2:$A166)&lt;=Check!$C$4,SMALL(PERLINE!$AL$2:$AL$3001,ROWS($A$2:$A166)),"")</f>
        <v/>
      </c>
      <c r="B166" s="15" t="str">
        <f aca="false">IF($A166="","",INDEX(PERLINE!$J$2:$J$3001,MATCH($A166,PERLINE!$N$2:$N$3001,0)))</f>
        <v/>
      </c>
      <c r="C166" s="16" t="str">
        <f aca="false">IF($A166="","",INDEX(PERLINE!$I$2:$I$3001,MATCH($A166,PERLINE!$N$2:$N$3001,0)))</f>
        <v/>
      </c>
      <c r="D166" s="17" t="str">
        <f aca="false">IF($A166="","",'كشف المطالبة'!$D$6)</f>
        <v/>
      </c>
      <c r="E166" s="18" t="str">
        <f aca="false">IF($A166="","",SUMIFS(PERLINE!$U$2:$U$3001,PERLINE!$N$2:$N$3001,$A166,PERLINE!$AK$2:$AK$3001,0))</f>
        <v/>
      </c>
      <c r="F166" s="19" t="str">
        <f aca="false">IF($A166="","",E166*D166)</f>
        <v/>
      </c>
      <c r="G166" s="17" t="str">
        <f aca="false">IF($A166="","",'كشف المطالبة'!$D$5)</f>
        <v/>
      </c>
      <c r="H166" s="18" t="str">
        <f aca="false">IF($A166="","",SUMIFS(PERLINE!$U$2:$U$3001,PERLINE!$N$2:$N$3001,$A166,PERLINE!$AK$2:$AK$3001,1))</f>
        <v/>
      </c>
      <c r="I166" s="19" t="str">
        <f aca="false">IF($A166="","",H166*G166)</f>
        <v/>
      </c>
      <c r="J166" s="19" t="str">
        <f aca="false">IF($A166="","",F166+I166)</f>
        <v/>
      </c>
      <c r="K166" s="19" t="str">
        <f aca="false">IF($A166="","",H166+E166)</f>
        <v/>
      </c>
      <c r="L166" s="20" t="str">
        <f aca="false">IF($A166="","",K166-J166-N166)</f>
        <v/>
      </c>
      <c r="M166" s="15" t="str">
        <f aca="false">IF($A166="","",INDEX(PERLINE!$A$2:$A$3001,MATCH($A166,PERLINE!$N$2:$N$3001,0)))</f>
        <v/>
      </c>
      <c r="N166" s="21" t="str">
        <f aca="false">IF($A166="","",SUMIFS(PERLINE!$M$2:$M$3001,PERLINE!$N$2:$N$3001,$A166))</f>
        <v/>
      </c>
    </row>
    <row r="167" customFormat="false" ht="15" hidden="false" customHeight="true" outlineLevel="0" collapsed="false">
      <c r="A167" s="15" t="str">
        <f aca="false">IF(ROWS($A$2:$A167)&lt;=Check!$C$4,SMALL(PERLINE!$AL$2:$AL$3001,ROWS($A$2:$A167)),"")</f>
        <v/>
      </c>
      <c r="B167" s="15" t="str">
        <f aca="false">IF($A167="","",INDEX(PERLINE!$J$2:$J$3001,MATCH($A167,PERLINE!$N$2:$N$3001,0)))</f>
        <v/>
      </c>
      <c r="C167" s="16" t="str">
        <f aca="false">IF($A167="","",INDEX(PERLINE!$I$2:$I$3001,MATCH($A167,PERLINE!$N$2:$N$3001,0)))</f>
        <v/>
      </c>
      <c r="D167" s="17" t="str">
        <f aca="false">IF($A167="","",'كشف المطالبة'!$D$6)</f>
        <v/>
      </c>
      <c r="E167" s="18" t="str">
        <f aca="false">IF($A167="","",SUMIFS(PERLINE!$U$2:$U$3001,PERLINE!$N$2:$N$3001,$A167,PERLINE!$AK$2:$AK$3001,0))</f>
        <v/>
      </c>
      <c r="F167" s="19" t="str">
        <f aca="false">IF($A167="","",E167*D167)</f>
        <v/>
      </c>
      <c r="G167" s="17" t="str">
        <f aca="false">IF($A167="","",'كشف المطالبة'!$D$5)</f>
        <v/>
      </c>
      <c r="H167" s="18" t="str">
        <f aca="false">IF($A167="","",SUMIFS(PERLINE!$U$2:$U$3001,PERLINE!$N$2:$N$3001,$A167,PERLINE!$AK$2:$AK$3001,1))</f>
        <v/>
      </c>
      <c r="I167" s="19" t="str">
        <f aca="false">IF($A167="","",H167*G167)</f>
        <v/>
      </c>
      <c r="J167" s="19" t="str">
        <f aca="false">IF($A167="","",F167+I167)</f>
        <v/>
      </c>
      <c r="K167" s="19" t="str">
        <f aca="false">IF($A167="","",H167+E167)</f>
        <v/>
      </c>
      <c r="L167" s="20" t="str">
        <f aca="false">IF($A167="","",K167-J167-N167)</f>
        <v/>
      </c>
      <c r="M167" s="15" t="str">
        <f aca="false">IF($A167="","",INDEX(PERLINE!$A$2:$A$3001,MATCH($A167,PERLINE!$N$2:$N$3001,0)))</f>
        <v/>
      </c>
      <c r="N167" s="21" t="str">
        <f aca="false">IF($A167="","",SUMIFS(PERLINE!$M$2:$M$3001,PERLINE!$N$2:$N$3001,$A167))</f>
        <v/>
      </c>
    </row>
    <row r="168" customFormat="false" ht="15" hidden="false" customHeight="true" outlineLevel="0" collapsed="false">
      <c r="A168" s="15" t="str">
        <f aca="false">IF(ROWS($A$2:$A168)&lt;=Check!$C$4,SMALL(PERLINE!$AL$2:$AL$3001,ROWS($A$2:$A168)),"")</f>
        <v/>
      </c>
      <c r="B168" s="15" t="str">
        <f aca="false">IF($A168="","",INDEX(PERLINE!$J$2:$J$3001,MATCH($A168,PERLINE!$N$2:$N$3001,0)))</f>
        <v/>
      </c>
      <c r="C168" s="16" t="str">
        <f aca="false">IF($A168="","",INDEX(PERLINE!$I$2:$I$3001,MATCH($A168,PERLINE!$N$2:$N$3001,0)))</f>
        <v/>
      </c>
      <c r="D168" s="17" t="str">
        <f aca="false">IF($A168="","",'كشف المطالبة'!$D$6)</f>
        <v/>
      </c>
      <c r="E168" s="18" t="str">
        <f aca="false">IF($A168="","",SUMIFS(PERLINE!$U$2:$U$3001,PERLINE!$N$2:$N$3001,$A168,PERLINE!$AK$2:$AK$3001,0))</f>
        <v/>
      </c>
      <c r="F168" s="19" t="str">
        <f aca="false">IF($A168="","",E168*D168)</f>
        <v/>
      </c>
      <c r="G168" s="17" t="str">
        <f aca="false">IF($A168="","",'كشف المطالبة'!$D$5)</f>
        <v/>
      </c>
      <c r="H168" s="18" t="str">
        <f aca="false">IF($A168="","",SUMIFS(PERLINE!$U$2:$U$3001,PERLINE!$N$2:$N$3001,$A168,PERLINE!$AK$2:$AK$3001,1))</f>
        <v/>
      </c>
      <c r="I168" s="19" t="str">
        <f aca="false">IF($A168="","",H168*G168)</f>
        <v/>
      </c>
      <c r="J168" s="19" t="str">
        <f aca="false">IF($A168="","",F168+I168)</f>
        <v/>
      </c>
      <c r="K168" s="19" t="str">
        <f aca="false">IF($A168="","",H168+E168)</f>
        <v/>
      </c>
      <c r="L168" s="20" t="str">
        <f aca="false">IF($A168="","",K168-J168-N168)</f>
        <v/>
      </c>
      <c r="M168" s="15" t="str">
        <f aca="false">IF($A168="","",INDEX(PERLINE!$A$2:$A$3001,MATCH($A168,PERLINE!$N$2:$N$3001,0)))</f>
        <v/>
      </c>
      <c r="N168" s="21" t="str">
        <f aca="false">IF($A168="","",SUMIFS(PERLINE!$M$2:$M$3001,PERLINE!$N$2:$N$3001,$A168))</f>
        <v/>
      </c>
    </row>
    <row r="169" customFormat="false" ht="15" hidden="false" customHeight="true" outlineLevel="0" collapsed="false">
      <c r="A169" s="15" t="str">
        <f aca="false">IF(ROWS($A$2:$A169)&lt;=Check!$C$4,SMALL(PERLINE!$AL$2:$AL$3001,ROWS($A$2:$A169)),"")</f>
        <v/>
      </c>
      <c r="B169" s="15" t="str">
        <f aca="false">IF($A169="","",INDEX(PERLINE!$J$2:$J$3001,MATCH($A169,PERLINE!$N$2:$N$3001,0)))</f>
        <v/>
      </c>
      <c r="C169" s="16" t="str">
        <f aca="false">IF($A169="","",INDEX(PERLINE!$I$2:$I$3001,MATCH($A169,PERLINE!$N$2:$N$3001,0)))</f>
        <v/>
      </c>
      <c r="D169" s="17" t="str">
        <f aca="false">IF($A169="","",'كشف المطالبة'!$D$6)</f>
        <v/>
      </c>
      <c r="E169" s="18" t="str">
        <f aca="false">IF($A169="","",SUMIFS(PERLINE!$U$2:$U$3001,PERLINE!$N$2:$N$3001,$A169,PERLINE!$AK$2:$AK$3001,0))</f>
        <v/>
      </c>
      <c r="F169" s="19" t="str">
        <f aca="false">IF($A169="","",E169*D169)</f>
        <v/>
      </c>
      <c r="G169" s="17" t="str">
        <f aca="false">IF($A169="","",'كشف المطالبة'!$D$5)</f>
        <v/>
      </c>
      <c r="H169" s="18" t="str">
        <f aca="false">IF($A169="","",SUMIFS(PERLINE!$U$2:$U$3001,PERLINE!$N$2:$N$3001,$A169,PERLINE!$AK$2:$AK$3001,1))</f>
        <v/>
      </c>
      <c r="I169" s="19" t="str">
        <f aca="false">IF($A169="","",H169*G169)</f>
        <v/>
      </c>
      <c r="J169" s="19" t="str">
        <f aca="false">IF($A169="","",F169+I169)</f>
        <v/>
      </c>
      <c r="K169" s="19" t="str">
        <f aca="false">IF($A169="","",H169+E169)</f>
        <v/>
      </c>
      <c r="L169" s="20" t="str">
        <f aca="false">IF($A169="","",K169-J169-N169)</f>
        <v/>
      </c>
      <c r="M169" s="15" t="str">
        <f aca="false">IF($A169="","",INDEX(PERLINE!$A$2:$A$3001,MATCH($A169,PERLINE!$N$2:$N$3001,0)))</f>
        <v/>
      </c>
      <c r="N169" s="21" t="str">
        <f aca="false">IF($A169="","",SUMIFS(PERLINE!$M$2:$M$3001,PERLINE!$N$2:$N$3001,$A169))</f>
        <v/>
      </c>
    </row>
    <row r="170" customFormat="false" ht="15" hidden="false" customHeight="true" outlineLevel="0" collapsed="false">
      <c r="A170" s="15" t="str">
        <f aca="false">IF(ROWS($A$2:$A170)&lt;=Check!$C$4,SMALL(PERLINE!$AL$2:$AL$3001,ROWS($A$2:$A170)),"")</f>
        <v/>
      </c>
      <c r="B170" s="15" t="str">
        <f aca="false">IF($A170="","",INDEX(PERLINE!$J$2:$J$3001,MATCH($A170,PERLINE!$N$2:$N$3001,0)))</f>
        <v/>
      </c>
      <c r="C170" s="16" t="str">
        <f aca="false">IF($A170="","",INDEX(PERLINE!$I$2:$I$3001,MATCH($A170,PERLINE!$N$2:$N$3001,0)))</f>
        <v/>
      </c>
      <c r="D170" s="17" t="str">
        <f aca="false">IF($A170="","",'كشف المطالبة'!$D$6)</f>
        <v/>
      </c>
      <c r="E170" s="18" t="str">
        <f aca="false">IF($A170="","",SUMIFS(PERLINE!$U$2:$U$3001,PERLINE!$N$2:$N$3001,$A170,PERLINE!$AK$2:$AK$3001,0))</f>
        <v/>
      </c>
      <c r="F170" s="19" t="str">
        <f aca="false">IF($A170="","",E170*D170)</f>
        <v/>
      </c>
      <c r="G170" s="17" t="str">
        <f aca="false">IF($A170="","",'كشف المطالبة'!$D$5)</f>
        <v/>
      </c>
      <c r="H170" s="18" t="str">
        <f aca="false">IF($A170="","",SUMIFS(PERLINE!$U$2:$U$3001,PERLINE!$N$2:$N$3001,$A170,PERLINE!$AK$2:$AK$3001,1))</f>
        <v/>
      </c>
      <c r="I170" s="19" t="str">
        <f aca="false">IF($A170="","",H170*G170)</f>
        <v/>
      </c>
      <c r="J170" s="19" t="str">
        <f aca="false">IF($A170="","",F170+I170)</f>
        <v/>
      </c>
      <c r="K170" s="19" t="str">
        <f aca="false">IF($A170="","",H170+E170)</f>
        <v/>
      </c>
      <c r="L170" s="20" t="str">
        <f aca="false">IF($A170="","",K170-J170-N170)</f>
        <v/>
      </c>
      <c r="M170" s="15" t="str">
        <f aca="false">IF($A170="","",INDEX(PERLINE!$A$2:$A$3001,MATCH($A170,PERLINE!$N$2:$N$3001,0)))</f>
        <v/>
      </c>
      <c r="N170" s="21" t="str">
        <f aca="false">IF($A170="","",SUMIFS(PERLINE!$M$2:$M$3001,PERLINE!$N$2:$N$3001,$A170))</f>
        <v/>
      </c>
    </row>
    <row r="171" customFormat="false" ht="15" hidden="false" customHeight="true" outlineLevel="0" collapsed="false">
      <c r="A171" s="15" t="str">
        <f aca="false">IF(ROWS($A$2:$A171)&lt;=Check!$C$4,SMALL(PERLINE!$AL$2:$AL$3001,ROWS($A$2:$A171)),"")</f>
        <v/>
      </c>
      <c r="B171" s="15" t="str">
        <f aca="false">IF($A171="","",INDEX(PERLINE!$J$2:$J$3001,MATCH($A171,PERLINE!$N$2:$N$3001,0)))</f>
        <v/>
      </c>
      <c r="C171" s="16" t="str">
        <f aca="false">IF($A171="","",INDEX(PERLINE!$I$2:$I$3001,MATCH($A171,PERLINE!$N$2:$N$3001,0)))</f>
        <v/>
      </c>
      <c r="D171" s="17" t="str">
        <f aca="false">IF($A171="","",'كشف المطالبة'!$D$6)</f>
        <v/>
      </c>
      <c r="E171" s="18" t="str">
        <f aca="false">IF($A171="","",SUMIFS(PERLINE!$U$2:$U$3001,PERLINE!$N$2:$N$3001,$A171,PERLINE!$AK$2:$AK$3001,0))</f>
        <v/>
      </c>
      <c r="F171" s="19" t="str">
        <f aca="false">IF($A171="","",E171*D171)</f>
        <v/>
      </c>
      <c r="G171" s="17" t="str">
        <f aca="false">IF($A171="","",'كشف المطالبة'!$D$5)</f>
        <v/>
      </c>
      <c r="H171" s="18" t="str">
        <f aca="false">IF($A171="","",SUMIFS(PERLINE!$U$2:$U$3001,PERLINE!$N$2:$N$3001,$A171,PERLINE!$AK$2:$AK$3001,1))</f>
        <v/>
      </c>
      <c r="I171" s="19" t="str">
        <f aca="false">IF($A171="","",H171*G171)</f>
        <v/>
      </c>
      <c r="J171" s="19" t="str">
        <f aca="false">IF($A171="","",F171+I171)</f>
        <v/>
      </c>
      <c r="K171" s="19" t="str">
        <f aca="false">IF($A171="","",H171+E171)</f>
        <v/>
      </c>
      <c r="L171" s="20" t="str">
        <f aca="false">IF($A171="","",K171-J171-N171)</f>
        <v/>
      </c>
      <c r="M171" s="15" t="str">
        <f aca="false">IF($A171="","",INDEX(PERLINE!$A$2:$A$3001,MATCH($A171,PERLINE!$N$2:$N$3001,0)))</f>
        <v/>
      </c>
      <c r="N171" s="21" t="str">
        <f aca="false">IF($A171="","",SUMIFS(PERLINE!$M$2:$M$3001,PERLINE!$N$2:$N$3001,$A171))</f>
        <v/>
      </c>
    </row>
    <row r="172" customFormat="false" ht="15" hidden="false" customHeight="true" outlineLevel="0" collapsed="false">
      <c r="A172" s="15" t="str">
        <f aca="false">IF(ROWS($A$2:$A172)&lt;=Check!$C$4,SMALL(PERLINE!$AL$2:$AL$3001,ROWS($A$2:$A172)),"")</f>
        <v/>
      </c>
      <c r="B172" s="15" t="str">
        <f aca="false">IF($A172="","",INDEX(PERLINE!$J$2:$J$3001,MATCH($A172,PERLINE!$N$2:$N$3001,0)))</f>
        <v/>
      </c>
      <c r="C172" s="16" t="str">
        <f aca="false">IF($A172="","",INDEX(PERLINE!$I$2:$I$3001,MATCH($A172,PERLINE!$N$2:$N$3001,0)))</f>
        <v/>
      </c>
      <c r="D172" s="17" t="str">
        <f aca="false">IF($A172="","",'كشف المطالبة'!$D$6)</f>
        <v/>
      </c>
      <c r="E172" s="18" t="str">
        <f aca="false">IF($A172="","",SUMIFS(PERLINE!$U$2:$U$3001,PERLINE!$N$2:$N$3001,$A172,PERLINE!$AK$2:$AK$3001,0))</f>
        <v/>
      </c>
      <c r="F172" s="19" t="str">
        <f aca="false">IF($A172="","",E172*D172)</f>
        <v/>
      </c>
      <c r="G172" s="17" t="str">
        <f aca="false">IF($A172="","",'كشف المطالبة'!$D$5)</f>
        <v/>
      </c>
      <c r="H172" s="18" t="str">
        <f aca="false">IF($A172="","",SUMIFS(PERLINE!$U$2:$U$3001,PERLINE!$N$2:$N$3001,$A172,PERLINE!$AK$2:$AK$3001,1))</f>
        <v/>
      </c>
      <c r="I172" s="19" t="str">
        <f aca="false">IF($A172="","",H172*G172)</f>
        <v/>
      </c>
      <c r="J172" s="19" t="str">
        <f aca="false">IF($A172="","",F172+I172)</f>
        <v/>
      </c>
      <c r="K172" s="19" t="str">
        <f aca="false">IF($A172="","",H172+E172)</f>
        <v/>
      </c>
      <c r="L172" s="20" t="str">
        <f aca="false">IF($A172="","",K172-J172-N172)</f>
        <v/>
      </c>
      <c r="M172" s="15" t="str">
        <f aca="false">IF($A172="","",INDEX(PERLINE!$A$2:$A$3001,MATCH($A172,PERLINE!$N$2:$N$3001,0)))</f>
        <v/>
      </c>
      <c r="N172" s="21" t="str">
        <f aca="false">IF($A172="","",SUMIFS(PERLINE!$M$2:$M$3001,PERLINE!$N$2:$N$3001,$A172))</f>
        <v/>
      </c>
    </row>
    <row r="173" customFormat="false" ht="15" hidden="false" customHeight="true" outlineLevel="0" collapsed="false">
      <c r="A173" s="15" t="str">
        <f aca="false">IF(ROWS($A$2:$A173)&lt;=Check!$C$4,SMALL(PERLINE!$AL$2:$AL$3001,ROWS($A$2:$A173)),"")</f>
        <v/>
      </c>
      <c r="B173" s="15" t="str">
        <f aca="false">IF($A173="","",INDEX(PERLINE!$J$2:$J$3001,MATCH($A173,PERLINE!$N$2:$N$3001,0)))</f>
        <v/>
      </c>
      <c r="C173" s="16" t="str">
        <f aca="false">IF($A173="","",INDEX(PERLINE!$I$2:$I$3001,MATCH($A173,PERLINE!$N$2:$N$3001,0)))</f>
        <v/>
      </c>
      <c r="D173" s="17" t="str">
        <f aca="false">IF($A173="","",'كشف المطالبة'!$D$6)</f>
        <v/>
      </c>
      <c r="E173" s="18" t="str">
        <f aca="false">IF($A173="","",SUMIFS(PERLINE!$U$2:$U$3001,PERLINE!$N$2:$N$3001,$A173,PERLINE!$AK$2:$AK$3001,0))</f>
        <v/>
      </c>
      <c r="F173" s="19" t="str">
        <f aca="false">IF($A173="","",E173*D173)</f>
        <v/>
      </c>
      <c r="G173" s="17" t="str">
        <f aca="false">IF($A173="","",'كشف المطالبة'!$D$5)</f>
        <v/>
      </c>
      <c r="H173" s="18" t="str">
        <f aca="false">IF($A173="","",SUMIFS(PERLINE!$U$2:$U$3001,PERLINE!$N$2:$N$3001,$A173,PERLINE!$AK$2:$AK$3001,1))</f>
        <v/>
      </c>
      <c r="I173" s="19" t="str">
        <f aca="false">IF($A173="","",H173*G173)</f>
        <v/>
      </c>
      <c r="J173" s="19" t="str">
        <f aca="false">IF($A173="","",F173+I173)</f>
        <v/>
      </c>
      <c r="K173" s="19" t="str">
        <f aca="false">IF($A173="","",H173+E173)</f>
        <v/>
      </c>
      <c r="L173" s="20" t="str">
        <f aca="false">IF($A173="","",K173-J173-N173)</f>
        <v/>
      </c>
      <c r="M173" s="15" t="str">
        <f aca="false">IF($A173="","",INDEX(PERLINE!$A$2:$A$3001,MATCH($A173,PERLINE!$N$2:$N$3001,0)))</f>
        <v/>
      </c>
      <c r="N173" s="21" t="str">
        <f aca="false">IF($A173="","",SUMIFS(PERLINE!$M$2:$M$3001,PERLINE!$N$2:$N$3001,$A173))</f>
        <v/>
      </c>
    </row>
    <row r="174" customFormat="false" ht="15" hidden="false" customHeight="true" outlineLevel="0" collapsed="false">
      <c r="A174" s="15" t="str">
        <f aca="false">IF(ROWS($A$2:$A174)&lt;=Check!$C$4,SMALL(PERLINE!$AL$2:$AL$3001,ROWS($A$2:$A174)),"")</f>
        <v/>
      </c>
      <c r="B174" s="15" t="str">
        <f aca="false">IF($A174="","",INDEX(PERLINE!$J$2:$J$3001,MATCH($A174,PERLINE!$N$2:$N$3001,0)))</f>
        <v/>
      </c>
      <c r="C174" s="16" t="str">
        <f aca="false">IF($A174="","",INDEX(PERLINE!$I$2:$I$3001,MATCH($A174,PERLINE!$N$2:$N$3001,0)))</f>
        <v/>
      </c>
      <c r="D174" s="17" t="str">
        <f aca="false">IF($A174="","",'كشف المطالبة'!$D$6)</f>
        <v/>
      </c>
      <c r="E174" s="18" t="str">
        <f aca="false">IF($A174="","",SUMIFS(PERLINE!$U$2:$U$3001,PERLINE!$N$2:$N$3001,$A174,PERLINE!$AK$2:$AK$3001,0))</f>
        <v/>
      </c>
      <c r="F174" s="19" t="str">
        <f aca="false">IF($A174="","",E174*D174)</f>
        <v/>
      </c>
      <c r="G174" s="17" t="str">
        <f aca="false">IF($A174="","",'كشف المطالبة'!$D$5)</f>
        <v/>
      </c>
      <c r="H174" s="18" t="str">
        <f aca="false">IF($A174="","",SUMIFS(PERLINE!$U$2:$U$3001,PERLINE!$N$2:$N$3001,$A174,PERLINE!$AK$2:$AK$3001,1))</f>
        <v/>
      </c>
      <c r="I174" s="19" t="str">
        <f aca="false">IF($A174="","",H174*G174)</f>
        <v/>
      </c>
      <c r="J174" s="19" t="str">
        <f aca="false">IF($A174="","",F174+I174)</f>
        <v/>
      </c>
      <c r="K174" s="19" t="str">
        <f aca="false">IF($A174="","",H174+E174)</f>
        <v/>
      </c>
      <c r="L174" s="20" t="str">
        <f aca="false">IF($A174="","",K174-J174-N174)</f>
        <v/>
      </c>
      <c r="M174" s="15" t="str">
        <f aca="false">IF($A174="","",INDEX(PERLINE!$A$2:$A$3001,MATCH($A174,PERLINE!$N$2:$N$3001,0)))</f>
        <v/>
      </c>
      <c r="N174" s="21" t="str">
        <f aca="false">IF($A174="","",SUMIFS(PERLINE!$M$2:$M$3001,PERLINE!$N$2:$N$3001,$A174))</f>
        <v/>
      </c>
    </row>
    <row r="175" customFormat="false" ht="15" hidden="false" customHeight="true" outlineLevel="0" collapsed="false">
      <c r="A175" s="15" t="str">
        <f aca="false">IF(ROWS($A$2:$A175)&lt;=Check!$C$4,SMALL(PERLINE!$AL$2:$AL$3001,ROWS($A$2:$A175)),"")</f>
        <v/>
      </c>
      <c r="B175" s="15" t="str">
        <f aca="false">IF($A175="","",INDEX(PERLINE!$J$2:$J$3001,MATCH($A175,PERLINE!$N$2:$N$3001,0)))</f>
        <v/>
      </c>
      <c r="C175" s="16" t="str">
        <f aca="false">IF($A175="","",INDEX(PERLINE!$I$2:$I$3001,MATCH($A175,PERLINE!$N$2:$N$3001,0)))</f>
        <v/>
      </c>
      <c r="D175" s="17" t="str">
        <f aca="false">IF($A175="","",'كشف المطالبة'!$D$6)</f>
        <v/>
      </c>
      <c r="E175" s="18" t="str">
        <f aca="false">IF($A175="","",SUMIFS(PERLINE!$U$2:$U$3001,PERLINE!$N$2:$N$3001,$A175,PERLINE!$AK$2:$AK$3001,0))</f>
        <v/>
      </c>
      <c r="F175" s="19" t="str">
        <f aca="false">IF($A175="","",E175*D175)</f>
        <v/>
      </c>
      <c r="G175" s="17" t="str">
        <f aca="false">IF($A175="","",'كشف المطالبة'!$D$5)</f>
        <v/>
      </c>
      <c r="H175" s="18" t="str">
        <f aca="false">IF($A175="","",SUMIFS(PERLINE!$U$2:$U$3001,PERLINE!$N$2:$N$3001,$A175,PERLINE!$AK$2:$AK$3001,1))</f>
        <v/>
      </c>
      <c r="I175" s="19" t="str">
        <f aca="false">IF($A175="","",H175*G175)</f>
        <v/>
      </c>
      <c r="J175" s="19" t="str">
        <f aca="false">IF($A175="","",F175+I175)</f>
        <v/>
      </c>
      <c r="K175" s="19" t="str">
        <f aca="false">IF($A175="","",H175+E175)</f>
        <v/>
      </c>
      <c r="L175" s="20" t="str">
        <f aca="false">IF($A175="","",K175-J175-N175)</f>
        <v/>
      </c>
      <c r="M175" s="15" t="str">
        <f aca="false">IF($A175="","",INDEX(PERLINE!$A$2:$A$3001,MATCH($A175,PERLINE!$N$2:$N$3001,0)))</f>
        <v/>
      </c>
      <c r="N175" s="21" t="str">
        <f aca="false">IF($A175="","",SUMIFS(PERLINE!$M$2:$M$3001,PERLINE!$N$2:$N$3001,$A175))</f>
        <v/>
      </c>
    </row>
    <row r="176" customFormat="false" ht="15" hidden="false" customHeight="true" outlineLevel="0" collapsed="false">
      <c r="A176" s="15" t="str">
        <f aca="false">IF(ROWS($A$2:$A176)&lt;=Check!$C$4,SMALL(PERLINE!$AL$2:$AL$3001,ROWS($A$2:$A176)),"")</f>
        <v/>
      </c>
      <c r="B176" s="15" t="str">
        <f aca="false">IF($A176="","",INDEX(PERLINE!$J$2:$J$3001,MATCH($A176,PERLINE!$N$2:$N$3001,0)))</f>
        <v/>
      </c>
      <c r="C176" s="16" t="str">
        <f aca="false">IF($A176="","",INDEX(PERLINE!$I$2:$I$3001,MATCH($A176,PERLINE!$N$2:$N$3001,0)))</f>
        <v/>
      </c>
      <c r="D176" s="17" t="str">
        <f aca="false">IF($A176="","",'كشف المطالبة'!$D$6)</f>
        <v/>
      </c>
      <c r="E176" s="18" t="str">
        <f aca="false">IF($A176="","",SUMIFS(PERLINE!$U$2:$U$3001,PERLINE!$N$2:$N$3001,$A176,PERLINE!$AK$2:$AK$3001,0))</f>
        <v/>
      </c>
      <c r="F176" s="19" t="str">
        <f aca="false">IF($A176="","",E176*D176)</f>
        <v/>
      </c>
      <c r="G176" s="17" t="str">
        <f aca="false">IF($A176="","",'كشف المطالبة'!$D$5)</f>
        <v/>
      </c>
      <c r="H176" s="18" t="str">
        <f aca="false">IF($A176="","",SUMIFS(PERLINE!$U$2:$U$3001,PERLINE!$N$2:$N$3001,$A176,PERLINE!$AK$2:$AK$3001,1))</f>
        <v/>
      </c>
      <c r="I176" s="19" t="str">
        <f aca="false">IF($A176="","",H176*G176)</f>
        <v/>
      </c>
      <c r="J176" s="19" t="str">
        <f aca="false">IF($A176="","",F176+I176)</f>
        <v/>
      </c>
      <c r="K176" s="19" t="str">
        <f aca="false">IF($A176="","",H176+E176)</f>
        <v/>
      </c>
      <c r="L176" s="20" t="str">
        <f aca="false">IF($A176="","",K176-J176-N176)</f>
        <v/>
      </c>
      <c r="M176" s="15" t="str">
        <f aca="false">IF($A176="","",INDEX(PERLINE!$A$2:$A$3001,MATCH($A176,PERLINE!$N$2:$N$3001,0)))</f>
        <v/>
      </c>
      <c r="N176" s="21" t="str">
        <f aca="false">IF($A176="","",SUMIFS(PERLINE!$M$2:$M$3001,PERLINE!$N$2:$N$3001,$A176))</f>
        <v/>
      </c>
    </row>
    <row r="177" customFormat="false" ht="15" hidden="false" customHeight="true" outlineLevel="0" collapsed="false">
      <c r="A177" s="15" t="str">
        <f aca="false">IF(ROWS($A$2:$A177)&lt;=Check!$C$4,SMALL(PERLINE!$AL$2:$AL$3001,ROWS($A$2:$A177)),"")</f>
        <v/>
      </c>
      <c r="B177" s="15" t="str">
        <f aca="false">IF($A177="","",INDEX(PERLINE!$J$2:$J$3001,MATCH($A177,PERLINE!$N$2:$N$3001,0)))</f>
        <v/>
      </c>
      <c r="C177" s="16" t="str">
        <f aca="false">IF($A177="","",INDEX(PERLINE!$I$2:$I$3001,MATCH($A177,PERLINE!$N$2:$N$3001,0)))</f>
        <v/>
      </c>
      <c r="D177" s="17" t="str">
        <f aca="false">IF($A177="","",'كشف المطالبة'!$D$6)</f>
        <v/>
      </c>
      <c r="E177" s="18" t="str">
        <f aca="false">IF($A177="","",SUMIFS(PERLINE!$U$2:$U$3001,PERLINE!$N$2:$N$3001,$A177,PERLINE!$AK$2:$AK$3001,0))</f>
        <v/>
      </c>
      <c r="F177" s="19" t="str">
        <f aca="false">IF($A177="","",E177*D177)</f>
        <v/>
      </c>
      <c r="G177" s="17" t="str">
        <f aca="false">IF($A177="","",'كشف المطالبة'!$D$5)</f>
        <v/>
      </c>
      <c r="H177" s="18" t="str">
        <f aca="false">IF($A177="","",SUMIFS(PERLINE!$U$2:$U$3001,PERLINE!$N$2:$N$3001,$A177,PERLINE!$AK$2:$AK$3001,1))</f>
        <v/>
      </c>
      <c r="I177" s="19" t="str">
        <f aca="false">IF($A177="","",H177*G177)</f>
        <v/>
      </c>
      <c r="J177" s="19" t="str">
        <f aca="false">IF($A177="","",F177+I177)</f>
        <v/>
      </c>
      <c r="K177" s="19" t="str">
        <f aca="false">IF($A177="","",H177+E177)</f>
        <v/>
      </c>
      <c r="L177" s="20" t="str">
        <f aca="false">IF($A177="","",K177-J177-N177)</f>
        <v/>
      </c>
      <c r="M177" s="15" t="str">
        <f aca="false">IF($A177="","",INDEX(PERLINE!$A$2:$A$3001,MATCH($A177,PERLINE!$N$2:$N$3001,0)))</f>
        <v/>
      </c>
      <c r="N177" s="21" t="str">
        <f aca="false">IF($A177="","",SUMIFS(PERLINE!$M$2:$M$3001,PERLINE!$N$2:$N$3001,$A177))</f>
        <v/>
      </c>
    </row>
    <row r="178" customFormat="false" ht="15" hidden="false" customHeight="true" outlineLevel="0" collapsed="false">
      <c r="A178" s="15" t="str">
        <f aca="false">IF(ROWS($A$2:$A178)&lt;=Check!$C$4,SMALL(PERLINE!$AL$2:$AL$3001,ROWS($A$2:$A178)),"")</f>
        <v/>
      </c>
      <c r="B178" s="15" t="str">
        <f aca="false">IF($A178="","",INDEX(PERLINE!$J$2:$J$3001,MATCH($A178,PERLINE!$N$2:$N$3001,0)))</f>
        <v/>
      </c>
      <c r="C178" s="16" t="str">
        <f aca="false">IF($A178="","",INDEX(PERLINE!$I$2:$I$3001,MATCH($A178,PERLINE!$N$2:$N$3001,0)))</f>
        <v/>
      </c>
      <c r="D178" s="17" t="str">
        <f aca="false">IF($A178="","",'كشف المطالبة'!$D$6)</f>
        <v/>
      </c>
      <c r="E178" s="18" t="str">
        <f aca="false">IF($A178="","",SUMIFS(PERLINE!$U$2:$U$3001,PERLINE!$N$2:$N$3001,$A178,PERLINE!$AK$2:$AK$3001,0))</f>
        <v/>
      </c>
      <c r="F178" s="19" t="str">
        <f aca="false">IF($A178="","",E178*D178)</f>
        <v/>
      </c>
      <c r="G178" s="17" t="str">
        <f aca="false">IF($A178="","",'كشف المطالبة'!$D$5)</f>
        <v/>
      </c>
      <c r="H178" s="18" t="str">
        <f aca="false">IF($A178="","",SUMIFS(PERLINE!$U$2:$U$3001,PERLINE!$N$2:$N$3001,$A178,PERLINE!$AK$2:$AK$3001,1))</f>
        <v/>
      </c>
      <c r="I178" s="19" t="str">
        <f aca="false">IF($A178="","",H178*G178)</f>
        <v/>
      </c>
      <c r="J178" s="19" t="str">
        <f aca="false">IF($A178="","",F178+I178)</f>
        <v/>
      </c>
      <c r="K178" s="19" t="str">
        <f aca="false">IF($A178="","",H178+E178)</f>
        <v/>
      </c>
      <c r="L178" s="20" t="str">
        <f aca="false">IF($A178="","",K178-J178-N178)</f>
        <v/>
      </c>
      <c r="M178" s="15" t="str">
        <f aca="false">IF($A178="","",INDEX(PERLINE!$A$2:$A$3001,MATCH($A178,PERLINE!$N$2:$N$3001,0)))</f>
        <v/>
      </c>
      <c r="N178" s="21" t="str">
        <f aca="false">IF($A178="","",SUMIFS(PERLINE!$M$2:$M$3001,PERLINE!$N$2:$N$3001,$A178))</f>
        <v/>
      </c>
    </row>
    <row r="179" customFormat="false" ht="15" hidden="false" customHeight="true" outlineLevel="0" collapsed="false">
      <c r="A179" s="15" t="str">
        <f aca="false">IF(ROWS($A$2:$A179)&lt;=Check!$C$4,SMALL(PERLINE!$AL$2:$AL$3001,ROWS($A$2:$A179)),"")</f>
        <v/>
      </c>
      <c r="B179" s="15" t="str">
        <f aca="false">IF($A179="","",INDEX(PERLINE!$J$2:$J$3001,MATCH($A179,PERLINE!$N$2:$N$3001,0)))</f>
        <v/>
      </c>
      <c r="C179" s="16" t="str">
        <f aca="false">IF($A179="","",INDEX(PERLINE!$I$2:$I$3001,MATCH($A179,PERLINE!$N$2:$N$3001,0)))</f>
        <v/>
      </c>
      <c r="D179" s="17" t="str">
        <f aca="false">IF($A179="","",'كشف المطالبة'!$D$6)</f>
        <v/>
      </c>
      <c r="E179" s="18" t="str">
        <f aca="false">IF($A179="","",SUMIFS(PERLINE!$U$2:$U$3001,PERLINE!$N$2:$N$3001,$A179,PERLINE!$AK$2:$AK$3001,0))</f>
        <v/>
      </c>
      <c r="F179" s="19" t="str">
        <f aca="false">IF($A179="","",E179*D179)</f>
        <v/>
      </c>
      <c r="G179" s="17" t="str">
        <f aca="false">IF($A179="","",'كشف المطالبة'!$D$5)</f>
        <v/>
      </c>
      <c r="H179" s="18" t="str">
        <f aca="false">IF($A179="","",SUMIFS(PERLINE!$U$2:$U$3001,PERLINE!$N$2:$N$3001,$A179,PERLINE!$AK$2:$AK$3001,1))</f>
        <v/>
      </c>
      <c r="I179" s="19" t="str">
        <f aca="false">IF($A179="","",H179*G179)</f>
        <v/>
      </c>
      <c r="J179" s="19" t="str">
        <f aca="false">IF($A179="","",F179+I179)</f>
        <v/>
      </c>
      <c r="K179" s="19" t="str">
        <f aca="false">IF($A179="","",H179+E179)</f>
        <v/>
      </c>
      <c r="L179" s="20" t="str">
        <f aca="false">IF($A179="","",K179-J179-N179)</f>
        <v/>
      </c>
      <c r="M179" s="15" t="str">
        <f aca="false">IF($A179="","",INDEX(PERLINE!$A$2:$A$3001,MATCH($A179,PERLINE!$N$2:$N$3001,0)))</f>
        <v/>
      </c>
      <c r="N179" s="21" t="str">
        <f aca="false">IF($A179="","",SUMIFS(PERLINE!$M$2:$M$3001,PERLINE!$N$2:$N$3001,$A179))</f>
        <v/>
      </c>
    </row>
    <row r="180" customFormat="false" ht="15" hidden="false" customHeight="true" outlineLevel="0" collapsed="false">
      <c r="A180" s="15" t="str">
        <f aca="false">IF(ROWS($A$2:$A180)&lt;=Check!$C$4,SMALL(PERLINE!$AL$2:$AL$3001,ROWS($A$2:$A180)),"")</f>
        <v/>
      </c>
      <c r="B180" s="15" t="str">
        <f aca="false">IF($A180="","",INDEX(PERLINE!$J$2:$J$3001,MATCH($A180,PERLINE!$N$2:$N$3001,0)))</f>
        <v/>
      </c>
      <c r="C180" s="16" t="str">
        <f aca="false">IF($A180="","",INDEX(PERLINE!$I$2:$I$3001,MATCH($A180,PERLINE!$N$2:$N$3001,0)))</f>
        <v/>
      </c>
      <c r="D180" s="17" t="str">
        <f aca="false">IF($A180="","",'كشف المطالبة'!$D$6)</f>
        <v/>
      </c>
      <c r="E180" s="18" t="str">
        <f aca="false">IF($A180="","",SUMIFS(PERLINE!$U$2:$U$3001,PERLINE!$N$2:$N$3001,$A180,PERLINE!$AK$2:$AK$3001,0))</f>
        <v/>
      </c>
      <c r="F180" s="19" t="str">
        <f aca="false">IF($A180="","",E180*D180)</f>
        <v/>
      </c>
      <c r="G180" s="17" t="str">
        <f aca="false">IF($A180="","",'كشف المطالبة'!$D$5)</f>
        <v/>
      </c>
      <c r="H180" s="18" t="str">
        <f aca="false">IF($A180="","",SUMIFS(PERLINE!$U$2:$U$3001,PERLINE!$N$2:$N$3001,$A180,PERLINE!$AK$2:$AK$3001,1))</f>
        <v/>
      </c>
      <c r="I180" s="19" t="str">
        <f aca="false">IF($A180="","",H180*G180)</f>
        <v/>
      </c>
      <c r="J180" s="19" t="str">
        <f aca="false">IF($A180="","",F180+I180)</f>
        <v/>
      </c>
      <c r="K180" s="19" t="str">
        <f aca="false">IF($A180="","",H180+E180)</f>
        <v/>
      </c>
      <c r="L180" s="20" t="str">
        <f aca="false">IF($A180="","",K180-J180-N180)</f>
        <v/>
      </c>
      <c r="M180" s="15" t="str">
        <f aca="false">IF($A180="","",INDEX(PERLINE!$A$2:$A$3001,MATCH($A180,PERLINE!$N$2:$N$3001,0)))</f>
        <v/>
      </c>
      <c r="N180" s="21" t="str">
        <f aca="false">IF($A180="","",SUMIFS(PERLINE!$M$2:$M$3001,PERLINE!$N$2:$N$3001,$A180))</f>
        <v/>
      </c>
    </row>
    <row r="181" customFormat="false" ht="15" hidden="false" customHeight="true" outlineLevel="0" collapsed="false">
      <c r="A181" s="15" t="str">
        <f aca="false">IF(ROWS($A$2:$A181)&lt;=Check!$C$4,SMALL(PERLINE!$AL$2:$AL$3001,ROWS($A$2:$A181)),"")</f>
        <v/>
      </c>
      <c r="B181" s="15" t="str">
        <f aca="false">IF($A181="","",INDEX(PERLINE!$J$2:$J$3001,MATCH($A181,PERLINE!$N$2:$N$3001,0)))</f>
        <v/>
      </c>
      <c r="C181" s="16" t="str">
        <f aca="false">IF($A181="","",INDEX(PERLINE!$I$2:$I$3001,MATCH($A181,PERLINE!$N$2:$N$3001,0)))</f>
        <v/>
      </c>
      <c r="D181" s="17" t="str">
        <f aca="false">IF($A181="","",'كشف المطالبة'!$D$6)</f>
        <v/>
      </c>
      <c r="E181" s="18" t="str">
        <f aca="false">IF($A181="","",SUMIFS(PERLINE!$U$2:$U$3001,PERLINE!$N$2:$N$3001,$A181,PERLINE!$AK$2:$AK$3001,0))</f>
        <v/>
      </c>
      <c r="F181" s="19" t="str">
        <f aca="false">IF($A181="","",E181*D181)</f>
        <v/>
      </c>
      <c r="G181" s="17" t="str">
        <f aca="false">IF($A181="","",'كشف المطالبة'!$D$5)</f>
        <v/>
      </c>
      <c r="H181" s="18" t="str">
        <f aca="false">IF($A181="","",SUMIFS(PERLINE!$U$2:$U$3001,PERLINE!$N$2:$N$3001,$A181,PERLINE!$AK$2:$AK$3001,1))</f>
        <v/>
      </c>
      <c r="I181" s="19" t="str">
        <f aca="false">IF($A181="","",H181*G181)</f>
        <v/>
      </c>
      <c r="J181" s="19" t="str">
        <f aca="false">IF($A181="","",F181+I181)</f>
        <v/>
      </c>
      <c r="K181" s="19" t="str">
        <f aca="false">IF($A181="","",H181+E181)</f>
        <v/>
      </c>
      <c r="L181" s="20" t="str">
        <f aca="false">IF($A181="","",K181-J181-N181)</f>
        <v/>
      </c>
      <c r="M181" s="15" t="str">
        <f aca="false">IF($A181="","",INDEX(PERLINE!$A$2:$A$3001,MATCH($A181,PERLINE!$N$2:$N$3001,0)))</f>
        <v/>
      </c>
      <c r="N181" s="21" t="str">
        <f aca="false">IF($A181="","",SUMIFS(PERLINE!$M$2:$M$3001,PERLINE!$N$2:$N$3001,$A181))</f>
        <v/>
      </c>
    </row>
    <row r="182" customFormat="false" ht="15" hidden="false" customHeight="true" outlineLevel="0" collapsed="false">
      <c r="A182" s="15" t="str">
        <f aca="false">IF(ROWS($A$2:$A182)&lt;=Check!$C$4,SMALL(PERLINE!$AL$2:$AL$3001,ROWS($A$2:$A182)),"")</f>
        <v/>
      </c>
      <c r="B182" s="15" t="str">
        <f aca="false">IF($A182="","",INDEX(PERLINE!$J$2:$J$3001,MATCH($A182,PERLINE!$N$2:$N$3001,0)))</f>
        <v/>
      </c>
      <c r="C182" s="16" t="str">
        <f aca="false">IF($A182="","",INDEX(PERLINE!$I$2:$I$3001,MATCH($A182,PERLINE!$N$2:$N$3001,0)))</f>
        <v/>
      </c>
      <c r="D182" s="17" t="str">
        <f aca="false">IF($A182="","",'كشف المطالبة'!$D$6)</f>
        <v/>
      </c>
      <c r="E182" s="18" t="str">
        <f aca="false">IF($A182="","",SUMIFS(PERLINE!$U$2:$U$3001,PERLINE!$N$2:$N$3001,$A182,PERLINE!$AK$2:$AK$3001,0))</f>
        <v/>
      </c>
      <c r="F182" s="19" t="str">
        <f aca="false">IF($A182="","",E182*D182)</f>
        <v/>
      </c>
      <c r="G182" s="17" t="str">
        <f aca="false">IF($A182="","",'كشف المطالبة'!$D$5)</f>
        <v/>
      </c>
      <c r="H182" s="18" t="str">
        <f aca="false">IF($A182="","",SUMIFS(PERLINE!$U$2:$U$3001,PERLINE!$N$2:$N$3001,$A182,PERLINE!$AK$2:$AK$3001,1))</f>
        <v/>
      </c>
      <c r="I182" s="19" t="str">
        <f aca="false">IF($A182="","",H182*G182)</f>
        <v/>
      </c>
      <c r="J182" s="19" t="str">
        <f aca="false">IF($A182="","",F182+I182)</f>
        <v/>
      </c>
      <c r="K182" s="19" t="str">
        <f aca="false">IF($A182="","",H182+E182)</f>
        <v/>
      </c>
      <c r="L182" s="20" t="str">
        <f aca="false">IF($A182="","",K182-J182-N182)</f>
        <v/>
      </c>
      <c r="M182" s="15" t="str">
        <f aca="false">IF($A182="","",INDEX(PERLINE!$A$2:$A$3001,MATCH($A182,PERLINE!$N$2:$N$3001,0)))</f>
        <v/>
      </c>
      <c r="N182" s="21" t="str">
        <f aca="false">IF($A182="","",SUMIFS(PERLINE!$M$2:$M$3001,PERLINE!$N$2:$N$3001,$A182))</f>
        <v/>
      </c>
    </row>
    <row r="183" customFormat="false" ht="15" hidden="false" customHeight="true" outlineLevel="0" collapsed="false">
      <c r="A183" s="15" t="str">
        <f aca="false">IF(ROWS($A$2:$A183)&lt;=Check!$C$4,SMALL(PERLINE!$AL$2:$AL$3001,ROWS($A$2:$A183)),"")</f>
        <v/>
      </c>
      <c r="B183" s="15" t="str">
        <f aca="false">IF($A183="","",INDEX(PERLINE!$J$2:$J$3001,MATCH($A183,PERLINE!$N$2:$N$3001,0)))</f>
        <v/>
      </c>
      <c r="C183" s="16" t="str">
        <f aca="false">IF($A183="","",INDEX(PERLINE!$I$2:$I$3001,MATCH($A183,PERLINE!$N$2:$N$3001,0)))</f>
        <v/>
      </c>
      <c r="D183" s="17" t="str">
        <f aca="false">IF($A183="","",'كشف المطالبة'!$D$6)</f>
        <v/>
      </c>
      <c r="E183" s="18" t="str">
        <f aca="false">IF($A183="","",SUMIFS(PERLINE!$U$2:$U$3001,PERLINE!$N$2:$N$3001,$A183,PERLINE!$AK$2:$AK$3001,0))</f>
        <v/>
      </c>
      <c r="F183" s="19" t="str">
        <f aca="false">IF($A183="","",E183*D183)</f>
        <v/>
      </c>
      <c r="G183" s="17" t="str">
        <f aca="false">IF($A183="","",'كشف المطالبة'!$D$5)</f>
        <v/>
      </c>
      <c r="H183" s="18" t="str">
        <f aca="false">IF($A183="","",SUMIFS(PERLINE!$U$2:$U$3001,PERLINE!$N$2:$N$3001,$A183,PERLINE!$AK$2:$AK$3001,1))</f>
        <v/>
      </c>
      <c r="I183" s="19" t="str">
        <f aca="false">IF($A183="","",H183*G183)</f>
        <v/>
      </c>
      <c r="J183" s="19" t="str">
        <f aca="false">IF($A183="","",F183+I183)</f>
        <v/>
      </c>
      <c r="K183" s="19" t="str">
        <f aca="false">IF($A183="","",H183+E183)</f>
        <v/>
      </c>
      <c r="L183" s="20" t="str">
        <f aca="false">IF($A183="","",K183-J183-N183)</f>
        <v/>
      </c>
      <c r="M183" s="15" t="str">
        <f aca="false">IF($A183="","",INDEX(PERLINE!$A$2:$A$3001,MATCH($A183,PERLINE!$N$2:$N$3001,0)))</f>
        <v/>
      </c>
      <c r="N183" s="21" t="str">
        <f aca="false">IF($A183="","",SUMIFS(PERLINE!$M$2:$M$3001,PERLINE!$N$2:$N$3001,$A183))</f>
        <v/>
      </c>
    </row>
    <row r="184" customFormat="false" ht="15" hidden="false" customHeight="true" outlineLevel="0" collapsed="false">
      <c r="A184" s="15" t="str">
        <f aca="false">IF(ROWS($A$2:$A184)&lt;=Check!$C$4,SMALL(PERLINE!$AL$2:$AL$3001,ROWS($A$2:$A184)),"")</f>
        <v/>
      </c>
      <c r="B184" s="15" t="str">
        <f aca="false">IF($A184="","",INDEX(PERLINE!$J$2:$J$3001,MATCH($A184,PERLINE!$N$2:$N$3001,0)))</f>
        <v/>
      </c>
      <c r="C184" s="16" t="str">
        <f aca="false">IF($A184="","",INDEX(PERLINE!$I$2:$I$3001,MATCH($A184,PERLINE!$N$2:$N$3001,0)))</f>
        <v/>
      </c>
      <c r="D184" s="17" t="str">
        <f aca="false">IF($A184="","",'كشف المطالبة'!$D$6)</f>
        <v/>
      </c>
      <c r="E184" s="18" t="str">
        <f aca="false">IF($A184="","",SUMIFS(PERLINE!$U$2:$U$3001,PERLINE!$N$2:$N$3001,$A184,PERLINE!$AK$2:$AK$3001,0))</f>
        <v/>
      </c>
      <c r="F184" s="19" t="str">
        <f aca="false">IF($A184="","",E184*D184)</f>
        <v/>
      </c>
      <c r="G184" s="17" t="str">
        <f aca="false">IF($A184="","",'كشف المطالبة'!$D$5)</f>
        <v/>
      </c>
      <c r="H184" s="18" t="str">
        <f aca="false">IF($A184="","",SUMIFS(PERLINE!$U$2:$U$3001,PERLINE!$N$2:$N$3001,$A184,PERLINE!$AK$2:$AK$3001,1))</f>
        <v/>
      </c>
      <c r="I184" s="19" t="str">
        <f aca="false">IF($A184="","",H184*G184)</f>
        <v/>
      </c>
      <c r="J184" s="19" t="str">
        <f aca="false">IF($A184="","",F184+I184)</f>
        <v/>
      </c>
      <c r="K184" s="19" t="str">
        <f aca="false">IF($A184="","",H184+E184)</f>
        <v/>
      </c>
      <c r="L184" s="20" t="str">
        <f aca="false">IF($A184="","",K184-J184-N184)</f>
        <v/>
      </c>
      <c r="M184" s="15" t="str">
        <f aca="false">IF($A184="","",INDEX(PERLINE!$A$2:$A$3001,MATCH($A184,PERLINE!$N$2:$N$3001,0)))</f>
        <v/>
      </c>
      <c r="N184" s="21" t="str">
        <f aca="false">IF($A184="","",SUMIFS(PERLINE!$M$2:$M$3001,PERLINE!$N$2:$N$3001,$A184))</f>
        <v/>
      </c>
    </row>
    <row r="185" customFormat="false" ht="15" hidden="false" customHeight="true" outlineLevel="0" collapsed="false">
      <c r="A185" s="15" t="str">
        <f aca="false">IF(ROWS($A$2:$A185)&lt;=Check!$C$4,SMALL(PERLINE!$AL$2:$AL$3001,ROWS($A$2:$A185)),"")</f>
        <v/>
      </c>
      <c r="B185" s="15" t="str">
        <f aca="false">IF($A185="","",INDEX(PERLINE!$J$2:$J$3001,MATCH($A185,PERLINE!$N$2:$N$3001,0)))</f>
        <v/>
      </c>
      <c r="C185" s="16" t="str">
        <f aca="false">IF($A185="","",INDEX(PERLINE!$I$2:$I$3001,MATCH($A185,PERLINE!$N$2:$N$3001,0)))</f>
        <v/>
      </c>
      <c r="D185" s="17" t="str">
        <f aca="false">IF($A185="","",'كشف المطالبة'!$D$6)</f>
        <v/>
      </c>
      <c r="E185" s="18" t="str">
        <f aca="false">IF($A185="","",SUMIFS(PERLINE!$U$2:$U$3001,PERLINE!$N$2:$N$3001,$A185,PERLINE!$AK$2:$AK$3001,0))</f>
        <v/>
      </c>
      <c r="F185" s="19" t="str">
        <f aca="false">IF($A185="","",E185*D185)</f>
        <v/>
      </c>
      <c r="G185" s="17" t="str">
        <f aca="false">IF($A185="","",'كشف المطالبة'!$D$5)</f>
        <v/>
      </c>
      <c r="H185" s="18" t="str">
        <f aca="false">IF($A185="","",SUMIFS(PERLINE!$U$2:$U$3001,PERLINE!$N$2:$N$3001,$A185,PERLINE!$AK$2:$AK$3001,1))</f>
        <v/>
      </c>
      <c r="I185" s="19" t="str">
        <f aca="false">IF($A185="","",H185*G185)</f>
        <v/>
      </c>
      <c r="J185" s="19" t="str">
        <f aca="false">IF($A185="","",F185+I185)</f>
        <v/>
      </c>
      <c r="K185" s="19" t="str">
        <f aca="false">IF($A185="","",H185+E185)</f>
        <v/>
      </c>
      <c r="L185" s="20" t="str">
        <f aca="false">IF($A185="","",K185-J185-N185)</f>
        <v/>
      </c>
      <c r="M185" s="15" t="str">
        <f aca="false">IF($A185="","",INDEX(PERLINE!$A$2:$A$3001,MATCH($A185,PERLINE!$N$2:$N$3001,0)))</f>
        <v/>
      </c>
      <c r="N185" s="21" t="str">
        <f aca="false">IF($A185="","",SUMIFS(PERLINE!$M$2:$M$3001,PERLINE!$N$2:$N$3001,$A185))</f>
        <v/>
      </c>
    </row>
    <row r="186" customFormat="false" ht="15" hidden="false" customHeight="true" outlineLevel="0" collapsed="false">
      <c r="A186" s="15" t="str">
        <f aca="false">IF(ROWS($A$2:$A186)&lt;=Check!$C$4,SMALL(PERLINE!$AL$2:$AL$3001,ROWS($A$2:$A186)),"")</f>
        <v/>
      </c>
      <c r="B186" s="15" t="str">
        <f aca="false">IF($A186="","",INDEX(PERLINE!$J$2:$J$3001,MATCH($A186,PERLINE!$N$2:$N$3001,0)))</f>
        <v/>
      </c>
      <c r="C186" s="16" t="str">
        <f aca="false">IF($A186="","",INDEX(PERLINE!$I$2:$I$3001,MATCH($A186,PERLINE!$N$2:$N$3001,0)))</f>
        <v/>
      </c>
      <c r="D186" s="17" t="str">
        <f aca="false">IF($A186="","",'كشف المطالبة'!$D$6)</f>
        <v/>
      </c>
      <c r="E186" s="18" t="str">
        <f aca="false">IF($A186="","",SUMIFS(PERLINE!$U$2:$U$3001,PERLINE!$N$2:$N$3001,$A186,PERLINE!$AK$2:$AK$3001,0))</f>
        <v/>
      </c>
      <c r="F186" s="19" t="str">
        <f aca="false">IF($A186="","",E186*D186)</f>
        <v/>
      </c>
      <c r="G186" s="17" t="str">
        <f aca="false">IF($A186="","",'كشف المطالبة'!$D$5)</f>
        <v/>
      </c>
      <c r="H186" s="18" t="str">
        <f aca="false">IF($A186="","",SUMIFS(PERLINE!$U$2:$U$3001,PERLINE!$N$2:$N$3001,$A186,PERLINE!$AK$2:$AK$3001,1))</f>
        <v/>
      </c>
      <c r="I186" s="19" t="str">
        <f aca="false">IF($A186="","",H186*G186)</f>
        <v/>
      </c>
      <c r="J186" s="19" t="str">
        <f aca="false">IF($A186="","",F186+I186)</f>
        <v/>
      </c>
      <c r="K186" s="19" t="str">
        <f aca="false">IF($A186="","",H186+E186)</f>
        <v/>
      </c>
      <c r="L186" s="20" t="str">
        <f aca="false">IF($A186="","",K186-J186-N186)</f>
        <v/>
      </c>
      <c r="M186" s="15" t="str">
        <f aca="false">IF($A186="","",INDEX(PERLINE!$A$2:$A$3001,MATCH($A186,PERLINE!$N$2:$N$3001,0)))</f>
        <v/>
      </c>
      <c r="N186" s="21" t="str">
        <f aca="false">IF($A186="","",SUMIFS(PERLINE!$M$2:$M$3001,PERLINE!$N$2:$N$3001,$A186))</f>
        <v/>
      </c>
    </row>
    <row r="187" customFormat="false" ht="15" hidden="false" customHeight="true" outlineLevel="0" collapsed="false">
      <c r="A187" s="15" t="str">
        <f aca="false">IF(ROWS($A$2:$A187)&lt;=Check!$C$4,SMALL(PERLINE!$AL$2:$AL$3001,ROWS($A$2:$A187)),"")</f>
        <v/>
      </c>
      <c r="B187" s="15" t="str">
        <f aca="false">IF($A187="","",INDEX(PERLINE!$J$2:$J$3001,MATCH($A187,PERLINE!$N$2:$N$3001,0)))</f>
        <v/>
      </c>
      <c r="C187" s="16" t="str">
        <f aca="false">IF($A187="","",INDEX(PERLINE!$I$2:$I$3001,MATCH($A187,PERLINE!$N$2:$N$3001,0)))</f>
        <v/>
      </c>
      <c r="D187" s="17" t="str">
        <f aca="false">IF($A187="","",'كشف المطالبة'!$D$6)</f>
        <v/>
      </c>
      <c r="E187" s="18" t="str">
        <f aca="false">IF($A187="","",SUMIFS(PERLINE!$U$2:$U$3001,PERLINE!$N$2:$N$3001,$A187,PERLINE!$AK$2:$AK$3001,0))</f>
        <v/>
      </c>
      <c r="F187" s="19" t="str">
        <f aca="false">IF($A187="","",E187*D187)</f>
        <v/>
      </c>
      <c r="G187" s="17" t="str">
        <f aca="false">IF($A187="","",'كشف المطالبة'!$D$5)</f>
        <v/>
      </c>
      <c r="H187" s="18" t="str">
        <f aca="false">IF($A187="","",SUMIFS(PERLINE!$U$2:$U$3001,PERLINE!$N$2:$N$3001,$A187,PERLINE!$AK$2:$AK$3001,1))</f>
        <v/>
      </c>
      <c r="I187" s="19" t="str">
        <f aca="false">IF($A187="","",H187*G187)</f>
        <v/>
      </c>
      <c r="J187" s="19" t="str">
        <f aca="false">IF($A187="","",F187+I187)</f>
        <v/>
      </c>
      <c r="K187" s="19" t="str">
        <f aca="false">IF($A187="","",H187+E187)</f>
        <v/>
      </c>
      <c r="L187" s="20" t="str">
        <f aca="false">IF($A187="","",K187-J187-N187)</f>
        <v/>
      </c>
      <c r="M187" s="15" t="str">
        <f aca="false">IF($A187="","",INDEX(PERLINE!$A$2:$A$3001,MATCH($A187,PERLINE!$N$2:$N$3001,0)))</f>
        <v/>
      </c>
      <c r="N187" s="21" t="str">
        <f aca="false">IF($A187="","",SUMIFS(PERLINE!$M$2:$M$3001,PERLINE!$N$2:$N$3001,$A187))</f>
        <v/>
      </c>
    </row>
    <row r="188" customFormat="false" ht="15" hidden="false" customHeight="true" outlineLevel="0" collapsed="false">
      <c r="A188" s="15" t="str">
        <f aca="false">IF(ROWS($A$2:$A188)&lt;=Check!$C$4,SMALL(PERLINE!$AL$2:$AL$3001,ROWS($A$2:$A188)),"")</f>
        <v/>
      </c>
      <c r="B188" s="15" t="str">
        <f aca="false">IF($A188="","",INDEX(PERLINE!$J$2:$J$3001,MATCH($A188,PERLINE!$N$2:$N$3001,0)))</f>
        <v/>
      </c>
      <c r="C188" s="16" t="str">
        <f aca="false">IF($A188="","",INDEX(PERLINE!$I$2:$I$3001,MATCH($A188,PERLINE!$N$2:$N$3001,0)))</f>
        <v/>
      </c>
      <c r="D188" s="17" t="str">
        <f aca="false">IF($A188="","",'كشف المطالبة'!$D$6)</f>
        <v/>
      </c>
      <c r="E188" s="18" t="str">
        <f aca="false">IF($A188="","",SUMIFS(PERLINE!$U$2:$U$3001,PERLINE!$N$2:$N$3001,$A188,PERLINE!$AK$2:$AK$3001,0))</f>
        <v/>
      </c>
      <c r="F188" s="19" t="str">
        <f aca="false">IF($A188="","",E188*D188)</f>
        <v/>
      </c>
      <c r="G188" s="17" t="str">
        <f aca="false">IF($A188="","",'كشف المطالبة'!$D$5)</f>
        <v/>
      </c>
      <c r="H188" s="18" t="str">
        <f aca="false">IF($A188="","",SUMIFS(PERLINE!$U$2:$U$3001,PERLINE!$N$2:$N$3001,$A188,PERLINE!$AK$2:$AK$3001,1))</f>
        <v/>
      </c>
      <c r="I188" s="19" t="str">
        <f aca="false">IF($A188="","",H188*G188)</f>
        <v/>
      </c>
      <c r="J188" s="19" t="str">
        <f aca="false">IF($A188="","",F188+I188)</f>
        <v/>
      </c>
      <c r="K188" s="19" t="str">
        <f aca="false">IF($A188="","",H188+E188)</f>
        <v/>
      </c>
      <c r="L188" s="20" t="str">
        <f aca="false">IF($A188="","",K188-J188-N188)</f>
        <v/>
      </c>
      <c r="M188" s="15" t="str">
        <f aca="false">IF($A188="","",INDEX(PERLINE!$A$2:$A$3001,MATCH($A188,PERLINE!$N$2:$N$3001,0)))</f>
        <v/>
      </c>
      <c r="N188" s="21" t="str">
        <f aca="false">IF($A188="","",SUMIFS(PERLINE!$M$2:$M$3001,PERLINE!$N$2:$N$3001,$A188))</f>
        <v/>
      </c>
    </row>
    <row r="189" customFormat="false" ht="15" hidden="false" customHeight="true" outlineLevel="0" collapsed="false">
      <c r="A189" s="15" t="str">
        <f aca="false">IF(ROWS($A$2:$A189)&lt;=Check!$C$4,SMALL(PERLINE!$AL$2:$AL$3001,ROWS($A$2:$A189)),"")</f>
        <v/>
      </c>
      <c r="B189" s="15" t="str">
        <f aca="false">IF($A189="","",INDEX(PERLINE!$J$2:$J$3001,MATCH($A189,PERLINE!$N$2:$N$3001,0)))</f>
        <v/>
      </c>
      <c r="C189" s="16" t="str">
        <f aca="false">IF($A189="","",INDEX(PERLINE!$I$2:$I$3001,MATCH($A189,PERLINE!$N$2:$N$3001,0)))</f>
        <v/>
      </c>
      <c r="D189" s="17" t="str">
        <f aca="false">IF($A189="","",'كشف المطالبة'!$D$6)</f>
        <v/>
      </c>
      <c r="E189" s="18" t="str">
        <f aca="false">IF($A189="","",SUMIFS(PERLINE!$U$2:$U$3001,PERLINE!$N$2:$N$3001,$A189,PERLINE!$AK$2:$AK$3001,0))</f>
        <v/>
      </c>
      <c r="F189" s="19" t="str">
        <f aca="false">IF($A189="","",E189*D189)</f>
        <v/>
      </c>
      <c r="G189" s="17" t="str">
        <f aca="false">IF($A189="","",'كشف المطالبة'!$D$5)</f>
        <v/>
      </c>
      <c r="H189" s="18" t="str">
        <f aca="false">IF($A189="","",SUMIFS(PERLINE!$U$2:$U$3001,PERLINE!$N$2:$N$3001,$A189,PERLINE!$AK$2:$AK$3001,1))</f>
        <v/>
      </c>
      <c r="I189" s="19" t="str">
        <f aca="false">IF($A189="","",H189*G189)</f>
        <v/>
      </c>
      <c r="J189" s="19" t="str">
        <f aca="false">IF($A189="","",F189+I189)</f>
        <v/>
      </c>
      <c r="K189" s="19" t="str">
        <f aca="false">IF($A189="","",H189+E189)</f>
        <v/>
      </c>
      <c r="L189" s="20" t="str">
        <f aca="false">IF($A189="","",K189-J189-N189)</f>
        <v/>
      </c>
      <c r="M189" s="15" t="str">
        <f aca="false">IF($A189="","",INDEX(PERLINE!$A$2:$A$3001,MATCH($A189,PERLINE!$N$2:$N$3001,0)))</f>
        <v/>
      </c>
      <c r="N189" s="21" t="str">
        <f aca="false">IF($A189="","",SUMIFS(PERLINE!$M$2:$M$3001,PERLINE!$N$2:$N$3001,$A189))</f>
        <v/>
      </c>
    </row>
    <row r="190" customFormat="false" ht="15" hidden="false" customHeight="true" outlineLevel="0" collapsed="false">
      <c r="A190" s="15" t="str">
        <f aca="false">IF(ROWS($A$2:$A190)&lt;=Check!$C$4,SMALL(PERLINE!$AL$2:$AL$3001,ROWS($A$2:$A190)),"")</f>
        <v/>
      </c>
      <c r="B190" s="15" t="str">
        <f aca="false">IF($A190="","",INDEX(PERLINE!$J$2:$J$3001,MATCH($A190,PERLINE!$N$2:$N$3001,0)))</f>
        <v/>
      </c>
      <c r="C190" s="16" t="str">
        <f aca="false">IF($A190="","",INDEX(PERLINE!$I$2:$I$3001,MATCH($A190,PERLINE!$N$2:$N$3001,0)))</f>
        <v/>
      </c>
      <c r="D190" s="17" t="str">
        <f aca="false">IF($A190="","",'كشف المطالبة'!$D$6)</f>
        <v/>
      </c>
      <c r="E190" s="18" t="str">
        <f aca="false">IF($A190="","",SUMIFS(PERLINE!$U$2:$U$3001,PERLINE!$N$2:$N$3001,$A190,PERLINE!$AK$2:$AK$3001,0))</f>
        <v/>
      </c>
      <c r="F190" s="19" t="str">
        <f aca="false">IF($A190="","",E190*D190)</f>
        <v/>
      </c>
      <c r="G190" s="17" t="str">
        <f aca="false">IF($A190="","",'كشف المطالبة'!$D$5)</f>
        <v/>
      </c>
      <c r="H190" s="18" t="str">
        <f aca="false">IF($A190="","",SUMIFS(PERLINE!$U$2:$U$3001,PERLINE!$N$2:$N$3001,$A190,PERLINE!$AK$2:$AK$3001,1))</f>
        <v/>
      </c>
      <c r="I190" s="19" t="str">
        <f aca="false">IF($A190="","",H190*G190)</f>
        <v/>
      </c>
      <c r="J190" s="19" t="str">
        <f aca="false">IF($A190="","",F190+I190)</f>
        <v/>
      </c>
      <c r="K190" s="19" t="str">
        <f aca="false">IF($A190="","",H190+E190)</f>
        <v/>
      </c>
      <c r="L190" s="20" t="str">
        <f aca="false">IF($A190="","",K190-J190-N190)</f>
        <v/>
      </c>
      <c r="M190" s="15" t="str">
        <f aca="false">IF($A190="","",INDEX(PERLINE!$A$2:$A$3001,MATCH($A190,PERLINE!$N$2:$N$3001,0)))</f>
        <v/>
      </c>
      <c r="N190" s="21" t="str">
        <f aca="false">IF($A190="","",SUMIFS(PERLINE!$M$2:$M$3001,PERLINE!$N$2:$N$3001,$A190))</f>
        <v/>
      </c>
    </row>
    <row r="191" customFormat="false" ht="15" hidden="false" customHeight="true" outlineLevel="0" collapsed="false">
      <c r="A191" s="15" t="str">
        <f aca="false">IF(ROWS($A$2:$A191)&lt;=Check!$C$4,SMALL(PERLINE!$AL$2:$AL$3001,ROWS($A$2:$A191)),"")</f>
        <v/>
      </c>
      <c r="B191" s="15" t="str">
        <f aca="false">IF($A191="","",INDEX(PERLINE!$J$2:$J$3001,MATCH($A191,PERLINE!$N$2:$N$3001,0)))</f>
        <v/>
      </c>
      <c r="C191" s="16" t="str">
        <f aca="false">IF($A191="","",INDEX(PERLINE!$I$2:$I$3001,MATCH($A191,PERLINE!$N$2:$N$3001,0)))</f>
        <v/>
      </c>
      <c r="D191" s="17" t="str">
        <f aca="false">IF($A191="","",'كشف المطالبة'!$D$6)</f>
        <v/>
      </c>
      <c r="E191" s="18" t="str">
        <f aca="false">IF($A191="","",SUMIFS(PERLINE!$U$2:$U$3001,PERLINE!$N$2:$N$3001,$A191,PERLINE!$AK$2:$AK$3001,0))</f>
        <v/>
      </c>
      <c r="F191" s="19" t="str">
        <f aca="false">IF($A191="","",E191*D191)</f>
        <v/>
      </c>
      <c r="G191" s="17" t="str">
        <f aca="false">IF($A191="","",'كشف المطالبة'!$D$5)</f>
        <v/>
      </c>
      <c r="H191" s="18" t="str">
        <f aca="false">IF($A191="","",SUMIFS(PERLINE!$U$2:$U$3001,PERLINE!$N$2:$N$3001,$A191,PERLINE!$AK$2:$AK$3001,1))</f>
        <v/>
      </c>
      <c r="I191" s="19" t="str">
        <f aca="false">IF($A191="","",H191*G191)</f>
        <v/>
      </c>
      <c r="J191" s="19" t="str">
        <f aca="false">IF($A191="","",F191+I191)</f>
        <v/>
      </c>
      <c r="K191" s="19" t="str">
        <f aca="false">IF($A191="","",H191+E191)</f>
        <v/>
      </c>
      <c r="L191" s="20" t="str">
        <f aca="false">IF($A191="","",K191-J191-N191)</f>
        <v/>
      </c>
      <c r="M191" s="15" t="str">
        <f aca="false">IF($A191="","",INDEX(PERLINE!$A$2:$A$3001,MATCH($A191,PERLINE!$N$2:$N$3001,0)))</f>
        <v/>
      </c>
      <c r="N191" s="21" t="str">
        <f aca="false">IF($A191="","",SUMIFS(PERLINE!$M$2:$M$3001,PERLINE!$N$2:$N$3001,$A191))</f>
        <v/>
      </c>
    </row>
    <row r="192" customFormat="false" ht="15" hidden="false" customHeight="true" outlineLevel="0" collapsed="false">
      <c r="A192" s="15" t="str">
        <f aca="false">IF(ROWS($A$2:$A192)&lt;=Check!$C$4,SMALL(PERLINE!$AL$2:$AL$3001,ROWS($A$2:$A192)),"")</f>
        <v/>
      </c>
      <c r="B192" s="15" t="str">
        <f aca="false">IF($A192="","",INDEX(PERLINE!$J$2:$J$3001,MATCH($A192,PERLINE!$N$2:$N$3001,0)))</f>
        <v/>
      </c>
      <c r="C192" s="16" t="str">
        <f aca="false">IF($A192="","",INDEX(PERLINE!$I$2:$I$3001,MATCH($A192,PERLINE!$N$2:$N$3001,0)))</f>
        <v/>
      </c>
      <c r="D192" s="17" t="str">
        <f aca="false">IF($A192="","",'كشف المطالبة'!$D$6)</f>
        <v/>
      </c>
      <c r="E192" s="18" t="str">
        <f aca="false">IF($A192="","",SUMIFS(PERLINE!$U$2:$U$3001,PERLINE!$N$2:$N$3001,$A192,PERLINE!$AK$2:$AK$3001,0))</f>
        <v/>
      </c>
      <c r="F192" s="19" t="str">
        <f aca="false">IF($A192="","",E192*D192)</f>
        <v/>
      </c>
      <c r="G192" s="17" t="str">
        <f aca="false">IF($A192="","",'كشف المطالبة'!$D$5)</f>
        <v/>
      </c>
      <c r="H192" s="18" t="str">
        <f aca="false">IF($A192="","",SUMIFS(PERLINE!$U$2:$U$3001,PERLINE!$N$2:$N$3001,$A192,PERLINE!$AK$2:$AK$3001,1))</f>
        <v/>
      </c>
      <c r="I192" s="19" t="str">
        <f aca="false">IF($A192="","",H192*G192)</f>
        <v/>
      </c>
      <c r="J192" s="19" t="str">
        <f aca="false">IF($A192="","",F192+I192)</f>
        <v/>
      </c>
      <c r="K192" s="19" t="str">
        <f aca="false">IF($A192="","",H192+E192)</f>
        <v/>
      </c>
      <c r="L192" s="20" t="str">
        <f aca="false">IF($A192="","",K192-J192-N192)</f>
        <v/>
      </c>
      <c r="M192" s="15" t="str">
        <f aca="false">IF($A192="","",INDEX(PERLINE!$A$2:$A$3001,MATCH($A192,PERLINE!$N$2:$N$3001,0)))</f>
        <v/>
      </c>
      <c r="N192" s="21" t="str">
        <f aca="false">IF($A192="","",SUMIFS(PERLINE!$M$2:$M$3001,PERLINE!$N$2:$N$3001,$A192))</f>
        <v/>
      </c>
    </row>
    <row r="193" customFormat="false" ht="15" hidden="false" customHeight="true" outlineLevel="0" collapsed="false">
      <c r="A193" s="15" t="str">
        <f aca="false">IF(ROWS($A$2:$A193)&lt;=Check!$C$4,SMALL(PERLINE!$AL$2:$AL$3001,ROWS($A$2:$A193)),"")</f>
        <v/>
      </c>
      <c r="B193" s="15" t="str">
        <f aca="false">IF($A193="","",INDEX(PERLINE!$J$2:$J$3001,MATCH($A193,PERLINE!$N$2:$N$3001,0)))</f>
        <v/>
      </c>
      <c r="C193" s="16" t="str">
        <f aca="false">IF($A193="","",INDEX(PERLINE!$I$2:$I$3001,MATCH($A193,PERLINE!$N$2:$N$3001,0)))</f>
        <v/>
      </c>
      <c r="D193" s="17" t="str">
        <f aca="false">IF($A193="","",'كشف المطالبة'!$D$6)</f>
        <v/>
      </c>
      <c r="E193" s="18" t="str">
        <f aca="false">IF($A193="","",SUMIFS(PERLINE!$U$2:$U$3001,PERLINE!$N$2:$N$3001,$A193,PERLINE!$AK$2:$AK$3001,0))</f>
        <v/>
      </c>
      <c r="F193" s="19" t="str">
        <f aca="false">IF($A193="","",E193*D193)</f>
        <v/>
      </c>
      <c r="G193" s="17" t="str">
        <f aca="false">IF($A193="","",'كشف المطالبة'!$D$5)</f>
        <v/>
      </c>
      <c r="H193" s="18" t="str">
        <f aca="false">IF($A193="","",SUMIFS(PERLINE!$U$2:$U$3001,PERLINE!$N$2:$N$3001,$A193,PERLINE!$AK$2:$AK$3001,1))</f>
        <v/>
      </c>
      <c r="I193" s="19" t="str">
        <f aca="false">IF($A193="","",H193*G193)</f>
        <v/>
      </c>
      <c r="J193" s="19" t="str">
        <f aca="false">IF($A193="","",F193+I193)</f>
        <v/>
      </c>
      <c r="K193" s="19" t="str">
        <f aca="false">IF($A193="","",H193+E193)</f>
        <v/>
      </c>
      <c r="L193" s="20" t="str">
        <f aca="false">IF($A193="","",K193-J193-N193)</f>
        <v/>
      </c>
      <c r="M193" s="15" t="str">
        <f aca="false">IF($A193="","",INDEX(PERLINE!$A$2:$A$3001,MATCH($A193,PERLINE!$N$2:$N$3001,0)))</f>
        <v/>
      </c>
      <c r="N193" s="21" t="str">
        <f aca="false">IF($A193="","",SUMIFS(PERLINE!$M$2:$M$3001,PERLINE!$N$2:$N$3001,$A193))</f>
        <v/>
      </c>
    </row>
    <row r="194" customFormat="false" ht="15" hidden="false" customHeight="true" outlineLevel="0" collapsed="false">
      <c r="A194" s="15" t="str">
        <f aca="false">IF(ROWS($A$2:$A194)&lt;=Check!$C$4,SMALL(PERLINE!$AL$2:$AL$3001,ROWS($A$2:$A194)),"")</f>
        <v/>
      </c>
      <c r="B194" s="15" t="str">
        <f aca="false">IF($A194="","",INDEX(PERLINE!$J$2:$J$3001,MATCH($A194,PERLINE!$N$2:$N$3001,0)))</f>
        <v/>
      </c>
      <c r="C194" s="16" t="str">
        <f aca="false">IF($A194="","",INDEX(PERLINE!$I$2:$I$3001,MATCH($A194,PERLINE!$N$2:$N$3001,0)))</f>
        <v/>
      </c>
      <c r="D194" s="17" t="str">
        <f aca="false">IF($A194="","",'كشف المطالبة'!$D$6)</f>
        <v/>
      </c>
      <c r="E194" s="18" t="str">
        <f aca="false">IF($A194="","",SUMIFS(PERLINE!$U$2:$U$3001,PERLINE!$N$2:$N$3001,$A194,PERLINE!$AK$2:$AK$3001,0))</f>
        <v/>
      </c>
      <c r="F194" s="19" t="str">
        <f aca="false">IF($A194="","",E194*D194)</f>
        <v/>
      </c>
      <c r="G194" s="17" t="str">
        <f aca="false">IF($A194="","",'كشف المطالبة'!$D$5)</f>
        <v/>
      </c>
      <c r="H194" s="18" t="str">
        <f aca="false">IF($A194="","",SUMIFS(PERLINE!$U$2:$U$3001,PERLINE!$N$2:$N$3001,$A194,PERLINE!$AK$2:$AK$3001,1))</f>
        <v/>
      </c>
      <c r="I194" s="19" t="str">
        <f aca="false">IF($A194="","",H194*G194)</f>
        <v/>
      </c>
      <c r="J194" s="19" t="str">
        <f aca="false">IF($A194="","",F194+I194)</f>
        <v/>
      </c>
      <c r="K194" s="19" t="str">
        <f aca="false">IF($A194="","",H194+E194)</f>
        <v/>
      </c>
      <c r="L194" s="20" t="str">
        <f aca="false">IF($A194="","",K194-J194-N194)</f>
        <v/>
      </c>
      <c r="M194" s="15" t="str">
        <f aca="false">IF($A194="","",INDEX(PERLINE!$A$2:$A$3001,MATCH($A194,PERLINE!$N$2:$N$3001,0)))</f>
        <v/>
      </c>
      <c r="N194" s="21" t="str">
        <f aca="false">IF($A194="","",SUMIFS(PERLINE!$M$2:$M$3001,PERLINE!$N$2:$N$3001,$A194))</f>
        <v/>
      </c>
    </row>
    <row r="195" customFormat="false" ht="15" hidden="false" customHeight="true" outlineLevel="0" collapsed="false">
      <c r="A195" s="15" t="str">
        <f aca="false">IF(ROWS($A$2:$A195)&lt;=Check!$C$4,SMALL(PERLINE!$AL$2:$AL$3001,ROWS($A$2:$A195)),"")</f>
        <v/>
      </c>
      <c r="B195" s="15" t="str">
        <f aca="false">IF($A195="","",INDEX(PERLINE!$J$2:$J$3001,MATCH($A195,PERLINE!$N$2:$N$3001,0)))</f>
        <v/>
      </c>
      <c r="C195" s="16" t="str">
        <f aca="false">IF($A195="","",INDEX(PERLINE!$I$2:$I$3001,MATCH($A195,PERLINE!$N$2:$N$3001,0)))</f>
        <v/>
      </c>
      <c r="D195" s="17" t="str">
        <f aca="false">IF($A195="","",'كشف المطالبة'!$D$6)</f>
        <v/>
      </c>
      <c r="E195" s="18" t="str">
        <f aca="false">IF($A195="","",SUMIFS(PERLINE!$U$2:$U$3001,PERLINE!$N$2:$N$3001,$A195,PERLINE!$AK$2:$AK$3001,0))</f>
        <v/>
      </c>
      <c r="F195" s="19" t="str">
        <f aca="false">IF($A195="","",E195*D195)</f>
        <v/>
      </c>
      <c r="G195" s="17" t="str">
        <f aca="false">IF($A195="","",'كشف المطالبة'!$D$5)</f>
        <v/>
      </c>
      <c r="H195" s="18" t="str">
        <f aca="false">IF($A195="","",SUMIFS(PERLINE!$U$2:$U$3001,PERLINE!$N$2:$N$3001,$A195,PERLINE!$AK$2:$AK$3001,1))</f>
        <v/>
      </c>
      <c r="I195" s="19" t="str">
        <f aca="false">IF($A195="","",H195*G195)</f>
        <v/>
      </c>
      <c r="J195" s="19" t="str">
        <f aca="false">IF($A195="","",F195+I195)</f>
        <v/>
      </c>
      <c r="K195" s="19" t="str">
        <f aca="false">IF($A195="","",H195+E195)</f>
        <v/>
      </c>
      <c r="L195" s="20" t="str">
        <f aca="false">IF($A195="","",K195-J195-N195)</f>
        <v/>
      </c>
      <c r="M195" s="15" t="str">
        <f aca="false">IF($A195="","",INDEX(PERLINE!$A$2:$A$3001,MATCH($A195,PERLINE!$N$2:$N$3001,0)))</f>
        <v/>
      </c>
      <c r="N195" s="21" t="str">
        <f aca="false">IF($A195="","",SUMIFS(PERLINE!$M$2:$M$3001,PERLINE!$N$2:$N$3001,$A195))</f>
        <v/>
      </c>
    </row>
    <row r="196" customFormat="false" ht="15" hidden="false" customHeight="true" outlineLevel="0" collapsed="false">
      <c r="A196" s="15" t="str">
        <f aca="false">IF(ROWS($A$2:$A196)&lt;=Check!$C$4,SMALL(PERLINE!$AL$2:$AL$3001,ROWS($A$2:$A196)),"")</f>
        <v/>
      </c>
      <c r="B196" s="15" t="str">
        <f aca="false">IF($A196="","",INDEX(PERLINE!$J$2:$J$3001,MATCH($A196,PERLINE!$N$2:$N$3001,0)))</f>
        <v/>
      </c>
      <c r="C196" s="16" t="str">
        <f aca="false">IF($A196="","",INDEX(PERLINE!$I$2:$I$3001,MATCH($A196,PERLINE!$N$2:$N$3001,0)))</f>
        <v/>
      </c>
      <c r="D196" s="17" t="str">
        <f aca="false">IF($A196="","",'كشف المطالبة'!$D$6)</f>
        <v/>
      </c>
      <c r="E196" s="18" t="str">
        <f aca="false">IF($A196="","",SUMIFS(PERLINE!$U$2:$U$3001,PERLINE!$N$2:$N$3001,$A196,PERLINE!$AK$2:$AK$3001,0))</f>
        <v/>
      </c>
      <c r="F196" s="19" t="str">
        <f aca="false">IF($A196="","",E196*D196)</f>
        <v/>
      </c>
      <c r="G196" s="17" t="str">
        <f aca="false">IF($A196="","",'كشف المطالبة'!$D$5)</f>
        <v/>
      </c>
      <c r="H196" s="18" t="str">
        <f aca="false">IF($A196="","",SUMIFS(PERLINE!$U$2:$U$3001,PERLINE!$N$2:$N$3001,$A196,PERLINE!$AK$2:$AK$3001,1))</f>
        <v/>
      </c>
      <c r="I196" s="19" t="str">
        <f aca="false">IF($A196="","",H196*G196)</f>
        <v/>
      </c>
      <c r="J196" s="19" t="str">
        <f aca="false">IF($A196="","",F196+I196)</f>
        <v/>
      </c>
      <c r="K196" s="19" t="str">
        <f aca="false">IF($A196="","",H196+E196)</f>
        <v/>
      </c>
      <c r="L196" s="20" t="str">
        <f aca="false">IF($A196="","",K196-J196-N196)</f>
        <v/>
      </c>
      <c r="M196" s="15" t="str">
        <f aca="false">IF($A196="","",INDEX(PERLINE!$A$2:$A$3001,MATCH($A196,PERLINE!$N$2:$N$3001,0)))</f>
        <v/>
      </c>
      <c r="N196" s="21" t="str">
        <f aca="false">IF($A196="","",SUMIFS(PERLINE!$M$2:$M$3001,PERLINE!$N$2:$N$3001,$A196))</f>
        <v/>
      </c>
    </row>
    <row r="197" customFormat="false" ht="15" hidden="false" customHeight="true" outlineLevel="0" collapsed="false">
      <c r="A197" s="15" t="str">
        <f aca="false">IF(ROWS($A$2:$A197)&lt;=Check!$C$4,SMALL(PERLINE!$AL$2:$AL$3001,ROWS($A$2:$A197)),"")</f>
        <v/>
      </c>
      <c r="B197" s="15" t="str">
        <f aca="false">IF($A197="","",INDEX(PERLINE!$J$2:$J$3001,MATCH($A197,PERLINE!$N$2:$N$3001,0)))</f>
        <v/>
      </c>
      <c r="C197" s="16" t="str">
        <f aca="false">IF($A197="","",INDEX(PERLINE!$I$2:$I$3001,MATCH($A197,PERLINE!$N$2:$N$3001,0)))</f>
        <v/>
      </c>
      <c r="D197" s="17" t="str">
        <f aca="false">IF($A197="","",'كشف المطالبة'!$D$6)</f>
        <v/>
      </c>
      <c r="E197" s="18" t="str">
        <f aca="false">IF($A197="","",SUMIFS(PERLINE!$U$2:$U$3001,PERLINE!$N$2:$N$3001,$A197,PERLINE!$AK$2:$AK$3001,0))</f>
        <v/>
      </c>
      <c r="F197" s="19" t="str">
        <f aca="false">IF($A197="","",E197*D197)</f>
        <v/>
      </c>
      <c r="G197" s="17" t="str">
        <f aca="false">IF($A197="","",'كشف المطالبة'!$D$5)</f>
        <v/>
      </c>
      <c r="H197" s="18" t="str">
        <f aca="false">IF($A197="","",SUMIFS(PERLINE!$U$2:$U$3001,PERLINE!$N$2:$N$3001,$A197,PERLINE!$AK$2:$AK$3001,1))</f>
        <v/>
      </c>
      <c r="I197" s="19" t="str">
        <f aca="false">IF($A197="","",H197*G197)</f>
        <v/>
      </c>
      <c r="J197" s="19" t="str">
        <f aca="false">IF($A197="","",F197+I197)</f>
        <v/>
      </c>
      <c r="K197" s="19" t="str">
        <f aca="false">IF($A197="","",H197+E197)</f>
        <v/>
      </c>
      <c r="L197" s="20" t="str">
        <f aca="false">IF($A197="","",K197-J197-N197)</f>
        <v/>
      </c>
      <c r="M197" s="15" t="str">
        <f aca="false">IF($A197="","",INDEX(PERLINE!$A$2:$A$3001,MATCH($A197,PERLINE!$N$2:$N$3001,0)))</f>
        <v/>
      </c>
      <c r="N197" s="21" t="str">
        <f aca="false">IF($A197="","",SUMIFS(PERLINE!$M$2:$M$3001,PERLINE!$N$2:$N$3001,$A197))</f>
        <v/>
      </c>
    </row>
    <row r="198" customFormat="false" ht="15" hidden="false" customHeight="true" outlineLevel="0" collapsed="false">
      <c r="A198" s="15" t="str">
        <f aca="false">IF(ROWS($A$2:$A198)&lt;=Check!$C$4,SMALL(PERLINE!$AL$2:$AL$3001,ROWS($A$2:$A198)),"")</f>
        <v/>
      </c>
      <c r="B198" s="15" t="str">
        <f aca="false">IF($A198="","",INDEX(PERLINE!$J$2:$J$3001,MATCH($A198,PERLINE!$N$2:$N$3001,0)))</f>
        <v/>
      </c>
      <c r="C198" s="16" t="str">
        <f aca="false">IF($A198="","",INDEX(PERLINE!$I$2:$I$3001,MATCH($A198,PERLINE!$N$2:$N$3001,0)))</f>
        <v/>
      </c>
      <c r="D198" s="17" t="str">
        <f aca="false">IF($A198="","",'كشف المطالبة'!$D$6)</f>
        <v/>
      </c>
      <c r="E198" s="18" t="str">
        <f aca="false">IF($A198="","",SUMIFS(PERLINE!$U$2:$U$3001,PERLINE!$N$2:$N$3001,$A198,PERLINE!$AK$2:$AK$3001,0))</f>
        <v/>
      </c>
      <c r="F198" s="19" t="str">
        <f aca="false">IF($A198="","",E198*D198)</f>
        <v/>
      </c>
      <c r="G198" s="17" t="str">
        <f aca="false">IF($A198="","",'كشف المطالبة'!$D$5)</f>
        <v/>
      </c>
      <c r="H198" s="18" t="str">
        <f aca="false">IF($A198="","",SUMIFS(PERLINE!$U$2:$U$3001,PERLINE!$N$2:$N$3001,$A198,PERLINE!$AK$2:$AK$3001,1))</f>
        <v/>
      </c>
      <c r="I198" s="19" t="str">
        <f aca="false">IF($A198="","",H198*G198)</f>
        <v/>
      </c>
      <c r="J198" s="19" t="str">
        <f aca="false">IF($A198="","",F198+I198)</f>
        <v/>
      </c>
      <c r="K198" s="19" t="str">
        <f aca="false">IF($A198="","",H198+E198)</f>
        <v/>
      </c>
      <c r="L198" s="20" t="str">
        <f aca="false">IF($A198="","",K198-J198-N198)</f>
        <v/>
      </c>
      <c r="M198" s="15" t="str">
        <f aca="false">IF($A198="","",INDEX(PERLINE!$A$2:$A$3001,MATCH($A198,PERLINE!$N$2:$N$3001,0)))</f>
        <v/>
      </c>
      <c r="N198" s="21" t="str">
        <f aca="false">IF($A198="","",SUMIFS(PERLINE!$M$2:$M$3001,PERLINE!$N$2:$N$3001,$A198))</f>
        <v/>
      </c>
    </row>
    <row r="199" customFormat="false" ht="15" hidden="false" customHeight="true" outlineLevel="0" collapsed="false">
      <c r="A199" s="15" t="str">
        <f aca="false">IF(ROWS($A$2:$A199)&lt;=Check!$C$4,SMALL(PERLINE!$AL$2:$AL$3001,ROWS($A$2:$A199)),"")</f>
        <v/>
      </c>
      <c r="B199" s="15" t="str">
        <f aca="false">IF($A199="","",INDEX(PERLINE!$J$2:$J$3001,MATCH($A199,PERLINE!$N$2:$N$3001,0)))</f>
        <v/>
      </c>
      <c r="C199" s="16" t="str">
        <f aca="false">IF($A199="","",INDEX(PERLINE!$I$2:$I$3001,MATCH($A199,PERLINE!$N$2:$N$3001,0)))</f>
        <v/>
      </c>
      <c r="D199" s="17" t="str">
        <f aca="false">IF($A199="","",'كشف المطالبة'!$D$6)</f>
        <v/>
      </c>
      <c r="E199" s="18" t="str">
        <f aca="false">IF($A199="","",SUMIFS(PERLINE!$U$2:$U$3001,PERLINE!$N$2:$N$3001,$A199,PERLINE!$AK$2:$AK$3001,0))</f>
        <v/>
      </c>
      <c r="F199" s="19" t="str">
        <f aca="false">IF($A199="","",E199*D199)</f>
        <v/>
      </c>
      <c r="G199" s="17" t="str">
        <f aca="false">IF($A199="","",'كشف المطالبة'!$D$5)</f>
        <v/>
      </c>
      <c r="H199" s="18" t="str">
        <f aca="false">IF($A199="","",SUMIFS(PERLINE!$U$2:$U$3001,PERLINE!$N$2:$N$3001,$A199,PERLINE!$AK$2:$AK$3001,1))</f>
        <v/>
      </c>
      <c r="I199" s="19" t="str">
        <f aca="false">IF($A199="","",H199*G199)</f>
        <v/>
      </c>
      <c r="J199" s="19" t="str">
        <f aca="false">IF($A199="","",F199+I199)</f>
        <v/>
      </c>
      <c r="K199" s="19" t="str">
        <f aca="false">IF($A199="","",H199+E199)</f>
        <v/>
      </c>
      <c r="L199" s="20" t="str">
        <f aca="false">IF($A199="","",K199-J199-N199)</f>
        <v/>
      </c>
      <c r="M199" s="15" t="str">
        <f aca="false">IF($A199="","",INDEX(PERLINE!$A$2:$A$3001,MATCH($A199,PERLINE!$N$2:$N$3001,0)))</f>
        <v/>
      </c>
      <c r="N199" s="21" t="str">
        <f aca="false">IF($A199="","",SUMIFS(PERLINE!$M$2:$M$3001,PERLINE!$N$2:$N$3001,$A199))</f>
        <v/>
      </c>
    </row>
    <row r="200" customFormat="false" ht="15" hidden="false" customHeight="true" outlineLevel="0" collapsed="false">
      <c r="A200" s="15" t="str">
        <f aca="false">IF(ROWS($A$2:$A200)&lt;=Check!$C$4,SMALL(PERLINE!$AL$2:$AL$3001,ROWS($A$2:$A200)),"")</f>
        <v/>
      </c>
      <c r="B200" s="15" t="str">
        <f aca="false">IF($A200="","",INDEX(PERLINE!$J$2:$J$3001,MATCH($A200,PERLINE!$N$2:$N$3001,0)))</f>
        <v/>
      </c>
      <c r="C200" s="16" t="str">
        <f aca="false">IF($A200="","",INDEX(PERLINE!$I$2:$I$3001,MATCH($A200,PERLINE!$N$2:$N$3001,0)))</f>
        <v/>
      </c>
      <c r="D200" s="17" t="str">
        <f aca="false">IF($A200="","",'كشف المطالبة'!$D$6)</f>
        <v/>
      </c>
      <c r="E200" s="18" t="str">
        <f aca="false">IF($A200="","",SUMIFS(PERLINE!$U$2:$U$3001,PERLINE!$N$2:$N$3001,$A200,PERLINE!$AK$2:$AK$3001,0))</f>
        <v/>
      </c>
      <c r="F200" s="19" t="str">
        <f aca="false">IF($A200="","",E200*D200)</f>
        <v/>
      </c>
      <c r="G200" s="17" t="str">
        <f aca="false">IF($A200="","",'كشف المطالبة'!$D$5)</f>
        <v/>
      </c>
      <c r="H200" s="18" t="str">
        <f aca="false">IF($A200="","",SUMIFS(PERLINE!$U$2:$U$3001,PERLINE!$N$2:$N$3001,$A200,PERLINE!$AK$2:$AK$3001,1))</f>
        <v/>
      </c>
      <c r="I200" s="19" t="str">
        <f aca="false">IF($A200="","",H200*G200)</f>
        <v/>
      </c>
      <c r="J200" s="19" t="str">
        <f aca="false">IF($A200="","",F200+I200)</f>
        <v/>
      </c>
      <c r="K200" s="19" t="str">
        <f aca="false">IF($A200="","",H200+E200)</f>
        <v/>
      </c>
      <c r="L200" s="20" t="str">
        <f aca="false">IF($A200="","",K200-J200-N200)</f>
        <v/>
      </c>
      <c r="M200" s="15" t="str">
        <f aca="false">IF($A200="","",INDEX(PERLINE!$A$2:$A$3001,MATCH($A200,PERLINE!$N$2:$N$3001,0)))</f>
        <v/>
      </c>
      <c r="N200" s="21" t="str">
        <f aca="false">IF($A200="","",SUMIFS(PERLINE!$M$2:$M$3001,PERLINE!$N$2:$N$3001,$A200))</f>
        <v/>
      </c>
    </row>
    <row r="201" customFormat="false" ht="15" hidden="false" customHeight="true" outlineLevel="0" collapsed="false">
      <c r="A201" s="15" t="str">
        <f aca="false">IF(ROWS($A$2:$A201)&lt;=Check!$C$4,SMALL(PERLINE!$AL$2:$AL$3001,ROWS($A$2:$A201)),"")</f>
        <v/>
      </c>
      <c r="B201" s="15" t="str">
        <f aca="false">IF($A201="","",INDEX(PERLINE!$J$2:$J$3001,MATCH($A201,PERLINE!$N$2:$N$3001,0)))</f>
        <v/>
      </c>
      <c r="C201" s="16" t="str">
        <f aca="false">IF($A201="","",INDEX(PERLINE!$I$2:$I$3001,MATCH($A201,PERLINE!$N$2:$N$3001,0)))</f>
        <v/>
      </c>
      <c r="D201" s="17" t="str">
        <f aca="false">IF($A201="","",'كشف المطالبة'!$D$6)</f>
        <v/>
      </c>
      <c r="E201" s="18" t="str">
        <f aca="false">IF($A201="","",SUMIFS(PERLINE!$U$2:$U$3001,PERLINE!$N$2:$N$3001,$A201,PERLINE!$AK$2:$AK$3001,0))</f>
        <v/>
      </c>
      <c r="F201" s="19" t="str">
        <f aca="false">IF($A201="","",E201*D201)</f>
        <v/>
      </c>
      <c r="G201" s="17" t="str">
        <f aca="false">IF($A201="","",'كشف المطالبة'!$D$5)</f>
        <v/>
      </c>
      <c r="H201" s="18" t="str">
        <f aca="false">IF($A201="","",SUMIFS(PERLINE!$U$2:$U$3001,PERLINE!$N$2:$N$3001,$A201,PERLINE!$AK$2:$AK$3001,1))</f>
        <v/>
      </c>
      <c r="I201" s="19" t="str">
        <f aca="false">IF($A201="","",H201*G201)</f>
        <v/>
      </c>
      <c r="J201" s="19" t="str">
        <f aca="false">IF($A201="","",F201+I201)</f>
        <v/>
      </c>
      <c r="K201" s="19" t="str">
        <f aca="false">IF($A201="","",H201+E201)</f>
        <v/>
      </c>
      <c r="L201" s="20" t="str">
        <f aca="false">IF($A201="","",K201-J201-N201)</f>
        <v/>
      </c>
      <c r="M201" s="15" t="str">
        <f aca="false">IF($A201="","",INDEX(PERLINE!$A$2:$A$3001,MATCH($A201,PERLINE!$N$2:$N$3001,0)))</f>
        <v/>
      </c>
      <c r="N201" s="21" t="str">
        <f aca="false">IF($A201="","",SUMIFS(PERLINE!$M$2:$M$3001,PERLINE!$N$2:$N$3001,$A201))</f>
        <v/>
      </c>
    </row>
    <row r="202" customFormat="false" ht="15" hidden="false" customHeight="true" outlineLevel="0" collapsed="false">
      <c r="A202" s="15" t="str">
        <f aca="false">IF(ROWS($A$2:$A202)&lt;=Check!$C$4,SMALL(PERLINE!$AL$2:$AL$3001,ROWS($A$2:$A202)),"")</f>
        <v/>
      </c>
      <c r="B202" s="15" t="str">
        <f aca="false">IF($A202="","",INDEX(PERLINE!$J$2:$J$3001,MATCH($A202,PERLINE!$N$2:$N$3001,0)))</f>
        <v/>
      </c>
      <c r="C202" s="16" t="str">
        <f aca="false">IF($A202="","",INDEX(PERLINE!$I$2:$I$3001,MATCH($A202,PERLINE!$N$2:$N$3001,0)))</f>
        <v/>
      </c>
      <c r="D202" s="17" t="str">
        <f aca="false">IF($A202="","",'كشف المطالبة'!$D$6)</f>
        <v/>
      </c>
      <c r="E202" s="18" t="str">
        <f aca="false">IF($A202="","",SUMIFS(PERLINE!$U$2:$U$3001,PERLINE!$N$2:$N$3001,$A202,PERLINE!$AK$2:$AK$3001,0))</f>
        <v/>
      </c>
      <c r="F202" s="19" t="str">
        <f aca="false">IF($A202="","",E202*D202)</f>
        <v/>
      </c>
      <c r="G202" s="17" t="str">
        <f aca="false">IF($A202="","",'كشف المطالبة'!$D$5)</f>
        <v/>
      </c>
      <c r="H202" s="18" t="str">
        <f aca="false">IF($A202="","",SUMIFS(PERLINE!$U$2:$U$3001,PERLINE!$N$2:$N$3001,$A202,PERLINE!$AK$2:$AK$3001,1))</f>
        <v/>
      </c>
      <c r="I202" s="19" t="str">
        <f aca="false">IF($A202="","",H202*G202)</f>
        <v/>
      </c>
      <c r="J202" s="19" t="str">
        <f aca="false">IF($A202="","",F202+I202)</f>
        <v/>
      </c>
      <c r="K202" s="19" t="str">
        <f aca="false">IF($A202="","",H202+E202)</f>
        <v/>
      </c>
      <c r="L202" s="20" t="str">
        <f aca="false">IF($A202="","",K202-J202-N202)</f>
        <v/>
      </c>
      <c r="M202" s="15" t="str">
        <f aca="false">IF($A202="","",INDEX(PERLINE!$A$2:$A$3001,MATCH($A202,PERLINE!$N$2:$N$3001,0)))</f>
        <v/>
      </c>
      <c r="N202" s="21" t="str">
        <f aca="false">IF($A202="","",SUMIFS(PERLINE!$M$2:$M$3001,PERLINE!$N$2:$N$3001,$A202))</f>
        <v/>
      </c>
    </row>
    <row r="203" customFormat="false" ht="15" hidden="false" customHeight="false" outlineLevel="0" collapsed="false">
      <c r="A203" s="15" t="str">
        <f aca="false">IF(ROWS($A$2:$A203)&lt;=Check!$C$4,SMALL(PERLINE!$AL$2:$AL$3001,ROWS($A$2:$A203)),"")</f>
        <v/>
      </c>
      <c r="B203" s="15" t="str">
        <f aca="false">IF($A203="","",INDEX(PERLINE!$J$2:$J$3001,MATCH($A203,PERLINE!$N$2:$N$3001,0)))</f>
        <v/>
      </c>
      <c r="C203" s="16" t="str">
        <f aca="false">IF($A203="","",INDEX(PERLINE!$I$2:$I$3001,MATCH($A203,PERLINE!$N$2:$N$3001,0)))</f>
        <v/>
      </c>
      <c r="D203" s="17" t="str">
        <f aca="false">IF($A203="","",'كشف المطالبة'!$D$6)</f>
        <v/>
      </c>
      <c r="E203" s="18" t="str">
        <f aca="false">IF($A203="","",SUMIFS(PERLINE!$U$2:$U$3001,PERLINE!$N$2:$N$3001,$A203,PERLINE!$AK$2:$AK$3001,0))</f>
        <v/>
      </c>
      <c r="F203" s="19" t="str">
        <f aca="false">IF($A203="","",E203*D203)</f>
        <v/>
      </c>
      <c r="G203" s="17" t="str">
        <f aca="false">IF($A203="","",'كشف المطالبة'!$D$5)</f>
        <v/>
      </c>
      <c r="H203" s="18" t="str">
        <f aca="false">IF($A203="","",SUMIFS(PERLINE!$U$2:$U$3001,PERLINE!$N$2:$N$3001,$A203,PERLINE!$AK$2:$AK$3001,1))</f>
        <v/>
      </c>
      <c r="I203" s="19" t="str">
        <f aca="false">IF($A203="","",H203*G203)</f>
        <v/>
      </c>
      <c r="J203" s="19" t="str">
        <f aca="false">IF($A203="","",F203+I203)</f>
        <v/>
      </c>
      <c r="K203" s="19" t="str">
        <f aca="false">IF($A203="","",H203+E203)</f>
        <v/>
      </c>
      <c r="L203" s="20" t="str">
        <f aca="false">IF($A203="","",K203-J203-N203)</f>
        <v/>
      </c>
      <c r="M203" s="15" t="str">
        <f aca="false">IF($A203="","",INDEX(PERLINE!$A$2:$A$3001,MATCH($A203,PERLINE!$N$2:$N$3001,0)))</f>
        <v/>
      </c>
      <c r="N203" s="21" t="str">
        <f aca="false">IF($A203="","",SUMIFS(PERLINE!$M$2:$M$3001,PERLINE!$N$2:$N$3001,$A203))</f>
        <v/>
      </c>
    </row>
    <row r="204" customFormat="false" ht="15" hidden="false" customHeight="true" outlineLevel="0" collapsed="false">
      <c r="A204" s="15" t="str">
        <f aca="false">IF(ROWS($A$2:$A204)&lt;=Check!$C$4,SMALL(PERLINE!$AL$2:$AL$3001,ROWS($A$2:$A204)),"")</f>
        <v/>
      </c>
      <c r="B204" s="15" t="str">
        <f aca="false">IF($A204="","",INDEX(PERLINE!$J$2:$J$3001,MATCH($A204,PERLINE!$N$2:$N$3001,0)))</f>
        <v/>
      </c>
      <c r="C204" s="16" t="str">
        <f aca="false">IF($A204="","",INDEX(PERLINE!$I$2:$I$3001,MATCH($A204,PERLINE!$N$2:$N$3001,0)))</f>
        <v/>
      </c>
      <c r="D204" s="17" t="str">
        <f aca="false">IF($A204="","",'كشف المطالبة'!$D$6)</f>
        <v/>
      </c>
      <c r="E204" s="18" t="str">
        <f aca="false">IF($A204="","",SUMIFS(PERLINE!$U$2:$U$3001,PERLINE!$N$2:$N$3001,$A204,PERLINE!$AK$2:$AK$3001,0))</f>
        <v/>
      </c>
      <c r="F204" s="19" t="str">
        <f aca="false">IF($A204="","",E204*D204)</f>
        <v/>
      </c>
      <c r="G204" s="17" t="str">
        <f aca="false">IF($A204="","",'كشف المطالبة'!$D$5)</f>
        <v/>
      </c>
      <c r="H204" s="18" t="str">
        <f aca="false">IF($A204="","",SUMIFS(PERLINE!$U$2:$U$3001,PERLINE!$N$2:$N$3001,$A204,PERLINE!$AK$2:$AK$3001,1))</f>
        <v/>
      </c>
      <c r="I204" s="19" t="str">
        <f aca="false">IF($A204="","",H204*G204)</f>
        <v/>
      </c>
      <c r="J204" s="19" t="str">
        <f aca="false">IF($A204="","",F204+I204)</f>
        <v/>
      </c>
      <c r="K204" s="19" t="str">
        <f aca="false">IF($A204="","",H204+E204)</f>
        <v/>
      </c>
      <c r="L204" s="20" t="str">
        <f aca="false">IF($A204="","",K204-J204-N204)</f>
        <v/>
      </c>
      <c r="M204" s="15" t="str">
        <f aca="false">IF($A204="","",INDEX(PERLINE!$A$2:$A$3001,MATCH($A204,PERLINE!$N$2:$N$3001,0)))</f>
        <v/>
      </c>
      <c r="N204" s="21" t="str">
        <f aca="false">IF($A204="","",SUMIFS(PERLINE!$M$2:$M$3001,PERLINE!$N$2:$N$3001,$A204))</f>
        <v/>
      </c>
    </row>
    <row r="205" customFormat="false" ht="15" hidden="false" customHeight="false" outlineLevel="0" collapsed="false">
      <c r="A205" s="15" t="str">
        <f aca="false">IF(ROWS($A$2:$A205)&lt;=Check!$C$4,SMALL(PERLINE!$AL$2:$AL$3001,ROWS($A$2:$A205)),"")</f>
        <v/>
      </c>
      <c r="B205" s="15" t="str">
        <f aca="false">IF($A205="","",INDEX(PERLINE!$J$2:$J$3001,MATCH($A205,PERLINE!$N$2:$N$3001,0)))</f>
        <v/>
      </c>
      <c r="C205" s="16" t="str">
        <f aca="false">IF($A205="","",INDEX(PERLINE!$I$2:$I$3001,MATCH($A205,PERLINE!$N$2:$N$3001,0)))</f>
        <v/>
      </c>
      <c r="D205" s="17" t="str">
        <f aca="false">IF($A205="","",'كشف المطالبة'!$D$6)</f>
        <v/>
      </c>
      <c r="E205" s="18" t="str">
        <f aca="false">IF($A205="","",SUMIFS(PERLINE!$U$2:$U$3001,PERLINE!$N$2:$N$3001,$A205,PERLINE!$AK$2:$AK$3001,0))</f>
        <v/>
      </c>
      <c r="F205" s="19" t="str">
        <f aca="false">IF($A205="","",E205*D205)</f>
        <v/>
      </c>
      <c r="G205" s="17" t="str">
        <f aca="false">IF($A205="","",'كشف المطالبة'!$D$5)</f>
        <v/>
      </c>
      <c r="H205" s="18" t="str">
        <f aca="false">IF($A205="","",SUMIFS(PERLINE!$U$2:$U$3001,PERLINE!$N$2:$N$3001,$A205,PERLINE!$AK$2:$AK$3001,1))</f>
        <v/>
      </c>
      <c r="I205" s="19" t="str">
        <f aca="false">IF($A205="","",H205*G205)</f>
        <v/>
      </c>
      <c r="J205" s="19" t="str">
        <f aca="false">IF($A205="","",F205+I205)</f>
        <v/>
      </c>
      <c r="K205" s="19" t="str">
        <f aca="false">IF($A205="","",H205+E205)</f>
        <v/>
      </c>
      <c r="L205" s="20" t="str">
        <f aca="false">IF($A205="","",K205-J205-N205)</f>
        <v/>
      </c>
      <c r="M205" s="15" t="str">
        <f aca="false">IF($A205="","",INDEX(PERLINE!$A$2:$A$3001,MATCH($A205,PERLINE!$N$2:$N$3001,0)))</f>
        <v/>
      </c>
      <c r="N205" s="21" t="str">
        <f aca="false">IF($A205="","",SUMIFS(PERLINE!$M$2:$M$3001,PERLINE!$N$2:$N$3001,$A205))</f>
        <v/>
      </c>
    </row>
    <row r="206" customFormat="false" ht="15" hidden="false" customHeight="false" outlineLevel="0" collapsed="false">
      <c r="A206" s="15" t="str">
        <f aca="false">IF(ROWS($A$2:$A206)&lt;=Check!$C$4,SMALL(PERLINE!$AL$2:$AL$3001,ROWS($A$2:$A206)),"")</f>
        <v/>
      </c>
      <c r="B206" s="15" t="str">
        <f aca="false">IF($A206="","",INDEX(PERLINE!$J$2:$J$3001,MATCH($A206,PERLINE!$N$2:$N$3001,0)))</f>
        <v/>
      </c>
      <c r="C206" s="16" t="str">
        <f aca="false">IF($A206="","",INDEX(PERLINE!$I$2:$I$3001,MATCH($A206,PERLINE!$N$2:$N$3001,0)))</f>
        <v/>
      </c>
      <c r="D206" s="17" t="str">
        <f aca="false">IF($A206="","",'كشف المطالبة'!$D$6)</f>
        <v/>
      </c>
      <c r="E206" s="18" t="str">
        <f aca="false">IF($A206="","",SUMIFS(PERLINE!$U$2:$U$3001,PERLINE!$N$2:$N$3001,$A206,PERLINE!$AK$2:$AK$3001,0))</f>
        <v/>
      </c>
      <c r="F206" s="19" t="str">
        <f aca="false">IF($A206="","",E206*D206)</f>
        <v/>
      </c>
      <c r="G206" s="17" t="str">
        <f aca="false">IF($A206="","",'كشف المطالبة'!$D$5)</f>
        <v/>
      </c>
      <c r="H206" s="18" t="str">
        <f aca="false">IF($A206="","",SUMIFS(PERLINE!$U$2:$U$3001,PERLINE!$N$2:$N$3001,$A206,PERLINE!$AK$2:$AK$3001,1))</f>
        <v/>
      </c>
      <c r="I206" s="19" t="str">
        <f aca="false">IF($A206="","",H206*G206)</f>
        <v/>
      </c>
      <c r="J206" s="19" t="str">
        <f aca="false">IF($A206="","",F206+I206)</f>
        <v/>
      </c>
      <c r="K206" s="19" t="str">
        <f aca="false">IF($A206="","",H206+E206)</f>
        <v/>
      </c>
      <c r="L206" s="20" t="str">
        <f aca="false">IF($A206="","",K206-J206-N206)</f>
        <v/>
      </c>
      <c r="M206" s="15" t="str">
        <f aca="false">IF($A206="","",INDEX(PERLINE!$A$2:$A$3001,MATCH($A206,PERLINE!$N$2:$N$3001,0)))</f>
        <v/>
      </c>
      <c r="N206" s="21" t="str">
        <f aca="false">IF($A206="","",SUMIFS(PERLINE!$M$2:$M$3001,PERLINE!$N$2:$N$3001,$A206))</f>
        <v/>
      </c>
    </row>
    <row r="207" customFormat="false" ht="15" hidden="false" customHeight="false" outlineLevel="0" collapsed="false">
      <c r="A207" s="15" t="str">
        <f aca="false">IF(ROWS($A$2:$A207)&lt;=Check!$C$4,SMALL(PERLINE!$AL$2:$AL$3001,ROWS($A$2:$A207)),"")</f>
        <v/>
      </c>
      <c r="B207" s="15" t="str">
        <f aca="false">IF($A207="","",INDEX(PERLINE!$J$2:$J$3001,MATCH($A207,PERLINE!$N$2:$N$3001,0)))</f>
        <v/>
      </c>
      <c r="C207" s="16" t="str">
        <f aca="false">IF($A207="","",INDEX(PERLINE!$I$2:$I$3001,MATCH($A207,PERLINE!$N$2:$N$3001,0)))</f>
        <v/>
      </c>
      <c r="D207" s="17" t="str">
        <f aca="false">IF($A207="","",'كشف المطالبة'!$D$6)</f>
        <v/>
      </c>
      <c r="E207" s="18" t="str">
        <f aca="false">IF($A207="","",SUMIFS(PERLINE!$U$2:$U$3001,PERLINE!$N$2:$N$3001,$A207,PERLINE!$AK$2:$AK$3001,0))</f>
        <v/>
      </c>
      <c r="F207" s="19" t="str">
        <f aca="false">IF($A207="","",E207*D207)</f>
        <v/>
      </c>
      <c r="G207" s="17" t="str">
        <f aca="false">IF($A207="","",'كشف المطالبة'!$D$5)</f>
        <v/>
      </c>
      <c r="H207" s="18" t="str">
        <f aca="false">IF($A207="","",SUMIFS(PERLINE!$U$2:$U$3001,PERLINE!$N$2:$N$3001,$A207,PERLINE!$AK$2:$AK$3001,1))</f>
        <v/>
      </c>
      <c r="I207" s="19" t="str">
        <f aca="false">IF($A207="","",H207*G207)</f>
        <v/>
      </c>
      <c r="J207" s="19" t="str">
        <f aca="false">IF($A207="","",F207+I207)</f>
        <v/>
      </c>
      <c r="K207" s="19" t="str">
        <f aca="false">IF($A207="","",H207+E207)</f>
        <v/>
      </c>
      <c r="L207" s="20" t="str">
        <f aca="false">IF($A207="","",K207-J207-N207)</f>
        <v/>
      </c>
      <c r="M207" s="15" t="str">
        <f aca="false">IF($A207="","",INDEX(PERLINE!$A$2:$A$3001,MATCH($A207,PERLINE!$N$2:$N$3001,0)))</f>
        <v/>
      </c>
      <c r="N207" s="21" t="str">
        <f aca="false">IF($A207="","",SUMIFS(PERLINE!$M$2:$M$3001,PERLINE!$N$2:$N$3001,$A207))</f>
        <v/>
      </c>
    </row>
    <row r="208" customFormat="false" ht="15" hidden="false" customHeight="false" outlineLevel="0" collapsed="false">
      <c r="A208" s="15" t="str">
        <f aca="false">IF(ROWS($A$2:$A208)&lt;=Check!$C$4,SMALL(PERLINE!$AL$2:$AL$3001,ROWS($A$2:$A208)),"")</f>
        <v/>
      </c>
      <c r="B208" s="15" t="str">
        <f aca="false">IF($A208="","",INDEX(PERLINE!$J$2:$J$3001,MATCH($A208,PERLINE!$N$2:$N$3001,0)))</f>
        <v/>
      </c>
      <c r="C208" s="16" t="str">
        <f aca="false">IF($A208="","",INDEX(PERLINE!$I$2:$I$3001,MATCH($A208,PERLINE!$N$2:$N$3001,0)))</f>
        <v/>
      </c>
      <c r="D208" s="17" t="str">
        <f aca="false">IF($A208="","",'كشف المطالبة'!$D$6)</f>
        <v/>
      </c>
      <c r="E208" s="18" t="str">
        <f aca="false">IF($A208="","",SUMIFS(PERLINE!$U$2:$U$3001,PERLINE!$N$2:$N$3001,$A208,PERLINE!$AK$2:$AK$3001,0))</f>
        <v/>
      </c>
      <c r="F208" s="19" t="str">
        <f aca="false">IF($A208="","",E208*D208)</f>
        <v/>
      </c>
      <c r="G208" s="17" t="str">
        <f aca="false">IF($A208="","",'كشف المطالبة'!$D$5)</f>
        <v/>
      </c>
      <c r="H208" s="18" t="str">
        <f aca="false">IF($A208="","",SUMIFS(PERLINE!$U$2:$U$3001,PERLINE!$N$2:$N$3001,$A208,PERLINE!$AK$2:$AK$3001,1))</f>
        <v/>
      </c>
      <c r="I208" s="19" t="str">
        <f aca="false">IF($A208="","",H208*G208)</f>
        <v/>
      </c>
      <c r="J208" s="19" t="str">
        <f aca="false">IF($A208="","",F208+I208)</f>
        <v/>
      </c>
      <c r="K208" s="19" t="str">
        <f aca="false">IF($A208="","",H208+E208)</f>
        <v/>
      </c>
      <c r="L208" s="20" t="str">
        <f aca="false">IF($A208="","",K208-J208-N208)</f>
        <v/>
      </c>
      <c r="M208" s="15" t="str">
        <f aca="false">IF($A208="","",INDEX(PERLINE!$A$2:$A$3001,MATCH($A208,PERLINE!$N$2:$N$3001,0)))</f>
        <v/>
      </c>
      <c r="N208" s="21" t="str">
        <f aca="false">IF($A208="","",SUMIFS(PERLINE!$M$2:$M$3001,PERLINE!$N$2:$N$3001,$A208))</f>
        <v/>
      </c>
    </row>
    <row r="209" customFormat="false" ht="15" hidden="false" customHeight="false" outlineLevel="0" collapsed="false">
      <c r="A209" s="15" t="str">
        <f aca="false">IF(ROWS($A$2:$A209)&lt;=Check!$C$4,SMALL(PERLINE!$AL$2:$AL$3001,ROWS($A$2:$A209)),"")</f>
        <v/>
      </c>
      <c r="B209" s="15" t="str">
        <f aca="false">IF($A209="","",INDEX(PERLINE!$J$2:$J$3001,MATCH($A209,PERLINE!$N$2:$N$3001,0)))</f>
        <v/>
      </c>
      <c r="C209" s="16" t="str">
        <f aca="false">IF($A209="","",INDEX(PERLINE!$I$2:$I$3001,MATCH($A209,PERLINE!$N$2:$N$3001,0)))</f>
        <v/>
      </c>
      <c r="D209" s="17" t="str">
        <f aca="false">IF($A209="","",'كشف المطالبة'!$D$6)</f>
        <v/>
      </c>
      <c r="E209" s="18" t="str">
        <f aca="false">IF($A209="","",SUMIFS(PERLINE!$U$2:$U$3001,PERLINE!$N$2:$N$3001,$A209,PERLINE!$AK$2:$AK$3001,0))</f>
        <v/>
      </c>
      <c r="F209" s="19" t="str">
        <f aca="false">IF($A209="","",E209*D209)</f>
        <v/>
      </c>
      <c r="G209" s="17" t="str">
        <f aca="false">IF($A209="","",'كشف المطالبة'!$D$5)</f>
        <v/>
      </c>
      <c r="H209" s="18" t="str">
        <f aca="false">IF($A209="","",SUMIFS(PERLINE!$U$2:$U$3001,PERLINE!$N$2:$N$3001,$A209,PERLINE!$AK$2:$AK$3001,1))</f>
        <v/>
      </c>
      <c r="I209" s="19" t="str">
        <f aca="false">IF($A209="","",H209*G209)</f>
        <v/>
      </c>
      <c r="J209" s="19" t="str">
        <f aca="false">IF($A209="","",F209+I209)</f>
        <v/>
      </c>
      <c r="K209" s="19" t="str">
        <f aca="false">IF($A209="","",H209+E209)</f>
        <v/>
      </c>
      <c r="L209" s="20" t="str">
        <f aca="false">IF($A209="","",K209-J209-N209)</f>
        <v/>
      </c>
      <c r="M209" s="15" t="str">
        <f aca="false">IF($A209="","",INDEX(PERLINE!$A$2:$A$3001,MATCH($A209,PERLINE!$N$2:$N$3001,0)))</f>
        <v/>
      </c>
      <c r="N209" s="21" t="str">
        <f aca="false">IF($A209="","",SUMIFS(PERLINE!$M$2:$M$3001,PERLINE!$N$2:$N$3001,$A209))</f>
        <v/>
      </c>
    </row>
    <row r="210" customFormat="false" ht="15" hidden="false" customHeight="false" outlineLevel="0" collapsed="false">
      <c r="A210" s="15" t="str">
        <f aca="false">IF(ROWS($A$2:$A210)&lt;=Check!$C$4,SMALL(PERLINE!$AL$2:$AL$3001,ROWS($A$2:$A210)),"")</f>
        <v/>
      </c>
      <c r="B210" s="15" t="str">
        <f aca="false">IF($A210="","",INDEX(PERLINE!$J$2:$J$3001,MATCH($A210,PERLINE!$N$2:$N$3001,0)))</f>
        <v/>
      </c>
      <c r="C210" s="16" t="str">
        <f aca="false">IF($A210="","",INDEX(PERLINE!$I$2:$I$3001,MATCH($A210,PERLINE!$N$2:$N$3001,0)))</f>
        <v/>
      </c>
      <c r="D210" s="17" t="str">
        <f aca="false">IF($A210="","",'كشف المطالبة'!$D$6)</f>
        <v/>
      </c>
      <c r="E210" s="18" t="str">
        <f aca="false">IF($A210="","",SUMIFS(PERLINE!$U$2:$U$3001,PERLINE!$N$2:$N$3001,$A210,PERLINE!$AK$2:$AK$3001,0))</f>
        <v/>
      </c>
      <c r="F210" s="19" t="str">
        <f aca="false">IF($A210="","",E210*D210)</f>
        <v/>
      </c>
      <c r="G210" s="17" t="str">
        <f aca="false">IF($A210="","",'كشف المطالبة'!$D$5)</f>
        <v/>
      </c>
      <c r="H210" s="18" t="str">
        <f aca="false">IF($A210="","",SUMIFS(PERLINE!$U$2:$U$3001,PERLINE!$N$2:$N$3001,$A210,PERLINE!$AK$2:$AK$3001,1))</f>
        <v/>
      </c>
      <c r="I210" s="19" t="str">
        <f aca="false">IF($A210="","",H210*G210)</f>
        <v/>
      </c>
      <c r="J210" s="19" t="str">
        <f aca="false">IF($A210="","",F210+I210)</f>
        <v/>
      </c>
      <c r="K210" s="19" t="str">
        <f aca="false">IF($A210="","",H210+E210)</f>
        <v/>
      </c>
      <c r="L210" s="20" t="str">
        <f aca="false">IF($A210="","",K210-J210-N210)</f>
        <v/>
      </c>
      <c r="M210" s="15" t="str">
        <f aca="false">IF($A210="","",INDEX(PERLINE!$A$2:$A$3001,MATCH($A210,PERLINE!$N$2:$N$3001,0)))</f>
        <v/>
      </c>
      <c r="N210" s="21" t="str">
        <f aca="false">IF($A210="","",SUMIFS(PERLINE!$M$2:$M$3001,PERLINE!$N$2:$N$3001,$A210))</f>
        <v/>
      </c>
    </row>
    <row r="211" customFormat="false" ht="15" hidden="false" customHeight="false" outlineLevel="0" collapsed="false">
      <c r="A211" s="15" t="str">
        <f aca="false">IF(ROWS($A$2:$A211)&lt;=Check!$C$4,SMALL(PERLINE!$AL$2:$AL$3001,ROWS($A$2:$A211)),"")</f>
        <v/>
      </c>
      <c r="B211" s="15" t="str">
        <f aca="false">IF($A211="","",INDEX(PERLINE!$J$2:$J$3001,MATCH($A211,PERLINE!$N$2:$N$3001,0)))</f>
        <v/>
      </c>
      <c r="C211" s="16" t="str">
        <f aca="false">IF($A211="","",INDEX(PERLINE!$I$2:$I$3001,MATCH($A211,PERLINE!$N$2:$N$3001,0)))</f>
        <v/>
      </c>
      <c r="D211" s="17" t="str">
        <f aca="false">IF($A211="","",'كشف المطالبة'!$D$6)</f>
        <v/>
      </c>
      <c r="E211" s="18" t="str">
        <f aca="false">IF($A211="","",SUMIFS(PERLINE!$U$2:$U$3001,PERLINE!$N$2:$N$3001,$A211,PERLINE!$AK$2:$AK$3001,0))</f>
        <v/>
      </c>
      <c r="F211" s="19" t="str">
        <f aca="false">IF($A211="","",E211*D211)</f>
        <v/>
      </c>
      <c r="G211" s="17" t="str">
        <f aca="false">IF($A211="","",'كشف المطالبة'!$D$5)</f>
        <v/>
      </c>
      <c r="H211" s="18" t="str">
        <f aca="false">IF($A211="","",SUMIFS(PERLINE!$U$2:$U$3001,PERLINE!$N$2:$N$3001,$A211,PERLINE!$AK$2:$AK$3001,1))</f>
        <v/>
      </c>
      <c r="I211" s="19" t="str">
        <f aca="false">IF($A211="","",H211*G211)</f>
        <v/>
      </c>
      <c r="J211" s="19" t="str">
        <f aca="false">IF($A211="","",F211+I211)</f>
        <v/>
      </c>
      <c r="K211" s="19" t="str">
        <f aca="false">IF($A211="","",H211+E211)</f>
        <v/>
      </c>
      <c r="L211" s="20" t="str">
        <f aca="false">IF($A211="","",K211-J211-N211)</f>
        <v/>
      </c>
      <c r="M211" s="15" t="str">
        <f aca="false">IF($A211="","",INDEX(PERLINE!$A$2:$A$3001,MATCH($A211,PERLINE!$N$2:$N$3001,0)))</f>
        <v/>
      </c>
      <c r="N211" s="21" t="str">
        <f aca="false">IF($A211="","",SUMIFS(PERLINE!$M$2:$M$3001,PERLINE!$N$2:$N$3001,$A211))</f>
        <v/>
      </c>
    </row>
    <row r="212" customFormat="false" ht="15" hidden="false" customHeight="false" outlineLevel="0" collapsed="false">
      <c r="A212" s="15" t="str">
        <f aca="false">IF(ROWS($A$2:$A212)&lt;=Check!$C$4,SMALL(PERLINE!$AL$2:$AL$3001,ROWS($A$2:$A212)),"")</f>
        <v/>
      </c>
      <c r="B212" s="15" t="str">
        <f aca="false">IF($A212="","",INDEX(PERLINE!$J$2:$J$3001,MATCH($A212,PERLINE!$N$2:$N$3001,0)))</f>
        <v/>
      </c>
      <c r="C212" s="16" t="str">
        <f aca="false">IF($A212="","",INDEX(PERLINE!$I$2:$I$3001,MATCH($A212,PERLINE!$N$2:$N$3001,0)))</f>
        <v/>
      </c>
      <c r="D212" s="17" t="str">
        <f aca="false">IF($A212="","",'كشف المطالبة'!$D$6)</f>
        <v/>
      </c>
      <c r="E212" s="18" t="str">
        <f aca="false">IF($A212="","",SUMIFS(PERLINE!$U$2:$U$3001,PERLINE!$N$2:$N$3001,$A212,PERLINE!$AK$2:$AK$3001,0))</f>
        <v/>
      </c>
      <c r="F212" s="19" t="str">
        <f aca="false">IF($A212="","",E212*D212)</f>
        <v/>
      </c>
      <c r="G212" s="17" t="str">
        <f aca="false">IF($A212="","",'كشف المطالبة'!$D$5)</f>
        <v/>
      </c>
      <c r="H212" s="18" t="str">
        <f aca="false">IF($A212="","",SUMIFS(PERLINE!$U$2:$U$3001,PERLINE!$N$2:$N$3001,$A212,PERLINE!$AK$2:$AK$3001,1))</f>
        <v/>
      </c>
      <c r="I212" s="19" t="str">
        <f aca="false">IF($A212="","",H212*G212)</f>
        <v/>
      </c>
      <c r="J212" s="19" t="str">
        <f aca="false">IF($A212="","",F212+I212)</f>
        <v/>
      </c>
      <c r="K212" s="19" t="str">
        <f aca="false">IF($A212="","",H212+E212)</f>
        <v/>
      </c>
      <c r="L212" s="20" t="str">
        <f aca="false">IF($A212="","",K212-J212-N212)</f>
        <v/>
      </c>
      <c r="M212" s="15" t="str">
        <f aca="false">IF($A212="","",INDEX(PERLINE!$A$2:$A$3001,MATCH($A212,PERLINE!$N$2:$N$3001,0)))</f>
        <v/>
      </c>
      <c r="N212" s="21" t="str">
        <f aca="false">IF($A212="","",SUMIFS(PERLINE!$M$2:$M$3001,PERLINE!$N$2:$N$3001,$A212))</f>
        <v/>
      </c>
    </row>
    <row r="213" customFormat="false" ht="15" hidden="false" customHeight="false" outlineLevel="0" collapsed="false">
      <c r="A213" s="15" t="str">
        <f aca="false">IF(ROWS($A$2:$A213)&lt;=Check!$C$4,SMALL(PERLINE!$AL$2:$AL$3001,ROWS($A$2:$A213)),"")</f>
        <v/>
      </c>
      <c r="B213" s="15" t="str">
        <f aca="false">IF($A213="","",INDEX(PERLINE!$J$2:$J$3001,MATCH($A213,PERLINE!$N$2:$N$3001,0)))</f>
        <v/>
      </c>
      <c r="C213" s="16" t="str">
        <f aca="false">IF($A213="","",INDEX(PERLINE!$I$2:$I$3001,MATCH($A213,PERLINE!$N$2:$N$3001,0)))</f>
        <v/>
      </c>
      <c r="D213" s="17" t="str">
        <f aca="false">IF($A213="","",'كشف المطالبة'!$D$6)</f>
        <v/>
      </c>
      <c r="E213" s="18" t="str">
        <f aca="false">IF($A213="","",SUMIFS(PERLINE!$U$2:$U$3001,PERLINE!$N$2:$N$3001,$A213,PERLINE!$AK$2:$AK$3001,0))</f>
        <v/>
      </c>
      <c r="F213" s="19" t="str">
        <f aca="false">IF($A213="","",E213*D213)</f>
        <v/>
      </c>
      <c r="G213" s="17" t="str">
        <f aca="false">IF($A213="","",'كشف المطالبة'!$D$5)</f>
        <v/>
      </c>
      <c r="H213" s="18" t="str">
        <f aca="false">IF($A213="","",SUMIFS(PERLINE!$U$2:$U$3001,PERLINE!$N$2:$N$3001,$A213,PERLINE!$AK$2:$AK$3001,1))</f>
        <v/>
      </c>
      <c r="I213" s="19" t="str">
        <f aca="false">IF($A213="","",H213*G213)</f>
        <v/>
      </c>
      <c r="J213" s="19" t="str">
        <f aca="false">IF($A213="","",F213+I213)</f>
        <v/>
      </c>
      <c r="K213" s="19" t="str">
        <f aca="false">IF($A213="","",H213+E213)</f>
        <v/>
      </c>
      <c r="L213" s="20" t="str">
        <f aca="false">IF($A213="","",K213-J213-N213)</f>
        <v/>
      </c>
      <c r="M213" s="15" t="str">
        <f aca="false">IF($A213="","",INDEX(PERLINE!$A$2:$A$3001,MATCH($A213,PERLINE!$N$2:$N$3001,0)))</f>
        <v/>
      </c>
      <c r="N213" s="21" t="str">
        <f aca="false">IF($A213="","",SUMIFS(PERLINE!$M$2:$M$3001,PERLINE!$N$2:$N$3001,$A213))</f>
        <v/>
      </c>
    </row>
    <row r="214" customFormat="false" ht="15" hidden="false" customHeight="false" outlineLevel="0" collapsed="false">
      <c r="A214" s="15" t="str">
        <f aca="false">IF(ROWS($A$2:$A214)&lt;=Check!$C$4,SMALL(PERLINE!$AL$2:$AL$3001,ROWS($A$2:$A214)),"")</f>
        <v/>
      </c>
      <c r="B214" s="15" t="str">
        <f aca="false">IF($A214="","",INDEX(PERLINE!$J$2:$J$3001,MATCH($A214,PERLINE!$N$2:$N$3001,0)))</f>
        <v/>
      </c>
      <c r="C214" s="16" t="str">
        <f aca="false">IF($A214="","",INDEX(PERLINE!$I$2:$I$3001,MATCH($A214,PERLINE!$N$2:$N$3001,0)))</f>
        <v/>
      </c>
      <c r="D214" s="17" t="str">
        <f aca="false">IF($A214="","",'كشف المطالبة'!$D$6)</f>
        <v/>
      </c>
      <c r="E214" s="18" t="str">
        <f aca="false">IF($A214="","",SUMIFS(PERLINE!$U$2:$U$3001,PERLINE!$N$2:$N$3001,$A214,PERLINE!$AK$2:$AK$3001,0))</f>
        <v/>
      </c>
      <c r="F214" s="19" t="str">
        <f aca="false">IF($A214="","",E214*D214)</f>
        <v/>
      </c>
      <c r="G214" s="17" t="str">
        <f aca="false">IF($A214="","",'كشف المطالبة'!$D$5)</f>
        <v/>
      </c>
      <c r="H214" s="18" t="str">
        <f aca="false">IF($A214="","",SUMIFS(PERLINE!$U$2:$U$3001,PERLINE!$N$2:$N$3001,$A214,PERLINE!$AK$2:$AK$3001,1))</f>
        <v/>
      </c>
      <c r="I214" s="19" t="str">
        <f aca="false">IF($A214="","",H214*G214)</f>
        <v/>
      </c>
      <c r="J214" s="19" t="str">
        <f aca="false">IF($A214="","",F214+I214)</f>
        <v/>
      </c>
      <c r="K214" s="19" t="str">
        <f aca="false">IF($A214="","",H214+E214)</f>
        <v/>
      </c>
      <c r="L214" s="20" t="str">
        <f aca="false">IF($A214="","",K214-J214-N214)</f>
        <v/>
      </c>
      <c r="M214" s="15" t="str">
        <f aca="false">IF($A214="","",INDEX(PERLINE!$A$2:$A$3001,MATCH($A214,PERLINE!$N$2:$N$3001,0)))</f>
        <v/>
      </c>
      <c r="N214" s="21" t="str">
        <f aca="false">IF($A214="","",SUMIFS(PERLINE!$M$2:$M$3001,PERLINE!$N$2:$N$3001,$A214))</f>
        <v/>
      </c>
    </row>
    <row r="215" customFormat="false" ht="15" hidden="false" customHeight="false" outlineLevel="0" collapsed="false">
      <c r="A215" s="15" t="str">
        <f aca="false">IF(ROWS($A$2:$A215)&lt;=Check!$C$4,SMALL(PERLINE!$AL$2:$AL$3001,ROWS($A$2:$A215)),"")</f>
        <v/>
      </c>
      <c r="B215" s="15" t="str">
        <f aca="false">IF($A215="","",INDEX(PERLINE!$J$2:$J$3001,MATCH($A215,PERLINE!$N$2:$N$3001,0)))</f>
        <v/>
      </c>
      <c r="C215" s="16" t="str">
        <f aca="false">IF($A215="","",INDEX(PERLINE!$I$2:$I$3001,MATCH($A215,PERLINE!$N$2:$N$3001,0)))</f>
        <v/>
      </c>
      <c r="D215" s="17" t="str">
        <f aca="false">IF($A215="","",'كشف المطالبة'!$D$6)</f>
        <v/>
      </c>
      <c r="E215" s="18" t="str">
        <f aca="false">IF($A215="","",SUMIFS(PERLINE!$U$2:$U$3001,PERLINE!$N$2:$N$3001,$A215,PERLINE!$AK$2:$AK$3001,0))</f>
        <v/>
      </c>
      <c r="F215" s="19" t="str">
        <f aca="false">IF($A215="","",E215*D215)</f>
        <v/>
      </c>
      <c r="G215" s="17" t="str">
        <f aca="false">IF($A215="","",'كشف المطالبة'!$D$5)</f>
        <v/>
      </c>
      <c r="H215" s="18" t="str">
        <f aca="false">IF($A215="","",SUMIFS(PERLINE!$U$2:$U$3001,PERLINE!$N$2:$N$3001,$A215,PERLINE!$AK$2:$AK$3001,1))</f>
        <v/>
      </c>
      <c r="I215" s="19" t="str">
        <f aca="false">IF($A215="","",H215*G215)</f>
        <v/>
      </c>
      <c r="J215" s="19" t="str">
        <f aca="false">IF($A215="","",F215+I215)</f>
        <v/>
      </c>
      <c r="K215" s="19" t="str">
        <f aca="false">IF($A215="","",H215+E215)</f>
        <v/>
      </c>
      <c r="L215" s="20" t="str">
        <f aca="false">IF($A215="","",K215-J215-N215)</f>
        <v/>
      </c>
      <c r="M215" s="15" t="str">
        <f aca="false">IF($A215="","",INDEX(PERLINE!$A$2:$A$3001,MATCH($A215,PERLINE!$N$2:$N$3001,0)))</f>
        <v/>
      </c>
      <c r="N215" s="21" t="str">
        <f aca="false">IF($A215="","",SUMIFS(PERLINE!$M$2:$M$3001,PERLINE!$N$2:$N$3001,$A215))</f>
        <v/>
      </c>
    </row>
    <row r="216" customFormat="false" ht="15" hidden="false" customHeight="false" outlineLevel="0" collapsed="false">
      <c r="A216" s="15" t="str">
        <f aca="false">IF(ROWS($A$2:$A216)&lt;=Check!$C$4,SMALL(PERLINE!$AL$2:$AL$3001,ROWS($A$2:$A216)),"")</f>
        <v/>
      </c>
      <c r="B216" s="15" t="str">
        <f aca="false">IF($A216="","",INDEX(PERLINE!$J$2:$J$3001,MATCH($A216,PERLINE!$N$2:$N$3001,0)))</f>
        <v/>
      </c>
      <c r="C216" s="16" t="str">
        <f aca="false">IF($A216="","",INDEX(PERLINE!$I$2:$I$3001,MATCH($A216,PERLINE!$N$2:$N$3001,0)))</f>
        <v/>
      </c>
      <c r="D216" s="17" t="str">
        <f aca="false">IF($A216="","",'كشف المطالبة'!$D$6)</f>
        <v/>
      </c>
      <c r="E216" s="18" t="str">
        <f aca="false">IF($A216="","",SUMIFS(PERLINE!$U$2:$U$3001,PERLINE!$N$2:$N$3001,$A216,PERLINE!$AK$2:$AK$3001,0))</f>
        <v/>
      </c>
      <c r="F216" s="19" t="str">
        <f aca="false">IF($A216="","",E216*D216)</f>
        <v/>
      </c>
      <c r="G216" s="17" t="str">
        <f aca="false">IF($A216="","",'كشف المطالبة'!$D$5)</f>
        <v/>
      </c>
      <c r="H216" s="18" t="str">
        <f aca="false">IF($A216="","",SUMIFS(PERLINE!$U$2:$U$3001,PERLINE!$N$2:$N$3001,$A216,PERLINE!$AK$2:$AK$3001,1))</f>
        <v/>
      </c>
      <c r="I216" s="19" t="str">
        <f aca="false">IF($A216="","",H216*G216)</f>
        <v/>
      </c>
      <c r="J216" s="19" t="str">
        <f aca="false">IF($A216="","",F216+I216)</f>
        <v/>
      </c>
      <c r="K216" s="19" t="str">
        <f aca="false">IF($A216="","",H216+E216)</f>
        <v/>
      </c>
      <c r="L216" s="20" t="str">
        <f aca="false">IF($A216="","",K216-J216-N216)</f>
        <v/>
      </c>
      <c r="M216" s="15" t="str">
        <f aca="false">IF($A216="","",INDEX(PERLINE!$A$2:$A$3001,MATCH($A216,PERLINE!$N$2:$N$3001,0)))</f>
        <v/>
      </c>
      <c r="N216" s="21" t="str">
        <f aca="false">IF($A216="","",SUMIFS(PERLINE!$M$2:$M$3001,PERLINE!$N$2:$N$3001,$A216))</f>
        <v/>
      </c>
    </row>
    <row r="217" customFormat="false" ht="15" hidden="false" customHeight="false" outlineLevel="0" collapsed="false">
      <c r="A217" s="15" t="str">
        <f aca="false">IF(ROWS($A$2:$A217)&lt;=Check!$C$4,SMALL(PERLINE!$AL$2:$AL$3001,ROWS($A$2:$A217)),"")</f>
        <v/>
      </c>
      <c r="B217" s="15" t="str">
        <f aca="false">IF($A217="","",INDEX(PERLINE!$J$2:$J$3001,MATCH($A217,PERLINE!$N$2:$N$3001,0)))</f>
        <v/>
      </c>
      <c r="C217" s="16" t="str">
        <f aca="false">IF($A217="","",INDEX(PERLINE!$I$2:$I$3001,MATCH($A217,PERLINE!$N$2:$N$3001,0)))</f>
        <v/>
      </c>
      <c r="D217" s="17" t="str">
        <f aca="false">IF($A217="","",'كشف المطالبة'!$D$6)</f>
        <v/>
      </c>
      <c r="E217" s="18" t="str">
        <f aca="false">IF($A217="","",SUMIFS(PERLINE!$U$2:$U$3001,PERLINE!$N$2:$N$3001,$A217,PERLINE!$AK$2:$AK$3001,0))</f>
        <v/>
      </c>
      <c r="F217" s="19" t="str">
        <f aca="false">IF($A217="","",E217*D217)</f>
        <v/>
      </c>
      <c r="G217" s="17" t="str">
        <f aca="false">IF($A217="","",'كشف المطالبة'!$D$5)</f>
        <v/>
      </c>
      <c r="H217" s="18" t="str">
        <f aca="false">IF($A217="","",SUMIFS(PERLINE!$U$2:$U$3001,PERLINE!$N$2:$N$3001,$A217,PERLINE!$AK$2:$AK$3001,1))</f>
        <v/>
      </c>
      <c r="I217" s="19" t="str">
        <f aca="false">IF($A217="","",H217*G217)</f>
        <v/>
      </c>
      <c r="J217" s="19" t="str">
        <f aca="false">IF($A217="","",F217+I217)</f>
        <v/>
      </c>
      <c r="K217" s="19" t="str">
        <f aca="false">IF($A217="","",H217+E217)</f>
        <v/>
      </c>
      <c r="L217" s="20" t="str">
        <f aca="false">IF($A217="","",K217-J217-N217)</f>
        <v/>
      </c>
      <c r="M217" s="15" t="str">
        <f aca="false">IF($A217="","",INDEX(PERLINE!$A$2:$A$3001,MATCH($A217,PERLINE!$N$2:$N$3001,0)))</f>
        <v/>
      </c>
      <c r="N217" s="21" t="str">
        <f aca="false">IF($A217="","",SUMIFS(PERLINE!$M$2:$M$3001,PERLINE!$N$2:$N$3001,$A217))</f>
        <v/>
      </c>
    </row>
    <row r="218" customFormat="false" ht="15" hidden="false" customHeight="false" outlineLevel="0" collapsed="false">
      <c r="A218" s="15" t="str">
        <f aca="false">IF(ROWS($A$2:$A218)&lt;=Check!$C$4,SMALL(PERLINE!$AL$2:$AL$3001,ROWS($A$2:$A218)),"")</f>
        <v/>
      </c>
      <c r="B218" s="15" t="str">
        <f aca="false">IF($A218="","",INDEX(PERLINE!$J$2:$J$3001,MATCH($A218,PERLINE!$N$2:$N$3001,0)))</f>
        <v/>
      </c>
      <c r="C218" s="16" t="str">
        <f aca="false">IF($A218="","",INDEX(PERLINE!$I$2:$I$3001,MATCH($A218,PERLINE!$N$2:$N$3001,0)))</f>
        <v/>
      </c>
      <c r="D218" s="17" t="str">
        <f aca="false">IF($A218="","",'كشف المطالبة'!$D$6)</f>
        <v/>
      </c>
      <c r="E218" s="18" t="str">
        <f aca="false">IF($A218="","",SUMIFS(PERLINE!$U$2:$U$3001,PERLINE!$N$2:$N$3001,$A218,PERLINE!$AK$2:$AK$3001,0))</f>
        <v/>
      </c>
      <c r="F218" s="19" t="str">
        <f aca="false">IF($A218="","",E218*D218)</f>
        <v/>
      </c>
      <c r="G218" s="17" t="str">
        <f aca="false">IF($A218="","",'كشف المطالبة'!$D$5)</f>
        <v/>
      </c>
      <c r="H218" s="18" t="str">
        <f aca="false">IF($A218="","",SUMIFS(PERLINE!$U$2:$U$3001,PERLINE!$N$2:$N$3001,$A218,PERLINE!$AK$2:$AK$3001,1))</f>
        <v/>
      </c>
      <c r="I218" s="19" t="str">
        <f aca="false">IF($A218="","",H218*G218)</f>
        <v/>
      </c>
      <c r="J218" s="19" t="str">
        <f aca="false">IF($A218="","",F218+I218)</f>
        <v/>
      </c>
      <c r="K218" s="19" t="str">
        <f aca="false">IF($A218="","",H218+E218)</f>
        <v/>
      </c>
      <c r="L218" s="20" t="str">
        <f aca="false">IF($A218="","",K218-J218-N218)</f>
        <v/>
      </c>
      <c r="M218" s="15" t="str">
        <f aca="false">IF($A218="","",INDEX(PERLINE!$A$2:$A$3001,MATCH($A218,PERLINE!$N$2:$N$3001,0)))</f>
        <v/>
      </c>
      <c r="N218" s="21" t="str">
        <f aca="false">IF($A218="","",SUMIFS(PERLINE!$M$2:$M$3001,PERLINE!$N$2:$N$3001,$A218))</f>
        <v/>
      </c>
    </row>
    <row r="219" customFormat="false" ht="15" hidden="false" customHeight="false" outlineLevel="0" collapsed="false">
      <c r="A219" s="15" t="str">
        <f aca="false">IF(ROWS($A$2:$A219)&lt;=Check!$C$4,SMALL(PERLINE!$AL$2:$AL$3001,ROWS($A$2:$A219)),"")</f>
        <v/>
      </c>
      <c r="B219" s="15" t="str">
        <f aca="false">IF($A219="","",INDEX(PERLINE!$J$2:$J$3001,MATCH($A219,PERLINE!$N$2:$N$3001,0)))</f>
        <v/>
      </c>
      <c r="C219" s="16" t="str">
        <f aca="false">IF($A219="","",INDEX(PERLINE!$I$2:$I$3001,MATCH($A219,PERLINE!$N$2:$N$3001,0)))</f>
        <v/>
      </c>
      <c r="D219" s="17" t="str">
        <f aca="false">IF($A219="","",'كشف المطالبة'!$D$6)</f>
        <v/>
      </c>
      <c r="E219" s="18" t="str">
        <f aca="false">IF($A219="","",SUMIFS(PERLINE!$U$2:$U$3001,PERLINE!$N$2:$N$3001,$A219,PERLINE!$AK$2:$AK$3001,0))</f>
        <v/>
      </c>
      <c r="F219" s="19" t="str">
        <f aca="false">IF($A219="","",E219*D219)</f>
        <v/>
      </c>
      <c r="G219" s="17" t="str">
        <f aca="false">IF($A219="","",'كشف المطالبة'!$D$5)</f>
        <v/>
      </c>
      <c r="H219" s="18" t="str">
        <f aca="false">IF($A219="","",SUMIFS(PERLINE!$U$2:$U$3001,PERLINE!$N$2:$N$3001,$A219,PERLINE!$AK$2:$AK$3001,1))</f>
        <v/>
      </c>
      <c r="I219" s="19" t="str">
        <f aca="false">IF($A219="","",H219*G219)</f>
        <v/>
      </c>
      <c r="J219" s="19" t="str">
        <f aca="false">IF($A219="","",F219+I219)</f>
        <v/>
      </c>
      <c r="K219" s="19" t="str">
        <f aca="false">IF($A219="","",H219+E219)</f>
        <v/>
      </c>
      <c r="L219" s="20" t="str">
        <f aca="false">IF($A219="","",K219-J219-N219)</f>
        <v/>
      </c>
      <c r="M219" s="15" t="str">
        <f aca="false">IF($A219="","",INDEX(PERLINE!$A$2:$A$3001,MATCH($A219,PERLINE!$N$2:$N$3001,0)))</f>
        <v/>
      </c>
      <c r="N219" s="21" t="str">
        <f aca="false">IF($A219="","",SUMIFS(PERLINE!$M$2:$M$3001,PERLINE!$N$2:$N$3001,$A219))</f>
        <v/>
      </c>
    </row>
    <row r="220" customFormat="false" ht="15" hidden="false" customHeight="false" outlineLevel="0" collapsed="false">
      <c r="A220" s="15" t="str">
        <f aca="false">IF(ROWS($A$2:$A220)&lt;=Check!$C$4,SMALL(PERLINE!$AL$2:$AL$3001,ROWS($A$2:$A220)),"")</f>
        <v/>
      </c>
      <c r="B220" s="15" t="str">
        <f aca="false">IF($A220="","",INDEX(PERLINE!$J$2:$J$3001,MATCH($A220,PERLINE!$N$2:$N$3001,0)))</f>
        <v/>
      </c>
      <c r="C220" s="16" t="str">
        <f aca="false">IF($A220="","",INDEX(PERLINE!$I$2:$I$3001,MATCH($A220,PERLINE!$N$2:$N$3001,0)))</f>
        <v/>
      </c>
      <c r="D220" s="17" t="str">
        <f aca="false">IF($A220="","",'كشف المطالبة'!$D$6)</f>
        <v/>
      </c>
      <c r="E220" s="18" t="str">
        <f aca="false">IF($A220="","",SUMIFS(PERLINE!$U$2:$U$3001,PERLINE!$N$2:$N$3001,$A220,PERLINE!$AK$2:$AK$3001,0))</f>
        <v/>
      </c>
      <c r="F220" s="19" t="str">
        <f aca="false">IF($A220="","",E220*D220)</f>
        <v/>
      </c>
      <c r="G220" s="17" t="str">
        <f aca="false">IF($A220="","",'كشف المطالبة'!$D$5)</f>
        <v/>
      </c>
      <c r="H220" s="18" t="str">
        <f aca="false">IF($A220="","",SUMIFS(PERLINE!$U$2:$U$3001,PERLINE!$N$2:$N$3001,$A220,PERLINE!$AK$2:$AK$3001,1))</f>
        <v/>
      </c>
      <c r="I220" s="19" t="str">
        <f aca="false">IF($A220="","",H220*G220)</f>
        <v/>
      </c>
      <c r="J220" s="19" t="str">
        <f aca="false">IF($A220="","",F220+I220)</f>
        <v/>
      </c>
      <c r="K220" s="19" t="str">
        <f aca="false">IF($A220="","",H220+E220)</f>
        <v/>
      </c>
      <c r="L220" s="20" t="str">
        <f aca="false">IF($A220="","",K220-J220-N220)</f>
        <v/>
      </c>
      <c r="M220" s="15" t="str">
        <f aca="false">IF($A220="","",INDEX(PERLINE!$A$2:$A$3001,MATCH($A220,PERLINE!$N$2:$N$3001,0)))</f>
        <v/>
      </c>
      <c r="N220" s="21" t="str">
        <f aca="false">IF($A220="","",SUMIFS(PERLINE!$M$2:$M$3001,PERLINE!$N$2:$N$3001,$A220))</f>
        <v/>
      </c>
    </row>
    <row r="221" customFormat="false" ht="15" hidden="false" customHeight="false" outlineLevel="0" collapsed="false">
      <c r="A221" s="15" t="str">
        <f aca="false">IF(ROWS($A$2:$A221)&lt;=Check!$C$4,SMALL(PERLINE!$AL$2:$AL$3001,ROWS($A$2:$A221)),"")</f>
        <v/>
      </c>
      <c r="B221" s="15" t="str">
        <f aca="false">IF($A221="","",INDEX(PERLINE!$J$2:$J$3001,MATCH($A221,PERLINE!$N$2:$N$3001,0)))</f>
        <v/>
      </c>
      <c r="C221" s="16" t="str">
        <f aca="false">IF($A221="","",INDEX(PERLINE!$I$2:$I$3001,MATCH($A221,PERLINE!$N$2:$N$3001,0)))</f>
        <v/>
      </c>
      <c r="D221" s="17" t="str">
        <f aca="false">IF($A221="","",'كشف المطالبة'!$D$6)</f>
        <v/>
      </c>
      <c r="E221" s="18" t="str">
        <f aca="false">IF($A221="","",SUMIFS(PERLINE!$U$2:$U$3001,PERLINE!$N$2:$N$3001,$A221,PERLINE!$AK$2:$AK$3001,0))</f>
        <v/>
      </c>
      <c r="F221" s="19" t="str">
        <f aca="false">IF($A221="","",E221*D221)</f>
        <v/>
      </c>
      <c r="G221" s="17" t="str">
        <f aca="false">IF($A221="","",'كشف المطالبة'!$D$5)</f>
        <v/>
      </c>
      <c r="H221" s="18" t="str">
        <f aca="false">IF($A221="","",SUMIFS(PERLINE!$U$2:$U$3001,PERLINE!$N$2:$N$3001,$A221,PERLINE!$AK$2:$AK$3001,1))</f>
        <v/>
      </c>
      <c r="I221" s="19" t="str">
        <f aca="false">IF($A221="","",H221*G221)</f>
        <v/>
      </c>
      <c r="J221" s="19" t="str">
        <f aca="false">IF($A221="","",F221+I221)</f>
        <v/>
      </c>
      <c r="K221" s="19" t="str">
        <f aca="false">IF($A221="","",H221+E221)</f>
        <v/>
      </c>
      <c r="L221" s="20" t="str">
        <f aca="false">IF($A221="","",K221-J221-N221)</f>
        <v/>
      </c>
      <c r="M221" s="15" t="str">
        <f aca="false">IF($A221="","",INDEX(PERLINE!$A$2:$A$3001,MATCH($A221,PERLINE!$N$2:$N$3001,0)))</f>
        <v/>
      </c>
      <c r="N221" s="21" t="str">
        <f aca="false">IF($A221="","",SUMIFS(PERLINE!$M$2:$M$3001,PERLINE!$N$2:$N$3001,$A221))</f>
        <v/>
      </c>
    </row>
    <row r="222" customFormat="false" ht="15" hidden="false" customHeight="false" outlineLevel="0" collapsed="false">
      <c r="A222" s="15" t="str">
        <f aca="false">IF(ROWS($A$2:$A222)&lt;=Check!$C$4,SMALL(PERLINE!$AL$2:$AL$3001,ROWS($A$2:$A222)),"")</f>
        <v/>
      </c>
      <c r="B222" s="15" t="str">
        <f aca="false">IF($A222="","",INDEX(PERLINE!$J$2:$J$3001,MATCH($A222,PERLINE!$N$2:$N$3001,0)))</f>
        <v/>
      </c>
      <c r="C222" s="16" t="str">
        <f aca="false">IF($A222="","",INDEX(PERLINE!$I$2:$I$3001,MATCH($A222,PERLINE!$N$2:$N$3001,0)))</f>
        <v/>
      </c>
      <c r="D222" s="17" t="str">
        <f aca="false">IF($A222="","",'كشف المطالبة'!$D$6)</f>
        <v/>
      </c>
      <c r="E222" s="18" t="str">
        <f aca="false">IF($A222="","",SUMIFS(PERLINE!$U$2:$U$3001,PERLINE!$N$2:$N$3001,$A222,PERLINE!$AK$2:$AK$3001,0))</f>
        <v/>
      </c>
      <c r="F222" s="19" t="str">
        <f aca="false">IF($A222="","",E222*D222)</f>
        <v/>
      </c>
      <c r="G222" s="17" t="str">
        <f aca="false">IF($A222="","",'كشف المطالبة'!$D$5)</f>
        <v/>
      </c>
      <c r="H222" s="18" t="str">
        <f aca="false">IF($A222="","",SUMIFS(PERLINE!$U$2:$U$3001,PERLINE!$N$2:$N$3001,$A222,PERLINE!$AK$2:$AK$3001,1))</f>
        <v/>
      </c>
      <c r="I222" s="19" t="str">
        <f aca="false">IF($A222="","",H222*G222)</f>
        <v/>
      </c>
      <c r="J222" s="19" t="str">
        <f aca="false">IF($A222="","",F222+I222)</f>
        <v/>
      </c>
      <c r="K222" s="19" t="str">
        <f aca="false">IF($A222="","",H222+E222)</f>
        <v/>
      </c>
      <c r="L222" s="20" t="str">
        <f aca="false">IF($A222="","",K222-J222-N222)</f>
        <v/>
      </c>
      <c r="M222" s="15" t="str">
        <f aca="false">IF($A222="","",INDEX(PERLINE!$A$2:$A$3001,MATCH($A222,PERLINE!$N$2:$N$3001,0)))</f>
        <v/>
      </c>
      <c r="N222" s="21" t="str">
        <f aca="false">IF($A222="","",SUMIFS(PERLINE!$M$2:$M$3001,PERLINE!$N$2:$N$3001,$A222))</f>
        <v/>
      </c>
    </row>
    <row r="223" customFormat="false" ht="15" hidden="false" customHeight="false" outlineLevel="0" collapsed="false">
      <c r="A223" s="15" t="str">
        <f aca="false">IF(ROWS($A$2:$A223)&lt;=Check!$C$4,SMALL(PERLINE!$AL$2:$AL$3001,ROWS($A$2:$A223)),"")</f>
        <v/>
      </c>
      <c r="B223" s="15" t="str">
        <f aca="false">IF($A223="","",INDEX(PERLINE!$J$2:$J$3001,MATCH($A223,PERLINE!$N$2:$N$3001,0)))</f>
        <v/>
      </c>
      <c r="C223" s="16" t="str">
        <f aca="false">IF($A223="","",INDEX(PERLINE!$I$2:$I$3001,MATCH($A223,PERLINE!$N$2:$N$3001,0)))</f>
        <v/>
      </c>
      <c r="D223" s="17" t="str">
        <f aca="false">IF($A223="","",'كشف المطالبة'!$D$6)</f>
        <v/>
      </c>
      <c r="E223" s="18" t="str">
        <f aca="false">IF($A223="","",SUMIFS(PERLINE!$U$2:$U$3001,PERLINE!$N$2:$N$3001,$A223,PERLINE!$AK$2:$AK$3001,0))</f>
        <v/>
      </c>
      <c r="F223" s="19" t="str">
        <f aca="false">IF($A223="","",E223*D223)</f>
        <v/>
      </c>
      <c r="G223" s="17" t="str">
        <f aca="false">IF($A223="","",'كشف المطالبة'!$D$5)</f>
        <v/>
      </c>
      <c r="H223" s="18" t="str">
        <f aca="false">IF($A223="","",SUMIFS(PERLINE!$U$2:$U$3001,PERLINE!$N$2:$N$3001,$A223,PERLINE!$AK$2:$AK$3001,1))</f>
        <v/>
      </c>
      <c r="I223" s="19" t="str">
        <f aca="false">IF($A223="","",H223*G223)</f>
        <v/>
      </c>
      <c r="J223" s="19" t="str">
        <f aca="false">IF($A223="","",F223+I223)</f>
        <v/>
      </c>
      <c r="K223" s="19" t="str">
        <f aca="false">IF($A223="","",H223+E223)</f>
        <v/>
      </c>
      <c r="L223" s="20" t="str">
        <f aca="false">IF($A223="","",K223-J223-N223)</f>
        <v/>
      </c>
      <c r="M223" s="15" t="str">
        <f aca="false">IF($A223="","",INDEX(PERLINE!$A$2:$A$3001,MATCH($A223,PERLINE!$N$2:$N$3001,0)))</f>
        <v/>
      </c>
      <c r="N223" s="21" t="str">
        <f aca="false">IF($A223="","",SUMIFS(PERLINE!$M$2:$M$3001,PERLINE!$N$2:$N$3001,$A223))</f>
        <v/>
      </c>
    </row>
    <row r="224" customFormat="false" ht="15" hidden="false" customHeight="false" outlineLevel="0" collapsed="false">
      <c r="A224" s="15" t="str">
        <f aca="false">IF(ROWS($A$2:$A224)&lt;=Check!$C$4,SMALL(PERLINE!$AL$2:$AL$3001,ROWS($A$2:$A224)),"")</f>
        <v/>
      </c>
      <c r="B224" s="15" t="str">
        <f aca="false">IF($A224="","",INDEX(PERLINE!$J$2:$J$3001,MATCH($A224,PERLINE!$N$2:$N$3001,0)))</f>
        <v/>
      </c>
      <c r="C224" s="16" t="str">
        <f aca="false">IF($A224="","",INDEX(PERLINE!$I$2:$I$3001,MATCH($A224,PERLINE!$N$2:$N$3001,0)))</f>
        <v/>
      </c>
      <c r="D224" s="17" t="str">
        <f aca="false">IF($A224="","",'كشف المطالبة'!$D$6)</f>
        <v/>
      </c>
      <c r="E224" s="18" t="str">
        <f aca="false">IF($A224="","",SUMIFS(PERLINE!$U$2:$U$3001,PERLINE!$N$2:$N$3001,$A224,PERLINE!$AK$2:$AK$3001,0))</f>
        <v/>
      </c>
      <c r="F224" s="19" t="str">
        <f aca="false">IF($A224="","",E224*D224)</f>
        <v/>
      </c>
      <c r="G224" s="17" t="str">
        <f aca="false">IF($A224="","",'كشف المطالبة'!$D$5)</f>
        <v/>
      </c>
      <c r="H224" s="18" t="str">
        <f aca="false">IF($A224="","",SUMIFS(PERLINE!$U$2:$U$3001,PERLINE!$N$2:$N$3001,$A224,PERLINE!$AK$2:$AK$3001,1))</f>
        <v/>
      </c>
      <c r="I224" s="19" t="str">
        <f aca="false">IF($A224="","",H224*G224)</f>
        <v/>
      </c>
      <c r="J224" s="19" t="str">
        <f aca="false">IF($A224="","",F224+I224)</f>
        <v/>
      </c>
      <c r="K224" s="19" t="str">
        <f aca="false">IF($A224="","",H224+E224)</f>
        <v/>
      </c>
      <c r="L224" s="20" t="str">
        <f aca="false">IF($A224="","",K224-J224-N224)</f>
        <v/>
      </c>
      <c r="M224" s="15" t="str">
        <f aca="false">IF($A224="","",INDEX(PERLINE!$A$2:$A$3001,MATCH($A224,PERLINE!$N$2:$N$3001,0)))</f>
        <v/>
      </c>
      <c r="N224" s="21" t="str">
        <f aca="false">IF($A224="","",SUMIFS(PERLINE!$M$2:$M$3001,PERLINE!$N$2:$N$3001,$A224))</f>
        <v/>
      </c>
    </row>
    <row r="225" customFormat="false" ht="15" hidden="false" customHeight="false" outlineLevel="0" collapsed="false">
      <c r="A225" s="15" t="str">
        <f aca="false">IF(ROWS($A$2:$A225)&lt;=Check!$C$4,SMALL(PERLINE!$AL$2:$AL$3001,ROWS($A$2:$A225)),"")</f>
        <v/>
      </c>
      <c r="B225" s="15" t="str">
        <f aca="false">IF($A225="","",INDEX(PERLINE!$J$2:$J$3001,MATCH($A225,PERLINE!$N$2:$N$3001,0)))</f>
        <v/>
      </c>
      <c r="C225" s="16" t="str">
        <f aca="false">IF($A225="","",INDEX(PERLINE!$I$2:$I$3001,MATCH($A225,PERLINE!$N$2:$N$3001,0)))</f>
        <v/>
      </c>
      <c r="D225" s="17" t="str">
        <f aca="false">IF($A225="","",'كشف المطالبة'!$D$6)</f>
        <v/>
      </c>
      <c r="E225" s="18" t="str">
        <f aca="false">IF($A225="","",SUMIFS(PERLINE!$U$2:$U$3001,PERLINE!$N$2:$N$3001,$A225,PERLINE!$AK$2:$AK$3001,0))</f>
        <v/>
      </c>
      <c r="F225" s="19" t="str">
        <f aca="false">IF($A225="","",E225*D225)</f>
        <v/>
      </c>
      <c r="G225" s="17" t="str">
        <f aca="false">IF($A225="","",'كشف المطالبة'!$D$5)</f>
        <v/>
      </c>
      <c r="H225" s="18" t="str">
        <f aca="false">IF($A225="","",SUMIFS(PERLINE!$U$2:$U$3001,PERLINE!$N$2:$N$3001,$A225,PERLINE!$AK$2:$AK$3001,1))</f>
        <v/>
      </c>
      <c r="I225" s="19" t="str">
        <f aca="false">IF($A225="","",H225*G225)</f>
        <v/>
      </c>
      <c r="J225" s="19" t="str">
        <f aca="false">IF($A225="","",F225+I225)</f>
        <v/>
      </c>
      <c r="K225" s="19" t="str">
        <f aca="false">IF($A225="","",H225+E225)</f>
        <v/>
      </c>
      <c r="L225" s="20" t="str">
        <f aca="false">IF($A225="","",K225-J225-N225)</f>
        <v/>
      </c>
      <c r="M225" s="15" t="str">
        <f aca="false">IF($A225="","",INDEX(PERLINE!$A$2:$A$3001,MATCH($A225,PERLINE!$N$2:$N$3001,0)))</f>
        <v/>
      </c>
      <c r="N225" s="21" t="str">
        <f aca="false">IF($A225="","",SUMIFS(PERLINE!$M$2:$M$3001,PERLINE!$N$2:$N$3001,$A225))</f>
        <v/>
      </c>
    </row>
    <row r="226" customFormat="false" ht="15" hidden="false" customHeight="false" outlineLevel="0" collapsed="false">
      <c r="A226" s="15" t="str">
        <f aca="false">IF(ROWS($A$2:$A226)&lt;=Check!$C$4,SMALL(PERLINE!$AL$2:$AL$3001,ROWS($A$2:$A226)),"")</f>
        <v/>
      </c>
      <c r="B226" s="15" t="str">
        <f aca="false">IF($A226="","",INDEX(PERLINE!$J$2:$J$3001,MATCH($A226,PERLINE!$N$2:$N$3001,0)))</f>
        <v/>
      </c>
      <c r="C226" s="16" t="str">
        <f aca="false">IF($A226="","",INDEX(PERLINE!$I$2:$I$3001,MATCH($A226,PERLINE!$N$2:$N$3001,0)))</f>
        <v/>
      </c>
      <c r="D226" s="17" t="str">
        <f aca="false">IF($A226="","",'كشف المطالبة'!$D$6)</f>
        <v/>
      </c>
      <c r="E226" s="18" t="str">
        <f aca="false">IF($A226="","",SUMIFS(PERLINE!$U$2:$U$3001,PERLINE!$N$2:$N$3001,$A226,PERLINE!$AK$2:$AK$3001,0))</f>
        <v/>
      </c>
      <c r="F226" s="19" t="str">
        <f aca="false">IF($A226="","",E226*D226)</f>
        <v/>
      </c>
      <c r="G226" s="17" t="str">
        <f aca="false">IF($A226="","",'كشف المطالبة'!$D$5)</f>
        <v/>
      </c>
      <c r="H226" s="18" t="str">
        <f aca="false">IF($A226="","",SUMIFS(PERLINE!$U$2:$U$3001,PERLINE!$N$2:$N$3001,$A226,PERLINE!$AK$2:$AK$3001,1))</f>
        <v/>
      </c>
      <c r="I226" s="19" t="str">
        <f aca="false">IF($A226="","",H226*G226)</f>
        <v/>
      </c>
      <c r="J226" s="19" t="str">
        <f aca="false">IF($A226="","",F226+I226)</f>
        <v/>
      </c>
      <c r="K226" s="19" t="str">
        <f aca="false">IF($A226="","",H226+E226)</f>
        <v/>
      </c>
      <c r="L226" s="20" t="str">
        <f aca="false">IF($A226="","",K226-J226-N226)</f>
        <v/>
      </c>
      <c r="M226" s="15" t="str">
        <f aca="false">IF($A226="","",INDEX(PERLINE!$A$2:$A$3001,MATCH($A226,PERLINE!$N$2:$N$3001,0)))</f>
        <v/>
      </c>
      <c r="N226" s="21" t="str">
        <f aca="false">IF($A226="","",SUMIFS(PERLINE!$M$2:$M$3001,PERLINE!$N$2:$N$3001,$A226))</f>
        <v/>
      </c>
    </row>
    <row r="227" customFormat="false" ht="15" hidden="false" customHeight="false" outlineLevel="0" collapsed="false">
      <c r="A227" s="15" t="str">
        <f aca="false">IF(ROWS($A$2:$A227)&lt;=Check!$C$4,SMALL(PERLINE!$AL$2:$AL$3001,ROWS($A$2:$A227)),"")</f>
        <v/>
      </c>
      <c r="B227" s="15" t="str">
        <f aca="false">IF($A227="","",INDEX(PERLINE!$J$2:$J$3001,MATCH($A227,PERLINE!$N$2:$N$3001,0)))</f>
        <v/>
      </c>
      <c r="C227" s="16" t="str">
        <f aca="false">IF($A227="","",INDEX(PERLINE!$I$2:$I$3001,MATCH($A227,PERLINE!$N$2:$N$3001,0)))</f>
        <v/>
      </c>
      <c r="D227" s="17" t="str">
        <f aca="false">IF($A227="","",'كشف المطالبة'!$D$6)</f>
        <v/>
      </c>
      <c r="E227" s="18" t="str">
        <f aca="false">IF($A227="","",SUMIFS(PERLINE!$U$2:$U$3001,PERLINE!$N$2:$N$3001,$A227,PERLINE!$AK$2:$AK$3001,0))</f>
        <v/>
      </c>
      <c r="F227" s="19" t="str">
        <f aca="false">IF($A227="","",E227*D227)</f>
        <v/>
      </c>
      <c r="G227" s="17" t="str">
        <f aca="false">IF($A227="","",'كشف المطالبة'!$D$5)</f>
        <v/>
      </c>
      <c r="H227" s="18" t="str">
        <f aca="false">IF($A227="","",SUMIFS(PERLINE!$U$2:$U$3001,PERLINE!$N$2:$N$3001,$A227,PERLINE!$AK$2:$AK$3001,1))</f>
        <v/>
      </c>
      <c r="I227" s="19" t="str">
        <f aca="false">IF($A227="","",H227*G227)</f>
        <v/>
      </c>
      <c r="J227" s="19" t="str">
        <f aca="false">IF($A227="","",F227+I227)</f>
        <v/>
      </c>
      <c r="K227" s="19" t="str">
        <f aca="false">IF($A227="","",H227+E227)</f>
        <v/>
      </c>
      <c r="L227" s="20" t="str">
        <f aca="false">IF($A227="","",K227-J227-N227)</f>
        <v/>
      </c>
      <c r="M227" s="15" t="str">
        <f aca="false">IF($A227="","",INDEX(PERLINE!$A$2:$A$3001,MATCH($A227,PERLINE!$N$2:$N$3001,0)))</f>
        <v/>
      </c>
      <c r="N227" s="21" t="str">
        <f aca="false">IF($A227="","",SUMIFS(PERLINE!$M$2:$M$3001,PERLINE!$N$2:$N$3001,$A227))</f>
        <v/>
      </c>
    </row>
    <row r="228" customFormat="false" ht="15" hidden="false" customHeight="false" outlineLevel="0" collapsed="false">
      <c r="A228" s="15" t="str">
        <f aca="false">IF(ROWS($A$2:$A228)&lt;=Check!$C$4,SMALL(PERLINE!$AL$2:$AL$3001,ROWS($A$2:$A228)),"")</f>
        <v/>
      </c>
      <c r="B228" s="15" t="str">
        <f aca="false">IF($A228="","",INDEX(PERLINE!$J$2:$J$3001,MATCH($A228,PERLINE!$N$2:$N$3001,0)))</f>
        <v/>
      </c>
      <c r="C228" s="16" t="str">
        <f aca="false">IF($A228="","",INDEX(PERLINE!$I$2:$I$3001,MATCH($A228,PERLINE!$N$2:$N$3001,0)))</f>
        <v/>
      </c>
      <c r="D228" s="17" t="str">
        <f aca="false">IF($A228="","",'كشف المطالبة'!$D$6)</f>
        <v/>
      </c>
      <c r="E228" s="18" t="str">
        <f aca="false">IF($A228="","",SUMIFS(PERLINE!$U$2:$U$3001,PERLINE!$N$2:$N$3001,$A228,PERLINE!$AK$2:$AK$3001,0))</f>
        <v/>
      </c>
      <c r="F228" s="19" t="str">
        <f aca="false">IF($A228="","",E228*D228)</f>
        <v/>
      </c>
      <c r="G228" s="17" t="str">
        <f aca="false">IF($A228="","",'كشف المطالبة'!$D$5)</f>
        <v/>
      </c>
      <c r="H228" s="18" t="str">
        <f aca="false">IF($A228="","",SUMIFS(PERLINE!$U$2:$U$3001,PERLINE!$N$2:$N$3001,$A228,PERLINE!$AK$2:$AK$3001,1))</f>
        <v/>
      </c>
      <c r="I228" s="19" t="str">
        <f aca="false">IF($A228="","",H228*G228)</f>
        <v/>
      </c>
      <c r="J228" s="19" t="str">
        <f aca="false">IF($A228="","",F228+I228)</f>
        <v/>
      </c>
      <c r="K228" s="19" t="str">
        <f aca="false">IF($A228="","",H228+E228)</f>
        <v/>
      </c>
      <c r="L228" s="20" t="str">
        <f aca="false">IF($A228="","",K228-J228-N228)</f>
        <v/>
      </c>
      <c r="M228" s="15" t="str">
        <f aca="false">IF($A228="","",INDEX(PERLINE!$A$2:$A$3001,MATCH($A228,PERLINE!$N$2:$N$3001,0)))</f>
        <v/>
      </c>
      <c r="N228" s="21" t="str">
        <f aca="false">IF($A228="","",SUMIFS(PERLINE!$M$2:$M$3001,PERLINE!$N$2:$N$3001,$A228))</f>
        <v/>
      </c>
    </row>
    <row r="229" customFormat="false" ht="15" hidden="false" customHeight="false" outlineLevel="0" collapsed="false">
      <c r="A229" s="15" t="str">
        <f aca="false">IF(ROWS($A$2:$A229)&lt;=Check!$C$4,SMALL(PERLINE!$AL$2:$AL$3001,ROWS($A$2:$A229)),"")</f>
        <v/>
      </c>
      <c r="B229" s="15" t="str">
        <f aca="false">IF($A229="","",INDEX(PERLINE!$J$2:$J$3001,MATCH($A229,PERLINE!$N$2:$N$3001,0)))</f>
        <v/>
      </c>
      <c r="C229" s="16" t="str">
        <f aca="false">IF($A229="","",INDEX(PERLINE!$I$2:$I$3001,MATCH($A229,PERLINE!$N$2:$N$3001,0)))</f>
        <v/>
      </c>
      <c r="D229" s="17" t="str">
        <f aca="false">IF($A229="","",'كشف المطالبة'!$D$6)</f>
        <v/>
      </c>
      <c r="E229" s="18" t="str">
        <f aca="false">IF($A229="","",SUMIFS(PERLINE!$U$2:$U$3001,PERLINE!$N$2:$N$3001,$A229,PERLINE!$AK$2:$AK$3001,0))</f>
        <v/>
      </c>
      <c r="F229" s="19" t="str">
        <f aca="false">IF($A229="","",E229*D229)</f>
        <v/>
      </c>
      <c r="G229" s="17" t="str">
        <f aca="false">IF($A229="","",'كشف المطالبة'!$D$5)</f>
        <v/>
      </c>
      <c r="H229" s="18" t="str">
        <f aca="false">IF($A229="","",SUMIFS(PERLINE!$U$2:$U$3001,PERLINE!$N$2:$N$3001,$A229,PERLINE!$AK$2:$AK$3001,1))</f>
        <v/>
      </c>
      <c r="I229" s="19" t="str">
        <f aca="false">IF($A229="","",H229*G229)</f>
        <v/>
      </c>
      <c r="J229" s="19" t="str">
        <f aca="false">IF($A229="","",F229+I229)</f>
        <v/>
      </c>
      <c r="K229" s="19" t="str">
        <f aca="false">IF($A229="","",H229+E229)</f>
        <v/>
      </c>
      <c r="L229" s="20" t="str">
        <f aca="false">IF($A229="","",K229-J229-N229)</f>
        <v/>
      </c>
      <c r="M229" s="15" t="str">
        <f aca="false">IF($A229="","",INDEX(PERLINE!$A$2:$A$3001,MATCH($A229,PERLINE!$N$2:$N$3001,0)))</f>
        <v/>
      </c>
      <c r="N229" s="21" t="str">
        <f aca="false">IF($A229="","",SUMIFS(PERLINE!$M$2:$M$3001,PERLINE!$N$2:$N$3001,$A229))</f>
        <v/>
      </c>
    </row>
    <row r="230" customFormat="false" ht="15" hidden="false" customHeight="false" outlineLevel="0" collapsed="false">
      <c r="A230" s="15" t="str">
        <f aca="false">IF(ROWS($A$2:$A230)&lt;=Check!$C$4,SMALL(PERLINE!$AL$2:$AL$3001,ROWS($A$2:$A230)),"")</f>
        <v/>
      </c>
      <c r="B230" s="15" t="str">
        <f aca="false">IF($A230="","",INDEX(PERLINE!$J$2:$J$3001,MATCH($A230,PERLINE!$N$2:$N$3001,0)))</f>
        <v/>
      </c>
      <c r="C230" s="16" t="str">
        <f aca="false">IF($A230="","",INDEX(PERLINE!$I$2:$I$3001,MATCH($A230,PERLINE!$N$2:$N$3001,0)))</f>
        <v/>
      </c>
      <c r="D230" s="17" t="str">
        <f aca="false">IF($A230="","",'كشف المطالبة'!$D$6)</f>
        <v/>
      </c>
      <c r="E230" s="18" t="str">
        <f aca="false">IF($A230="","",SUMIFS(PERLINE!$U$2:$U$3001,PERLINE!$N$2:$N$3001,$A230,PERLINE!$AK$2:$AK$3001,0))</f>
        <v/>
      </c>
      <c r="F230" s="19" t="str">
        <f aca="false">IF($A230="","",E230*D230)</f>
        <v/>
      </c>
      <c r="G230" s="17" t="str">
        <f aca="false">IF($A230="","",'كشف المطالبة'!$D$5)</f>
        <v/>
      </c>
      <c r="H230" s="18" t="str">
        <f aca="false">IF($A230="","",SUMIFS(PERLINE!$U$2:$U$3001,PERLINE!$N$2:$N$3001,$A230,PERLINE!$AK$2:$AK$3001,1))</f>
        <v/>
      </c>
      <c r="I230" s="19" t="str">
        <f aca="false">IF($A230="","",H230*G230)</f>
        <v/>
      </c>
      <c r="J230" s="19" t="str">
        <f aca="false">IF($A230="","",F230+I230)</f>
        <v/>
      </c>
      <c r="K230" s="19" t="str">
        <f aca="false">IF($A230="","",H230+E230)</f>
        <v/>
      </c>
      <c r="L230" s="20" t="str">
        <f aca="false">IF($A230="","",K230-J230-N230)</f>
        <v/>
      </c>
      <c r="M230" s="15" t="str">
        <f aca="false">IF($A230="","",INDEX(PERLINE!$A$2:$A$3001,MATCH($A230,PERLINE!$N$2:$N$3001,0)))</f>
        <v/>
      </c>
      <c r="N230" s="21" t="str">
        <f aca="false">IF($A230="","",SUMIFS(PERLINE!$M$2:$M$3001,PERLINE!$N$2:$N$3001,$A230))</f>
        <v/>
      </c>
    </row>
    <row r="231" customFormat="false" ht="15" hidden="false" customHeight="false" outlineLevel="0" collapsed="false">
      <c r="A231" s="15" t="str">
        <f aca="false">IF(ROWS($A$2:$A231)&lt;=Check!$C$4,SMALL(PERLINE!$AL$2:$AL$3001,ROWS($A$2:$A231)),"")</f>
        <v/>
      </c>
      <c r="B231" s="15" t="str">
        <f aca="false">IF($A231="","",INDEX(PERLINE!$J$2:$J$3001,MATCH($A231,PERLINE!$N$2:$N$3001,0)))</f>
        <v/>
      </c>
      <c r="C231" s="16" t="str">
        <f aca="false">IF($A231="","",INDEX(PERLINE!$I$2:$I$3001,MATCH($A231,PERLINE!$N$2:$N$3001,0)))</f>
        <v/>
      </c>
      <c r="D231" s="17" t="str">
        <f aca="false">IF($A231="","",'كشف المطالبة'!$D$6)</f>
        <v/>
      </c>
      <c r="E231" s="18" t="str">
        <f aca="false">IF($A231="","",SUMIFS(PERLINE!$U$2:$U$3001,PERLINE!$N$2:$N$3001,$A231,PERLINE!$AK$2:$AK$3001,0))</f>
        <v/>
      </c>
      <c r="F231" s="19" t="str">
        <f aca="false">IF($A231="","",E231*D231)</f>
        <v/>
      </c>
      <c r="G231" s="17" t="str">
        <f aca="false">IF($A231="","",'كشف المطالبة'!$D$5)</f>
        <v/>
      </c>
      <c r="H231" s="18" t="str">
        <f aca="false">IF($A231="","",SUMIFS(PERLINE!$U$2:$U$3001,PERLINE!$N$2:$N$3001,$A231,PERLINE!$AK$2:$AK$3001,1))</f>
        <v/>
      </c>
      <c r="I231" s="19" t="str">
        <f aca="false">IF($A231="","",H231*G231)</f>
        <v/>
      </c>
      <c r="J231" s="19" t="str">
        <f aca="false">IF($A231="","",F231+I231)</f>
        <v/>
      </c>
      <c r="K231" s="19" t="str">
        <f aca="false">IF($A231="","",H231+E231)</f>
        <v/>
      </c>
      <c r="L231" s="20" t="str">
        <f aca="false">IF($A231="","",K231-J231-N231)</f>
        <v/>
      </c>
      <c r="M231" s="15" t="str">
        <f aca="false">IF($A231="","",INDEX(PERLINE!$A$2:$A$3001,MATCH($A231,PERLINE!$N$2:$N$3001,0)))</f>
        <v/>
      </c>
      <c r="N231" s="21" t="str">
        <f aca="false">IF($A231="","",SUMIFS(PERLINE!$M$2:$M$3001,PERLINE!$N$2:$N$3001,$A231))</f>
        <v/>
      </c>
    </row>
    <row r="232" customFormat="false" ht="15" hidden="false" customHeight="false" outlineLevel="0" collapsed="false">
      <c r="A232" s="15" t="str">
        <f aca="false">IF(ROWS($A$2:$A232)&lt;=Check!$C$4,SMALL(PERLINE!$AL$2:$AL$3001,ROWS($A$2:$A232)),"")</f>
        <v/>
      </c>
      <c r="B232" s="15" t="str">
        <f aca="false">IF($A232="","",INDEX(PERLINE!$J$2:$J$3001,MATCH($A232,PERLINE!$N$2:$N$3001,0)))</f>
        <v/>
      </c>
      <c r="C232" s="16" t="str">
        <f aca="false">IF($A232="","",INDEX(PERLINE!$I$2:$I$3001,MATCH($A232,PERLINE!$N$2:$N$3001,0)))</f>
        <v/>
      </c>
      <c r="D232" s="17" t="str">
        <f aca="false">IF($A232="","",'كشف المطالبة'!$D$6)</f>
        <v/>
      </c>
      <c r="E232" s="18" t="str">
        <f aca="false">IF($A232="","",SUMIFS(PERLINE!$U$2:$U$3001,PERLINE!$N$2:$N$3001,$A232,PERLINE!$AK$2:$AK$3001,0))</f>
        <v/>
      </c>
      <c r="F232" s="19" t="str">
        <f aca="false">IF($A232="","",E232*D232)</f>
        <v/>
      </c>
      <c r="G232" s="17" t="str">
        <f aca="false">IF($A232="","",'كشف المطالبة'!$D$5)</f>
        <v/>
      </c>
      <c r="H232" s="18" t="str">
        <f aca="false">IF($A232="","",SUMIFS(PERLINE!$U$2:$U$3001,PERLINE!$N$2:$N$3001,$A232,PERLINE!$AK$2:$AK$3001,1))</f>
        <v/>
      </c>
      <c r="I232" s="19" t="str">
        <f aca="false">IF($A232="","",H232*G232)</f>
        <v/>
      </c>
      <c r="J232" s="19" t="str">
        <f aca="false">IF($A232="","",F232+I232)</f>
        <v/>
      </c>
      <c r="K232" s="19" t="str">
        <f aca="false">IF($A232="","",H232+E232)</f>
        <v/>
      </c>
      <c r="L232" s="20" t="str">
        <f aca="false">IF($A232="","",K232-J232-N232)</f>
        <v/>
      </c>
      <c r="M232" s="15" t="str">
        <f aca="false">IF($A232="","",INDEX(PERLINE!$A$2:$A$3001,MATCH($A232,PERLINE!$N$2:$N$3001,0)))</f>
        <v/>
      </c>
      <c r="N232" s="21" t="str">
        <f aca="false">IF($A232="","",SUMIFS(PERLINE!$M$2:$M$3001,PERLINE!$N$2:$N$3001,$A232))</f>
        <v/>
      </c>
    </row>
    <row r="233" customFormat="false" ht="15" hidden="false" customHeight="false" outlineLevel="0" collapsed="false">
      <c r="A233" s="15" t="str">
        <f aca="false">IF(ROWS($A$2:$A233)&lt;=Check!$C$4,SMALL(PERLINE!$AL$2:$AL$3001,ROWS($A$2:$A233)),"")</f>
        <v/>
      </c>
      <c r="B233" s="15" t="str">
        <f aca="false">IF($A233="","",INDEX(PERLINE!$J$2:$J$3001,MATCH($A233,PERLINE!$N$2:$N$3001,0)))</f>
        <v/>
      </c>
      <c r="C233" s="16" t="str">
        <f aca="false">IF($A233="","",INDEX(PERLINE!$I$2:$I$3001,MATCH($A233,PERLINE!$N$2:$N$3001,0)))</f>
        <v/>
      </c>
      <c r="D233" s="17" t="str">
        <f aca="false">IF($A233="","",'كشف المطالبة'!$D$6)</f>
        <v/>
      </c>
      <c r="E233" s="18" t="str">
        <f aca="false">IF($A233="","",SUMIFS(PERLINE!$U$2:$U$3001,PERLINE!$N$2:$N$3001,$A233,PERLINE!$AK$2:$AK$3001,0))</f>
        <v/>
      </c>
      <c r="F233" s="19" t="str">
        <f aca="false">IF($A233="","",E233*D233)</f>
        <v/>
      </c>
      <c r="G233" s="17" t="str">
        <f aca="false">IF($A233="","",'كشف المطالبة'!$D$5)</f>
        <v/>
      </c>
      <c r="H233" s="18" t="str">
        <f aca="false">IF($A233="","",SUMIFS(PERLINE!$U$2:$U$3001,PERLINE!$N$2:$N$3001,$A233,PERLINE!$AK$2:$AK$3001,1))</f>
        <v/>
      </c>
      <c r="I233" s="19" t="str">
        <f aca="false">IF($A233="","",H233*G233)</f>
        <v/>
      </c>
      <c r="J233" s="19" t="str">
        <f aca="false">IF($A233="","",F233+I233)</f>
        <v/>
      </c>
      <c r="K233" s="19" t="str">
        <f aca="false">IF($A233="","",H233+E233)</f>
        <v/>
      </c>
      <c r="L233" s="20" t="str">
        <f aca="false">IF($A233="","",K233-J233-N233)</f>
        <v/>
      </c>
      <c r="M233" s="15" t="str">
        <f aca="false">IF($A233="","",INDEX(PERLINE!$A$2:$A$3001,MATCH($A233,PERLINE!$N$2:$N$3001,0)))</f>
        <v/>
      </c>
      <c r="N233" s="21" t="str">
        <f aca="false">IF($A233="","",SUMIFS(PERLINE!$M$2:$M$3001,PERLINE!$N$2:$N$3001,$A233))</f>
        <v/>
      </c>
    </row>
    <row r="234" customFormat="false" ht="15" hidden="false" customHeight="false" outlineLevel="0" collapsed="false">
      <c r="A234" s="15" t="str">
        <f aca="false">IF(ROWS($A$2:$A234)&lt;=Check!$C$4,SMALL(PERLINE!$AL$2:$AL$3001,ROWS($A$2:$A234)),"")</f>
        <v/>
      </c>
      <c r="B234" s="15" t="str">
        <f aca="false">IF($A234="","",INDEX(PERLINE!$J$2:$J$3001,MATCH($A234,PERLINE!$N$2:$N$3001,0)))</f>
        <v/>
      </c>
      <c r="C234" s="16" t="str">
        <f aca="false">IF($A234="","",INDEX(PERLINE!$I$2:$I$3001,MATCH($A234,PERLINE!$N$2:$N$3001,0)))</f>
        <v/>
      </c>
      <c r="D234" s="17" t="str">
        <f aca="false">IF($A234="","",'كشف المطالبة'!$D$6)</f>
        <v/>
      </c>
      <c r="E234" s="18" t="str">
        <f aca="false">IF($A234="","",SUMIFS(PERLINE!$U$2:$U$3001,PERLINE!$N$2:$N$3001,$A234,PERLINE!$AK$2:$AK$3001,0))</f>
        <v/>
      </c>
      <c r="F234" s="19" t="str">
        <f aca="false">IF($A234="","",E234*D234)</f>
        <v/>
      </c>
      <c r="G234" s="17" t="str">
        <f aca="false">IF($A234="","",'كشف المطالبة'!$D$5)</f>
        <v/>
      </c>
      <c r="H234" s="18" t="str">
        <f aca="false">IF($A234="","",SUMIFS(PERLINE!$U$2:$U$3001,PERLINE!$N$2:$N$3001,$A234,PERLINE!$AK$2:$AK$3001,1))</f>
        <v/>
      </c>
      <c r="I234" s="19" t="str">
        <f aca="false">IF($A234="","",H234*G234)</f>
        <v/>
      </c>
      <c r="J234" s="19" t="str">
        <f aca="false">IF($A234="","",F234+I234)</f>
        <v/>
      </c>
      <c r="K234" s="19" t="str">
        <f aca="false">IF($A234="","",H234+E234)</f>
        <v/>
      </c>
      <c r="L234" s="20" t="str">
        <f aca="false">IF($A234="","",K234-J234-N234)</f>
        <v/>
      </c>
      <c r="M234" s="15" t="str">
        <f aca="false">IF($A234="","",INDEX(PERLINE!$A$2:$A$3001,MATCH($A234,PERLINE!$N$2:$N$3001,0)))</f>
        <v/>
      </c>
      <c r="N234" s="21" t="str">
        <f aca="false">IF($A234="","",SUMIFS(PERLINE!$M$2:$M$3001,PERLINE!$N$2:$N$3001,$A234))</f>
        <v/>
      </c>
    </row>
    <row r="235" customFormat="false" ht="15" hidden="false" customHeight="false" outlineLevel="0" collapsed="false">
      <c r="A235" s="15" t="str">
        <f aca="false">IF(ROWS($A$2:$A235)&lt;=Check!$C$4,SMALL(PERLINE!$AL$2:$AL$3001,ROWS($A$2:$A235)),"")</f>
        <v/>
      </c>
      <c r="B235" s="15" t="str">
        <f aca="false">IF($A235="","",INDEX(PERLINE!$J$2:$J$3001,MATCH($A235,PERLINE!$N$2:$N$3001,0)))</f>
        <v/>
      </c>
      <c r="C235" s="16" t="str">
        <f aca="false">IF($A235="","",INDEX(PERLINE!$I$2:$I$3001,MATCH($A235,PERLINE!$N$2:$N$3001,0)))</f>
        <v/>
      </c>
      <c r="D235" s="17" t="str">
        <f aca="false">IF($A235="","",'كشف المطالبة'!$D$6)</f>
        <v/>
      </c>
      <c r="E235" s="18" t="str">
        <f aca="false">IF($A235="","",SUMIFS(PERLINE!$U$2:$U$3001,PERLINE!$N$2:$N$3001,$A235,PERLINE!$AK$2:$AK$3001,0))</f>
        <v/>
      </c>
      <c r="F235" s="19" t="str">
        <f aca="false">IF($A235="","",E235*D235)</f>
        <v/>
      </c>
      <c r="G235" s="17" t="str">
        <f aca="false">IF($A235="","",'كشف المطالبة'!$D$5)</f>
        <v/>
      </c>
      <c r="H235" s="18" t="str">
        <f aca="false">IF($A235="","",SUMIFS(PERLINE!$U$2:$U$3001,PERLINE!$N$2:$N$3001,$A235,PERLINE!$AK$2:$AK$3001,1))</f>
        <v/>
      </c>
      <c r="I235" s="19" t="str">
        <f aca="false">IF($A235="","",H235*G235)</f>
        <v/>
      </c>
      <c r="J235" s="19" t="str">
        <f aca="false">IF($A235="","",F235+I235)</f>
        <v/>
      </c>
      <c r="K235" s="19" t="str">
        <f aca="false">IF($A235="","",H235+E235)</f>
        <v/>
      </c>
      <c r="L235" s="20" t="str">
        <f aca="false">IF($A235="","",K235-J235-N235)</f>
        <v/>
      </c>
      <c r="M235" s="15" t="str">
        <f aca="false">IF($A235="","",INDEX(PERLINE!$A$2:$A$3001,MATCH($A235,PERLINE!$N$2:$N$3001,0)))</f>
        <v/>
      </c>
      <c r="N235" s="21" t="str">
        <f aca="false">IF($A235="","",SUMIFS(PERLINE!$M$2:$M$3001,PERLINE!$N$2:$N$3001,$A235))</f>
        <v/>
      </c>
    </row>
    <row r="236" customFormat="false" ht="15" hidden="false" customHeight="false" outlineLevel="0" collapsed="false">
      <c r="A236" s="15" t="str">
        <f aca="false">IF(ROWS($A$2:$A236)&lt;=Check!$C$4,SMALL(PERLINE!$AL$2:$AL$3001,ROWS($A$2:$A236)),"")</f>
        <v/>
      </c>
      <c r="B236" s="15" t="str">
        <f aca="false">IF($A236="","",INDEX(PERLINE!$J$2:$J$3001,MATCH($A236,PERLINE!$N$2:$N$3001,0)))</f>
        <v/>
      </c>
      <c r="C236" s="16" t="str">
        <f aca="false">IF($A236="","",INDEX(PERLINE!$I$2:$I$3001,MATCH($A236,PERLINE!$N$2:$N$3001,0)))</f>
        <v/>
      </c>
      <c r="D236" s="17" t="str">
        <f aca="false">IF($A236="","",'كشف المطالبة'!$D$6)</f>
        <v/>
      </c>
      <c r="E236" s="18" t="str">
        <f aca="false">IF($A236="","",SUMIFS(PERLINE!$U$2:$U$3001,PERLINE!$N$2:$N$3001,$A236,PERLINE!$AK$2:$AK$3001,0))</f>
        <v/>
      </c>
      <c r="F236" s="19" t="str">
        <f aca="false">IF($A236="","",E236*D236)</f>
        <v/>
      </c>
      <c r="G236" s="17" t="str">
        <f aca="false">IF($A236="","",'كشف المطالبة'!$D$5)</f>
        <v/>
      </c>
      <c r="H236" s="18" t="str">
        <f aca="false">IF($A236="","",SUMIFS(PERLINE!$U$2:$U$3001,PERLINE!$N$2:$N$3001,$A236,PERLINE!$AK$2:$AK$3001,1))</f>
        <v/>
      </c>
      <c r="I236" s="19" t="str">
        <f aca="false">IF($A236="","",H236*G236)</f>
        <v/>
      </c>
      <c r="J236" s="19" t="str">
        <f aca="false">IF($A236="","",F236+I236)</f>
        <v/>
      </c>
      <c r="K236" s="19" t="str">
        <f aca="false">IF($A236="","",H236+E236)</f>
        <v/>
      </c>
      <c r="L236" s="20" t="str">
        <f aca="false">IF($A236="","",K236-J236-N236)</f>
        <v/>
      </c>
      <c r="M236" s="15" t="str">
        <f aca="false">IF($A236="","",INDEX(PERLINE!$A$2:$A$3001,MATCH($A236,PERLINE!$N$2:$N$3001,0)))</f>
        <v/>
      </c>
      <c r="N236" s="21" t="str">
        <f aca="false">IF($A236="","",SUMIFS(PERLINE!$M$2:$M$3001,PERLINE!$N$2:$N$3001,$A236))</f>
        <v/>
      </c>
    </row>
    <row r="237" customFormat="false" ht="15" hidden="false" customHeight="false" outlineLevel="0" collapsed="false">
      <c r="A237" s="15" t="str">
        <f aca="false">IF(ROWS($A$2:$A237)&lt;=Check!$C$4,SMALL(PERLINE!$AL$2:$AL$3001,ROWS($A$2:$A237)),"")</f>
        <v/>
      </c>
      <c r="B237" s="15" t="str">
        <f aca="false">IF($A237="","",INDEX(PERLINE!$J$2:$J$3001,MATCH($A237,PERLINE!$N$2:$N$3001,0)))</f>
        <v/>
      </c>
      <c r="C237" s="16" t="str">
        <f aca="false">IF($A237="","",INDEX(PERLINE!$I$2:$I$3001,MATCH($A237,PERLINE!$N$2:$N$3001,0)))</f>
        <v/>
      </c>
      <c r="D237" s="17" t="str">
        <f aca="false">IF($A237="","",'كشف المطالبة'!$D$6)</f>
        <v/>
      </c>
      <c r="E237" s="18" t="str">
        <f aca="false">IF($A237="","",SUMIFS(PERLINE!$U$2:$U$3001,PERLINE!$N$2:$N$3001,$A237,PERLINE!$AK$2:$AK$3001,0))</f>
        <v/>
      </c>
      <c r="F237" s="19" t="str">
        <f aca="false">IF($A237="","",E237*D237)</f>
        <v/>
      </c>
      <c r="G237" s="17" t="str">
        <f aca="false">IF($A237="","",'كشف المطالبة'!$D$5)</f>
        <v/>
      </c>
      <c r="H237" s="18" t="str">
        <f aca="false">IF($A237="","",SUMIFS(PERLINE!$U$2:$U$3001,PERLINE!$N$2:$N$3001,$A237,PERLINE!$AK$2:$AK$3001,1))</f>
        <v/>
      </c>
      <c r="I237" s="19" t="str">
        <f aca="false">IF($A237="","",H237*G237)</f>
        <v/>
      </c>
      <c r="J237" s="19" t="str">
        <f aca="false">IF($A237="","",F237+I237)</f>
        <v/>
      </c>
      <c r="K237" s="19" t="str">
        <f aca="false">IF($A237="","",H237+E237)</f>
        <v/>
      </c>
      <c r="L237" s="20" t="str">
        <f aca="false">IF($A237="","",K237-J237-N237)</f>
        <v/>
      </c>
      <c r="M237" s="15" t="str">
        <f aca="false">IF($A237="","",INDEX(PERLINE!$A$2:$A$3001,MATCH($A237,PERLINE!$N$2:$N$3001,0)))</f>
        <v/>
      </c>
      <c r="N237" s="21" t="str">
        <f aca="false">IF($A237="","",SUMIFS(PERLINE!$M$2:$M$3001,PERLINE!$N$2:$N$3001,$A237))</f>
        <v/>
      </c>
    </row>
    <row r="238" customFormat="false" ht="15" hidden="false" customHeight="false" outlineLevel="0" collapsed="false">
      <c r="A238" s="15" t="str">
        <f aca="false">IF(ROWS($A$2:$A238)&lt;=Check!$C$4,SMALL(PERLINE!$AL$2:$AL$3001,ROWS($A$2:$A238)),"")</f>
        <v/>
      </c>
      <c r="B238" s="15" t="str">
        <f aca="false">IF($A238="","",INDEX(PERLINE!$J$2:$J$3001,MATCH($A238,PERLINE!$N$2:$N$3001,0)))</f>
        <v/>
      </c>
      <c r="C238" s="16" t="str">
        <f aca="false">IF($A238="","",INDEX(PERLINE!$I$2:$I$3001,MATCH($A238,PERLINE!$N$2:$N$3001,0)))</f>
        <v/>
      </c>
      <c r="D238" s="17" t="str">
        <f aca="false">IF($A238="","",'كشف المطالبة'!$D$6)</f>
        <v/>
      </c>
      <c r="E238" s="18" t="str">
        <f aca="false">IF($A238="","",SUMIFS(PERLINE!$U$2:$U$3001,PERLINE!$N$2:$N$3001,$A238,PERLINE!$AK$2:$AK$3001,0))</f>
        <v/>
      </c>
      <c r="F238" s="19" t="str">
        <f aca="false">IF($A238="","",E238*D238)</f>
        <v/>
      </c>
      <c r="G238" s="17" t="str">
        <f aca="false">IF($A238="","",'كشف المطالبة'!$D$5)</f>
        <v/>
      </c>
      <c r="H238" s="18" t="str">
        <f aca="false">IF($A238="","",SUMIFS(PERLINE!$U$2:$U$3001,PERLINE!$N$2:$N$3001,$A238,PERLINE!$AK$2:$AK$3001,1))</f>
        <v/>
      </c>
      <c r="I238" s="19" t="str">
        <f aca="false">IF($A238="","",H238*G238)</f>
        <v/>
      </c>
      <c r="J238" s="19" t="str">
        <f aca="false">IF($A238="","",F238+I238)</f>
        <v/>
      </c>
      <c r="K238" s="19" t="str">
        <f aca="false">IF($A238="","",H238+E238)</f>
        <v/>
      </c>
      <c r="L238" s="20" t="str">
        <f aca="false">IF($A238="","",K238-J238-N238)</f>
        <v/>
      </c>
      <c r="M238" s="15" t="str">
        <f aca="false">IF($A238="","",INDEX(PERLINE!$A$2:$A$3001,MATCH($A238,PERLINE!$N$2:$N$3001,0)))</f>
        <v/>
      </c>
      <c r="N238" s="21" t="str">
        <f aca="false">IF($A238="","",SUMIFS(PERLINE!$M$2:$M$3001,PERLINE!$N$2:$N$3001,$A238))</f>
        <v/>
      </c>
    </row>
    <row r="239" customFormat="false" ht="15" hidden="false" customHeight="false" outlineLevel="0" collapsed="false">
      <c r="A239" s="15" t="str">
        <f aca="false">IF(ROWS($A$2:$A239)&lt;=Check!$C$4,SMALL(PERLINE!$AL$2:$AL$3001,ROWS($A$2:$A239)),"")</f>
        <v/>
      </c>
      <c r="B239" s="15" t="str">
        <f aca="false">IF($A239="","",INDEX(PERLINE!$J$2:$J$3001,MATCH($A239,PERLINE!$N$2:$N$3001,0)))</f>
        <v/>
      </c>
      <c r="C239" s="16" t="str">
        <f aca="false">IF($A239="","",INDEX(PERLINE!$I$2:$I$3001,MATCH($A239,PERLINE!$N$2:$N$3001,0)))</f>
        <v/>
      </c>
      <c r="D239" s="17" t="str">
        <f aca="false">IF($A239="","",'كشف المطالبة'!$D$6)</f>
        <v/>
      </c>
      <c r="E239" s="18" t="str">
        <f aca="false">IF($A239="","",SUMIFS(PERLINE!$U$2:$U$3001,PERLINE!$N$2:$N$3001,$A239,PERLINE!$AK$2:$AK$3001,0))</f>
        <v/>
      </c>
      <c r="F239" s="19" t="str">
        <f aca="false">IF($A239="","",E239*D239)</f>
        <v/>
      </c>
      <c r="G239" s="17" t="str">
        <f aca="false">IF($A239="","",'كشف المطالبة'!$D$5)</f>
        <v/>
      </c>
      <c r="H239" s="18" t="str">
        <f aca="false">IF($A239="","",SUMIFS(PERLINE!$U$2:$U$3001,PERLINE!$N$2:$N$3001,$A239,PERLINE!$AK$2:$AK$3001,1))</f>
        <v/>
      </c>
      <c r="I239" s="19" t="str">
        <f aca="false">IF($A239="","",H239*G239)</f>
        <v/>
      </c>
      <c r="J239" s="19" t="str">
        <f aca="false">IF($A239="","",F239+I239)</f>
        <v/>
      </c>
      <c r="K239" s="19" t="str">
        <f aca="false">IF($A239="","",H239+E239)</f>
        <v/>
      </c>
      <c r="L239" s="20" t="str">
        <f aca="false">IF($A239="","",K239-J239-N239)</f>
        <v/>
      </c>
      <c r="M239" s="15" t="str">
        <f aca="false">IF($A239="","",INDEX(PERLINE!$A$2:$A$3001,MATCH($A239,PERLINE!$N$2:$N$3001,0)))</f>
        <v/>
      </c>
      <c r="N239" s="21" t="str">
        <f aca="false">IF($A239="","",SUMIFS(PERLINE!$M$2:$M$3001,PERLINE!$N$2:$N$3001,$A239))</f>
        <v/>
      </c>
    </row>
    <row r="240" customFormat="false" ht="15" hidden="false" customHeight="false" outlineLevel="0" collapsed="false">
      <c r="A240" s="15" t="str">
        <f aca="false">IF(ROWS($A$2:$A240)&lt;=Check!$C$4,SMALL(PERLINE!$AL$2:$AL$3001,ROWS($A$2:$A240)),"")</f>
        <v/>
      </c>
      <c r="B240" s="15" t="str">
        <f aca="false">IF($A240="","",INDEX(PERLINE!$J$2:$J$3001,MATCH($A240,PERLINE!$N$2:$N$3001,0)))</f>
        <v/>
      </c>
      <c r="C240" s="16" t="str">
        <f aca="false">IF($A240="","",INDEX(PERLINE!$I$2:$I$3001,MATCH($A240,PERLINE!$N$2:$N$3001,0)))</f>
        <v/>
      </c>
      <c r="D240" s="17" t="str">
        <f aca="false">IF($A240="","",'كشف المطالبة'!$D$6)</f>
        <v/>
      </c>
      <c r="E240" s="18" t="str">
        <f aca="false">IF($A240="","",SUMIFS(PERLINE!$U$2:$U$3001,PERLINE!$N$2:$N$3001,$A240,PERLINE!$AK$2:$AK$3001,0))</f>
        <v/>
      </c>
      <c r="F240" s="19" t="str">
        <f aca="false">IF($A240="","",E240*D240)</f>
        <v/>
      </c>
      <c r="G240" s="17" t="str">
        <f aca="false">IF($A240="","",'كشف المطالبة'!$D$5)</f>
        <v/>
      </c>
      <c r="H240" s="18" t="str">
        <f aca="false">IF($A240="","",SUMIFS(PERLINE!$U$2:$U$3001,PERLINE!$N$2:$N$3001,$A240,PERLINE!$AK$2:$AK$3001,1))</f>
        <v/>
      </c>
      <c r="I240" s="19" t="str">
        <f aca="false">IF($A240="","",H240*G240)</f>
        <v/>
      </c>
      <c r="J240" s="19" t="str">
        <f aca="false">IF($A240="","",F240+I240)</f>
        <v/>
      </c>
      <c r="K240" s="19" t="str">
        <f aca="false">IF($A240="","",H240+E240)</f>
        <v/>
      </c>
      <c r="L240" s="20" t="str">
        <f aca="false">IF($A240="","",K240-J240-N240)</f>
        <v/>
      </c>
      <c r="M240" s="15" t="str">
        <f aca="false">IF($A240="","",INDEX(PERLINE!$A$2:$A$3001,MATCH($A240,PERLINE!$N$2:$N$3001,0)))</f>
        <v/>
      </c>
      <c r="N240" s="21" t="str">
        <f aca="false">IF($A240="","",SUMIFS(PERLINE!$M$2:$M$3001,PERLINE!$N$2:$N$3001,$A240))</f>
        <v/>
      </c>
    </row>
    <row r="241" customFormat="false" ht="15" hidden="false" customHeight="false" outlineLevel="0" collapsed="false">
      <c r="A241" s="15" t="str">
        <f aca="false">IF(ROWS($A$2:$A241)&lt;=Check!$C$4,SMALL(PERLINE!$AL$2:$AL$3001,ROWS($A$2:$A241)),"")</f>
        <v/>
      </c>
      <c r="B241" s="15" t="str">
        <f aca="false">IF($A241="","",INDEX(PERLINE!$J$2:$J$3001,MATCH($A241,PERLINE!$N$2:$N$3001,0)))</f>
        <v/>
      </c>
      <c r="C241" s="16" t="str">
        <f aca="false">IF($A241="","",INDEX(PERLINE!$I$2:$I$3001,MATCH($A241,PERLINE!$N$2:$N$3001,0)))</f>
        <v/>
      </c>
      <c r="D241" s="17" t="str">
        <f aca="false">IF($A241="","",'كشف المطالبة'!$D$6)</f>
        <v/>
      </c>
      <c r="E241" s="18" t="str">
        <f aca="false">IF($A241="","",SUMIFS(PERLINE!$U$2:$U$3001,PERLINE!$N$2:$N$3001,$A241,PERLINE!$AK$2:$AK$3001,0))</f>
        <v/>
      </c>
      <c r="F241" s="19" t="str">
        <f aca="false">IF($A241="","",E241*D241)</f>
        <v/>
      </c>
      <c r="G241" s="17" t="str">
        <f aca="false">IF($A241="","",'كشف المطالبة'!$D$5)</f>
        <v/>
      </c>
      <c r="H241" s="18" t="str">
        <f aca="false">IF($A241="","",SUMIFS(PERLINE!$U$2:$U$3001,PERLINE!$N$2:$N$3001,$A241,PERLINE!$AK$2:$AK$3001,1))</f>
        <v/>
      </c>
      <c r="I241" s="19" t="str">
        <f aca="false">IF($A241="","",H241*G241)</f>
        <v/>
      </c>
      <c r="J241" s="19" t="str">
        <f aca="false">IF($A241="","",F241+I241)</f>
        <v/>
      </c>
      <c r="K241" s="19" t="str">
        <f aca="false">IF($A241="","",H241+E241)</f>
        <v/>
      </c>
      <c r="L241" s="20" t="str">
        <f aca="false">IF($A241="","",K241-J241-N241)</f>
        <v/>
      </c>
      <c r="M241" s="15" t="str">
        <f aca="false">IF($A241="","",INDEX(PERLINE!$A$2:$A$3001,MATCH($A241,PERLINE!$N$2:$N$3001,0)))</f>
        <v/>
      </c>
      <c r="N241" s="21" t="str">
        <f aca="false">IF($A241="","",SUMIFS(PERLINE!$M$2:$M$3001,PERLINE!$N$2:$N$3001,$A241))</f>
        <v/>
      </c>
    </row>
    <row r="242" customFormat="false" ht="15" hidden="false" customHeight="false" outlineLevel="0" collapsed="false">
      <c r="A242" s="15" t="str">
        <f aca="false">IF(ROWS($A$2:$A242)&lt;=Check!$C$4,SMALL(PERLINE!$AL$2:$AL$3001,ROWS($A$2:$A242)),"")</f>
        <v/>
      </c>
      <c r="B242" s="15" t="str">
        <f aca="false">IF($A242="","",INDEX(PERLINE!$J$2:$J$3001,MATCH($A242,PERLINE!$N$2:$N$3001,0)))</f>
        <v/>
      </c>
      <c r="C242" s="16" t="str">
        <f aca="false">IF($A242="","",INDEX(PERLINE!$I$2:$I$3001,MATCH($A242,PERLINE!$N$2:$N$3001,0)))</f>
        <v/>
      </c>
      <c r="D242" s="17" t="str">
        <f aca="false">IF($A242="","",'كشف المطالبة'!$D$6)</f>
        <v/>
      </c>
      <c r="E242" s="18" t="str">
        <f aca="false">IF($A242="","",SUMIFS(PERLINE!$U$2:$U$3001,PERLINE!$N$2:$N$3001,$A242,PERLINE!$AK$2:$AK$3001,0))</f>
        <v/>
      </c>
      <c r="F242" s="19" t="str">
        <f aca="false">IF($A242="","",E242*D242)</f>
        <v/>
      </c>
      <c r="G242" s="17" t="str">
        <f aca="false">IF($A242="","",'كشف المطالبة'!$D$5)</f>
        <v/>
      </c>
      <c r="H242" s="18" t="str">
        <f aca="false">IF($A242="","",SUMIFS(PERLINE!$U$2:$U$3001,PERLINE!$N$2:$N$3001,$A242,PERLINE!$AK$2:$AK$3001,1))</f>
        <v/>
      </c>
      <c r="I242" s="19" t="str">
        <f aca="false">IF($A242="","",H242*G242)</f>
        <v/>
      </c>
      <c r="J242" s="19" t="str">
        <f aca="false">IF($A242="","",F242+I242)</f>
        <v/>
      </c>
      <c r="K242" s="19" t="str">
        <f aca="false">IF($A242="","",H242+E242)</f>
        <v/>
      </c>
      <c r="L242" s="20" t="str">
        <f aca="false">IF($A242="","",K242-J242-N242)</f>
        <v/>
      </c>
      <c r="M242" s="15" t="str">
        <f aca="false">IF($A242="","",INDEX(PERLINE!$A$2:$A$3001,MATCH($A242,PERLINE!$N$2:$N$3001,0)))</f>
        <v/>
      </c>
      <c r="N242" s="21" t="str">
        <f aca="false">IF($A242="","",SUMIFS(PERLINE!$M$2:$M$3001,PERLINE!$N$2:$N$3001,$A242))</f>
        <v/>
      </c>
    </row>
    <row r="243" customFormat="false" ht="15" hidden="false" customHeight="false" outlineLevel="0" collapsed="false">
      <c r="A243" s="15" t="str">
        <f aca="false">IF(ROWS($A$2:$A243)&lt;=Check!$C$4,SMALL(PERLINE!$AL$2:$AL$3001,ROWS($A$2:$A243)),"")</f>
        <v/>
      </c>
      <c r="B243" s="15" t="str">
        <f aca="false">IF($A243="","",INDEX(PERLINE!$J$2:$J$3001,MATCH($A243,PERLINE!$N$2:$N$3001,0)))</f>
        <v/>
      </c>
      <c r="C243" s="16" t="str">
        <f aca="false">IF($A243="","",INDEX(PERLINE!$I$2:$I$3001,MATCH($A243,PERLINE!$N$2:$N$3001,0)))</f>
        <v/>
      </c>
      <c r="D243" s="17" t="str">
        <f aca="false">IF($A243="","",'كشف المطالبة'!$D$6)</f>
        <v/>
      </c>
      <c r="E243" s="18" t="str">
        <f aca="false">IF($A243="","",SUMIFS(PERLINE!$U$2:$U$3001,PERLINE!$N$2:$N$3001,$A243,PERLINE!$AK$2:$AK$3001,0))</f>
        <v/>
      </c>
      <c r="F243" s="19" t="str">
        <f aca="false">IF($A243="","",E243*D243)</f>
        <v/>
      </c>
      <c r="G243" s="17" t="str">
        <f aca="false">IF($A243="","",'كشف المطالبة'!$D$5)</f>
        <v/>
      </c>
      <c r="H243" s="18" t="str">
        <f aca="false">IF($A243="","",SUMIFS(PERLINE!$U$2:$U$3001,PERLINE!$N$2:$N$3001,$A243,PERLINE!$AK$2:$AK$3001,1))</f>
        <v/>
      </c>
      <c r="I243" s="19" t="str">
        <f aca="false">IF($A243="","",H243*G243)</f>
        <v/>
      </c>
      <c r="J243" s="19" t="str">
        <f aca="false">IF($A243="","",F243+I243)</f>
        <v/>
      </c>
      <c r="K243" s="19" t="str">
        <f aca="false">IF($A243="","",H243+E243)</f>
        <v/>
      </c>
      <c r="L243" s="20" t="str">
        <f aca="false">IF($A243="","",K243-J243-N243)</f>
        <v/>
      </c>
      <c r="M243" s="15" t="str">
        <f aca="false">IF($A243="","",INDEX(PERLINE!$A$2:$A$3001,MATCH($A243,PERLINE!$N$2:$N$3001,0)))</f>
        <v/>
      </c>
      <c r="N243" s="21" t="str">
        <f aca="false">IF($A243="","",SUMIFS(PERLINE!$M$2:$M$3001,PERLINE!$N$2:$N$3001,$A243))</f>
        <v/>
      </c>
    </row>
    <row r="244" customFormat="false" ht="15" hidden="false" customHeight="false" outlineLevel="0" collapsed="false">
      <c r="A244" s="15" t="str">
        <f aca="false">IF(ROWS($A$2:$A244)&lt;=Check!$C$4,SMALL(PERLINE!$AL$2:$AL$3001,ROWS($A$2:$A244)),"")</f>
        <v/>
      </c>
      <c r="B244" s="15" t="str">
        <f aca="false">IF($A244="","",INDEX(PERLINE!$J$2:$J$3001,MATCH($A244,PERLINE!$N$2:$N$3001,0)))</f>
        <v/>
      </c>
      <c r="C244" s="16" t="str">
        <f aca="false">IF($A244="","",INDEX(PERLINE!$I$2:$I$3001,MATCH($A244,PERLINE!$N$2:$N$3001,0)))</f>
        <v/>
      </c>
      <c r="D244" s="17" t="str">
        <f aca="false">IF($A244="","",'كشف المطالبة'!$D$6)</f>
        <v/>
      </c>
      <c r="E244" s="18" t="str">
        <f aca="false">IF($A244="","",SUMIFS(PERLINE!$U$2:$U$3001,PERLINE!$N$2:$N$3001,$A244,PERLINE!$AK$2:$AK$3001,0))</f>
        <v/>
      </c>
      <c r="F244" s="19" t="str">
        <f aca="false">IF($A244="","",E244*D244)</f>
        <v/>
      </c>
      <c r="G244" s="17" t="str">
        <f aca="false">IF($A244="","",'كشف المطالبة'!$D$5)</f>
        <v/>
      </c>
      <c r="H244" s="18" t="str">
        <f aca="false">IF($A244="","",SUMIFS(PERLINE!$U$2:$U$3001,PERLINE!$N$2:$N$3001,$A244,PERLINE!$AK$2:$AK$3001,1))</f>
        <v/>
      </c>
      <c r="I244" s="19" t="str">
        <f aca="false">IF($A244="","",H244*G244)</f>
        <v/>
      </c>
      <c r="J244" s="19" t="str">
        <f aca="false">IF($A244="","",F244+I244)</f>
        <v/>
      </c>
      <c r="K244" s="19" t="str">
        <f aca="false">IF($A244="","",H244+E244)</f>
        <v/>
      </c>
      <c r="L244" s="20" t="str">
        <f aca="false">IF($A244="","",K244-J244-N244)</f>
        <v/>
      </c>
      <c r="M244" s="15" t="str">
        <f aca="false">IF($A244="","",INDEX(PERLINE!$A$2:$A$3001,MATCH($A244,PERLINE!$N$2:$N$3001,0)))</f>
        <v/>
      </c>
      <c r="N244" s="21" t="str">
        <f aca="false">IF($A244="","",SUMIFS(PERLINE!$M$2:$M$3001,PERLINE!$N$2:$N$3001,$A244))</f>
        <v/>
      </c>
    </row>
    <row r="245" customFormat="false" ht="15" hidden="false" customHeight="false" outlineLevel="0" collapsed="false">
      <c r="A245" s="15" t="str">
        <f aca="false">IF(ROWS($A$2:$A245)&lt;=Check!$C$4,SMALL(PERLINE!$AL$2:$AL$3001,ROWS($A$2:$A245)),"")</f>
        <v/>
      </c>
      <c r="B245" s="15" t="str">
        <f aca="false">IF($A245="","",INDEX(PERLINE!$J$2:$J$3001,MATCH($A245,PERLINE!$N$2:$N$3001,0)))</f>
        <v/>
      </c>
      <c r="C245" s="16" t="str">
        <f aca="false">IF($A245="","",INDEX(PERLINE!$I$2:$I$3001,MATCH($A245,PERLINE!$N$2:$N$3001,0)))</f>
        <v/>
      </c>
      <c r="D245" s="17" t="str">
        <f aca="false">IF($A245="","",'كشف المطالبة'!$D$6)</f>
        <v/>
      </c>
      <c r="E245" s="18" t="str">
        <f aca="false">IF($A245="","",SUMIFS(PERLINE!$U$2:$U$3001,PERLINE!$N$2:$N$3001,$A245,PERLINE!$AK$2:$AK$3001,0))</f>
        <v/>
      </c>
      <c r="F245" s="19" t="str">
        <f aca="false">IF($A245="","",E245*D245)</f>
        <v/>
      </c>
      <c r="G245" s="17" t="str">
        <f aca="false">IF($A245="","",'كشف المطالبة'!$D$5)</f>
        <v/>
      </c>
      <c r="H245" s="18" t="str">
        <f aca="false">IF($A245="","",SUMIFS(PERLINE!$U$2:$U$3001,PERLINE!$N$2:$N$3001,$A245,PERLINE!$AK$2:$AK$3001,1))</f>
        <v/>
      </c>
      <c r="I245" s="19" t="str">
        <f aca="false">IF($A245="","",H245*G245)</f>
        <v/>
      </c>
      <c r="J245" s="19" t="str">
        <f aca="false">IF($A245="","",F245+I245)</f>
        <v/>
      </c>
      <c r="K245" s="19" t="str">
        <f aca="false">IF($A245="","",H245+E245)</f>
        <v/>
      </c>
      <c r="L245" s="20" t="str">
        <f aca="false">IF($A245="","",K245-J245-N245)</f>
        <v/>
      </c>
      <c r="M245" s="15" t="str">
        <f aca="false">IF($A245="","",INDEX(PERLINE!$A$2:$A$3001,MATCH($A245,PERLINE!$N$2:$N$3001,0)))</f>
        <v/>
      </c>
      <c r="N245" s="21" t="str">
        <f aca="false">IF($A245="","",SUMIFS(PERLINE!$M$2:$M$3001,PERLINE!$N$2:$N$3001,$A245))</f>
        <v/>
      </c>
    </row>
    <row r="246" customFormat="false" ht="15" hidden="false" customHeight="false" outlineLevel="0" collapsed="false">
      <c r="A246" s="15" t="str">
        <f aca="false">IF(ROWS($A$2:$A246)&lt;=Check!$C$4,SMALL(PERLINE!$AL$2:$AL$3001,ROWS($A$2:$A246)),"")</f>
        <v/>
      </c>
      <c r="B246" s="15" t="str">
        <f aca="false">IF($A246="","",INDEX(PERLINE!$J$2:$J$3001,MATCH($A246,PERLINE!$N$2:$N$3001,0)))</f>
        <v/>
      </c>
      <c r="C246" s="16" t="str">
        <f aca="false">IF($A246="","",INDEX(PERLINE!$I$2:$I$3001,MATCH($A246,PERLINE!$N$2:$N$3001,0)))</f>
        <v/>
      </c>
      <c r="D246" s="17" t="str">
        <f aca="false">IF($A246="","",'كشف المطالبة'!$D$6)</f>
        <v/>
      </c>
      <c r="E246" s="18" t="str">
        <f aca="false">IF($A246="","",SUMIFS(PERLINE!$U$2:$U$3001,PERLINE!$N$2:$N$3001,$A246,PERLINE!$AK$2:$AK$3001,0))</f>
        <v/>
      </c>
      <c r="F246" s="19" t="str">
        <f aca="false">IF($A246="","",E246*D246)</f>
        <v/>
      </c>
      <c r="G246" s="17" t="str">
        <f aca="false">IF($A246="","",'كشف المطالبة'!$D$5)</f>
        <v/>
      </c>
      <c r="H246" s="18" t="str">
        <f aca="false">IF($A246="","",SUMIFS(PERLINE!$U$2:$U$3001,PERLINE!$N$2:$N$3001,$A246,PERLINE!$AK$2:$AK$3001,1))</f>
        <v/>
      </c>
      <c r="I246" s="19" t="str">
        <f aca="false">IF($A246="","",H246*G246)</f>
        <v/>
      </c>
      <c r="J246" s="19" t="str">
        <f aca="false">IF($A246="","",F246+I246)</f>
        <v/>
      </c>
      <c r="K246" s="19" t="str">
        <f aca="false">IF($A246="","",H246+E246)</f>
        <v/>
      </c>
      <c r="L246" s="20" t="str">
        <f aca="false">IF($A246="","",K246-J246-N246)</f>
        <v/>
      </c>
      <c r="M246" s="15" t="str">
        <f aca="false">IF($A246="","",INDEX(PERLINE!$A$2:$A$3001,MATCH($A246,PERLINE!$N$2:$N$3001,0)))</f>
        <v/>
      </c>
      <c r="N246" s="21" t="str">
        <f aca="false">IF($A246="","",SUMIFS(PERLINE!$M$2:$M$3001,PERLINE!$N$2:$N$3001,$A246))</f>
        <v/>
      </c>
    </row>
    <row r="247" customFormat="false" ht="15" hidden="false" customHeight="false" outlineLevel="0" collapsed="false">
      <c r="A247" s="15" t="str">
        <f aca="false">IF(ROWS($A$2:$A247)&lt;=Check!$C$4,SMALL(PERLINE!$AL$2:$AL$3001,ROWS($A$2:$A247)),"")</f>
        <v/>
      </c>
      <c r="B247" s="15" t="str">
        <f aca="false">IF($A247="","",INDEX(PERLINE!$J$2:$J$3001,MATCH($A247,PERLINE!$N$2:$N$3001,0)))</f>
        <v/>
      </c>
      <c r="C247" s="16" t="str">
        <f aca="false">IF($A247="","",INDEX(PERLINE!$I$2:$I$3001,MATCH($A247,PERLINE!$N$2:$N$3001,0)))</f>
        <v/>
      </c>
      <c r="D247" s="17" t="str">
        <f aca="false">IF($A247="","",'كشف المطالبة'!$D$6)</f>
        <v/>
      </c>
      <c r="E247" s="18" t="str">
        <f aca="false">IF($A247="","",SUMIFS(PERLINE!$U$2:$U$3001,PERLINE!$N$2:$N$3001,$A247,PERLINE!$AK$2:$AK$3001,0))</f>
        <v/>
      </c>
      <c r="F247" s="19" t="str">
        <f aca="false">IF($A247="","",E247*D247)</f>
        <v/>
      </c>
      <c r="G247" s="17" t="str">
        <f aca="false">IF($A247="","",'كشف المطالبة'!$D$5)</f>
        <v/>
      </c>
      <c r="H247" s="18" t="str">
        <f aca="false">IF($A247="","",SUMIFS(PERLINE!$U$2:$U$3001,PERLINE!$N$2:$N$3001,$A247,PERLINE!$AK$2:$AK$3001,1))</f>
        <v/>
      </c>
      <c r="I247" s="19" t="str">
        <f aca="false">IF($A247="","",H247*G247)</f>
        <v/>
      </c>
      <c r="J247" s="19" t="str">
        <f aca="false">IF($A247="","",F247+I247)</f>
        <v/>
      </c>
      <c r="K247" s="19" t="str">
        <f aca="false">IF($A247="","",H247+E247)</f>
        <v/>
      </c>
      <c r="L247" s="20" t="str">
        <f aca="false">IF($A247="","",K247-J247-N247)</f>
        <v/>
      </c>
      <c r="M247" s="15" t="str">
        <f aca="false">IF($A247="","",INDEX(PERLINE!$A$2:$A$3001,MATCH($A247,PERLINE!$N$2:$N$3001,0)))</f>
        <v/>
      </c>
      <c r="N247" s="21" t="str">
        <f aca="false">IF($A247="","",SUMIFS(PERLINE!$M$2:$M$3001,PERLINE!$N$2:$N$3001,$A247))</f>
        <v/>
      </c>
    </row>
    <row r="248" customFormat="false" ht="15" hidden="false" customHeight="false" outlineLevel="0" collapsed="false">
      <c r="A248" s="15" t="str">
        <f aca="false">IF(ROWS($A$2:$A248)&lt;=Check!$C$4,SMALL(PERLINE!$AL$2:$AL$3001,ROWS($A$2:$A248)),"")</f>
        <v/>
      </c>
      <c r="B248" s="15" t="str">
        <f aca="false">IF($A248="","",INDEX(PERLINE!$J$2:$J$3001,MATCH($A248,PERLINE!$N$2:$N$3001,0)))</f>
        <v/>
      </c>
      <c r="C248" s="16" t="str">
        <f aca="false">IF($A248="","",INDEX(PERLINE!$I$2:$I$3001,MATCH($A248,PERLINE!$N$2:$N$3001,0)))</f>
        <v/>
      </c>
      <c r="D248" s="17" t="str">
        <f aca="false">IF($A248="","",'كشف المطالبة'!$D$6)</f>
        <v/>
      </c>
      <c r="E248" s="18" t="str">
        <f aca="false">IF($A248="","",SUMIFS(PERLINE!$U$2:$U$3001,PERLINE!$N$2:$N$3001,$A248,PERLINE!$AK$2:$AK$3001,0))</f>
        <v/>
      </c>
      <c r="F248" s="19" t="str">
        <f aca="false">IF($A248="","",E248*D248)</f>
        <v/>
      </c>
      <c r="G248" s="17" t="str">
        <f aca="false">IF($A248="","",'كشف المطالبة'!$D$5)</f>
        <v/>
      </c>
      <c r="H248" s="18" t="str">
        <f aca="false">IF($A248="","",SUMIFS(PERLINE!$U$2:$U$3001,PERLINE!$N$2:$N$3001,$A248,PERLINE!$AK$2:$AK$3001,1))</f>
        <v/>
      </c>
      <c r="I248" s="19" t="str">
        <f aca="false">IF($A248="","",H248*G248)</f>
        <v/>
      </c>
      <c r="J248" s="19" t="str">
        <f aca="false">IF($A248="","",F248+I248)</f>
        <v/>
      </c>
      <c r="K248" s="19" t="str">
        <f aca="false">IF($A248="","",H248+E248)</f>
        <v/>
      </c>
      <c r="L248" s="20" t="str">
        <f aca="false">IF($A248="","",K248-J248-N248)</f>
        <v/>
      </c>
      <c r="M248" s="15" t="str">
        <f aca="false">IF($A248="","",INDEX(PERLINE!$A$2:$A$3001,MATCH($A248,PERLINE!$N$2:$N$3001,0)))</f>
        <v/>
      </c>
      <c r="N248" s="21" t="str">
        <f aca="false">IF($A248="","",SUMIFS(PERLINE!$M$2:$M$3001,PERLINE!$N$2:$N$3001,$A248))</f>
        <v/>
      </c>
    </row>
    <row r="249" customFormat="false" ht="15" hidden="false" customHeight="false" outlineLevel="0" collapsed="false">
      <c r="A249" s="15" t="str">
        <f aca="false">IF(ROWS($A$2:$A249)&lt;=Check!$C$4,SMALL(PERLINE!$AL$2:$AL$3001,ROWS($A$2:$A249)),"")</f>
        <v/>
      </c>
      <c r="B249" s="15" t="str">
        <f aca="false">IF($A249="","",INDEX(PERLINE!$J$2:$J$3001,MATCH($A249,PERLINE!$N$2:$N$3001,0)))</f>
        <v/>
      </c>
      <c r="C249" s="16" t="str">
        <f aca="false">IF($A249="","",INDEX(PERLINE!$I$2:$I$3001,MATCH($A249,PERLINE!$N$2:$N$3001,0)))</f>
        <v/>
      </c>
      <c r="D249" s="17" t="str">
        <f aca="false">IF($A249="","",'كشف المطالبة'!$D$6)</f>
        <v/>
      </c>
      <c r="E249" s="18" t="str">
        <f aca="false">IF($A249="","",SUMIFS(PERLINE!$U$2:$U$3001,PERLINE!$N$2:$N$3001,$A249,PERLINE!$AK$2:$AK$3001,0))</f>
        <v/>
      </c>
      <c r="F249" s="19" t="str">
        <f aca="false">IF($A249="","",E249*D249)</f>
        <v/>
      </c>
      <c r="G249" s="17" t="str">
        <f aca="false">IF($A249="","",'كشف المطالبة'!$D$5)</f>
        <v/>
      </c>
      <c r="H249" s="18" t="str">
        <f aca="false">IF($A249="","",SUMIFS(PERLINE!$U$2:$U$3001,PERLINE!$N$2:$N$3001,$A249,PERLINE!$AK$2:$AK$3001,1))</f>
        <v/>
      </c>
      <c r="I249" s="19" t="str">
        <f aca="false">IF($A249="","",H249*G249)</f>
        <v/>
      </c>
      <c r="J249" s="19" t="str">
        <f aca="false">IF($A249="","",F249+I249)</f>
        <v/>
      </c>
      <c r="K249" s="19" t="str">
        <f aca="false">IF($A249="","",H249+E249)</f>
        <v/>
      </c>
      <c r="L249" s="20" t="str">
        <f aca="false">IF($A249="","",K249-J249-N249)</f>
        <v/>
      </c>
      <c r="M249" s="15" t="str">
        <f aca="false">IF($A249="","",INDEX(PERLINE!$A$2:$A$3001,MATCH($A249,PERLINE!$N$2:$N$3001,0)))</f>
        <v/>
      </c>
      <c r="N249" s="21" t="str">
        <f aca="false">IF($A249="","",SUMIFS(PERLINE!$M$2:$M$3001,PERLINE!$N$2:$N$3001,$A249))</f>
        <v/>
      </c>
    </row>
    <row r="250" customFormat="false" ht="15" hidden="false" customHeight="false" outlineLevel="0" collapsed="false">
      <c r="A250" s="15" t="str">
        <f aca="false">IF(ROWS($A$2:$A250)&lt;=Check!$C$4,SMALL(PERLINE!$AL$2:$AL$3001,ROWS($A$2:$A250)),"")</f>
        <v/>
      </c>
      <c r="B250" s="15" t="str">
        <f aca="false">IF($A250="","",INDEX(PERLINE!$J$2:$J$3001,MATCH($A250,PERLINE!$N$2:$N$3001,0)))</f>
        <v/>
      </c>
      <c r="C250" s="16" t="str">
        <f aca="false">IF($A250="","",INDEX(PERLINE!$I$2:$I$3001,MATCH($A250,PERLINE!$N$2:$N$3001,0)))</f>
        <v/>
      </c>
      <c r="D250" s="17" t="str">
        <f aca="false">IF($A250="","",'كشف المطالبة'!$D$6)</f>
        <v/>
      </c>
      <c r="E250" s="18" t="str">
        <f aca="false">IF($A250="","",SUMIFS(PERLINE!$U$2:$U$3001,PERLINE!$N$2:$N$3001,$A250,PERLINE!$AK$2:$AK$3001,0))</f>
        <v/>
      </c>
      <c r="F250" s="19" t="str">
        <f aca="false">IF($A250="","",E250*D250)</f>
        <v/>
      </c>
      <c r="G250" s="17" t="str">
        <f aca="false">IF($A250="","",'كشف المطالبة'!$D$5)</f>
        <v/>
      </c>
      <c r="H250" s="18" t="str">
        <f aca="false">IF($A250="","",SUMIFS(PERLINE!$U$2:$U$3001,PERLINE!$N$2:$N$3001,$A250,PERLINE!$AK$2:$AK$3001,1))</f>
        <v/>
      </c>
      <c r="I250" s="19" t="str">
        <f aca="false">IF($A250="","",H250*G250)</f>
        <v/>
      </c>
      <c r="J250" s="19" t="str">
        <f aca="false">IF($A250="","",F250+I250)</f>
        <v/>
      </c>
      <c r="K250" s="19" t="str">
        <f aca="false">IF($A250="","",H250+E250)</f>
        <v/>
      </c>
      <c r="L250" s="20" t="str">
        <f aca="false">IF($A250="","",K250-J250-N250)</f>
        <v/>
      </c>
      <c r="M250" s="15" t="str">
        <f aca="false">IF($A250="","",INDEX(PERLINE!$A$2:$A$3001,MATCH($A250,PERLINE!$N$2:$N$3001,0)))</f>
        <v/>
      </c>
      <c r="N250" s="21" t="str">
        <f aca="false">IF($A250="","",SUMIFS(PERLINE!$M$2:$M$3001,PERLINE!$N$2:$N$3001,$A250))</f>
        <v/>
      </c>
    </row>
    <row r="251" customFormat="false" ht="15" hidden="false" customHeight="false" outlineLevel="0" collapsed="false">
      <c r="A251" s="15" t="str">
        <f aca="false">IF(ROWS($A$2:$A251)&lt;=Check!$C$4,SMALL(PERLINE!$AL$2:$AL$3001,ROWS($A$2:$A251)),"")</f>
        <v/>
      </c>
      <c r="B251" s="15" t="str">
        <f aca="false">IF($A251="","",INDEX(PERLINE!$J$2:$J$3001,MATCH($A251,PERLINE!$N$2:$N$3001,0)))</f>
        <v/>
      </c>
      <c r="C251" s="16" t="str">
        <f aca="false">IF($A251="","",INDEX(PERLINE!$I$2:$I$3001,MATCH($A251,PERLINE!$N$2:$N$3001,0)))</f>
        <v/>
      </c>
      <c r="D251" s="17" t="str">
        <f aca="false">IF($A251="","",'كشف المطالبة'!$D$6)</f>
        <v/>
      </c>
      <c r="E251" s="18" t="str">
        <f aca="false">IF($A251="","",SUMIFS(PERLINE!$U$2:$U$3001,PERLINE!$N$2:$N$3001,$A251,PERLINE!$AK$2:$AK$3001,0))</f>
        <v/>
      </c>
      <c r="F251" s="19" t="str">
        <f aca="false">IF($A251="","",E251*D251)</f>
        <v/>
      </c>
      <c r="G251" s="17" t="str">
        <f aca="false">IF($A251="","",'كشف المطالبة'!$D$5)</f>
        <v/>
      </c>
      <c r="H251" s="18" t="str">
        <f aca="false">IF($A251="","",SUMIFS(PERLINE!$U$2:$U$3001,PERLINE!$N$2:$N$3001,$A251,PERLINE!$AK$2:$AK$3001,1))</f>
        <v/>
      </c>
      <c r="I251" s="19" t="str">
        <f aca="false">IF($A251="","",H251*G251)</f>
        <v/>
      </c>
      <c r="J251" s="19" t="str">
        <f aca="false">IF($A251="","",F251+I251)</f>
        <v/>
      </c>
      <c r="K251" s="19" t="str">
        <f aca="false">IF($A251="","",H251+E251)</f>
        <v/>
      </c>
      <c r="L251" s="20" t="str">
        <f aca="false">IF($A251="","",K251-J251-N251)</f>
        <v/>
      </c>
      <c r="M251" s="15" t="str">
        <f aca="false">IF($A251="","",INDEX(PERLINE!$A$2:$A$3001,MATCH($A251,PERLINE!$N$2:$N$3001,0)))</f>
        <v/>
      </c>
      <c r="N251" s="21" t="str">
        <f aca="false">IF($A251="","",SUMIFS(PERLINE!$M$2:$M$3001,PERLINE!$N$2:$N$3001,$A251))</f>
        <v/>
      </c>
    </row>
    <row r="252" customFormat="false" ht="15" hidden="false" customHeight="false" outlineLevel="0" collapsed="false">
      <c r="A252" s="15" t="str">
        <f aca="false">IF(ROWS($A$2:$A252)&lt;=Check!$C$4,SMALL(PERLINE!$AL$2:$AL$3001,ROWS($A$2:$A252)),"")</f>
        <v/>
      </c>
      <c r="B252" s="15" t="str">
        <f aca="false">IF($A252="","",INDEX(PERLINE!$J$2:$J$3001,MATCH($A252,PERLINE!$N$2:$N$3001,0)))</f>
        <v/>
      </c>
      <c r="C252" s="16" t="str">
        <f aca="false">IF($A252="","",INDEX(PERLINE!$I$2:$I$3001,MATCH($A252,PERLINE!$N$2:$N$3001,0)))</f>
        <v/>
      </c>
      <c r="D252" s="17" t="str">
        <f aca="false">IF($A252="","",'كشف المطالبة'!$D$6)</f>
        <v/>
      </c>
      <c r="E252" s="18" t="str">
        <f aca="false">IF($A252="","",SUMIFS(PERLINE!$U$2:$U$3001,PERLINE!$N$2:$N$3001,$A252,PERLINE!$AK$2:$AK$3001,0))</f>
        <v/>
      </c>
      <c r="F252" s="19" t="str">
        <f aca="false">IF($A252="","",E252*D252)</f>
        <v/>
      </c>
      <c r="G252" s="17" t="str">
        <f aca="false">IF($A252="","",'كشف المطالبة'!$D$5)</f>
        <v/>
      </c>
      <c r="H252" s="18" t="str">
        <f aca="false">IF($A252="","",SUMIFS(PERLINE!$U$2:$U$3001,PERLINE!$N$2:$N$3001,$A252,PERLINE!$AK$2:$AK$3001,1))</f>
        <v/>
      </c>
      <c r="I252" s="19" t="str">
        <f aca="false">IF($A252="","",H252*G252)</f>
        <v/>
      </c>
      <c r="J252" s="19" t="str">
        <f aca="false">IF($A252="","",F252+I252)</f>
        <v/>
      </c>
      <c r="K252" s="19" t="str">
        <f aca="false">IF($A252="","",H252+E252)</f>
        <v/>
      </c>
      <c r="L252" s="20" t="str">
        <f aca="false">IF($A252="","",K252-J252-N252)</f>
        <v/>
      </c>
      <c r="M252" s="15" t="str">
        <f aca="false">IF($A252="","",INDEX(PERLINE!$A$2:$A$3001,MATCH($A252,PERLINE!$N$2:$N$3001,0)))</f>
        <v/>
      </c>
      <c r="N252" s="21" t="str">
        <f aca="false">IF($A252="","",SUMIFS(PERLINE!$M$2:$M$3001,PERLINE!$N$2:$N$3001,$A252))</f>
        <v/>
      </c>
    </row>
    <row r="253" customFormat="false" ht="15" hidden="false" customHeight="false" outlineLevel="0" collapsed="false">
      <c r="A253" s="15" t="str">
        <f aca="false">IF(ROWS($A$2:$A253)&lt;=Check!$C$4,SMALL(PERLINE!$AL$2:$AL$3001,ROWS($A$2:$A253)),"")</f>
        <v/>
      </c>
      <c r="B253" s="15" t="str">
        <f aca="false">IF($A253="","",INDEX(PERLINE!$J$2:$J$3001,MATCH($A253,PERLINE!$N$2:$N$3001,0)))</f>
        <v/>
      </c>
      <c r="C253" s="16" t="str">
        <f aca="false">IF($A253="","",INDEX(PERLINE!$I$2:$I$3001,MATCH($A253,PERLINE!$N$2:$N$3001,0)))</f>
        <v/>
      </c>
      <c r="D253" s="17" t="str">
        <f aca="false">IF($A253="","",'كشف المطالبة'!$D$6)</f>
        <v/>
      </c>
      <c r="E253" s="18" t="str">
        <f aca="false">IF($A253="","",SUMIFS(PERLINE!$U$2:$U$3001,PERLINE!$N$2:$N$3001,$A253,PERLINE!$AK$2:$AK$3001,0))</f>
        <v/>
      </c>
      <c r="F253" s="19" t="str">
        <f aca="false">IF($A253="","",E253*D253)</f>
        <v/>
      </c>
      <c r="G253" s="17" t="str">
        <f aca="false">IF($A253="","",'كشف المطالبة'!$D$5)</f>
        <v/>
      </c>
      <c r="H253" s="18" t="str">
        <f aca="false">IF($A253="","",SUMIFS(PERLINE!$U$2:$U$3001,PERLINE!$N$2:$N$3001,$A253,PERLINE!$AK$2:$AK$3001,1))</f>
        <v/>
      </c>
      <c r="I253" s="19" t="str">
        <f aca="false">IF($A253="","",H253*G253)</f>
        <v/>
      </c>
      <c r="J253" s="19" t="str">
        <f aca="false">IF($A253="","",F253+I253)</f>
        <v/>
      </c>
      <c r="K253" s="19" t="str">
        <f aca="false">IF($A253="","",H253+E253)</f>
        <v/>
      </c>
      <c r="L253" s="20" t="str">
        <f aca="false">IF($A253="","",K253-J253-N253)</f>
        <v/>
      </c>
      <c r="M253" s="15" t="str">
        <f aca="false">IF($A253="","",INDEX(PERLINE!$A$2:$A$3001,MATCH($A253,PERLINE!$N$2:$N$3001,0)))</f>
        <v/>
      </c>
      <c r="N253" s="21" t="str">
        <f aca="false">IF($A253="","",SUMIFS(PERLINE!$M$2:$M$3001,PERLINE!$N$2:$N$3001,$A253))</f>
        <v/>
      </c>
    </row>
    <row r="254" customFormat="false" ht="15" hidden="false" customHeight="false" outlineLevel="0" collapsed="false">
      <c r="A254" s="15" t="str">
        <f aca="false">IF(ROWS($A$2:$A254)&lt;=Check!$C$4,SMALL(PERLINE!$AL$2:$AL$3001,ROWS($A$2:$A254)),"")</f>
        <v/>
      </c>
      <c r="B254" s="15" t="str">
        <f aca="false">IF($A254="","",INDEX(PERLINE!$J$2:$J$3001,MATCH($A254,PERLINE!$N$2:$N$3001,0)))</f>
        <v/>
      </c>
      <c r="C254" s="16" t="str">
        <f aca="false">IF($A254="","",INDEX(PERLINE!$I$2:$I$3001,MATCH($A254,PERLINE!$N$2:$N$3001,0)))</f>
        <v/>
      </c>
      <c r="D254" s="17" t="str">
        <f aca="false">IF($A254="","",'كشف المطالبة'!$D$6)</f>
        <v/>
      </c>
      <c r="E254" s="18" t="str">
        <f aca="false">IF($A254="","",SUMIFS(PERLINE!$U$2:$U$3001,PERLINE!$N$2:$N$3001,$A254,PERLINE!$AK$2:$AK$3001,0))</f>
        <v/>
      </c>
      <c r="F254" s="19" t="str">
        <f aca="false">IF($A254="","",E254*D254)</f>
        <v/>
      </c>
      <c r="G254" s="17" t="str">
        <f aca="false">IF($A254="","",'كشف المطالبة'!$D$5)</f>
        <v/>
      </c>
      <c r="H254" s="18" t="str">
        <f aca="false">IF($A254="","",SUMIFS(PERLINE!$U$2:$U$3001,PERLINE!$N$2:$N$3001,$A254,PERLINE!$AK$2:$AK$3001,1))</f>
        <v/>
      </c>
      <c r="I254" s="19" t="str">
        <f aca="false">IF($A254="","",H254*G254)</f>
        <v/>
      </c>
      <c r="J254" s="19" t="str">
        <f aca="false">IF($A254="","",F254+I254)</f>
        <v/>
      </c>
      <c r="K254" s="19" t="str">
        <f aca="false">IF($A254="","",H254+E254)</f>
        <v/>
      </c>
      <c r="L254" s="20" t="str">
        <f aca="false">IF($A254="","",K254-J254-N254)</f>
        <v/>
      </c>
      <c r="M254" s="15" t="str">
        <f aca="false">IF($A254="","",INDEX(PERLINE!$A$2:$A$3001,MATCH($A254,PERLINE!$N$2:$N$3001,0)))</f>
        <v/>
      </c>
      <c r="N254" s="21" t="str">
        <f aca="false">IF($A254="","",SUMIFS(PERLINE!$M$2:$M$3001,PERLINE!$N$2:$N$3001,$A254))</f>
        <v/>
      </c>
    </row>
    <row r="255" customFormat="false" ht="15" hidden="false" customHeight="false" outlineLevel="0" collapsed="false">
      <c r="A255" s="15" t="str">
        <f aca="false">IF(ROWS($A$2:$A255)&lt;=Check!$C$4,SMALL(PERLINE!$AL$2:$AL$3001,ROWS($A$2:$A255)),"")</f>
        <v/>
      </c>
      <c r="B255" s="15" t="str">
        <f aca="false">IF($A255="","",INDEX(PERLINE!$J$2:$J$3001,MATCH($A255,PERLINE!$N$2:$N$3001,0)))</f>
        <v/>
      </c>
      <c r="C255" s="16" t="str">
        <f aca="false">IF($A255="","",INDEX(PERLINE!$I$2:$I$3001,MATCH($A255,PERLINE!$N$2:$N$3001,0)))</f>
        <v/>
      </c>
      <c r="D255" s="17" t="str">
        <f aca="false">IF($A255="","",'كشف المطالبة'!$D$6)</f>
        <v/>
      </c>
      <c r="E255" s="18" t="str">
        <f aca="false">IF($A255="","",SUMIFS(PERLINE!$U$2:$U$3001,PERLINE!$N$2:$N$3001,$A255,PERLINE!$AK$2:$AK$3001,0))</f>
        <v/>
      </c>
      <c r="F255" s="19" t="str">
        <f aca="false">IF($A255="","",E255*D255)</f>
        <v/>
      </c>
      <c r="G255" s="17" t="str">
        <f aca="false">IF($A255="","",'كشف المطالبة'!$D$5)</f>
        <v/>
      </c>
      <c r="H255" s="18" t="str">
        <f aca="false">IF($A255="","",SUMIFS(PERLINE!$U$2:$U$3001,PERLINE!$N$2:$N$3001,$A255,PERLINE!$AK$2:$AK$3001,1))</f>
        <v/>
      </c>
      <c r="I255" s="19" t="str">
        <f aca="false">IF($A255="","",H255*G255)</f>
        <v/>
      </c>
      <c r="J255" s="19" t="str">
        <f aca="false">IF($A255="","",F255+I255)</f>
        <v/>
      </c>
      <c r="K255" s="19" t="str">
        <f aca="false">IF($A255="","",H255+E255)</f>
        <v/>
      </c>
      <c r="L255" s="20" t="str">
        <f aca="false">IF($A255="","",K255-J255-N255)</f>
        <v/>
      </c>
      <c r="M255" s="15" t="str">
        <f aca="false">IF($A255="","",INDEX(PERLINE!$A$2:$A$3001,MATCH($A255,PERLINE!$N$2:$N$3001,0)))</f>
        <v/>
      </c>
      <c r="N255" s="21" t="str">
        <f aca="false">IF($A255="","",SUMIFS(PERLINE!$M$2:$M$3001,PERLINE!$N$2:$N$3001,$A255))</f>
        <v/>
      </c>
    </row>
    <row r="256" customFormat="false" ht="15" hidden="false" customHeight="false" outlineLevel="0" collapsed="false">
      <c r="A256" s="15" t="str">
        <f aca="false">IF(ROWS($A$2:$A256)&lt;=Check!$C$4,SMALL(PERLINE!$AL$2:$AL$3001,ROWS($A$2:$A256)),"")</f>
        <v/>
      </c>
      <c r="B256" s="15" t="str">
        <f aca="false">IF($A256="","",INDEX(PERLINE!$J$2:$J$3001,MATCH($A256,PERLINE!$N$2:$N$3001,0)))</f>
        <v/>
      </c>
      <c r="C256" s="16" t="str">
        <f aca="false">IF($A256="","",INDEX(PERLINE!$I$2:$I$3001,MATCH($A256,PERLINE!$N$2:$N$3001,0)))</f>
        <v/>
      </c>
      <c r="D256" s="17" t="str">
        <f aca="false">IF($A256="","",'كشف المطالبة'!$D$6)</f>
        <v/>
      </c>
      <c r="E256" s="18" t="str">
        <f aca="false">IF($A256="","",SUMIFS(PERLINE!$U$2:$U$3001,PERLINE!$N$2:$N$3001,$A256,PERLINE!$AK$2:$AK$3001,0))</f>
        <v/>
      </c>
      <c r="F256" s="19" t="str">
        <f aca="false">IF($A256="","",E256*D256)</f>
        <v/>
      </c>
      <c r="G256" s="17" t="str">
        <f aca="false">IF($A256="","",'كشف المطالبة'!$D$5)</f>
        <v/>
      </c>
      <c r="H256" s="18" t="str">
        <f aca="false">IF($A256="","",SUMIFS(PERLINE!$U$2:$U$3001,PERLINE!$N$2:$N$3001,$A256,PERLINE!$AK$2:$AK$3001,1))</f>
        <v/>
      </c>
      <c r="I256" s="19" t="str">
        <f aca="false">IF($A256="","",H256*G256)</f>
        <v/>
      </c>
      <c r="J256" s="19" t="str">
        <f aca="false">IF($A256="","",F256+I256)</f>
        <v/>
      </c>
      <c r="K256" s="19" t="str">
        <f aca="false">IF($A256="","",H256+E256)</f>
        <v/>
      </c>
      <c r="L256" s="20" t="str">
        <f aca="false">IF($A256="","",K256-J256-N256)</f>
        <v/>
      </c>
      <c r="M256" s="15" t="str">
        <f aca="false">IF($A256="","",INDEX(PERLINE!$A$2:$A$3001,MATCH($A256,PERLINE!$N$2:$N$3001,0)))</f>
        <v/>
      </c>
      <c r="N256" s="21" t="str">
        <f aca="false">IF($A256="","",SUMIFS(PERLINE!$M$2:$M$3001,PERLINE!$N$2:$N$3001,$A256))</f>
        <v/>
      </c>
    </row>
    <row r="257" customFormat="false" ht="15" hidden="false" customHeight="false" outlineLevel="0" collapsed="false">
      <c r="A257" s="15" t="str">
        <f aca="false">IF(ROWS($A$2:$A257)&lt;=Check!$C$4,SMALL(PERLINE!$AL$2:$AL$3001,ROWS($A$2:$A257)),"")</f>
        <v/>
      </c>
      <c r="B257" s="15" t="str">
        <f aca="false">IF($A257="","",INDEX(PERLINE!$J$2:$J$3001,MATCH($A257,PERLINE!$N$2:$N$3001,0)))</f>
        <v/>
      </c>
      <c r="C257" s="16" t="str">
        <f aca="false">IF($A257="","",INDEX(PERLINE!$I$2:$I$3001,MATCH($A257,PERLINE!$N$2:$N$3001,0)))</f>
        <v/>
      </c>
      <c r="D257" s="17" t="str">
        <f aca="false">IF($A257="","",'كشف المطالبة'!$D$6)</f>
        <v/>
      </c>
      <c r="E257" s="18" t="str">
        <f aca="false">IF($A257="","",SUMIFS(PERLINE!$U$2:$U$3001,PERLINE!$N$2:$N$3001,$A257,PERLINE!$AK$2:$AK$3001,0))</f>
        <v/>
      </c>
      <c r="F257" s="19" t="str">
        <f aca="false">IF($A257="","",E257*D257)</f>
        <v/>
      </c>
      <c r="G257" s="17" t="str">
        <f aca="false">IF($A257="","",'كشف المطالبة'!$D$5)</f>
        <v/>
      </c>
      <c r="H257" s="18" t="str">
        <f aca="false">IF($A257="","",SUMIFS(PERLINE!$U$2:$U$3001,PERLINE!$N$2:$N$3001,$A257,PERLINE!$AK$2:$AK$3001,1))</f>
        <v/>
      </c>
      <c r="I257" s="19" t="str">
        <f aca="false">IF($A257="","",H257*G257)</f>
        <v/>
      </c>
      <c r="J257" s="19" t="str">
        <f aca="false">IF($A257="","",F257+I257)</f>
        <v/>
      </c>
      <c r="K257" s="19" t="str">
        <f aca="false">IF($A257="","",H257+E257)</f>
        <v/>
      </c>
      <c r="L257" s="20" t="str">
        <f aca="false">IF($A257="","",K257-J257-N257)</f>
        <v/>
      </c>
      <c r="M257" s="15" t="str">
        <f aca="false">IF($A257="","",INDEX(PERLINE!$A$2:$A$3001,MATCH($A257,PERLINE!$N$2:$N$3001,0)))</f>
        <v/>
      </c>
      <c r="N257" s="21" t="str">
        <f aca="false">IF($A257="","",SUMIFS(PERLINE!$M$2:$M$3001,PERLINE!$N$2:$N$3001,$A257))</f>
        <v/>
      </c>
    </row>
    <row r="258" customFormat="false" ht="15" hidden="false" customHeight="false" outlineLevel="0" collapsed="false">
      <c r="A258" s="15" t="str">
        <f aca="false">IF(ROWS($A$2:$A258)&lt;=Check!$C$4,SMALL(PERLINE!$AL$2:$AL$3001,ROWS($A$2:$A258)),"")</f>
        <v/>
      </c>
      <c r="B258" s="15" t="str">
        <f aca="false">IF($A258="","",INDEX(PERLINE!$J$2:$J$3001,MATCH($A258,PERLINE!$N$2:$N$3001,0)))</f>
        <v/>
      </c>
      <c r="C258" s="16" t="str">
        <f aca="false">IF($A258="","",INDEX(PERLINE!$I$2:$I$3001,MATCH($A258,PERLINE!$N$2:$N$3001,0)))</f>
        <v/>
      </c>
      <c r="D258" s="17" t="str">
        <f aca="false">IF($A258="","",'كشف المطالبة'!$D$6)</f>
        <v/>
      </c>
      <c r="E258" s="18" t="str">
        <f aca="false">IF($A258="","",SUMIFS(PERLINE!$U$2:$U$3001,PERLINE!$N$2:$N$3001,$A258,PERLINE!$AK$2:$AK$3001,0))</f>
        <v/>
      </c>
      <c r="F258" s="19" t="str">
        <f aca="false">IF($A258="","",E258*D258)</f>
        <v/>
      </c>
      <c r="G258" s="17" t="str">
        <f aca="false">IF($A258="","",'كشف المطالبة'!$D$5)</f>
        <v/>
      </c>
      <c r="H258" s="18" t="str">
        <f aca="false">IF($A258="","",SUMIFS(PERLINE!$U$2:$U$3001,PERLINE!$N$2:$N$3001,$A258,PERLINE!$AK$2:$AK$3001,1))</f>
        <v/>
      </c>
      <c r="I258" s="19" t="str">
        <f aca="false">IF($A258="","",H258*G258)</f>
        <v/>
      </c>
      <c r="J258" s="19" t="str">
        <f aca="false">IF($A258="","",F258+I258)</f>
        <v/>
      </c>
      <c r="K258" s="19" t="str">
        <f aca="false">IF($A258="","",H258+E258)</f>
        <v/>
      </c>
      <c r="L258" s="20" t="str">
        <f aca="false">IF($A258="","",K258-J258-N258)</f>
        <v/>
      </c>
      <c r="M258" s="15" t="str">
        <f aca="false">IF($A258="","",INDEX(PERLINE!$A$2:$A$3001,MATCH($A258,PERLINE!$N$2:$N$3001,0)))</f>
        <v/>
      </c>
      <c r="N258" s="21" t="str">
        <f aca="false">IF($A258="","",SUMIFS(PERLINE!$M$2:$M$3001,PERLINE!$N$2:$N$3001,$A258))</f>
        <v/>
      </c>
    </row>
    <row r="259" customFormat="false" ht="15" hidden="false" customHeight="false" outlineLevel="0" collapsed="false">
      <c r="A259" s="15" t="str">
        <f aca="false">IF(ROWS($A$2:$A259)&lt;=Check!$C$4,SMALL(PERLINE!$AL$2:$AL$3001,ROWS($A$2:$A259)),"")</f>
        <v/>
      </c>
      <c r="B259" s="15" t="str">
        <f aca="false">IF($A259="","",INDEX(PERLINE!$J$2:$J$3001,MATCH($A259,PERLINE!$N$2:$N$3001,0)))</f>
        <v/>
      </c>
      <c r="C259" s="16" t="str">
        <f aca="false">IF($A259="","",INDEX(PERLINE!$I$2:$I$3001,MATCH($A259,PERLINE!$N$2:$N$3001,0)))</f>
        <v/>
      </c>
      <c r="D259" s="17" t="str">
        <f aca="false">IF($A259="","",'كشف المطالبة'!$D$6)</f>
        <v/>
      </c>
      <c r="E259" s="18" t="str">
        <f aca="false">IF($A259="","",SUMIFS(PERLINE!$U$2:$U$3001,PERLINE!$N$2:$N$3001,$A259,PERLINE!$AK$2:$AK$3001,0))</f>
        <v/>
      </c>
      <c r="F259" s="19" t="str">
        <f aca="false">IF($A259="","",E259*D259)</f>
        <v/>
      </c>
      <c r="G259" s="17" t="str">
        <f aca="false">IF($A259="","",'كشف المطالبة'!$D$5)</f>
        <v/>
      </c>
      <c r="H259" s="18" t="str">
        <f aca="false">IF($A259="","",SUMIFS(PERLINE!$U$2:$U$3001,PERLINE!$N$2:$N$3001,$A259,PERLINE!$AK$2:$AK$3001,1))</f>
        <v/>
      </c>
      <c r="I259" s="19" t="str">
        <f aca="false">IF($A259="","",H259*G259)</f>
        <v/>
      </c>
      <c r="J259" s="19" t="str">
        <f aca="false">IF($A259="","",F259+I259)</f>
        <v/>
      </c>
      <c r="K259" s="19" t="str">
        <f aca="false">IF($A259="","",H259+E259)</f>
        <v/>
      </c>
      <c r="L259" s="20" t="str">
        <f aca="false">IF($A259="","",K259-J259-N259)</f>
        <v/>
      </c>
      <c r="M259" s="15" t="str">
        <f aca="false">IF($A259="","",INDEX(PERLINE!$A$2:$A$3001,MATCH($A259,PERLINE!$N$2:$N$3001,0)))</f>
        <v/>
      </c>
      <c r="N259" s="21" t="str">
        <f aca="false">IF($A259="","",SUMIFS(PERLINE!$M$2:$M$3001,PERLINE!$N$2:$N$3001,$A259))</f>
        <v/>
      </c>
    </row>
    <row r="260" customFormat="false" ht="15" hidden="false" customHeight="false" outlineLevel="0" collapsed="false">
      <c r="A260" s="15" t="str">
        <f aca="false">IF(ROWS($A$2:$A260)&lt;=Check!$C$4,SMALL(PERLINE!$AL$2:$AL$3001,ROWS($A$2:$A260)),"")</f>
        <v/>
      </c>
      <c r="B260" s="15" t="str">
        <f aca="false">IF($A260="","",INDEX(PERLINE!$J$2:$J$3001,MATCH($A260,PERLINE!$N$2:$N$3001,0)))</f>
        <v/>
      </c>
      <c r="C260" s="16" t="str">
        <f aca="false">IF($A260="","",INDEX(PERLINE!$I$2:$I$3001,MATCH($A260,PERLINE!$N$2:$N$3001,0)))</f>
        <v/>
      </c>
      <c r="D260" s="17" t="str">
        <f aca="false">IF($A260="","",'كشف المطالبة'!$D$6)</f>
        <v/>
      </c>
      <c r="E260" s="18" t="str">
        <f aca="false">IF($A260="","",SUMIFS(PERLINE!$U$2:$U$3001,PERLINE!$N$2:$N$3001,$A260,PERLINE!$AK$2:$AK$3001,0))</f>
        <v/>
      </c>
      <c r="F260" s="19" t="str">
        <f aca="false">IF($A260="","",E260*D260)</f>
        <v/>
      </c>
      <c r="G260" s="17" t="str">
        <f aca="false">IF($A260="","",'كشف المطالبة'!$D$5)</f>
        <v/>
      </c>
      <c r="H260" s="18" t="str">
        <f aca="false">IF($A260="","",SUMIFS(PERLINE!$U$2:$U$3001,PERLINE!$N$2:$N$3001,$A260,PERLINE!$AK$2:$AK$3001,1))</f>
        <v/>
      </c>
      <c r="I260" s="19" t="str">
        <f aca="false">IF($A260="","",H260*G260)</f>
        <v/>
      </c>
      <c r="J260" s="19" t="str">
        <f aca="false">IF($A260="","",F260+I260)</f>
        <v/>
      </c>
      <c r="K260" s="19" t="str">
        <f aca="false">IF($A260="","",H260+E260)</f>
        <v/>
      </c>
      <c r="L260" s="20" t="str">
        <f aca="false">IF($A260="","",K260-J260-N260)</f>
        <v/>
      </c>
      <c r="M260" s="15" t="str">
        <f aca="false">IF($A260="","",INDEX(PERLINE!$A$2:$A$3001,MATCH($A260,PERLINE!$N$2:$N$3001,0)))</f>
        <v/>
      </c>
      <c r="N260" s="21" t="str">
        <f aca="false">IF($A260="","",SUMIFS(PERLINE!$M$2:$M$3001,PERLINE!$N$2:$N$3001,$A260))</f>
        <v/>
      </c>
    </row>
    <row r="261" customFormat="false" ht="15" hidden="false" customHeight="false" outlineLevel="0" collapsed="false">
      <c r="A261" s="15" t="str">
        <f aca="false">IF(ROWS($A$2:$A261)&lt;=Check!$C$4,SMALL(PERLINE!$AL$2:$AL$3001,ROWS($A$2:$A261)),"")</f>
        <v/>
      </c>
      <c r="B261" s="15" t="str">
        <f aca="false">IF($A261="","",INDEX(PERLINE!$J$2:$J$3001,MATCH($A261,PERLINE!$N$2:$N$3001,0)))</f>
        <v/>
      </c>
      <c r="C261" s="16" t="str">
        <f aca="false">IF($A261="","",INDEX(PERLINE!$I$2:$I$3001,MATCH($A261,PERLINE!$N$2:$N$3001,0)))</f>
        <v/>
      </c>
      <c r="D261" s="17" t="str">
        <f aca="false">IF($A261="","",'كشف المطالبة'!$D$6)</f>
        <v/>
      </c>
      <c r="E261" s="18" t="str">
        <f aca="false">IF($A261="","",SUMIFS(PERLINE!$U$2:$U$3001,PERLINE!$N$2:$N$3001,$A261,PERLINE!$AK$2:$AK$3001,0))</f>
        <v/>
      </c>
      <c r="F261" s="19" t="str">
        <f aca="false">IF($A261="","",E261*D261)</f>
        <v/>
      </c>
      <c r="G261" s="17" t="str">
        <f aca="false">IF($A261="","",'كشف المطالبة'!$D$5)</f>
        <v/>
      </c>
      <c r="H261" s="18" t="str">
        <f aca="false">IF($A261="","",SUMIFS(PERLINE!$U$2:$U$3001,PERLINE!$N$2:$N$3001,$A261,PERLINE!$AK$2:$AK$3001,1))</f>
        <v/>
      </c>
      <c r="I261" s="19" t="str">
        <f aca="false">IF($A261="","",H261*G261)</f>
        <v/>
      </c>
      <c r="J261" s="19" t="str">
        <f aca="false">IF($A261="","",F261+I261)</f>
        <v/>
      </c>
      <c r="K261" s="19" t="str">
        <f aca="false">IF($A261="","",H261+E261)</f>
        <v/>
      </c>
      <c r="L261" s="20" t="str">
        <f aca="false">IF($A261="","",K261-J261-N261)</f>
        <v/>
      </c>
      <c r="M261" s="15" t="str">
        <f aca="false">IF($A261="","",INDEX(PERLINE!$A$2:$A$3001,MATCH($A261,PERLINE!$N$2:$N$3001,0)))</f>
        <v/>
      </c>
      <c r="N261" s="21" t="str">
        <f aca="false">IF($A261="","",SUMIFS(PERLINE!$M$2:$M$3001,PERLINE!$N$2:$N$3001,$A261))</f>
        <v/>
      </c>
    </row>
    <row r="262" customFormat="false" ht="15" hidden="false" customHeight="false" outlineLevel="0" collapsed="false">
      <c r="A262" s="15" t="str">
        <f aca="false">IF(ROWS($A$2:$A262)&lt;=Check!$C$4,SMALL(PERLINE!$AL$2:$AL$3001,ROWS($A$2:$A262)),"")</f>
        <v/>
      </c>
      <c r="B262" s="15" t="str">
        <f aca="false">IF($A262="","",INDEX(PERLINE!$J$2:$J$3001,MATCH($A262,PERLINE!$N$2:$N$3001,0)))</f>
        <v/>
      </c>
      <c r="C262" s="16" t="str">
        <f aca="false">IF($A262="","",INDEX(PERLINE!$I$2:$I$3001,MATCH($A262,PERLINE!$N$2:$N$3001,0)))</f>
        <v/>
      </c>
      <c r="D262" s="17" t="str">
        <f aca="false">IF($A262="","",'كشف المطالبة'!$D$6)</f>
        <v/>
      </c>
      <c r="E262" s="18" t="str">
        <f aca="false">IF($A262="","",SUMIFS(PERLINE!$U$2:$U$3001,PERLINE!$N$2:$N$3001,$A262,PERLINE!$AK$2:$AK$3001,0))</f>
        <v/>
      </c>
      <c r="F262" s="19" t="str">
        <f aca="false">IF($A262="","",E262*D262)</f>
        <v/>
      </c>
      <c r="G262" s="17" t="str">
        <f aca="false">IF($A262="","",'كشف المطالبة'!$D$5)</f>
        <v/>
      </c>
      <c r="H262" s="18" t="str">
        <f aca="false">IF($A262="","",SUMIFS(PERLINE!$U$2:$U$3001,PERLINE!$N$2:$N$3001,$A262,PERLINE!$AK$2:$AK$3001,1))</f>
        <v/>
      </c>
      <c r="I262" s="19" t="str">
        <f aca="false">IF($A262="","",H262*G262)</f>
        <v/>
      </c>
      <c r="J262" s="19" t="str">
        <f aca="false">IF($A262="","",F262+I262)</f>
        <v/>
      </c>
      <c r="K262" s="19" t="str">
        <f aca="false">IF($A262="","",H262+E262)</f>
        <v/>
      </c>
      <c r="L262" s="20" t="str">
        <f aca="false">IF($A262="","",K262-J262-N262)</f>
        <v/>
      </c>
      <c r="M262" s="15" t="str">
        <f aca="false">IF($A262="","",INDEX(PERLINE!$A$2:$A$3001,MATCH($A262,PERLINE!$N$2:$N$3001,0)))</f>
        <v/>
      </c>
      <c r="N262" s="21" t="str">
        <f aca="false">IF($A262="","",SUMIFS(PERLINE!$M$2:$M$3001,PERLINE!$N$2:$N$3001,$A262))</f>
        <v/>
      </c>
    </row>
    <row r="263" customFormat="false" ht="15" hidden="false" customHeight="false" outlineLevel="0" collapsed="false">
      <c r="A263" s="15" t="str">
        <f aca="false">IF(ROWS($A$2:$A263)&lt;=Check!$C$4,SMALL(PERLINE!$AL$2:$AL$3001,ROWS($A$2:$A263)),"")</f>
        <v/>
      </c>
      <c r="B263" s="15" t="str">
        <f aca="false">IF($A263="","",INDEX(PERLINE!$J$2:$J$3001,MATCH($A263,PERLINE!$N$2:$N$3001,0)))</f>
        <v/>
      </c>
      <c r="C263" s="16" t="str">
        <f aca="false">IF($A263="","",INDEX(PERLINE!$I$2:$I$3001,MATCH($A263,PERLINE!$N$2:$N$3001,0)))</f>
        <v/>
      </c>
      <c r="D263" s="17" t="str">
        <f aca="false">IF($A263="","",'كشف المطالبة'!$D$6)</f>
        <v/>
      </c>
      <c r="E263" s="18" t="str">
        <f aca="false">IF($A263="","",SUMIFS(PERLINE!$U$2:$U$3001,PERLINE!$N$2:$N$3001,$A263,PERLINE!$AK$2:$AK$3001,0))</f>
        <v/>
      </c>
      <c r="F263" s="19" t="str">
        <f aca="false">IF($A263="","",E263*D263)</f>
        <v/>
      </c>
      <c r="G263" s="17" t="str">
        <f aca="false">IF($A263="","",'كشف المطالبة'!$D$5)</f>
        <v/>
      </c>
      <c r="H263" s="18" t="str">
        <f aca="false">IF($A263="","",SUMIFS(PERLINE!$U$2:$U$3001,PERLINE!$N$2:$N$3001,$A263,PERLINE!$AK$2:$AK$3001,1))</f>
        <v/>
      </c>
      <c r="I263" s="19" t="str">
        <f aca="false">IF($A263="","",H263*G263)</f>
        <v/>
      </c>
      <c r="J263" s="19" t="str">
        <f aca="false">IF($A263="","",F263+I263)</f>
        <v/>
      </c>
      <c r="K263" s="19" t="str">
        <f aca="false">IF($A263="","",H263+E263)</f>
        <v/>
      </c>
      <c r="L263" s="20" t="str">
        <f aca="false">IF($A263="","",K263-J263-N263)</f>
        <v/>
      </c>
      <c r="M263" s="15" t="str">
        <f aca="false">IF($A263="","",INDEX(PERLINE!$A$2:$A$3001,MATCH($A263,PERLINE!$N$2:$N$3001,0)))</f>
        <v/>
      </c>
      <c r="N263" s="21" t="str">
        <f aca="false">IF($A263="","",SUMIFS(PERLINE!$M$2:$M$3001,PERLINE!$N$2:$N$3001,$A263))</f>
        <v/>
      </c>
    </row>
    <row r="264" customFormat="false" ht="15" hidden="false" customHeight="false" outlineLevel="0" collapsed="false">
      <c r="A264" s="15" t="str">
        <f aca="false">IF(ROWS($A$2:$A264)&lt;=Check!$C$4,SMALL(PERLINE!$AL$2:$AL$3001,ROWS($A$2:$A264)),"")</f>
        <v/>
      </c>
      <c r="B264" s="15" t="str">
        <f aca="false">IF($A264="","",INDEX(PERLINE!$J$2:$J$3001,MATCH($A264,PERLINE!$N$2:$N$3001,0)))</f>
        <v/>
      </c>
      <c r="C264" s="16" t="str">
        <f aca="false">IF($A264="","",INDEX(PERLINE!$I$2:$I$3001,MATCH($A264,PERLINE!$N$2:$N$3001,0)))</f>
        <v/>
      </c>
      <c r="D264" s="17" t="str">
        <f aca="false">IF($A264="","",'كشف المطالبة'!$D$6)</f>
        <v/>
      </c>
      <c r="E264" s="18" t="str">
        <f aca="false">IF($A264="","",SUMIFS(PERLINE!$U$2:$U$3001,PERLINE!$N$2:$N$3001,$A264,PERLINE!$AK$2:$AK$3001,0))</f>
        <v/>
      </c>
      <c r="F264" s="19" t="str">
        <f aca="false">IF($A264="","",E264*D264)</f>
        <v/>
      </c>
      <c r="G264" s="17" t="str">
        <f aca="false">IF($A264="","",'كشف المطالبة'!$D$5)</f>
        <v/>
      </c>
      <c r="H264" s="18" t="str">
        <f aca="false">IF($A264="","",SUMIFS(PERLINE!$U$2:$U$3001,PERLINE!$N$2:$N$3001,$A264,PERLINE!$AK$2:$AK$3001,1))</f>
        <v/>
      </c>
      <c r="I264" s="19" t="str">
        <f aca="false">IF($A264="","",H264*G264)</f>
        <v/>
      </c>
      <c r="J264" s="19" t="str">
        <f aca="false">IF($A264="","",F264+I264)</f>
        <v/>
      </c>
      <c r="K264" s="19" t="str">
        <f aca="false">IF($A264="","",H264+E264)</f>
        <v/>
      </c>
      <c r="L264" s="20" t="str">
        <f aca="false">IF($A264="","",K264-J264-N264)</f>
        <v/>
      </c>
      <c r="M264" s="15" t="str">
        <f aca="false">IF($A264="","",INDEX(PERLINE!$A$2:$A$3001,MATCH($A264,PERLINE!$N$2:$N$3001,0)))</f>
        <v/>
      </c>
      <c r="N264" s="21" t="str">
        <f aca="false">IF($A264="","",SUMIFS(PERLINE!$M$2:$M$3001,PERLINE!$N$2:$N$3001,$A264))</f>
        <v/>
      </c>
    </row>
    <row r="265" customFormat="false" ht="15" hidden="false" customHeight="false" outlineLevel="0" collapsed="false">
      <c r="A265" s="15" t="str">
        <f aca="false">IF(ROWS($A$2:$A265)&lt;=Check!$C$4,SMALL(PERLINE!$AL$2:$AL$3001,ROWS($A$2:$A265)),"")</f>
        <v/>
      </c>
      <c r="B265" s="15" t="str">
        <f aca="false">IF($A265="","",INDEX(PERLINE!$J$2:$J$3001,MATCH($A265,PERLINE!$N$2:$N$3001,0)))</f>
        <v/>
      </c>
      <c r="C265" s="16" t="str">
        <f aca="false">IF($A265="","",INDEX(PERLINE!$I$2:$I$3001,MATCH($A265,PERLINE!$N$2:$N$3001,0)))</f>
        <v/>
      </c>
      <c r="D265" s="17" t="str">
        <f aca="false">IF($A265="","",'كشف المطالبة'!$D$6)</f>
        <v/>
      </c>
      <c r="E265" s="18" t="str">
        <f aca="false">IF($A265="","",SUMIFS(PERLINE!$U$2:$U$3001,PERLINE!$N$2:$N$3001,$A265,PERLINE!$AK$2:$AK$3001,0))</f>
        <v/>
      </c>
      <c r="F265" s="19" t="str">
        <f aca="false">IF($A265="","",E265*D265)</f>
        <v/>
      </c>
      <c r="G265" s="17" t="str">
        <f aca="false">IF($A265="","",'كشف المطالبة'!$D$5)</f>
        <v/>
      </c>
      <c r="H265" s="18" t="str">
        <f aca="false">IF($A265="","",SUMIFS(PERLINE!$U$2:$U$3001,PERLINE!$N$2:$N$3001,$A265,PERLINE!$AK$2:$AK$3001,1))</f>
        <v/>
      </c>
      <c r="I265" s="19" t="str">
        <f aca="false">IF($A265="","",H265*G265)</f>
        <v/>
      </c>
      <c r="J265" s="19" t="str">
        <f aca="false">IF($A265="","",F265+I265)</f>
        <v/>
      </c>
      <c r="K265" s="19" t="str">
        <f aca="false">IF($A265="","",H265+E265)</f>
        <v/>
      </c>
      <c r="L265" s="20" t="str">
        <f aca="false">IF($A265="","",K265-J265-N265)</f>
        <v/>
      </c>
      <c r="M265" s="15" t="str">
        <f aca="false">IF($A265="","",INDEX(PERLINE!$A$2:$A$3001,MATCH($A265,PERLINE!$N$2:$N$3001,0)))</f>
        <v/>
      </c>
      <c r="N265" s="21" t="str">
        <f aca="false">IF($A265="","",SUMIFS(PERLINE!$M$2:$M$3001,PERLINE!$N$2:$N$3001,$A265))</f>
        <v/>
      </c>
    </row>
    <row r="266" customFormat="false" ht="15" hidden="false" customHeight="false" outlineLevel="0" collapsed="false">
      <c r="A266" s="15" t="str">
        <f aca="false">IF(ROWS($A$2:$A266)&lt;=Check!$C$4,SMALL(PERLINE!$AL$2:$AL$3001,ROWS($A$2:$A266)),"")</f>
        <v/>
      </c>
      <c r="B266" s="15" t="str">
        <f aca="false">IF($A266="","",INDEX(PERLINE!$J$2:$J$3001,MATCH($A266,PERLINE!$N$2:$N$3001,0)))</f>
        <v/>
      </c>
      <c r="C266" s="16" t="str">
        <f aca="false">IF($A266="","",INDEX(PERLINE!$I$2:$I$3001,MATCH($A266,PERLINE!$N$2:$N$3001,0)))</f>
        <v/>
      </c>
      <c r="D266" s="17" t="str">
        <f aca="false">IF($A266="","",'كشف المطالبة'!$D$6)</f>
        <v/>
      </c>
      <c r="E266" s="18" t="str">
        <f aca="false">IF($A266="","",SUMIFS(PERLINE!$U$2:$U$3001,PERLINE!$N$2:$N$3001,$A266,PERLINE!$AK$2:$AK$3001,0))</f>
        <v/>
      </c>
      <c r="F266" s="19" t="str">
        <f aca="false">IF($A266="","",E266*D266)</f>
        <v/>
      </c>
      <c r="G266" s="17" t="str">
        <f aca="false">IF($A266="","",'كشف المطالبة'!$D$5)</f>
        <v/>
      </c>
      <c r="H266" s="18" t="str">
        <f aca="false">IF($A266="","",SUMIFS(PERLINE!$U$2:$U$3001,PERLINE!$N$2:$N$3001,$A266,PERLINE!$AK$2:$AK$3001,1))</f>
        <v/>
      </c>
      <c r="I266" s="19" t="str">
        <f aca="false">IF($A266="","",H266*G266)</f>
        <v/>
      </c>
      <c r="J266" s="19" t="str">
        <f aca="false">IF($A266="","",F266+I266)</f>
        <v/>
      </c>
      <c r="K266" s="19" t="str">
        <f aca="false">IF($A266="","",H266+E266)</f>
        <v/>
      </c>
      <c r="L266" s="20" t="str">
        <f aca="false">IF($A266="","",K266-J266-N266)</f>
        <v/>
      </c>
      <c r="M266" s="15" t="str">
        <f aca="false">IF($A266="","",INDEX(PERLINE!$A$2:$A$3001,MATCH($A266,PERLINE!$N$2:$N$3001,0)))</f>
        <v/>
      </c>
      <c r="N266" s="21" t="str">
        <f aca="false">IF($A266="","",SUMIFS(PERLINE!$M$2:$M$3001,PERLINE!$N$2:$N$3001,$A266))</f>
        <v/>
      </c>
    </row>
    <row r="267" customFormat="false" ht="15" hidden="false" customHeight="false" outlineLevel="0" collapsed="false">
      <c r="A267" s="15" t="str">
        <f aca="false">IF(ROWS($A$2:$A267)&lt;=Check!$C$4,SMALL(PERLINE!$AL$2:$AL$3001,ROWS($A$2:$A267)),"")</f>
        <v/>
      </c>
      <c r="B267" s="15" t="str">
        <f aca="false">IF($A267="","",INDEX(PERLINE!$J$2:$J$3001,MATCH($A267,PERLINE!$N$2:$N$3001,0)))</f>
        <v/>
      </c>
      <c r="C267" s="16" t="str">
        <f aca="false">IF($A267="","",INDEX(PERLINE!$I$2:$I$3001,MATCH($A267,PERLINE!$N$2:$N$3001,0)))</f>
        <v/>
      </c>
      <c r="D267" s="17" t="str">
        <f aca="false">IF($A267="","",'كشف المطالبة'!$D$6)</f>
        <v/>
      </c>
      <c r="E267" s="18" t="str">
        <f aca="false">IF($A267="","",SUMIFS(PERLINE!$U$2:$U$3001,PERLINE!$N$2:$N$3001,$A267,PERLINE!$AK$2:$AK$3001,0))</f>
        <v/>
      </c>
      <c r="F267" s="19" t="str">
        <f aca="false">IF($A267="","",E267*D267)</f>
        <v/>
      </c>
      <c r="G267" s="17" t="str">
        <f aca="false">IF($A267="","",'كشف المطالبة'!$D$5)</f>
        <v/>
      </c>
      <c r="H267" s="18" t="str">
        <f aca="false">IF($A267="","",SUMIFS(PERLINE!$U$2:$U$3001,PERLINE!$N$2:$N$3001,$A267,PERLINE!$AK$2:$AK$3001,1))</f>
        <v/>
      </c>
      <c r="I267" s="19" t="str">
        <f aca="false">IF($A267="","",H267*G267)</f>
        <v/>
      </c>
      <c r="J267" s="19" t="str">
        <f aca="false">IF($A267="","",F267+I267)</f>
        <v/>
      </c>
      <c r="K267" s="19" t="str">
        <f aca="false">IF($A267="","",H267+E267)</f>
        <v/>
      </c>
      <c r="L267" s="20" t="str">
        <f aca="false">IF($A267="","",K267-J267-N267)</f>
        <v/>
      </c>
      <c r="M267" s="15" t="str">
        <f aca="false">IF($A267="","",INDEX(PERLINE!$A$2:$A$3001,MATCH($A267,PERLINE!$N$2:$N$3001,0)))</f>
        <v/>
      </c>
      <c r="N267" s="21" t="str">
        <f aca="false">IF($A267="","",SUMIFS(PERLINE!$M$2:$M$3001,PERLINE!$N$2:$N$3001,$A267))</f>
        <v/>
      </c>
    </row>
    <row r="268" customFormat="false" ht="15" hidden="false" customHeight="false" outlineLevel="0" collapsed="false">
      <c r="A268" s="15" t="str">
        <f aca="false">IF(ROWS($A$2:$A268)&lt;=Check!$C$4,SMALL(PERLINE!$AL$2:$AL$3001,ROWS($A$2:$A268)),"")</f>
        <v/>
      </c>
      <c r="B268" s="15" t="str">
        <f aca="false">IF($A268="","",INDEX(PERLINE!$J$2:$J$3001,MATCH($A268,PERLINE!$N$2:$N$3001,0)))</f>
        <v/>
      </c>
      <c r="C268" s="16" t="str">
        <f aca="false">IF($A268="","",INDEX(PERLINE!$I$2:$I$3001,MATCH($A268,PERLINE!$N$2:$N$3001,0)))</f>
        <v/>
      </c>
      <c r="D268" s="17" t="str">
        <f aca="false">IF($A268="","",'كشف المطالبة'!$D$6)</f>
        <v/>
      </c>
      <c r="E268" s="18" t="str">
        <f aca="false">IF($A268="","",SUMIFS(PERLINE!$U$2:$U$3001,PERLINE!$N$2:$N$3001,$A268,PERLINE!$AK$2:$AK$3001,0))</f>
        <v/>
      </c>
      <c r="F268" s="19" t="str">
        <f aca="false">IF($A268="","",E268*D268)</f>
        <v/>
      </c>
      <c r="G268" s="17" t="str">
        <f aca="false">IF($A268="","",'كشف المطالبة'!$D$5)</f>
        <v/>
      </c>
      <c r="H268" s="18" t="str">
        <f aca="false">IF($A268="","",SUMIFS(PERLINE!$U$2:$U$3001,PERLINE!$N$2:$N$3001,$A268,PERLINE!$AK$2:$AK$3001,1))</f>
        <v/>
      </c>
      <c r="I268" s="19" t="str">
        <f aca="false">IF($A268="","",H268*G268)</f>
        <v/>
      </c>
      <c r="J268" s="19" t="str">
        <f aca="false">IF($A268="","",F268+I268)</f>
        <v/>
      </c>
      <c r="K268" s="19" t="str">
        <f aca="false">IF($A268="","",H268+E268)</f>
        <v/>
      </c>
      <c r="L268" s="20" t="str">
        <f aca="false">IF($A268="","",K268-J268-N268)</f>
        <v/>
      </c>
      <c r="M268" s="15" t="str">
        <f aca="false">IF($A268="","",INDEX(PERLINE!$A$2:$A$3001,MATCH($A268,PERLINE!$N$2:$N$3001,0)))</f>
        <v/>
      </c>
      <c r="N268" s="21" t="str">
        <f aca="false">IF($A268="","",SUMIFS(PERLINE!$M$2:$M$3001,PERLINE!$N$2:$N$3001,$A268))</f>
        <v/>
      </c>
    </row>
    <row r="269" customFormat="false" ht="15" hidden="false" customHeight="false" outlineLevel="0" collapsed="false">
      <c r="A269" s="15" t="str">
        <f aca="false">IF(ROWS($A$2:$A269)&lt;=Check!$C$4,SMALL(PERLINE!$AL$2:$AL$3001,ROWS($A$2:$A269)),"")</f>
        <v/>
      </c>
      <c r="B269" s="15" t="str">
        <f aca="false">IF($A269="","",INDEX(PERLINE!$J$2:$J$3001,MATCH($A269,PERLINE!$N$2:$N$3001,0)))</f>
        <v/>
      </c>
      <c r="C269" s="16" t="str">
        <f aca="false">IF($A269="","",INDEX(PERLINE!$I$2:$I$3001,MATCH($A269,PERLINE!$N$2:$N$3001,0)))</f>
        <v/>
      </c>
      <c r="D269" s="17" t="str">
        <f aca="false">IF($A269="","",'كشف المطالبة'!$D$6)</f>
        <v/>
      </c>
      <c r="E269" s="18" t="str">
        <f aca="false">IF($A269="","",SUMIFS(PERLINE!$U$2:$U$3001,PERLINE!$N$2:$N$3001,$A269,PERLINE!$AK$2:$AK$3001,0))</f>
        <v/>
      </c>
      <c r="F269" s="19" t="str">
        <f aca="false">IF($A269="","",E269*D269)</f>
        <v/>
      </c>
      <c r="G269" s="17" t="str">
        <f aca="false">IF($A269="","",'كشف المطالبة'!$D$5)</f>
        <v/>
      </c>
      <c r="H269" s="18" t="str">
        <f aca="false">IF($A269="","",SUMIFS(PERLINE!$U$2:$U$3001,PERLINE!$N$2:$N$3001,$A269,PERLINE!$AK$2:$AK$3001,1))</f>
        <v/>
      </c>
      <c r="I269" s="19" t="str">
        <f aca="false">IF($A269="","",H269*G269)</f>
        <v/>
      </c>
      <c r="J269" s="19" t="str">
        <f aca="false">IF($A269="","",F269+I269)</f>
        <v/>
      </c>
      <c r="K269" s="19" t="str">
        <f aca="false">IF($A269="","",H269+E269)</f>
        <v/>
      </c>
      <c r="L269" s="20" t="str">
        <f aca="false">IF($A269="","",K269-J269-N269)</f>
        <v/>
      </c>
      <c r="M269" s="15" t="str">
        <f aca="false">IF($A269="","",INDEX(PERLINE!$A$2:$A$3001,MATCH($A269,PERLINE!$N$2:$N$3001,0)))</f>
        <v/>
      </c>
      <c r="N269" s="21" t="str">
        <f aca="false">IF($A269="","",SUMIFS(PERLINE!$M$2:$M$3001,PERLINE!$N$2:$N$3001,$A269))</f>
        <v/>
      </c>
    </row>
    <row r="270" customFormat="false" ht="15" hidden="false" customHeight="false" outlineLevel="0" collapsed="false">
      <c r="A270" s="15" t="str">
        <f aca="false">IF(ROWS($A$2:$A270)&lt;=Check!$C$4,SMALL(PERLINE!$AL$2:$AL$3001,ROWS($A$2:$A270)),"")</f>
        <v/>
      </c>
      <c r="B270" s="15" t="str">
        <f aca="false">IF($A270="","",INDEX(PERLINE!$J$2:$J$3001,MATCH($A270,PERLINE!$N$2:$N$3001,0)))</f>
        <v/>
      </c>
      <c r="C270" s="16" t="str">
        <f aca="false">IF($A270="","",INDEX(PERLINE!$I$2:$I$3001,MATCH($A270,PERLINE!$N$2:$N$3001,0)))</f>
        <v/>
      </c>
      <c r="D270" s="17" t="str">
        <f aca="false">IF($A270="","",'كشف المطالبة'!$D$6)</f>
        <v/>
      </c>
      <c r="E270" s="18" t="str">
        <f aca="false">IF($A270="","",SUMIFS(PERLINE!$U$2:$U$3001,PERLINE!$N$2:$N$3001,$A270,PERLINE!$AK$2:$AK$3001,0))</f>
        <v/>
      </c>
      <c r="F270" s="19" t="str">
        <f aca="false">IF($A270="","",E270*D270)</f>
        <v/>
      </c>
      <c r="G270" s="17" t="str">
        <f aca="false">IF($A270="","",'كشف المطالبة'!$D$5)</f>
        <v/>
      </c>
      <c r="H270" s="18" t="str">
        <f aca="false">IF($A270="","",SUMIFS(PERLINE!$U$2:$U$3001,PERLINE!$N$2:$N$3001,$A270,PERLINE!$AK$2:$AK$3001,1))</f>
        <v/>
      </c>
      <c r="I270" s="19" t="str">
        <f aca="false">IF($A270="","",H270*G270)</f>
        <v/>
      </c>
      <c r="J270" s="19" t="str">
        <f aca="false">IF($A270="","",F270+I270)</f>
        <v/>
      </c>
      <c r="K270" s="19" t="str">
        <f aca="false">IF($A270="","",H270+E270)</f>
        <v/>
      </c>
      <c r="L270" s="20" t="str">
        <f aca="false">IF($A270="","",K270-J270-N270)</f>
        <v/>
      </c>
      <c r="M270" s="15" t="str">
        <f aca="false">IF($A270="","",INDEX(PERLINE!$A$2:$A$3001,MATCH($A270,PERLINE!$N$2:$N$3001,0)))</f>
        <v/>
      </c>
      <c r="N270" s="21" t="str">
        <f aca="false">IF($A270="","",SUMIFS(PERLINE!$M$2:$M$3001,PERLINE!$N$2:$N$3001,$A270))</f>
        <v/>
      </c>
    </row>
    <row r="271" customFormat="false" ht="15" hidden="false" customHeight="false" outlineLevel="0" collapsed="false">
      <c r="A271" s="15" t="str">
        <f aca="false">IF(ROWS($A$2:$A271)&lt;=Check!$C$4,SMALL(PERLINE!$AL$2:$AL$3001,ROWS($A$2:$A271)),"")</f>
        <v/>
      </c>
      <c r="B271" s="15" t="str">
        <f aca="false">IF($A271="","",INDEX(PERLINE!$J$2:$J$3001,MATCH($A271,PERLINE!$N$2:$N$3001,0)))</f>
        <v/>
      </c>
      <c r="C271" s="16" t="str">
        <f aca="false">IF($A271="","",INDEX(PERLINE!$I$2:$I$3001,MATCH($A271,PERLINE!$N$2:$N$3001,0)))</f>
        <v/>
      </c>
      <c r="D271" s="17" t="str">
        <f aca="false">IF($A271="","",'كشف المطالبة'!$D$6)</f>
        <v/>
      </c>
      <c r="E271" s="18" t="str">
        <f aca="false">IF($A271="","",SUMIFS(PERLINE!$U$2:$U$3001,PERLINE!$N$2:$N$3001,$A271,PERLINE!$AK$2:$AK$3001,0))</f>
        <v/>
      </c>
      <c r="F271" s="19" t="str">
        <f aca="false">IF($A271="","",E271*D271)</f>
        <v/>
      </c>
      <c r="G271" s="17" t="str">
        <f aca="false">IF($A271="","",'كشف المطالبة'!$D$5)</f>
        <v/>
      </c>
      <c r="H271" s="18" t="str">
        <f aca="false">IF($A271="","",SUMIFS(PERLINE!$U$2:$U$3001,PERLINE!$N$2:$N$3001,$A271,PERLINE!$AK$2:$AK$3001,1))</f>
        <v/>
      </c>
      <c r="I271" s="19" t="str">
        <f aca="false">IF($A271="","",H271*G271)</f>
        <v/>
      </c>
      <c r="J271" s="19" t="str">
        <f aca="false">IF($A271="","",F271+I271)</f>
        <v/>
      </c>
      <c r="K271" s="19" t="str">
        <f aca="false">IF($A271="","",H271+E271)</f>
        <v/>
      </c>
      <c r="L271" s="20" t="str">
        <f aca="false">IF($A271="","",K271-J271-N271)</f>
        <v/>
      </c>
      <c r="M271" s="15" t="str">
        <f aca="false">IF($A271="","",INDEX(PERLINE!$A$2:$A$3001,MATCH($A271,PERLINE!$N$2:$N$3001,0)))</f>
        <v/>
      </c>
      <c r="N271" s="21" t="str">
        <f aca="false">IF($A271="","",SUMIFS(PERLINE!$M$2:$M$3001,PERLINE!$N$2:$N$3001,$A271))</f>
        <v/>
      </c>
    </row>
    <row r="272" customFormat="false" ht="15" hidden="false" customHeight="false" outlineLevel="0" collapsed="false">
      <c r="A272" s="15" t="str">
        <f aca="false">IF(ROWS($A$2:$A272)&lt;=Check!$C$4,SMALL(PERLINE!$AL$2:$AL$3001,ROWS($A$2:$A272)),"")</f>
        <v/>
      </c>
      <c r="B272" s="15" t="str">
        <f aca="false">IF($A272="","",INDEX(PERLINE!$J$2:$J$3001,MATCH($A272,PERLINE!$N$2:$N$3001,0)))</f>
        <v/>
      </c>
      <c r="C272" s="16" t="str">
        <f aca="false">IF($A272="","",INDEX(PERLINE!$I$2:$I$3001,MATCH($A272,PERLINE!$N$2:$N$3001,0)))</f>
        <v/>
      </c>
      <c r="D272" s="17" t="str">
        <f aca="false">IF($A272="","",'كشف المطالبة'!$D$6)</f>
        <v/>
      </c>
      <c r="E272" s="18" t="str">
        <f aca="false">IF($A272="","",SUMIFS(PERLINE!$U$2:$U$3001,PERLINE!$N$2:$N$3001,$A272,PERLINE!$AK$2:$AK$3001,0))</f>
        <v/>
      </c>
      <c r="F272" s="19" t="str">
        <f aca="false">IF($A272="","",E272*D272)</f>
        <v/>
      </c>
      <c r="G272" s="17" t="str">
        <f aca="false">IF($A272="","",'كشف المطالبة'!$D$5)</f>
        <v/>
      </c>
      <c r="H272" s="18" t="str">
        <f aca="false">IF($A272="","",SUMIFS(PERLINE!$U$2:$U$3001,PERLINE!$N$2:$N$3001,$A272,PERLINE!$AK$2:$AK$3001,1))</f>
        <v/>
      </c>
      <c r="I272" s="19" t="str">
        <f aca="false">IF($A272="","",H272*G272)</f>
        <v/>
      </c>
      <c r="J272" s="19" t="str">
        <f aca="false">IF($A272="","",F272+I272)</f>
        <v/>
      </c>
      <c r="K272" s="19" t="str">
        <f aca="false">IF($A272="","",H272+E272)</f>
        <v/>
      </c>
      <c r="L272" s="20" t="str">
        <f aca="false">IF($A272="","",K272-J272-N272)</f>
        <v/>
      </c>
      <c r="M272" s="15" t="str">
        <f aca="false">IF($A272="","",INDEX(PERLINE!$A$2:$A$3001,MATCH($A272,PERLINE!$N$2:$N$3001,0)))</f>
        <v/>
      </c>
      <c r="N272" s="21" t="str">
        <f aca="false">IF($A272="","",SUMIFS(PERLINE!$M$2:$M$3001,PERLINE!$N$2:$N$3001,$A272))</f>
        <v/>
      </c>
    </row>
    <row r="273" customFormat="false" ht="15" hidden="false" customHeight="false" outlineLevel="0" collapsed="false">
      <c r="A273" s="15" t="str">
        <f aca="false">IF(ROWS($A$2:$A273)&lt;=Check!$C$4,SMALL(PERLINE!$AL$2:$AL$3001,ROWS($A$2:$A273)),"")</f>
        <v/>
      </c>
      <c r="B273" s="15" t="str">
        <f aca="false">IF($A273="","",INDEX(PERLINE!$J$2:$J$3001,MATCH($A273,PERLINE!$N$2:$N$3001,0)))</f>
        <v/>
      </c>
      <c r="C273" s="16" t="str">
        <f aca="false">IF($A273="","",INDEX(PERLINE!$I$2:$I$3001,MATCH($A273,PERLINE!$N$2:$N$3001,0)))</f>
        <v/>
      </c>
      <c r="D273" s="17" t="str">
        <f aca="false">IF($A273="","",'كشف المطالبة'!$D$6)</f>
        <v/>
      </c>
      <c r="E273" s="18" t="str">
        <f aca="false">IF($A273="","",SUMIFS(PERLINE!$U$2:$U$3001,PERLINE!$N$2:$N$3001,$A273,PERLINE!$AK$2:$AK$3001,0))</f>
        <v/>
      </c>
      <c r="F273" s="19" t="str">
        <f aca="false">IF($A273="","",E273*D273)</f>
        <v/>
      </c>
      <c r="G273" s="17" t="str">
        <f aca="false">IF($A273="","",'كشف المطالبة'!$D$5)</f>
        <v/>
      </c>
      <c r="H273" s="18" t="str">
        <f aca="false">IF($A273="","",SUMIFS(PERLINE!$U$2:$U$3001,PERLINE!$N$2:$N$3001,$A273,PERLINE!$AK$2:$AK$3001,1))</f>
        <v/>
      </c>
      <c r="I273" s="19" t="str">
        <f aca="false">IF($A273="","",H273*G273)</f>
        <v/>
      </c>
      <c r="J273" s="19" t="str">
        <f aca="false">IF($A273="","",F273+I273)</f>
        <v/>
      </c>
      <c r="K273" s="19" t="str">
        <f aca="false">IF($A273="","",H273+E273)</f>
        <v/>
      </c>
      <c r="L273" s="20" t="str">
        <f aca="false">IF($A273="","",K273-J273-N273)</f>
        <v/>
      </c>
      <c r="M273" s="15" t="str">
        <f aca="false">IF($A273="","",INDEX(PERLINE!$A$2:$A$3001,MATCH($A273,PERLINE!$N$2:$N$3001,0)))</f>
        <v/>
      </c>
      <c r="N273" s="21" t="str">
        <f aca="false">IF($A273="","",SUMIFS(PERLINE!$M$2:$M$3001,PERLINE!$N$2:$N$3001,$A273))</f>
        <v/>
      </c>
    </row>
    <row r="274" customFormat="false" ht="15" hidden="false" customHeight="false" outlineLevel="0" collapsed="false">
      <c r="A274" s="15" t="str">
        <f aca="false">IF(ROWS($A$2:$A274)&lt;=Check!$C$4,SMALL(PERLINE!$AL$2:$AL$3001,ROWS($A$2:$A274)),"")</f>
        <v/>
      </c>
      <c r="B274" s="15" t="str">
        <f aca="false">IF($A274="","",INDEX(PERLINE!$J$2:$J$3001,MATCH($A274,PERLINE!$N$2:$N$3001,0)))</f>
        <v/>
      </c>
      <c r="C274" s="16" t="str">
        <f aca="false">IF($A274="","",INDEX(PERLINE!$I$2:$I$3001,MATCH($A274,PERLINE!$N$2:$N$3001,0)))</f>
        <v/>
      </c>
      <c r="D274" s="17" t="str">
        <f aca="false">IF($A274="","",'كشف المطالبة'!$D$6)</f>
        <v/>
      </c>
      <c r="E274" s="18" t="str">
        <f aca="false">IF($A274="","",SUMIFS(PERLINE!$U$2:$U$3001,PERLINE!$N$2:$N$3001,$A274,PERLINE!$AK$2:$AK$3001,0))</f>
        <v/>
      </c>
      <c r="F274" s="19" t="str">
        <f aca="false">IF($A274="","",E274*D274)</f>
        <v/>
      </c>
      <c r="G274" s="17" t="str">
        <f aca="false">IF($A274="","",'كشف المطالبة'!$D$5)</f>
        <v/>
      </c>
      <c r="H274" s="18" t="str">
        <f aca="false">IF($A274="","",SUMIFS(PERLINE!$U$2:$U$3001,PERLINE!$N$2:$N$3001,$A274,PERLINE!$AK$2:$AK$3001,1))</f>
        <v/>
      </c>
      <c r="I274" s="19" t="str">
        <f aca="false">IF($A274="","",H274*G274)</f>
        <v/>
      </c>
      <c r="J274" s="19" t="str">
        <f aca="false">IF($A274="","",F274+I274)</f>
        <v/>
      </c>
      <c r="K274" s="19" t="str">
        <f aca="false">IF($A274="","",H274+E274)</f>
        <v/>
      </c>
      <c r="L274" s="20" t="str">
        <f aca="false">IF($A274="","",K274-J274-N274)</f>
        <v/>
      </c>
      <c r="M274" s="15" t="str">
        <f aca="false">IF($A274="","",INDEX(PERLINE!$A$2:$A$3001,MATCH($A274,PERLINE!$N$2:$N$3001,0)))</f>
        <v/>
      </c>
      <c r="N274" s="21" t="str">
        <f aca="false">IF($A274="","",SUMIFS(PERLINE!$M$2:$M$3001,PERLINE!$N$2:$N$3001,$A274))</f>
        <v/>
      </c>
    </row>
    <row r="275" customFormat="false" ht="15" hidden="false" customHeight="false" outlineLevel="0" collapsed="false">
      <c r="A275" s="15" t="str">
        <f aca="false">IF(ROWS($A$2:$A275)&lt;=Check!$C$4,SMALL(PERLINE!$AL$2:$AL$3001,ROWS($A$2:$A275)),"")</f>
        <v/>
      </c>
      <c r="B275" s="15" t="str">
        <f aca="false">IF($A275="","",INDEX(PERLINE!$J$2:$J$3001,MATCH($A275,PERLINE!$N$2:$N$3001,0)))</f>
        <v/>
      </c>
      <c r="C275" s="16" t="str">
        <f aca="false">IF($A275="","",INDEX(PERLINE!$I$2:$I$3001,MATCH($A275,PERLINE!$N$2:$N$3001,0)))</f>
        <v/>
      </c>
      <c r="D275" s="17" t="str">
        <f aca="false">IF($A275="","",'كشف المطالبة'!$D$6)</f>
        <v/>
      </c>
      <c r="E275" s="18" t="str">
        <f aca="false">IF($A275="","",SUMIFS(PERLINE!$U$2:$U$3001,PERLINE!$N$2:$N$3001,$A275,PERLINE!$AK$2:$AK$3001,0))</f>
        <v/>
      </c>
      <c r="F275" s="19" t="str">
        <f aca="false">IF($A275="","",E275*D275)</f>
        <v/>
      </c>
      <c r="G275" s="17" t="str">
        <f aca="false">IF($A275="","",'كشف المطالبة'!$D$5)</f>
        <v/>
      </c>
      <c r="H275" s="18" t="str">
        <f aca="false">IF($A275="","",SUMIFS(PERLINE!$U$2:$U$3001,PERLINE!$N$2:$N$3001,$A275,PERLINE!$AK$2:$AK$3001,1))</f>
        <v/>
      </c>
      <c r="I275" s="19" t="str">
        <f aca="false">IF($A275="","",H275*G275)</f>
        <v/>
      </c>
      <c r="J275" s="19" t="str">
        <f aca="false">IF($A275="","",F275+I275)</f>
        <v/>
      </c>
      <c r="K275" s="19" t="str">
        <f aca="false">IF($A275="","",H275+E275)</f>
        <v/>
      </c>
      <c r="L275" s="20" t="str">
        <f aca="false">IF($A275="","",K275-J275-N275)</f>
        <v/>
      </c>
      <c r="M275" s="15" t="str">
        <f aca="false">IF($A275="","",INDEX(PERLINE!$A$2:$A$3001,MATCH($A275,PERLINE!$N$2:$N$3001,0)))</f>
        <v/>
      </c>
      <c r="N275" s="21" t="str">
        <f aca="false">IF($A275="","",SUMIFS(PERLINE!$M$2:$M$3001,PERLINE!$N$2:$N$3001,$A275))</f>
        <v/>
      </c>
    </row>
    <row r="276" customFormat="false" ht="15" hidden="false" customHeight="false" outlineLevel="0" collapsed="false">
      <c r="A276" s="15" t="str">
        <f aca="false">IF(ROWS($A$2:$A276)&lt;=Check!$C$4,SMALL(PERLINE!$AL$2:$AL$3001,ROWS($A$2:$A276)),"")</f>
        <v/>
      </c>
      <c r="B276" s="15" t="str">
        <f aca="false">IF($A276="","",INDEX(PERLINE!$J$2:$J$3001,MATCH($A276,PERLINE!$N$2:$N$3001,0)))</f>
        <v/>
      </c>
      <c r="C276" s="16" t="str">
        <f aca="false">IF($A276="","",INDEX(PERLINE!$I$2:$I$3001,MATCH($A276,PERLINE!$N$2:$N$3001,0)))</f>
        <v/>
      </c>
      <c r="D276" s="17" t="str">
        <f aca="false">IF($A276="","",'كشف المطالبة'!$D$6)</f>
        <v/>
      </c>
      <c r="E276" s="18" t="str">
        <f aca="false">IF($A276="","",SUMIFS(PERLINE!$U$2:$U$3001,PERLINE!$N$2:$N$3001,$A276,PERLINE!$AK$2:$AK$3001,0))</f>
        <v/>
      </c>
      <c r="F276" s="19" t="str">
        <f aca="false">IF($A276="","",E276*D276)</f>
        <v/>
      </c>
      <c r="G276" s="17" t="str">
        <f aca="false">IF($A276="","",'كشف المطالبة'!$D$5)</f>
        <v/>
      </c>
      <c r="H276" s="18" t="str">
        <f aca="false">IF($A276="","",SUMIFS(PERLINE!$U$2:$U$3001,PERLINE!$N$2:$N$3001,$A276,PERLINE!$AK$2:$AK$3001,1))</f>
        <v/>
      </c>
      <c r="I276" s="19" t="str">
        <f aca="false">IF($A276="","",H276*G276)</f>
        <v/>
      </c>
      <c r="J276" s="19" t="str">
        <f aca="false">IF($A276="","",F276+I276)</f>
        <v/>
      </c>
      <c r="K276" s="19" t="str">
        <f aca="false">IF($A276="","",H276+E276)</f>
        <v/>
      </c>
      <c r="L276" s="20" t="str">
        <f aca="false">IF($A276="","",K276-J276-N276)</f>
        <v/>
      </c>
      <c r="M276" s="15" t="str">
        <f aca="false">IF($A276="","",INDEX(PERLINE!$A$2:$A$3001,MATCH($A276,PERLINE!$N$2:$N$3001,0)))</f>
        <v/>
      </c>
      <c r="N276" s="21" t="str">
        <f aca="false">IF($A276="","",SUMIFS(PERLINE!$M$2:$M$3001,PERLINE!$N$2:$N$3001,$A276))</f>
        <v/>
      </c>
    </row>
    <row r="277" customFormat="false" ht="15" hidden="false" customHeight="false" outlineLevel="0" collapsed="false">
      <c r="A277" s="15" t="str">
        <f aca="false">IF(ROWS($A$2:$A277)&lt;=Check!$C$4,SMALL(PERLINE!$AL$2:$AL$3001,ROWS($A$2:$A277)),"")</f>
        <v/>
      </c>
      <c r="B277" s="15" t="str">
        <f aca="false">IF($A277="","",INDEX(PERLINE!$J$2:$J$3001,MATCH($A277,PERLINE!$N$2:$N$3001,0)))</f>
        <v/>
      </c>
      <c r="C277" s="16" t="str">
        <f aca="false">IF($A277="","",INDEX(PERLINE!$I$2:$I$3001,MATCH($A277,PERLINE!$N$2:$N$3001,0)))</f>
        <v/>
      </c>
      <c r="D277" s="17" t="str">
        <f aca="false">IF($A277="","",'كشف المطالبة'!$D$6)</f>
        <v/>
      </c>
      <c r="E277" s="18" t="str">
        <f aca="false">IF($A277="","",SUMIFS(PERLINE!$U$2:$U$3001,PERLINE!$N$2:$N$3001,$A277,PERLINE!$AK$2:$AK$3001,0))</f>
        <v/>
      </c>
      <c r="F277" s="19" t="str">
        <f aca="false">IF($A277="","",E277*D277)</f>
        <v/>
      </c>
      <c r="G277" s="17" t="str">
        <f aca="false">IF($A277="","",'كشف المطالبة'!$D$5)</f>
        <v/>
      </c>
      <c r="H277" s="18" t="str">
        <f aca="false">IF($A277="","",SUMIFS(PERLINE!$U$2:$U$3001,PERLINE!$N$2:$N$3001,$A277,PERLINE!$AK$2:$AK$3001,1))</f>
        <v/>
      </c>
      <c r="I277" s="19" t="str">
        <f aca="false">IF($A277="","",H277*G277)</f>
        <v/>
      </c>
      <c r="J277" s="19" t="str">
        <f aca="false">IF($A277="","",F277+I277)</f>
        <v/>
      </c>
      <c r="K277" s="19" t="str">
        <f aca="false">IF($A277="","",H277+E277)</f>
        <v/>
      </c>
      <c r="L277" s="20" t="str">
        <f aca="false">IF($A277="","",K277-J277-N277)</f>
        <v/>
      </c>
      <c r="M277" s="15" t="str">
        <f aca="false">IF($A277="","",INDEX(PERLINE!$A$2:$A$3001,MATCH($A277,PERLINE!$N$2:$N$3001,0)))</f>
        <v/>
      </c>
      <c r="N277" s="21" t="str">
        <f aca="false">IF($A277="","",SUMIFS(PERLINE!$M$2:$M$3001,PERLINE!$N$2:$N$3001,$A277))</f>
        <v/>
      </c>
    </row>
    <row r="278" customFormat="false" ht="15" hidden="false" customHeight="false" outlineLevel="0" collapsed="false">
      <c r="A278" s="15" t="str">
        <f aca="false">IF(ROWS($A$2:$A278)&lt;=Check!$C$4,SMALL(PERLINE!$AL$2:$AL$3001,ROWS($A$2:$A278)),"")</f>
        <v/>
      </c>
      <c r="B278" s="15" t="str">
        <f aca="false">IF($A278="","",INDEX(PERLINE!$J$2:$J$3001,MATCH($A278,PERLINE!$N$2:$N$3001,0)))</f>
        <v/>
      </c>
      <c r="C278" s="16" t="str">
        <f aca="false">IF($A278="","",INDEX(PERLINE!$I$2:$I$3001,MATCH($A278,PERLINE!$N$2:$N$3001,0)))</f>
        <v/>
      </c>
      <c r="D278" s="17" t="str">
        <f aca="false">IF($A278="","",'كشف المطالبة'!$D$6)</f>
        <v/>
      </c>
      <c r="E278" s="18" t="str">
        <f aca="false">IF($A278="","",SUMIFS(PERLINE!$U$2:$U$3001,PERLINE!$N$2:$N$3001,$A278,PERLINE!$AK$2:$AK$3001,0))</f>
        <v/>
      </c>
      <c r="F278" s="19" t="str">
        <f aca="false">IF($A278="","",E278*D278)</f>
        <v/>
      </c>
      <c r="G278" s="17" t="str">
        <f aca="false">IF($A278="","",'كشف المطالبة'!$D$5)</f>
        <v/>
      </c>
      <c r="H278" s="18" t="str">
        <f aca="false">IF($A278="","",SUMIFS(PERLINE!$U$2:$U$3001,PERLINE!$N$2:$N$3001,$A278,PERLINE!$AK$2:$AK$3001,1))</f>
        <v/>
      </c>
      <c r="I278" s="19" t="str">
        <f aca="false">IF($A278="","",H278*G278)</f>
        <v/>
      </c>
      <c r="J278" s="19" t="str">
        <f aca="false">IF($A278="","",F278+I278)</f>
        <v/>
      </c>
      <c r="K278" s="19" t="str">
        <f aca="false">IF($A278="","",H278+E278)</f>
        <v/>
      </c>
      <c r="L278" s="20" t="str">
        <f aca="false">IF($A278="","",K278-J278-N278)</f>
        <v/>
      </c>
      <c r="M278" s="15" t="str">
        <f aca="false">IF($A278="","",INDEX(PERLINE!$A$2:$A$3001,MATCH($A278,PERLINE!$N$2:$N$3001,0)))</f>
        <v/>
      </c>
      <c r="N278" s="21" t="str">
        <f aca="false">IF($A278="","",SUMIFS(PERLINE!$M$2:$M$3001,PERLINE!$N$2:$N$3001,$A278))</f>
        <v/>
      </c>
    </row>
    <row r="279" customFormat="false" ht="15" hidden="false" customHeight="false" outlineLevel="0" collapsed="false">
      <c r="A279" s="15" t="str">
        <f aca="false">IF(ROWS($A$2:$A279)&lt;=Check!$C$4,SMALL(PERLINE!$AL$2:$AL$3001,ROWS($A$2:$A279)),"")</f>
        <v/>
      </c>
      <c r="B279" s="15" t="str">
        <f aca="false">IF($A279="","",INDEX(PERLINE!$J$2:$J$3001,MATCH($A279,PERLINE!$N$2:$N$3001,0)))</f>
        <v/>
      </c>
      <c r="C279" s="16" t="str">
        <f aca="false">IF($A279="","",INDEX(PERLINE!$I$2:$I$3001,MATCH($A279,PERLINE!$N$2:$N$3001,0)))</f>
        <v/>
      </c>
      <c r="D279" s="17" t="str">
        <f aca="false">IF($A279="","",'كشف المطالبة'!$D$6)</f>
        <v/>
      </c>
      <c r="E279" s="18" t="str">
        <f aca="false">IF($A279="","",SUMIFS(PERLINE!$U$2:$U$3001,PERLINE!$N$2:$N$3001,$A279,PERLINE!$AK$2:$AK$3001,0))</f>
        <v/>
      </c>
      <c r="F279" s="19" t="str">
        <f aca="false">IF($A279="","",E279*D279)</f>
        <v/>
      </c>
      <c r="G279" s="17" t="str">
        <f aca="false">IF($A279="","",'كشف المطالبة'!$D$5)</f>
        <v/>
      </c>
      <c r="H279" s="18" t="str">
        <f aca="false">IF($A279="","",SUMIFS(PERLINE!$U$2:$U$3001,PERLINE!$N$2:$N$3001,$A279,PERLINE!$AK$2:$AK$3001,1))</f>
        <v/>
      </c>
      <c r="I279" s="19" t="str">
        <f aca="false">IF($A279="","",H279*G279)</f>
        <v/>
      </c>
      <c r="J279" s="19" t="str">
        <f aca="false">IF($A279="","",F279+I279)</f>
        <v/>
      </c>
      <c r="K279" s="19" t="str">
        <f aca="false">IF($A279="","",H279+E279)</f>
        <v/>
      </c>
      <c r="L279" s="20" t="str">
        <f aca="false">IF($A279="","",K279-J279-N279)</f>
        <v/>
      </c>
      <c r="M279" s="15" t="str">
        <f aca="false">IF($A279="","",INDEX(PERLINE!$A$2:$A$3001,MATCH($A279,PERLINE!$N$2:$N$3001,0)))</f>
        <v/>
      </c>
      <c r="N279" s="21" t="str">
        <f aca="false">IF($A279="","",SUMIFS(PERLINE!$M$2:$M$3001,PERLINE!$N$2:$N$3001,$A279))</f>
        <v/>
      </c>
    </row>
    <row r="280" customFormat="false" ht="15" hidden="false" customHeight="false" outlineLevel="0" collapsed="false">
      <c r="A280" s="15" t="str">
        <f aca="false">IF(ROWS($A$2:$A280)&lt;=Check!$C$4,SMALL(PERLINE!$AL$2:$AL$3001,ROWS($A$2:$A280)),"")</f>
        <v/>
      </c>
      <c r="B280" s="15" t="str">
        <f aca="false">IF($A280="","",INDEX(PERLINE!$J$2:$J$3001,MATCH($A280,PERLINE!$N$2:$N$3001,0)))</f>
        <v/>
      </c>
      <c r="C280" s="16" t="str">
        <f aca="false">IF($A280="","",INDEX(PERLINE!$I$2:$I$3001,MATCH($A280,PERLINE!$N$2:$N$3001,0)))</f>
        <v/>
      </c>
      <c r="D280" s="17" t="str">
        <f aca="false">IF($A280="","",'كشف المطالبة'!$D$6)</f>
        <v/>
      </c>
      <c r="E280" s="18" t="str">
        <f aca="false">IF($A280="","",SUMIFS(PERLINE!$U$2:$U$3001,PERLINE!$N$2:$N$3001,$A280,PERLINE!$AK$2:$AK$3001,0))</f>
        <v/>
      </c>
      <c r="F280" s="19" t="str">
        <f aca="false">IF($A280="","",E280*D280)</f>
        <v/>
      </c>
      <c r="G280" s="17" t="str">
        <f aca="false">IF($A280="","",'كشف المطالبة'!$D$5)</f>
        <v/>
      </c>
      <c r="H280" s="18" t="str">
        <f aca="false">IF($A280="","",SUMIFS(PERLINE!$U$2:$U$3001,PERLINE!$N$2:$N$3001,$A280,PERLINE!$AK$2:$AK$3001,1))</f>
        <v/>
      </c>
      <c r="I280" s="19" t="str">
        <f aca="false">IF($A280="","",H280*G280)</f>
        <v/>
      </c>
      <c r="J280" s="19" t="str">
        <f aca="false">IF($A280="","",F280+I280)</f>
        <v/>
      </c>
      <c r="K280" s="19" t="str">
        <f aca="false">IF($A280="","",H280+E280)</f>
        <v/>
      </c>
      <c r="L280" s="20" t="str">
        <f aca="false">IF($A280="","",K280-J280-N280)</f>
        <v/>
      </c>
      <c r="M280" s="15" t="str">
        <f aca="false">IF($A280="","",INDEX(PERLINE!$A$2:$A$3001,MATCH($A280,PERLINE!$N$2:$N$3001,0)))</f>
        <v/>
      </c>
      <c r="N280" s="21" t="str">
        <f aca="false">IF($A280="","",SUMIFS(PERLINE!$M$2:$M$3001,PERLINE!$N$2:$N$3001,$A280))</f>
        <v/>
      </c>
    </row>
    <row r="281" customFormat="false" ht="15" hidden="false" customHeight="false" outlineLevel="0" collapsed="false">
      <c r="A281" s="15" t="str">
        <f aca="false">IF(ROWS($A$2:$A281)&lt;=Check!$C$4,SMALL(PERLINE!$AL$2:$AL$3001,ROWS($A$2:$A281)),"")</f>
        <v/>
      </c>
      <c r="B281" s="15" t="str">
        <f aca="false">IF($A281="","",INDEX(PERLINE!$J$2:$J$3001,MATCH($A281,PERLINE!$N$2:$N$3001,0)))</f>
        <v/>
      </c>
      <c r="C281" s="16" t="str">
        <f aca="false">IF($A281="","",INDEX(PERLINE!$I$2:$I$3001,MATCH($A281,PERLINE!$N$2:$N$3001,0)))</f>
        <v/>
      </c>
      <c r="D281" s="17" t="str">
        <f aca="false">IF($A281="","",'كشف المطالبة'!$D$6)</f>
        <v/>
      </c>
      <c r="E281" s="18" t="str">
        <f aca="false">IF($A281="","",SUMIFS(PERLINE!$U$2:$U$3001,PERLINE!$N$2:$N$3001,$A281,PERLINE!$AK$2:$AK$3001,0))</f>
        <v/>
      </c>
      <c r="F281" s="19" t="str">
        <f aca="false">IF($A281="","",E281*D281)</f>
        <v/>
      </c>
      <c r="G281" s="17" t="str">
        <f aca="false">IF($A281="","",'كشف المطالبة'!$D$5)</f>
        <v/>
      </c>
      <c r="H281" s="18" t="str">
        <f aca="false">IF($A281="","",SUMIFS(PERLINE!$U$2:$U$3001,PERLINE!$N$2:$N$3001,$A281,PERLINE!$AK$2:$AK$3001,1))</f>
        <v/>
      </c>
      <c r="I281" s="19" t="str">
        <f aca="false">IF($A281="","",H281*G281)</f>
        <v/>
      </c>
      <c r="J281" s="19" t="str">
        <f aca="false">IF($A281="","",F281+I281)</f>
        <v/>
      </c>
      <c r="K281" s="19" t="str">
        <f aca="false">IF($A281="","",H281+E281)</f>
        <v/>
      </c>
      <c r="L281" s="20" t="str">
        <f aca="false">IF($A281="","",K281-J281-N281)</f>
        <v/>
      </c>
      <c r="M281" s="15" t="str">
        <f aca="false">IF($A281="","",INDEX(PERLINE!$A$2:$A$3001,MATCH($A281,PERLINE!$N$2:$N$3001,0)))</f>
        <v/>
      </c>
      <c r="N281" s="21" t="str">
        <f aca="false">IF($A281="","",SUMIFS(PERLINE!$M$2:$M$3001,PERLINE!$N$2:$N$3001,$A281))</f>
        <v/>
      </c>
    </row>
    <row r="282" customFormat="false" ht="15" hidden="false" customHeight="false" outlineLevel="0" collapsed="false">
      <c r="A282" s="15" t="str">
        <f aca="false">IF(ROWS($A$2:$A282)&lt;=Check!$C$4,SMALL(PERLINE!$AL$2:$AL$3001,ROWS($A$2:$A282)),"")</f>
        <v/>
      </c>
      <c r="B282" s="15" t="str">
        <f aca="false">IF($A282="","",INDEX(PERLINE!$J$2:$J$3001,MATCH($A282,PERLINE!$N$2:$N$3001,0)))</f>
        <v/>
      </c>
      <c r="C282" s="16" t="str">
        <f aca="false">IF($A282="","",INDEX(PERLINE!$I$2:$I$3001,MATCH($A282,PERLINE!$N$2:$N$3001,0)))</f>
        <v/>
      </c>
      <c r="D282" s="17" t="str">
        <f aca="false">IF($A282="","",'كشف المطالبة'!$D$6)</f>
        <v/>
      </c>
      <c r="E282" s="18" t="str">
        <f aca="false">IF($A282="","",SUMIFS(PERLINE!$U$2:$U$3001,PERLINE!$N$2:$N$3001,$A282,PERLINE!$AK$2:$AK$3001,0))</f>
        <v/>
      </c>
      <c r="F282" s="19" t="str">
        <f aca="false">IF($A282="","",E282*D282)</f>
        <v/>
      </c>
      <c r="G282" s="17" t="str">
        <f aca="false">IF($A282="","",'كشف المطالبة'!$D$5)</f>
        <v/>
      </c>
      <c r="H282" s="18" t="str">
        <f aca="false">IF($A282="","",SUMIFS(PERLINE!$U$2:$U$3001,PERLINE!$N$2:$N$3001,$A282,PERLINE!$AK$2:$AK$3001,1))</f>
        <v/>
      </c>
      <c r="I282" s="19" t="str">
        <f aca="false">IF($A282="","",H282*G282)</f>
        <v/>
      </c>
      <c r="J282" s="19" t="str">
        <f aca="false">IF($A282="","",F282+I282)</f>
        <v/>
      </c>
      <c r="K282" s="19" t="str">
        <f aca="false">IF($A282="","",H282+E282)</f>
        <v/>
      </c>
      <c r="L282" s="20" t="str">
        <f aca="false">IF($A282="","",K282-J282-N282)</f>
        <v/>
      </c>
      <c r="M282" s="15" t="str">
        <f aca="false">IF($A282="","",INDEX(PERLINE!$A$2:$A$3001,MATCH($A282,PERLINE!$N$2:$N$3001,0)))</f>
        <v/>
      </c>
      <c r="N282" s="21" t="str">
        <f aca="false">IF($A282="","",SUMIFS(PERLINE!$M$2:$M$3001,PERLINE!$N$2:$N$3001,$A282))</f>
        <v/>
      </c>
    </row>
    <row r="283" customFormat="false" ht="15" hidden="false" customHeight="false" outlineLevel="0" collapsed="false">
      <c r="A283" s="15" t="str">
        <f aca="false">IF(ROWS($A$2:$A283)&lt;=Check!$C$4,SMALL(PERLINE!$AL$2:$AL$3001,ROWS($A$2:$A283)),"")</f>
        <v/>
      </c>
      <c r="B283" s="15" t="str">
        <f aca="false">IF($A283="","",INDEX(PERLINE!$J$2:$J$3001,MATCH($A283,PERLINE!$N$2:$N$3001,0)))</f>
        <v/>
      </c>
      <c r="C283" s="16" t="str">
        <f aca="false">IF($A283="","",INDEX(PERLINE!$I$2:$I$3001,MATCH($A283,PERLINE!$N$2:$N$3001,0)))</f>
        <v/>
      </c>
      <c r="D283" s="17" t="str">
        <f aca="false">IF($A283="","",'كشف المطالبة'!$D$6)</f>
        <v/>
      </c>
      <c r="E283" s="18" t="str">
        <f aca="false">IF($A283="","",SUMIFS(PERLINE!$U$2:$U$3001,PERLINE!$N$2:$N$3001,$A283,PERLINE!$AK$2:$AK$3001,0))</f>
        <v/>
      </c>
      <c r="F283" s="19" t="str">
        <f aca="false">IF($A283="","",E283*D283)</f>
        <v/>
      </c>
      <c r="G283" s="17" t="str">
        <f aca="false">IF($A283="","",'كشف المطالبة'!$D$5)</f>
        <v/>
      </c>
      <c r="H283" s="18" t="str">
        <f aca="false">IF($A283="","",SUMIFS(PERLINE!$U$2:$U$3001,PERLINE!$N$2:$N$3001,$A283,PERLINE!$AK$2:$AK$3001,1))</f>
        <v/>
      </c>
      <c r="I283" s="19" t="str">
        <f aca="false">IF($A283="","",H283*G283)</f>
        <v/>
      </c>
      <c r="J283" s="19" t="str">
        <f aca="false">IF($A283="","",F283+I283)</f>
        <v/>
      </c>
      <c r="K283" s="19" t="str">
        <f aca="false">IF($A283="","",H283+E283)</f>
        <v/>
      </c>
      <c r="L283" s="20" t="str">
        <f aca="false">IF($A283="","",K283-J283-N283)</f>
        <v/>
      </c>
      <c r="M283" s="15" t="str">
        <f aca="false">IF($A283="","",INDEX(PERLINE!$A$2:$A$3001,MATCH($A283,PERLINE!$N$2:$N$3001,0)))</f>
        <v/>
      </c>
      <c r="N283" s="21" t="str">
        <f aca="false">IF($A283="","",SUMIFS(PERLINE!$M$2:$M$3001,PERLINE!$N$2:$N$3001,$A283))</f>
        <v/>
      </c>
    </row>
    <row r="284" customFormat="false" ht="15" hidden="false" customHeight="false" outlineLevel="0" collapsed="false">
      <c r="A284" s="15" t="str">
        <f aca="false">IF(ROWS($A$2:$A284)&lt;=Check!$C$4,SMALL(PERLINE!$AL$2:$AL$3001,ROWS($A$2:$A284)),"")</f>
        <v/>
      </c>
      <c r="B284" s="15" t="str">
        <f aca="false">IF($A284="","",INDEX(PERLINE!$J$2:$J$3001,MATCH($A284,PERLINE!$N$2:$N$3001,0)))</f>
        <v/>
      </c>
      <c r="C284" s="16" t="str">
        <f aca="false">IF($A284="","",INDEX(PERLINE!$I$2:$I$3001,MATCH($A284,PERLINE!$N$2:$N$3001,0)))</f>
        <v/>
      </c>
      <c r="D284" s="17" t="str">
        <f aca="false">IF($A284="","",'كشف المطالبة'!$D$6)</f>
        <v/>
      </c>
      <c r="E284" s="18" t="str">
        <f aca="false">IF($A284="","",SUMIFS(PERLINE!$U$2:$U$3001,PERLINE!$N$2:$N$3001,$A284,PERLINE!$AK$2:$AK$3001,0))</f>
        <v/>
      </c>
      <c r="F284" s="19" t="str">
        <f aca="false">IF($A284="","",E284*D284)</f>
        <v/>
      </c>
      <c r="G284" s="17" t="str">
        <f aca="false">IF($A284="","",'كشف المطالبة'!$D$5)</f>
        <v/>
      </c>
      <c r="H284" s="18" t="str">
        <f aca="false">IF($A284="","",SUMIFS(PERLINE!$U$2:$U$3001,PERLINE!$N$2:$N$3001,$A284,PERLINE!$AK$2:$AK$3001,1))</f>
        <v/>
      </c>
      <c r="I284" s="19" t="str">
        <f aca="false">IF($A284="","",H284*G284)</f>
        <v/>
      </c>
      <c r="J284" s="19" t="str">
        <f aca="false">IF($A284="","",F284+I284)</f>
        <v/>
      </c>
      <c r="K284" s="19" t="str">
        <f aca="false">IF($A284="","",H284+E284)</f>
        <v/>
      </c>
      <c r="L284" s="20" t="str">
        <f aca="false">IF($A284="","",K284-J284-N284)</f>
        <v/>
      </c>
      <c r="M284" s="15" t="str">
        <f aca="false">IF($A284="","",INDEX(PERLINE!$A$2:$A$3001,MATCH($A284,PERLINE!$N$2:$N$3001,0)))</f>
        <v/>
      </c>
      <c r="N284" s="21" t="str">
        <f aca="false">IF($A284="","",SUMIFS(PERLINE!$M$2:$M$3001,PERLINE!$N$2:$N$3001,$A284))</f>
        <v/>
      </c>
    </row>
    <row r="285" customFormat="false" ht="15" hidden="false" customHeight="false" outlineLevel="0" collapsed="false">
      <c r="A285" s="15" t="str">
        <f aca="false">IF(ROWS($A$2:$A285)&lt;=Check!$C$4,SMALL(PERLINE!$AL$2:$AL$3001,ROWS($A$2:$A285)),"")</f>
        <v/>
      </c>
      <c r="B285" s="15" t="str">
        <f aca="false">IF($A285="","",INDEX(PERLINE!$J$2:$J$3001,MATCH($A285,PERLINE!$N$2:$N$3001,0)))</f>
        <v/>
      </c>
      <c r="C285" s="16" t="str">
        <f aca="false">IF($A285="","",INDEX(PERLINE!$I$2:$I$3001,MATCH($A285,PERLINE!$N$2:$N$3001,0)))</f>
        <v/>
      </c>
      <c r="D285" s="17" t="str">
        <f aca="false">IF($A285="","",'كشف المطالبة'!$D$6)</f>
        <v/>
      </c>
      <c r="E285" s="18" t="str">
        <f aca="false">IF($A285="","",SUMIFS(PERLINE!$U$2:$U$3001,PERLINE!$N$2:$N$3001,$A285,PERLINE!$AK$2:$AK$3001,0))</f>
        <v/>
      </c>
      <c r="F285" s="19" t="str">
        <f aca="false">IF($A285="","",E285*D285)</f>
        <v/>
      </c>
      <c r="G285" s="17" t="str">
        <f aca="false">IF($A285="","",'كشف المطالبة'!$D$5)</f>
        <v/>
      </c>
      <c r="H285" s="18" t="str">
        <f aca="false">IF($A285="","",SUMIFS(PERLINE!$U$2:$U$3001,PERLINE!$N$2:$N$3001,$A285,PERLINE!$AK$2:$AK$3001,1))</f>
        <v/>
      </c>
      <c r="I285" s="19" t="str">
        <f aca="false">IF($A285="","",H285*G285)</f>
        <v/>
      </c>
      <c r="J285" s="19" t="str">
        <f aca="false">IF($A285="","",F285+I285)</f>
        <v/>
      </c>
      <c r="K285" s="19" t="str">
        <f aca="false">IF($A285="","",H285+E285)</f>
        <v/>
      </c>
      <c r="L285" s="20" t="str">
        <f aca="false">IF($A285="","",K285-J285-N285)</f>
        <v/>
      </c>
      <c r="M285" s="15" t="str">
        <f aca="false">IF($A285="","",INDEX(PERLINE!$A$2:$A$3001,MATCH($A285,PERLINE!$N$2:$N$3001,0)))</f>
        <v/>
      </c>
      <c r="N285" s="21" t="str">
        <f aca="false">IF($A285="","",SUMIFS(PERLINE!$M$2:$M$3001,PERLINE!$N$2:$N$3001,$A285))</f>
        <v/>
      </c>
    </row>
    <row r="286" customFormat="false" ht="15" hidden="false" customHeight="false" outlineLevel="0" collapsed="false">
      <c r="A286" s="15" t="str">
        <f aca="false">IF(ROWS($A$2:$A286)&lt;=Check!$C$4,SMALL(PERLINE!$AL$2:$AL$3001,ROWS($A$2:$A286)),"")</f>
        <v/>
      </c>
      <c r="B286" s="15" t="str">
        <f aca="false">IF($A286="","",INDEX(PERLINE!$J$2:$J$3001,MATCH($A286,PERLINE!$N$2:$N$3001,0)))</f>
        <v/>
      </c>
      <c r="C286" s="16" t="str">
        <f aca="false">IF($A286="","",INDEX(PERLINE!$I$2:$I$3001,MATCH($A286,PERLINE!$N$2:$N$3001,0)))</f>
        <v/>
      </c>
      <c r="D286" s="17" t="str">
        <f aca="false">IF($A286="","",'كشف المطالبة'!$D$6)</f>
        <v/>
      </c>
      <c r="E286" s="18" t="str">
        <f aca="false">IF($A286="","",SUMIFS(PERLINE!$U$2:$U$3001,PERLINE!$N$2:$N$3001,$A286,PERLINE!$AK$2:$AK$3001,0))</f>
        <v/>
      </c>
      <c r="F286" s="19" t="str">
        <f aca="false">IF($A286="","",E286*D286)</f>
        <v/>
      </c>
      <c r="G286" s="17" t="str">
        <f aca="false">IF($A286="","",'كشف المطالبة'!$D$5)</f>
        <v/>
      </c>
      <c r="H286" s="18" t="str">
        <f aca="false">IF($A286="","",SUMIFS(PERLINE!$U$2:$U$3001,PERLINE!$N$2:$N$3001,$A286,PERLINE!$AK$2:$AK$3001,1))</f>
        <v/>
      </c>
      <c r="I286" s="19" t="str">
        <f aca="false">IF($A286="","",H286*G286)</f>
        <v/>
      </c>
      <c r="J286" s="19" t="str">
        <f aca="false">IF($A286="","",F286+I286)</f>
        <v/>
      </c>
      <c r="K286" s="19" t="str">
        <f aca="false">IF($A286="","",H286+E286)</f>
        <v/>
      </c>
      <c r="L286" s="20" t="str">
        <f aca="false">IF($A286="","",K286-J286-N286)</f>
        <v/>
      </c>
      <c r="M286" s="15" t="str">
        <f aca="false">IF($A286="","",INDEX(PERLINE!$A$2:$A$3001,MATCH($A286,PERLINE!$N$2:$N$3001,0)))</f>
        <v/>
      </c>
      <c r="N286" s="21" t="str">
        <f aca="false">IF($A286="","",SUMIFS(PERLINE!$M$2:$M$3001,PERLINE!$N$2:$N$3001,$A286))</f>
        <v/>
      </c>
    </row>
    <row r="287" customFormat="false" ht="15" hidden="false" customHeight="false" outlineLevel="0" collapsed="false">
      <c r="A287" s="15" t="str">
        <f aca="false">IF(ROWS($A$2:$A287)&lt;=Check!$C$4,SMALL(PERLINE!$AL$2:$AL$3001,ROWS($A$2:$A287)),"")</f>
        <v/>
      </c>
      <c r="B287" s="15" t="str">
        <f aca="false">IF($A287="","",INDEX(PERLINE!$J$2:$J$3001,MATCH($A287,PERLINE!$N$2:$N$3001,0)))</f>
        <v/>
      </c>
      <c r="C287" s="16" t="str">
        <f aca="false">IF($A287="","",INDEX(PERLINE!$I$2:$I$3001,MATCH($A287,PERLINE!$N$2:$N$3001,0)))</f>
        <v/>
      </c>
      <c r="D287" s="17" t="str">
        <f aca="false">IF($A287="","",'كشف المطالبة'!$D$6)</f>
        <v/>
      </c>
      <c r="E287" s="18" t="str">
        <f aca="false">IF($A287="","",SUMIFS(PERLINE!$U$2:$U$3001,PERLINE!$N$2:$N$3001,$A287,PERLINE!$AK$2:$AK$3001,0))</f>
        <v/>
      </c>
      <c r="F287" s="19" t="str">
        <f aca="false">IF($A287="","",E287*D287)</f>
        <v/>
      </c>
      <c r="G287" s="17" t="str">
        <f aca="false">IF($A287="","",'كشف المطالبة'!$D$5)</f>
        <v/>
      </c>
      <c r="H287" s="18" t="str">
        <f aca="false">IF($A287="","",SUMIFS(PERLINE!$U$2:$U$3001,PERLINE!$N$2:$N$3001,$A287,PERLINE!$AK$2:$AK$3001,1))</f>
        <v/>
      </c>
      <c r="I287" s="19" t="str">
        <f aca="false">IF($A287="","",H287*G287)</f>
        <v/>
      </c>
      <c r="J287" s="19" t="str">
        <f aca="false">IF($A287="","",F287+I287)</f>
        <v/>
      </c>
      <c r="K287" s="19" t="str">
        <f aca="false">IF($A287="","",H287+E287)</f>
        <v/>
      </c>
      <c r="L287" s="20" t="str">
        <f aca="false">IF($A287="","",K287-J287-N287)</f>
        <v/>
      </c>
      <c r="M287" s="15" t="str">
        <f aca="false">IF($A287="","",INDEX(PERLINE!$A$2:$A$3001,MATCH($A287,PERLINE!$N$2:$N$3001,0)))</f>
        <v/>
      </c>
      <c r="N287" s="21" t="str">
        <f aca="false">IF($A287="","",SUMIFS(PERLINE!$M$2:$M$3001,PERLINE!$N$2:$N$3001,$A287))</f>
        <v/>
      </c>
    </row>
    <row r="288" customFormat="false" ht="15" hidden="false" customHeight="false" outlineLevel="0" collapsed="false">
      <c r="A288" s="15" t="str">
        <f aca="false">IF(ROWS($A$2:$A288)&lt;=Check!$C$4,SMALL(PERLINE!$AL$2:$AL$3001,ROWS($A$2:$A288)),"")</f>
        <v/>
      </c>
      <c r="B288" s="15" t="str">
        <f aca="false">IF($A288="","",INDEX(PERLINE!$J$2:$J$3001,MATCH($A288,PERLINE!$N$2:$N$3001,0)))</f>
        <v/>
      </c>
      <c r="C288" s="16" t="str">
        <f aca="false">IF($A288="","",INDEX(PERLINE!$I$2:$I$3001,MATCH($A288,PERLINE!$N$2:$N$3001,0)))</f>
        <v/>
      </c>
      <c r="D288" s="17" t="str">
        <f aca="false">IF($A288="","",'كشف المطالبة'!$D$6)</f>
        <v/>
      </c>
      <c r="E288" s="18" t="str">
        <f aca="false">IF($A288="","",SUMIFS(PERLINE!$U$2:$U$3001,PERLINE!$N$2:$N$3001,$A288,PERLINE!$AK$2:$AK$3001,0))</f>
        <v/>
      </c>
      <c r="F288" s="19" t="str">
        <f aca="false">IF($A288="","",E288*D288)</f>
        <v/>
      </c>
      <c r="G288" s="17" t="str">
        <f aca="false">IF($A288="","",'كشف المطالبة'!$D$5)</f>
        <v/>
      </c>
      <c r="H288" s="18" t="str">
        <f aca="false">IF($A288="","",SUMIFS(PERLINE!$U$2:$U$3001,PERLINE!$N$2:$N$3001,$A288,PERLINE!$AK$2:$AK$3001,1))</f>
        <v/>
      </c>
      <c r="I288" s="19" t="str">
        <f aca="false">IF($A288="","",H288*G288)</f>
        <v/>
      </c>
      <c r="J288" s="19" t="str">
        <f aca="false">IF($A288="","",F288+I288)</f>
        <v/>
      </c>
      <c r="K288" s="19" t="str">
        <f aca="false">IF($A288="","",H288+E288)</f>
        <v/>
      </c>
      <c r="L288" s="20" t="str">
        <f aca="false">IF($A288="","",K288-J288-N288)</f>
        <v/>
      </c>
      <c r="M288" s="15" t="str">
        <f aca="false">IF($A288="","",INDEX(PERLINE!$A$2:$A$3001,MATCH($A288,PERLINE!$N$2:$N$3001,0)))</f>
        <v/>
      </c>
      <c r="N288" s="21" t="str">
        <f aca="false">IF($A288="","",SUMIFS(PERLINE!$M$2:$M$3001,PERLINE!$N$2:$N$3001,$A288))</f>
        <v/>
      </c>
    </row>
    <row r="289" customFormat="false" ht="15" hidden="false" customHeight="false" outlineLevel="0" collapsed="false">
      <c r="A289" s="15" t="str">
        <f aca="false">IF(ROWS($A$2:$A289)&lt;=Check!$C$4,SMALL(PERLINE!$AL$2:$AL$3001,ROWS($A$2:$A289)),"")</f>
        <v/>
      </c>
      <c r="B289" s="15" t="str">
        <f aca="false">IF($A289="","",INDEX(PERLINE!$J$2:$J$3001,MATCH($A289,PERLINE!$N$2:$N$3001,0)))</f>
        <v/>
      </c>
      <c r="C289" s="16" t="str">
        <f aca="false">IF($A289="","",INDEX(PERLINE!$I$2:$I$3001,MATCH($A289,PERLINE!$N$2:$N$3001,0)))</f>
        <v/>
      </c>
      <c r="D289" s="17" t="str">
        <f aca="false">IF($A289="","",'كشف المطالبة'!$D$6)</f>
        <v/>
      </c>
      <c r="E289" s="18" t="str">
        <f aca="false">IF($A289="","",SUMIFS(PERLINE!$U$2:$U$3001,PERLINE!$N$2:$N$3001,$A289,PERLINE!$AK$2:$AK$3001,0))</f>
        <v/>
      </c>
      <c r="F289" s="19" t="str">
        <f aca="false">IF($A289="","",E289*D289)</f>
        <v/>
      </c>
      <c r="G289" s="17" t="str">
        <f aca="false">IF($A289="","",'كشف المطالبة'!$D$5)</f>
        <v/>
      </c>
      <c r="H289" s="18" t="str">
        <f aca="false">IF($A289="","",SUMIFS(PERLINE!$U$2:$U$3001,PERLINE!$N$2:$N$3001,$A289,PERLINE!$AK$2:$AK$3001,1))</f>
        <v/>
      </c>
      <c r="I289" s="19" t="str">
        <f aca="false">IF($A289="","",H289*G289)</f>
        <v/>
      </c>
      <c r="J289" s="19" t="str">
        <f aca="false">IF($A289="","",F289+I289)</f>
        <v/>
      </c>
      <c r="K289" s="19" t="str">
        <f aca="false">IF($A289="","",H289+E289)</f>
        <v/>
      </c>
      <c r="L289" s="20" t="str">
        <f aca="false">IF($A289="","",K289-J289-N289)</f>
        <v/>
      </c>
      <c r="M289" s="15" t="str">
        <f aca="false">IF($A289="","",INDEX(PERLINE!$A$2:$A$3001,MATCH($A289,PERLINE!$N$2:$N$3001,0)))</f>
        <v/>
      </c>
      <c r="N289" s="21" t="str">
        <f aca="false">IF($A289="","",SUMIFS(PERLINE!$M$2:$M$3001,PERLINE!$N$2:$N$3001,$A289))</f>
        <v/>
      </c>
    </row>
    <row r="290" customFormat="false" ht="15" hidden="false" customHeight="false" outlineLevel="0" collapsed="false">
      <c r="A290" s="15" t="str">
        <f aca="false">IF(ROWS($A$2:$A290)&lt;=Check!$C$4,SMALL(PERLINE!$AL$2:$AL$3001,ROWS($A$2:$A290)),"")</f>
        <v/>
      </c>
      <c r="B290" s="15" t="str">
        <f aca="false">IF($A290="","",INDEX(PERLINE!$J$2:$J$3001,MATCH($A290,PERLINE!$N$2:$N$3001,0)))</f>
        <v/>
      </c>
      <c r="C290" s="16" t="str">
        <f aca="false">IF($A290="","",INDEX(PERLINE!$I$2:$I$3001,MATCH($A290,PERLINE!$N$2:$N$3001,0)))</f>
        <v/>
      </c>
      <c r="D290" s="17" t="str">
        <f aca="false">IF($A290="","",'كشف المطالبة'!$D$6)</f>
        <v/>
      </c>
      <c r="E290" s="18" t="str">
        <f aca="false">IF($A290="","",SUMIFS(PERLINE!$U$2:$U$3001,PERLINE!$N$2:$N$3001,$A290,PERLINE!$AK$2:$AK$3001,0))</f>
        <v/>
      </c>
      <c r="F290" s="19" t="str">
        <f aca="false">IF($A290="","",E290*D290)</f>
        <v/>
      </c>
      <c r="G290" s="17" t="str">
        <f aca="false">IF($A290="","",'كشف المطالبة'!$D$5)</f>
        <v/>
      </c>
      <c r="H290" s="18" t="str">
        <f aca="false">IF($A290="","",SUMIFS(PERLINE!$U$2:$U$3001,PERLINE!$N$2:$N$3001,$A290,PERLINE!$AK$2:$AK$3001,1))</f>
        <v/>
      </c>
      <c r="I290" s="19" t="str">
        <f aca="false">IF($A290="","",H290*G290)</f>
        <v/>
      </c>
      <c r="J290" s="19" t="str">
        <f aca="false">IF($A290="","",F290+I290)</f>
        <v/>
      </c>
      <c r="K290" s="19" t="str">
        <f aca="false">IF($A290="","",H290+E290)</f>
        <v/>
      </c>
      <c r="L290" s="20" t="str">
        <f aca="false">IF($A290="","",K290-J290-N290)</f>
        <v/>
      </c>
      <c r="M290" s="15" t="str">
        <f aca="false">IF($A290="","",INDEX(PERLINE!$A$2:$A$3001,MATCH($A290,PERLINE!$N$2:$N$3001,0)))</f>
        <v/>
      </c>
      <c r="N290" s="21" t="str">
        <f aca="false">IF($A290="","",SUMIFS(PERLINE!$M$2:$M$3001,PERLINE!$N$2:$N$3001,$A290))</f>
        <v/>
      </c>
    </row>
    <row r="291" customFormat="false" ht="15" hidden="false" customHeight="false" outlineLevel="0" collapsed="false">
      <c r="A291" s="15" t="str">
        <f aca="false">IF(ROWS($A$2:$A291)&lt;=Check!$C$4,SMALL(PERLINE!$AL$2:$AL$3001,ROWS($A$2:$A291)),"")</f>
        <v/>
      </c>
      <c r="B291" s="15" t="str">
        <f aca="false">IF($A291="","",INDEX(PERLINE!$J$2:$J$3001,MATCH($A291,PERLINE!$N$2:$N$3001,0)))</f>
        <v/>
      </c>
      <c r="C291" s="16" t="str">
        <f aca="false">IF($A291="","",INDEX(PERLINE!$I$2:$I$3001,MATCH($A291,PERLINE!$N$2:$N$3001,0)))</f>
        <v/>
      </c>
      <c r="D291" s="17" t="str">
        <f aca="false">IF($A291="","",'كشف المطالبة'!$D$6)</f>
        <v/>
      </c>
      <c r="E291" s="18" t="str">
        <f aca="false">IF($A291="","",SUMIFS(PERLINE!$U$2:$U$3001,PERLINE!$N$2:$N$3001,$A291,PERLINE!$AK$2:$AK$3001,0))</f>
        <v/>
      </c>
      <c r="F291" s="19" t="str">
        <f aca="false">IF($A291="","",E291*D291)</f>
        <v/>
      </c>
      <c r="G291" s="17" t="str">
        <f aca="false">IF($A291="","",'كشف المطالبة'!$D$5)</f>
        <v/>
      </c>
      <c r="H291" s="18" t="str">
        <f aca="false">IF($A291="","",SUMIFS(PERLINE!$U$2:$U$3001,PERLINE!$N$2:$N$3001,$A291,PERLINE!$AK$2:$AK$3001,1))</f>
        <v/>
      </c>
      <c r="I291" s="19" t="str">
        <f aca="false">IF($A291="","",H291*G291)</f>
        <v/>
      </c>
      <c r="J291" s="19" t="str">
        <f aca="false">IF($A291="","",F291+I291)</f>
        <v/>
      </c>
      <c r="K291" s="19" t="str">
        <f aca="false">IF($A291="","",H291+E291)</f>
        <v/>
      </c>
      <c r="L291" s="20" t="str">
        <f aca="false">IF($A291="","",K291-J291-N291)</f>
        <v/>
      </c>
      <c r="M291" s="15" t="str">
        <f aca="false">IF($A291="","",INDEX(PERLINE!$A$2:$A$3001,MATCH($A291,PERLINE!$N$2:$N$3001,0)))</f>
        <v/>
      </c>
      <c r="N291" s="21" t="str">
        <f aca="false">IF($A291="","",SUMIFS(PERLINE!$M$2:$M$3001,PERLINE!$N$2:$N$3001,$A291))</f>
        <v/>
      </c>
    </row>
    <row r="292" customFormat="false" ht="15" hidden="false" customHeight="false" outlineLevel="0" collapsed="false">
      <c r="A292" s="15" t="str">
        <f aca="false">IF(ROWS($A$2:$A292)&lt;=Check!$C$4,SMALL(PERLINE!$AL$2:$AL$3001,ROWS($A$2:$A292)),"")</f>
        <v/>
      </c>
      <c r="B292" s="15" t="str">
        <f aca="false">IF($A292="","",INDEX(PERLINE!$J$2:$J$3001,MATCH($A292,PERLINE!$N$2:$N$3001,0)))</f>
        <v/>
      </c>
      <c r="C292" s="16" t="str">
        <f aca="false">IF($A292="","",INDEX(PERLINE!$I$2:$I$3001,MATCH($A292,PERLINE!$N$2:$N$3001,0)))</f>
        <v/>
      </c>
      <c r="D292" s="17" t="str">
        <f aca="false">IF($A292="","",'كشف المطالبة'!$D$6)</f>
        <v/>
      </c>
      <c r="E292" s="18" t="str">
        <f aca="false">IF($A292="","",SUMIFS(PERLINE!$U$2:$U$3001,PERLINE!$N$2:$N$3001,$A292,PERLINE!$AK$2:$AK$3001,0))</f>
        <v/>
      </c>
      <c r="F292" s="19" t="str">
        <f aca="false">IF($A292="","",E292*D292)</f>
        <v/>
      </c>
      <c r="G292" s="17" t="str">
        <f aca="false">IF($A292="","",'كشف المطالبة'!$D$5)</f>
        <v/>
      </c>
      <c r="H292" s="18" t="str">
        <f aca="false">IF($A292="","",SUMIFS(PERLINE!$U$2:$U$3001,PERLINE!$N$2:$N$3001,$A292,PERLINE!$AK$2:$AK$3001,1))</f>
        <v/>
      </c>
      <c r="I292" s="19" t="str">
        <f aca="false">IF($A292="","",H292*G292)</f>
        <v/>
      </c>
      <c r="J292" s="19" t="str">
        <f aca="false">IF($A292="","",F292+I292)</f>
        <v/>
      </c>
      <c r="K292" s="19" t="str">
        <f aca="false">IF($A292="","",H292+E292)</f>
        <v/>
      </c>
      <c r="L292" s="20" t="str">
        <f aca="false">IF($A292="","",K292-J292-N292)</f>
        <v/>
      </c>
      <c r="M292" s="15" t="str">
        <f aca="false">IF($A292="","",INDEX(PERLINE!$A$2:$A$3001,MATCH($A292,PERLINE!$N$2:$N$3001,0)))</f>
        <v/>
      </c>
      <c r="N292" s="21" t="str">
        <f aca="false">IF($A292="","",SUMIFS(PERLINE!$M$2:$M$3001,PERLINE!$N$2:$N$3001,$A292))</f>
        <v/>
      </c>
    </row>
    <row r="293" customFormat="false" ht="15" hidden="false" customHeight="false" outlineLevel="0" collapsed="false">
      <c r="A293" s="15" t="str">
        <f aca="false">IF(ROWS($A$2:$A293)&lt;=Check!$C$4,SMALL(PERLINE!$AL$2:$AL$3001,ROWS($A$2:$A293)),"")</f>
        <v/>
      </c>
      <c r="B293" s="15" t="str">
        <f aca="false">IF($A293="","",INDEX(PERLINE!$J$2:$J$3001,MATCH($A293,PERLINE!$N$2:$N$3001,0)))</f>
        <v/>
      </c>
      <c r="C293" s="16" t="str">
        <f aca="false">IF($A293="","",INDEX(PERLINE!$I$2:$I$3001,MATCH($A293,PERLINE!$N$2:$N$3001,0)))</f>
        <v/>
      </c>
      <c r="D293" s="17" t="str">
        <f aca="false">IF($A293="","",'كشف المطالبة'!$D$6)</f>
        <v/>
      </c>
      <c r="E293" s="18" t="str">
        <f aca="false">IF($A293="","",SUMIFS(PERLINE!$U$2:$U$3001,PERLINE!$N$2:$N$3001,$A293,PERLINE!$AK$2:$AK$3001,0))</f>
        <v/>
      </c>
      <c r="F293" s="19" t="str">
        <f aca="false">IF($A293="","",E293*D293)</f>
        <v/>
      </c>
      <c r="G293" s="17" t="str">
        <f aca="false">IF($A293="","",'كشف المطالبة'!$D$5)</f>
        <v/>
      </c>
      <c r="H293" s="18" t="str">
        <f aca="false">IF($A293="","",SUMIFS(PERLINE!$U$2:$U$3001,PERLINE!$N$2:$N$3001,$A293,PERLINE!$AK$2:$AK$3001,1))</f>
        <v/>
      </c>
      <c r="I293" s="19" t="str">
        <f aca="false">IF($A293="","",H293*G293)</f>
        <v/>
      </c>
      <c r="J293" s="19" t="str">
        <f aca="false">IF($A293="","",F293+I293)</f>
        <v/>
      </c>
      <c r="K293" s="19" t="str">
        <f aca="false">IF($A293="","",H293+E293)</f>
        <v/>
      </c>
      <c r="L293" s="20" t="str">
        <f aca="false">IF($A293="","",K293-J293-N293)</f>
        <v/>
      </c>
      <c r="M293" s="15" t="str">
        <f aca="false">IF($A293="","",INDEX(PERLINE!$A$2:$A$3001,MATCH($A293,PERLINE!$N$2:$N$3001,0)))</f>
        <v/>
      </c>
      <c r="N293" s="21" t="str">
        <f aca="false">IF($A293="","",SUMIFS(PERLINE!$M$2:$M$3001,PERLINE!$N$2:$N$3001,$A293))</f>
        <v/>
      </c>
    </row>
    <row r="294" customFormat="false" ht="15" hidden="false" customHeight="false" outlineLevel="0" collapsed="false">
      <c r="A294" s="15" t="str">
        <f aca="false">IF(ROWS($A$2:$A294)&lt;=Check!$C$4,SMALL(PERLINE!$AL$2:$AL$3001,ROWS($A$2:$A294)),"")</f>
        <v/>
      </c>
      <c r="B294" s="15" t="str">
        <f aca="false">IF($A294="","",INDEX(PERLINE!$J$2:$J$3001,MATCH($A294,PERLINE!$N$2:$N$3001,0)))</f>
        <v/>
      </c>
      <c r="C294" s="16" t="str">
        <f aca="false">IF($A294="","",INDEX(PERLINE!$I$2:$I$3001,MATCH($A294,PERLINE!$N$2:$N$3001,0)))</f>
        <v/>
      </c>
      <c r="D294" s="17" t="str">
        <f aca="false">IF($A294="","",'كشف المطالبة'!$D$6)</f>
        <v/>
      </c>
      <c r="E294" s="18" t="str">
        <f aca="false">IF($A294="","",SUMIFS(PERLINE!$U$2:$U$3001,PERLINE!$N$2:$N$3001,$A294,PERLINE!$AK$2:$AK$3001,0))</f>
        <v/>
      </c>
      <c r="F294" s="19" t="str">
        <f aca="false">IF($A294="","",E294*D294)</f>
        <v/>
      </c>
      <c r="G294" s="17" t="str">
        <f aca="false">IF($A294="","",'كشف المطالبة'!$D$5)</f>
        <v/>
      </c>
      <c r="H294" s="18" t="str">
        <f aca="false">IF($A294="","",SUMIFS(PERLINE!$U$2:$U$3001,PERLINE!$N$2:$N$3001,$A294,PERLINE!$AK$2:$AK$3001,1))</f>
        <v/>
      </c>
      <c r="I294" s="19" t="str">
        <f aca="false">IF($A294="","",H294*G294)</f>
        <v/>
      </c>
      <c r="J294" s="19" t="str">
        <f aca="false">IF($A294="","",F294+I294)</f>
        <v/>
      </c>
      <c r="K294" s="19" t="str">
        <f aca="false">IF($A294="","",H294+E294)</f>
        <v/>
      </c>
      <c r="L294" s="20" t="str">
        <f aca="false">IF($A294="","",K294-J294-N294)</f>
        <v/>
      </c>
      <c r="M294" s="15" t="str">
        <f aca="false">IF($A294="","",INDEX(PERLINE!$A$2:$A$3001,MATCH($A294,PERLINE!$N$2:$N$3001,0)))</f>
        <v/>
      </c>
      <c r="N294" s="21" t="str">
        <f aca="false">IF($A294="","",SUMIFS(PERLINE!$M$2:$M$3001,PERLINE!$N$2:$N$3001,$A294))</f>
        <v/>
      </c>
    </row>
    <row r="295" customFormat="false" ht="15" hidden="false" customHeight="false" outlineLevel="0" collapsed="false">
      <c r="A295" s="15" t="str">
        <f aca="false">IF(ROWS($A$2:$A295)&lt;=Check!$C$4,SMALL(PERLINE!$AL$2:$AL$3001,ROWS($A$2:$A295)),"")</f>
        <v/>
      </c>
      <c r="B295" s="15" t="str">
        <f aca="false">IF($A295="","",INDEX(PERLINE!$J$2:$J$3001,MATCH($A295,PERLINE!$N$2:$N$3001,0)))</f>
        <v/>
      </c>
      <c r="C295" s="16" t="str">
        <f aca="false">IF($A295="","",INDEX(PERLINE!$I$2:$I$3001,MATCH($A295,PERLINE!$N$2:$N$3001,0)))</f>
        <v/>
      </c>
      <c r="D295" s="17" t="str">
        <f aca="false">IF($A295="","",'كشف المطالبة'!$D$6)</f>
        <v/>
      </c>
      <c r="E295" s="18" t="str">
        <f aca="false">IF($A295="","",SUMIFS(PERLINE!$U$2:$U$3001,PERLINE!$N$2:$N$3001,$A295,PERLINE!$AK$2:$AK$3001,0))</f>
        <v/>
      </c>
      <c r="F295" s="19" t="str">
        <f aca="false">IF($A295="","",E295*D295)</f>
        <v/>
      </c>
      <c r="G295" s="17" t="str">
        <f aca="false">IF($A295="","",'كشف المطالبة'!$D$5)</f>
        <v/>
      </c>
      <c r="H295" s="18" t="str">
        <f aca="false">IF($A295="","",SUMIFS(PERLINE!$U$2:$U$3001,PERLINE!$N$2:$N$3001,$A295,PERLINE!$AK$2:$AK$3001,1))</f>
        <v/>
      </c>
      <c r="I295" s="19" t="str">
        <f aca="false">IF($A295="","",H295*G295)</f>
        <v/>
      </c>
      <c r="J295" s="19" t="str">
        <f aca="false">IF($A295="","",F295+I295)</f>
        <v/>
      </c>
      <c r="K295" s="19" t="str">
        <f aca="false">IF($A295="","",H295+E295)</f>
        <v/>
      </c>
      <c r="L295" s="20" t="str">
        <f aca="false">IF($A295="","",K295-J295-N295)</f>
        <v/>
      </c>
      <c r="M295" s="15" t="str">
        <f aca="false">IF($A295="","",INDEX(PERLINE!$A$2:$A$3001,MATCH($A295,PERLINE!$N$2:$N$3001,0)))</f>
        <v/>
      </c>
      <c r="N295" s="21" t="str">
        <f aca="false">IF($A295="","",SUMIFS(PERLINE!$M$2:$M$3001,PERLINE!$N$2:$N$3001,$A295))</f>
        <v/>
      </c>
    </row>
    <row r="296" customFormat="false" ht="15" hidden="false" customHeight="false" outlineLevel="0" collapsed="false">
      <c r="A296" s="15" t="str">
        <f aca="false">IF(ROWS($A$2:$A296)&lt;=Check!$C$4,SMALL(PERLINE!$AL$2:$AL$3001,ROWS($A$2:$A296)),"")</f>
        <v/>
      </c>
      <c r="B296" s="15" t="str">
        <f aca="false">IF($A296="","",INDEX(PERLINE!$J$2:$J$3001,MATCH($A296,PERLINE!$N$2:$N$3001,0)))</f>
        <v/>
      </c>
      <c r="C296" s="16" t="str">
        <f aca="false">IF($A296="","",INDEX(PERLINE!$I$2:$I$3001,MATCH($A296,PERLINE!$N$2:$N$3001,0)))</f>
        <v/>
      </c>
      <c r="D296" s="17" t="str">
        <f aca="false">IF($A296="","",'كشف المطالبة'!$D$6)</f>
        <v/>
      </c>
      <c r="E296" s="18" t="str">
        <f aca="false">IF($A296="","",SUMIFS(PERLINE!$U$2:$U$3001,PERLINE!$N$2:$N$3001,$A296,PERLINE!$AK$2:$AK$3001,0))</f>
        <v/>
      </c>
      <c r="F296" s="19" t="str">
        <f aca="false">IF($A296="","",E296*D296)</f>
        <v/>
      </c>
      <c r="G296" s="17" t="str">
        <f aca="false">IF($A296="","",'كشف المطالبة'!$D$5)</f>
        <v/>
      </c>
      <c r="H296" s="18" t="str">
        <f aca="false">IF($A296="","",SUMIFS(PERLINE!$U$2:$U$3001,PERLINE!$N$2:$N$3001,$A296,PERLINE!$AK$2:$AK$3001,1))</f>
        <v/>
      </c>
      <c r="I296" s="19" t="str">
        <f aca="false">IF($A296="","",H296*G296)</f>
        <v/>
      </c>
      <c r="J296" s="19" t="str">
        <f aca="false">IF($A296="","",F296+I296)</f>
        <v/>
      </c>
      <c r="K296" s="19" t="str">
        <f aca="false">IF($A296="","",H296+E296)</f>
        <v/>
      </c>
      <c r="L296" s="20" t="str">
        <f aca="false">IF($A296="","",K296-J296-N296)</f>
        <v/>
      </c>
      <c r="M296" s="15" t="str">
        <f aca="false">IF($A296="","",INDEX(PERLINE!$A$2:$A$3001,MATCH($A296,PERLINE!$N$2:$N$3001,0)))</f>
        <v/>
      </c>
      <c r="N296" s="21" t="str">
        <f aca="false">IF($A296="","",SUMIFS(PERLINE!$M$2:$M$3001,PERLINE!$N$2:$N$3001,$A296))</f>
        <v/>
      </c>
    </row>
    <row r="297" customFormat="false" ht="15" hidden="false" customHeight="false" outlineLevel="0" collapsed="false">
      <c r="A297" s="15" t="str">
        <f aca="false">IF(ROWS($A$2:$A297)&lt;=Check!$C$4,SMALL(PERLINE!$AL$2:$AL$3001,ROWS($A$2:$A297)),"")</f>
        <v/>
      </c>
      <c r="B297" s="15" t="str">
        <f aca="false">IF($A297="","",INDEX(PERLINE!$J$2:$J$3001,MATCH($A297,PERLINE!$N$2:$N$3001,0)))</f>
        <v/>
      </c>
      <c r="C297" s="16" t="str">
        <f aca="false">IF($A297="","",INDEX(PERLINE!$I$2:$I$3001,MATCH($A297,PERLINE!$N$2:$N$3001,0)))</f>
        <v/>
      </c>
      <c r="D297" s="17" t="str">
        <f aca="false">IF($A297="","",'كشف المطالبة'!$D$6)</f>
        <v/>
      </c>
      <c r="E297" s="18" t="str">
        <f aca="false">IF($A297="","",SUMIFS(PERLINE!$U$2:$U$3001,PERLINE!$N$2:$N$3001,$A297,PERLINE!$AK$2:$AK$3001,0))</f>
        <v/>
      </c>
      <c r="F297" s="19" t="str">
        <f aca="false">IF($A297="","",E297*D297)</f>
        <v/>
      </c>
      <c r="G297" s="17" t="str">
        <f aca="false">IF($A297="","",'كشف المطالبة'!$D$5)</f>
        <v/>
      </c>
      <c r="H297" s="18" t="str">
        <f aca="false">IF($A297="","",SUMIFS(PERLINE!$U$2:$U$3001,PERLINE!$N$2:$N$3001,$A297,PERLINE!$AK$2:$AK$3001,1))</f>
        <v/>
      </c>
      <c r="I297" s="19" t="str">
        <f aca="false">IF($A297="","",H297*G297)</f>
        <v/>
      </c>
      <c r="J297" s="19" t="str">
        <f aca="false">IF($A297="","",F297+I297)</f>
        <v/>
      </c>
      <c r="K297" s="19" t="str">
        <f aca="false">IF($A297="","",H297+E297)</f>
        <v/>
      </c>
      <c r="L297" s="20" t="str">
        <f aca="false">IF($A297="","",K297-J297-N297)</f>
        <v/>
      </c>
      <c r="M297" s="15" t="str">
        <f aca="false">IF($A297="","",INDEX(PERLINE!$A$2:$A$3001,MATCH($A297,PERLINE!$N$2:$N$3001,0)))</f>
        <v/>
      </c>
      <c r="N297" s="21" t="str">
        <f aca="false">IF($A297="","",SUMIFS(PERLINE!$M$2:$M$3001,PERLINE!$N$2:$N$3001,$A297))</f>
        <v/>
      </c>
    </row>
    <row r="298" customFormat="false" ht="15" hidden="false" customHeight="false" outlineLevel="0" collapsed="false">
      <c r="A298" s="15" t="str">
        <f aca="false">IF(ROWS($A$2:$A298)&lt;=Check!$C$4,SMALL(PERLINE!$AL$2:$AL$3001,ROWS($A$2:$A298)),"")</f>
        <v/>
      </c>
      <c r="B298" s="15" t="str">
        <f aca="false">IF($A298="","",INDEX(PERLINE!$J$2:$J$3001,MATCH($A298,PERLINE!$N$2:$N$3001,0)))</f>
        <v/>
      </c>
      <c r="C298" s="16" t="str">
        <f aca="false">IF($A298="","",INDEX(PERLINE!$I$2:$I$3001,MATCH($A298,PERLINE!$N$2:$N$3001,0)))</f>
        <v/>
      </c>
      <c r="D298" s="17" t="str">
        <f aca="false">IF($A298="","",'كشف المطالبة'!$D$6)</f>
        <v/>
      </c>
      <c r="E298" s="18" t="str">
        <f aca="false">IF($A298="","",SUMIFS(PERLINE!$U$2:$U$3001,PERLINE!$N$2:$N$3001,$A298,PERLINE!$AK$2:$AK$3001,0))</f>
        <v/>
      </c>
      <c r="F298" s="19" t="str">
        <f aca="false">IF($A298="","",E298*D298)</f>
        <v/>
      </c>
      <c r="G298" s="17" t="str">
        <f aca="false">IF($A298="","",'كشف المطالبة'!$D$5)</f>
        <v/>
      </c>
      <c r="H298" s="18" t="str">
        <f aca="false">IF($A298="","",SUMIFS(PERLINE!$U$2:$U$3001,PERLINE!$N$2:$N$3001,$A298,PERLINE!$AK$2:$AK$3001,1))</f>
        <v/>
      </c>
      <c r="I298" s="19" t="str">
        <f aca="false">IF($A298="","",H298*G298)</f>
        <v/>
      </c>
      <c r="J298" s="19" t="str">
        <f aca="false">IF($A298="","",F298+I298)</f>
        <v/>
      </c>
      <c r="K298" s="19" t="str">
        <f aca="false">IF($A298="","",H298+E298)</f>
        <v/>
      </c>
      <c r="L298" s="20" t="str">
        <f aca="false">IF($A298="","",K298-J298-N298)</f>
        <v/>
      </c>
      <c r="M298" s="15" t="str">
        <f aca="false">IF($A298="","",INDEX(PERLINE!$A$2:$A$3001,MATCH($A298,PERLINE!$N$2:$N$3001,0)))</f>
        <v/>
      </c>
      <c r="N298" s="21" t="str">
        <f aca="false">IF($A298="","",SUMIFS(PERLINE!$M$2:$M$3001,PERLINE!$N$2:$N$3001,$A298))</f>
        <v/>
      </c>
    </row>
    <row r="299" customFormat="false" ht="15" hidden="false" customHeight="false" outlineLevel="0" collapsed="false">
      <c r="A299" s="15" t="str">
        <f aca="false">IF(ROWS($A$2:$A299)&lt;=Check!$C$4,SMALL(PERLINE!$AL$2:$AL$3001,ROWS($A$2:$A299)),"")</f>
        <v/>
      </c>
      <c r="B299" s="15" t="str">
        <f aca="false">IF($A299="","",INDEX(PERLINE!$J$2:$J$3001,MATCH($A299,PERLINE!$N$2:$N$3001,0)))</f>
        <v/>
      </c>
      <c r="C299" s="16" t="str">
        <f aca="false">IF($A299="","",INDEX(PERLINE!$I$2:$I$3001,MATCH($A299,PERLINE!$N$2:$N$3001,0)))</f>
        <v/>
      </c>
      <c r="D299" s="17" t="str">
        <f aca="false">IF($A299="","",'كشف المطالبة'!$D$6)</f>
        <v/>
      </c>
      <c r="E299" s="18" t="str">
        <f aca="false">IF($A299="","",SUMIFS(PERLINE!$U$2:$U$3001,PERLINE!$N$2:$N$3001,$A299,PERLINE!$AK$2:$AK$3001,0))</f>
        <v/>
      </c>
      <c r="F299" s="19" t="str">
        <f aca="false">IF($A299="","",E299*D299)</f>
        <v/>
      </c>
      <c r="G299" s="17" t="str">
        <f aca="false">IF($A299="","",'كشف المطالبة'!$D$5)</f>
        <v/>
      </c>
      <c r="H299" s="18" t="str">
        <f aca="false">IF($A299="","",SUMIFS(PERLINE!$U$2:$U$3001,PERLINE!$N$2:$N$3001,$A299,PERLINE!$AK$2:$AK$3001,1))</f>
        <v/>
      </c>
      <c r="I299" s="19" t="str">
        <f aca="false">IF($A299="","",H299*G299)</f>
        <v/>
      </c>
      <c r="J299" s="19" t="str">
        <f aca="false">IF($A299="","",F299+I299)</f>
        <v/>
      </c>
      <c r="K299" s="19" t="str">
        <f aca="false">IF($A299="","",H299+E299)</f>
        <v/>
      </c>
      <c r="L299" s="20" t="str">
        <f aca="false">IF($A299="","",K299-J299-N299)</f>
        <v/>
      </c>
      <c r="M299" s="15" t="str">
        <f aca="false">IF($A299="","",INDEX(PERLINE!$A$2:$A$3001,MATCH($A299,PERLINE!$N$2:$N$3001,0)))</f>
        <v/>
      </c>
      <c r="N299" s="21" t="str">
        <f aca="false">IF($A299="","",SUMIFS(PERLINE!$M$2:$M$3001,PERLINE!$N$2:$N$3001,$A299))</f>
        <v/>
      </c>
    </row>
    <row r="300" customFormat="false" ht="15" hidden="false" customHeight="false" outlineLevel="0" collapsed="false">
      <c r="A300" s="15" t="str">
        <f aca="false">IF(ROWS($A$2:$A300)&lt;=Check!$C$4,SMALL(PERLINE!$AL$2:$AL$3001,ROWS($A$2:$A300)),"")</f>
        <v/>
      </c>
      <c r="B300" s="15" t="str">
        <f aca="false">IF($A300="","",INDEX(PERLINE!$J$2:$J$3001,MATCH($A300,PERLINE!$N$2:$N$3001,0)))</f>
        <v/>
      </c>
      <c r="C300" s="16" t="str">
        <f aca="false">IF($A300="","",INDEX(PERLINE!$I$2:$I$3001,MATCH($A300,PERLINE!$N$2:$N$3001,0)))</f>
        <v/>
      </c>
      <c r="D300" s="17" t="str">
        <f aca="false">IF($A300="","",'كشف المطالبة'!$D$6)</f>
        <v/>
      </c>
      <c r="E300" s="18" t="str">
        <f aca="false">IF($A300="","",SUMIFS(PERLINE!$U$2:$U$3001,PERLINE!$N$2:$N$3001,$A300,PERLINE!$AK$2:$AK$3001,0))</f>
        <v/>
      </c>
      <c r="F300" s="19" t="str">
        <f aca="false">IF($A300="","",E300*D300)</f>
        <v/>
      </c>
      <c r="G300" s="17" t="str">
        <f aca="false">IF($A300="","",'كشف المطالبة'!$D$5)</f>
        <v/>
      </c>
      <c r="H300" s="18" t="str">
        <f aca="false">IF($A300="","",SUMIFS(PERLINE!$U$2:$U$3001,PERLINE!$N$2:$N$3001,$A300,PERLINE!$AK$2:$AK$3001,1))</f>
        <v/>
      </c>
      <c r="I300" s="19" t="str">
        <f aca="false">IF($A300="","",H300*G300)</f>
        <v/>
      </c>
      <c r="J300" s="19" t="str">
        <f aca="false">IF($A300="","",F300+I300)</f>
        <v/>
      </c>
      <c r="K300" s="19" t="str">
        <f aca="false">IF($A300="","",H300+E300)</f>
        <v/>
      </c>
      <c r="L300" s="20" t="str">
        <f aca="false">IF($A300="","",K300-J300-N300)</f>
        <v/>
      </c>
      <c r="M300" s="15" t="str">
        <f aca="false">IF($A300="","",INDEX(PERLINE!$A$2:$A$3001,MATCH($A300,PERLINE!$N$2:$N$3001,0)))</f>
        <v/>
      </c>
      <c r="N300" s="21" t="str">
        <f aca="false">IF($A300="","",SUMIFS(PERLINE!$M$2:$M$3001,PERLINE!$N$2:$N$3001,$A300))</f>
        <v/>
      </c>
    </row>
    <row r="301" customFormat="false" ht="15" hidden="false" customHeight="false" outlineLevel="0" collapsed="false">
      <c r="A301" s="15" t="str">
        <f aca="false">IF(ROWS($A$2:$A301)&lt;=Check!$C$4,SMALL(PERLINE!$AL$2:$AL$3001,ROWS($A$2:$A301)),"")</f>
        <v/>
      </c>
      <c r="B301" s="15" t="str">
        <f aca="false">IF($A301="","",INDEX(PERLINE!$J$2:$J$3001,MATCH($A301,PERLINE!$N$2:$N$3001,0)))</f>
        <v/>
      </c>
      <c r="C301" s="16" t="str">
        <f aca="false">IF($A301="","",INDEX(PERLINE!$I$2:$I$3001,MATCH($A301,PERLINE!$N$2:$N$3001,0)))</f>
        <v/>
      </c>
      <c r="D301" s="17" t="str">
        <f aca="false">IF($A301="","",'كشف المطالبة'!$D$6)</f>
        <v/>
      </c>
      <c r="E301" s="18" t="str">
        <f aca="false">IF($A301="","",SUMIFS(PERLINE!$U$2:$U$3001,PERLINE!$N$2:$N$3001,$A301,PERLINE!$AK$2:$AK$3001,0))</f>
        <v/>
      </c>
      <c r="F301" s="19" t="str">
        <f aca="false">IF($A301="","",E301*D301)</f>
        <v/>
      </c>
      <c r="G301" s="17" t="str">
        <f aca="false">IF($A301="","",'كشف المطالبة'!$D$5)</f>
        <v/>
      </c>
      <c r="H301" s="18" t="str">
        <f aca="false">IF($A301="","",SUMIFS(PERLINE!$U$2:$U$3001,PERLINE!$N$2:$N$3001,$A301,PERLINE!$AK$2:$AK$3001,1))</f>
        <v/>
      </c>
      <c r="I301" s="19" t="str">
        <f aca="false">IF($A301="","",H301*G301)</f>
        <v/>
      </c>
      <c r="J301" s="19" t="str">
        <f aca="false">IF($A301="","",F301+I301)</f>
        <v/>
      </c>
      <c r="K301" s="19" t="str">
        <f aca="false">IF($A301="","",H301+E301)</f>
        <v/>
      </c>
      <c r="L301" s="20" t="str">
        <f aca="false">IF($A301="","",K301-J301-N301)</f>
        <v/>
      </c>
      <c r="M301" s="15" t="str">
        <f aca="false">IF($A301="","",INDEX(PERLINE!$A$2:$A$3001,MATCH($A301,PERLINE!$N$2:$N$3001,0)))</f>
        <v/>
      </c>
      <c r="N301" s="21" t="str">
        <f aca="false">IF($A301="","",SUMIFS(PERLINE!$M$2:$M$3001,PERLINE!$N$2:$N$3001,$A301))</f>
        <v/>
      </c>
    </row>
    <row r="302" customFormat="false" ht="15" hidden="false" customHeight="false" outlineLevel="0" collapsed="false">
      <c r="A302" s="15" t="str">
        <f aca="false">IF(ROWS($A$2:$A302)&lt;=Check!$C$4,SMALL(PERLINE!$AL$2:$AL$3001,ROWS($A$2:$A302)),"")</f>
        <v/>
      </c>
      <c r="B302" s="15" t="str">
        <f aca="false">IF($A302="","",INDEX(PERLINE!$J$2:$J$3001,MATCH($A302,PERLINE!$N$2:$N$3001,0)))</f>
        <v/>
      </c>
      <c r="C302" s="16" t="str">
        <f aca="false">IF($A302="","",INDEX(PERLINE!$I$2:$I$3001,MATCH($A302,PERLINE!$N$2:$N$3001,0)))</f>
        <v/>
      </c>
      <c r="D302" s="17" t="str">
        <f aca="false">IF($A302="","",'كشف المطالبة'!$D$6)</f>
        <v/>
      </c>
      <c r="E302" s="18" t="str">
        <f aca="false">IF($A302="","",SUMIFS(PERLINE!$U$2:$U$3001,PERLINE!$N$2:$N$3001,$A302,PERLINE!$AK$2:$AK$3001,0))</f>
        <v/>
      </c>
      <c r="F302" s="19" t="str">
        <f aca="false">IF($A302="","",E302*D302)</f>
        <v/>
      </c>
      <c r="G302" s="17" t="str">
        <f aca="false">IF($A302="","",'كشف المطالبة'!$D$5)</f>
        <v/>
      </c>
      <c r="H302" s="18" t="str">
        <f aca="false">IF($A302="","",SUMIFS(PERLINE!$U$2:$U$3001,PERLINE!$N$2:$N$3001,$A302,PERLINE!$AK$2:$AK$3001,1))</f>
        <v/>
      </c>
      <c r="I302" s="19" t="str">
        <f aca="false">IF($A302="","",H302*G302)</f>
        <v/>
      </c>
      <c r="J302" s="19" t="str">
        <f aca="false">IF($A302="","",F302+I302)</f>
        <v/>
      </c>
      <c r="K302" s="19" t="str">
        <f aca="false">IF($A302="","",H302+E302)</f>
        <v/>
      </c>
      <c r="L302" s="20" t="str">
        <f aca="false">IF($A302="","",K302-J302-N302)</f>
        <v/>
      </c>
      <c r="M302" s="15" t="str">
        <f aca="false">IF($A302="","",INDEX(PERLINE!$A$2:$A$3001,MATCH($A302,PERLINE!$N$2:$N$3001,0)))</f>
        <v/>
      </c>
      <c r="N302" s="21" t="str">
        <f aca="false">IF($A302="","",SUMIFS(PERLINE!$M$2:$M$3001,PERLINE!$N$2:$N$3001,$A302))</f>
        <v/>
      </c>
    </row>
    <row r="303" customFormat="false" ht="15" hidden="false" customHeight="false" outlineLevel="0" collapsed="false">
      <c r="A303" s="15" t="str">
        <f aca="false">IF(ROWS($A$2:$A303)&lt;=Check!$C$4,SMALL(PERLINE!$AL$2:$AL$3001,ROWS($A$2:$A303)),"")</f>
        <v/>
      </c>
      <c r="B303" s="15" t="str">
        <f aca="false">IF($A303="","",INDEX(PERLINE!$J$2:$J$3001,MATCH($A303,PERLINE!$N$2:$N$3001,0)))</f>
        <v/>
      </c>
      <c r="C303" s="16" t="str">
        <f aca="false">IF($A303="","",INDEX(PERLINE!$I$2:$I$3001,MATCH($A303,PERLINE!$N$2:$N$3001,0)))</f>
        <v/>
      </c>
      <c r="D303" s="17" t="str">
        <f aca="false">IF($A303="","",'كشف المطالبة'!$D$6)</f>
        <v/>
      </c>
      <c r="E303" s="18" t="str">
        <f aca="false">IF($A303="","",SUMIFS(PERLINE!$U$2:$U$3001,PERLINE!$N$2:$N$3001,$A303,PERLINE!$AK$2:$AK$3001,0))</f>
        <v/>
      </c>
      <c r="F303" s="19" t="str">
        <f aca="false">IF($A303="","",E303*D303)</f>
        <v/>
      </c>
      <c r="G303" s="17" t="str">
        <f aca="false">IF($A303="","",'كشف المطالبة'!$D$5)</f>
        <v/>
      </c>
      <c r="H303" s="18" t="str">
        <f aca="false">IF($A303="","",SUMIFS(PERLINE!$U$2:$U$3001,PERLINE!$N$2:$N$3001,$A303,PERLINE!$AK$2:$AK$3001,1))</f>
        <v/>
      </c>
      <c r="I303" s="19" t="str">
        <f aca="false">IF($A303="","",H303*G303)</f>
        <v/>
      </c>
      <c r="J303" s="19" t="str">
        <f aca="false">IF($A303="","",F303+I303)</f>
        <v/>
      </c>
      <c r="K303" s="19" t="str">
        <f aca="false">IF($A303="","",H303+E303)</f>
        <v/>
      </c>
      <c r="L303" s="20" t="str">
        <f aca="false">IF($A303="","",K303-J303-N303)</f>
        <v/>
      </c>
      <c r="M303" s="15" t="str">
        <f aca="false">IF($A303="","",INDEX(PERLINE!$A$2:$A$3001,MATCH($A303,PERLINE!$N$2:$N$3001,0)))</f>
        <v/>
      </c>
      <c r="N303" s="21" t="str">
        <f aca="false">IF($A303="","",SUMIFS(PERLINE!$M$2:$M$3001,PERLINE!$N$2:$N$3001,$A303))</f>
        <v/>
      </c>
    </row>
    <row r="304" customFormat="false" ht="15" hidden="false" customHeight="false" outlineLevel="0" collapsed="false">
      <c r="A304" s="15" t="str">
        <f aca="false">IF(ROWS($A$2:$A304)&lt;=Check!$C$4,SMALL(PERLINE!$AL$2:$AL$3001,ROWS($A$2:$A304)),"")</f>
        <v/>
      </c>
      <c r="B304" s="15" t="str">
        <f aca="false">IF($A304="","",INDEX(PERLINE!$J$2:$J$3001,MATCH($A304,PERLINE!$N$2:$N$3001,0)))</f>
        <v/>
      </c>
      <c r="C304" s="16" t="str">
        <f aca="false">IF($A304="","",INDEX(PERLINE!$I$2:$I$3001,MATCH($A304,PERLINE!$N$2:$N$3001,0)))</f>
        <v/>
      </c>
      <c r="D304" s="17" t="str">
        <f aca="false">IF($A304="","",'كشف المطالبة'!$D$6)</f>
        <v/>
      </c>
      <c r="E304" s="18" t="str">
        <f aca="false">IF($A304="","",SUMIFS(PERLINE!$U$2:$U$3001,PERLINE!$N$2:$N$3001,$A304,PERLINE!$AK$2:$AK$3001,0))</f>
        <v/>
      </c>
      <c r="F304" s="19" t="str">
        <f aca="false">IF($A304="","",E304*D304)</f>
        <v/>
      </c>
      <c r="G304" s="17" t="str">
        <f aca="false">IF($A304="","",'كشف المطالبة'!$D$5)</f>
        <v/>
      </c>
      <c r="H304" s="18" t="str">
        <f aca="false">IF($A304="","",SUMIFS(PERLINE!$U$2:$U$3001,PERLINE!$N$2:$N$3001,$A304,PERLINE!$AK$2:$AK$3001,1))</f>
        <v/>
      </c>
      <c r="I304" s="19" t="str">
        <f aca="false">IF($A304="","",H304*G304)</f>
        <v/>
      </c>
      <c r="J304" s="19" t="str">
        <f aca="false">IF($A304="","",F304+I304)</f>
        <v/>
      </c>
      <c r="K304" s="19" t="str">
        <f aca="false">IF($A304="","",H304+E304)</f>
        <v/>
      </c>
      <c r="L304" s="20" t="str">
        <f aca="false">IF($A304="","",K304-J304-N304)</f>
        <v/>
      </c>
      <c r="M304" s="15" t="str">
        <f aca="false">IF($A304="","",INDEX(PERLINE!$A$2:$A$3001,MATCH($A304,PERLINE!$N$2:$N$3001,0)))</f>
        <v/>
      </c>
      <c r="N304" s="21" t="str">
        <f aca="false">IF($A304="","",SUMIFS(PERLINE!$M$2:$M$3001,PERLINE!$N$2:$N$3001,$A304))</f>
        <v/>
      </c>
    </row>
    <row r="305" customFormat="false" ht="15" hidden="false" customHeight="false" outlineLevel="0" collapsed="false">
      <c r="A305" s="15" t="str">
        <f aca="false">IF(ROWS($A$2:$A305)&lt;=Check!$C$4,SMALL(PERLINE!$AL$2:$AL$3001,ROWS($A$2:$A305)),"")</f>
        <v/>
      </c>
      <c r="B305" s="15" t="str">
        <f aca="false">IF($A305="","",INDEX(PERLINE!$J$2:$J$3001,MATCH($A305,PERLINE!$N$2:$N$3001,0)))</f>
        <v/>
      </c>
      <c r="C305" s="16" t="str">
        <f aca="false">IF($A305="","",INDEX(PERLINE!$I$2:$I$3001,MATCH($A305,PERLINE!$N$2:$N$3001,0)))</f>
        <v/>
      </c>
      <c r="D305" s="17" t="str">
        <f aca="false">IF($A305="","",'كشف المطالبة'!$D$6)</f>
        <v/>
      </c>
      <c r="E305" s="18" t="str">
        <f aca="false">IF($A305="","",SUMIFS(PERLINE!$U$2:$U$3001,PERLINE!$N$2:$N$3001,$A305,PERLINE!$AK$2:$AK$3001,0))</f>
        <v/>
      </c>
      <c r="F305" s="19" t="str">
        <f aca="false">IF($A305="","",E305*D305)</f>
        <v/>
      </c>
      <c r="G305" s="17" t="str">
        <f aca="false">IF($A305="","",'كشف المطالبة'!$D$5)</f>
        <v/>
      </c>
      <c r="H305" s="18" t="str">
        <f aca="false">IF($A305="","",SUMIFS(PERLINE!$U$2:$U$3001,PERLINE!$N$2:$N$3001,$A305,PERLINE!$AK$2:$AK$3001,1))</f>
        <v/>
      </c>
      <c r="I305" s="19" t="str">
        <f aca="false">IF($A305="","",H305*G305)</f>
        <v/>
      </c>
      <c r="J305" s="19" t="str">
        <f aca="false">IF($A305="","",F305+I305)</f>
        <v/>
      </c>
      <c r="K305" s="19" t="str">
        <f aca="false">IF($A305="","",H305+E305)</f>
        <v/>
      </c>
      <c r="L305" s="20" t="str">
        <f aca="false">IF($A305="","",K305-J305-N305)</f>
        <v/>
      </c>
      <c r="M305" s="15" t="str">
        <f aca="false">IF($A305="","",INDEX(PERLINE!$A$2:$A$3001,MATCH($A305,PERLINE!$N$2:$N$3001,0)))</f>
        <v/>
      </c>
      <c r="N305" s="21" t="str">
        <f aca="false">IF($A305="","",SUMIFS(PERLINE!$M$2:$M$3001,PERLINE!$N$2:$N$3001,$A305))</f>
        <v/>
      </c>
    </row>
    <row r="306" customFormat="false" ht="15" hidden="false" customHeight="false" outlineLevel="0" collapsed="false">
      <c r="A306" s="15" t="str">
        <f aca="false">IF(ROWS($A$2:$A306)&lt;=Check!$C$4,SMALL(PERLINE!$AL$2:$AL$3001,ROWS($A$2:$A306)),"")</f>
        <v/>
      </c>
      <c r="B306" s="15" t="str">
        <f aca="false">IF($A306="","",INDEX(PERLINE!$J$2:$J$3001,MATCH($A306,PERLINE!$N$2:$N$3001,0)))</f>
        <v/>
      </c>
      <c r="C306" s="16" t="str">
        <f aca="false">IF($A306="","",INDEX(PERLINE!$I$2:$I$3001,MATCH($A306,PERLINE!$N$2:$N$3001,0)))</f>
        <v/>
      </c>
      <c r="D306" s="17" t="str">
        <f aca="false">IF($A306="","",'كشف المطالبة'!$D$6)</f>
        <v/>
      </c>
      <c r="E306" s="18" t="str">
        <f aca="false">IF($A306="","",SUMIFS(PERLINE!$U$2:$U$3001,PERLINE!$N$2:$N$3001,$A306,PERLINE!$AK$2:$AK$3001,0))</f>
        <v/>
      </c>
      <c r="F306" s="19" t="str">
        <f aca="false">IF($A306="","",E306*D306)</f>
        <v/>
      </c>
      <c r="G306" s="17" t="str">
        <f aca="false">IF($A306="","",'كشف المطالبة'!$D$5)</f>
        <v/>
      </c>
      <c r="H306" s="18" t="str">
        <f aca="false">IF($A306="","",SUMIFS(PERLINE!$U$2:$U$3001,PERLINE!$N$2:$N$3001,$A306,PERLINE!$AK$2:$AK$3001,1))</f>
        <v/>
      </c>
      <c r="I306" s="19" t="str">
        <f aca="false">IF($A306="","",H306*G306)</f>
        <v/>
      </c>
      <c r="J306" s="19" t="str">
        <f aca="false">IF($A306="","",F306+I306)</f>
        <v/>
      </c>
      <c r="K306" s="19" t="str">
        <f aca="false">IF($A306="","",H306+E306)</f>
        <v/>
      </c>
      <c r="L306" s="20" t="str">
        <f aca="false">IF($A306="","",K306-J306-N306)</f>
        <v/>
      </c>
      <c r="M306" s="15" t="str">
        <f aca="false">IF($A306="","",INDEX(PERLINE!$A$2:$A$3001,MATCH($A306,PERLINE!$N$2:$N$3001,0)))</f>
        <v/>
      </c>
      <c r="N306" s="21" t="str">
        <f aca="false">IF($A306="","",SUMIFS(PERLINE!$M$2:$M$3001,PERLINE!$N$2:$N$3001,$A306))</f>
        <v/>
      </c>
    </row>
    <row r="307" customFormat="false" ht="15" hidden="false" customHeight="false" outlineLevel="0" collapsed="false">
      <c r="A307" s="15" t="str">
        <f aca="false">IF(ROWS($A$2:$A307)&lt;=Check!$C$4,SMALL(PERLINE!$AL$2:$AL$3001,ROWS($A$2:$A307)),"")</f>
        <v/>
      </c>
      <c r="B307" s="15" t="str">
        <f aca="false">IF($A307="","",INDEX(PERLINE!$J$2:$J$3001,MATCH($A307,PERLINE!$N$2:$N$3001,0)))</f>
        <v/>
      </c>
      <c r="C307" s="16" t="str">
        <f aca="false">IF($A307="","",INDEX(PERLINE!$I$2:$I$3001,MATCH($A307,PERLINE!$N$2:$N$3001,0)))</f>
        <v/>
      </c>
      <c r="D307" s="17" t="str">
        <f aca="false">IF($A307="","",'كشف المطالبة'!$D$6)</f>
        <v/>
      </c>
      <c r="E307" s="18" t="str">
        <f aca="false">IF($A307="","",SUMIFS(PERLINE!$U$2:$U$3001,PERLINE!$N$2:$N$3001,$A307,PERLINE!$AK$2:$AK$3001,0))</f>
        <v/>
      </c>
      <c r="F307" s="19" t="str">
        <f aca="false">IF($A307="","",E307*D307)</f>
        <v/>
      </c>
      <c r="G307" s="17" t="str">
        <f aca="false">IF($A307="","",'كشف المطالبة'!$D$5)</f>
        <v/>
      </c>
      <c r="H307" s="18" t="str">
        <f aca="false">IF($A307="","",SUMIFS(PERLINE!$U$2:$U$3001,PERLINE!$N$2:$N$3001,$A307,PERLINE!$AK$2:$AK$3001,1))</f>
        <v/>
      </c>
      <c r="I307" s="19" t="str">
        <f aca="false">IF($A307="","",H307*G307)</f>
        <v/>
      </c>
      <c r="J307" s="19" t="str">
        <f aca="false">IF($A307="","",F307+I307)</f>
        <v/>
      </c>
      <c r="K307" s="19" t="str">
        <f aca="false">IF($A307="","",H307+E307)</f>
        <v/>
      </c>
      <c r="L307" s="20" t="str">
        <f aca="false">IF($A307="","",K307-J307-N307)</f>
        <v/>
      </c>
      <c r="M307" s="15" t="str">
        <f aca="false">IF($A307="","",INDEX(PERLINE!$A$2:$A$3001,MATCH($A307,PERLINE!$N$2:$N$3001,0)))</f>
        <v/>
      </c>
      <c r="N307" s="21" t="str">
        <f aca="false">IF($A307="","",SUMIFS(PERLINE!$M$2:$M$3001,PERLINE!$N$2:$N$3001,$A307))</f>
        <v/>
      </c>
    </row>
    <row r="308" customFormat="false" ht="15" hidden="false" customHeight="false" outlineLevel="0" collapsed="false">
      <c r="A308" s="15" t="str">
        <f aca="false">IF(ROWS($A$2:$A308)&lt;=Check!$C$4,SMALL(PERLINE!$AL$2:$AL$3001,ROWS($A$2:$A308)),"")</f>
        <v/>
      </c>
      <c r="B308" s="15" t="str">
        <f aca="false">IF($A308="","",INDEX(PERLINE!$J$2:$J$3001,MATCH($A308,PERLINE!$N$2:$N$3001,0)))</f>
        <v/>
      </c>
      <c r="C308" s="16" t="str">
        <f aca="false">IF($A308="","",INDEX(PERLINE!$I$2:$I$3001,MATCH($A308,PERLINE!$N$2:$N$3001,0)))</f>
        <v/>
      </c>
      <c r="D308" s="17" t="str">
        <f aca="false">IF($A308="","",'كشف المطالبة'!$D$6)</f>
        <v/>
      </c>
      <c r="E308" s="18" t="str">
        <f aca="false">IF($A308="","",SUMIFS(PERLINE!$U$2:$U$3001,PERLINE!$N$2:$N$3001,$A308,PERLINE!$AK$2:$AK$3001,0))</f>
        <v/>
      </c>
      <c r="F308" s="19" t="str">
        <f aca="false">IF($A308="","",E308*D308)</f>
        <v/>
      </c>
      <c r="G308" s="17" t="str">
        <f aca="false">IF($A308="","",'كشف المطالبة'!$D$5)</f>
        <v/>
      </c>
      <c r="H308" s="18" t="str">
        <f aca="false">IF($A308="","",SUMIFS(PERLINE!$U$2:$U$3001,PERLINE!$N$2:$N$3001,$A308,PERLINE!$AK$2:$AK$3001,1))</f>
        <v/>
      </c>
      <c r="I308" s="19" t="str">
        <f aca="false">IF($A308="","",H308*G308)</f>
        <v/>
      </c>
      <c r="J308" s="19" t="str">
        <f aca="false">IF($A308="","",F308+I308)</f>
        <v/>
      </c>
      <c r="K308" s="19" t="str">
        <f aca="false">IF($A308="","",H308+E308)</f>
        <v/>
      </c>
      <c r="L308" s="20" t="str">
        <f aca="false">IF($A308="","",K308-J308-N308)</f>
        <v/>
      </c>
      <c r="M308" s="15" t="str">
        <f aca="false">IF($A308="","",INDEX(PERLINE!$A$2:$A$3001,MATCH($A308,PERLINE!$N$2:$N$3001,0)))</f>
        <v/>
      </c>
      <c r="N308" s="21" t="str">
        <f aca="false">IF($A308="","",SUMIFS(PERLINE!$M$2:$M$3001,PERLINE!$N$2:$N$3001,$A308))</f>
        <v/>
      </c>
    </row>
    <row r="309" customFormat="false" ht="15" hidden="false" customHeight="false" outlineLevel="0" collapsed="false">
      <c r="A309" s="15" t="str">
        <f aca="false">IF(ROWS($A$2:$A309)&lt;=Check!$C$4,SMALL(PERLINE!$AL$2:$AL$3001,ROWS($A$2:$A309)),"")</f>
        <v/>
      </c>
      <c r="B309" s="15" t="str">
        <f aca="false">IF($A309="","",INDEX(PERLINE!$J$2:$J$3001,MATCH($A309,PERLINE!$N$2:$N$3001,0)))</f>
        <v/>
      </c>
      <c r="C309" s="16" t="str">
        <f aca="false">IF($A309="","",INDEX(PERLINE!$I$2:$I$3001,MATCH($A309,PERLINE!$N$2:$N$3001,0)))</f>
        <v/>
      </c>
      <c r="D309" s="17" t="str">
        <f aca="false">IF($A309="","",'كشف المطالبة'!$D$6)</f>
        <v/>
      </c>
      <c r="E309" s="18" t="str">
        <f aca="false">IF($A309="","",SUMIFS(PERLINE!$U$2:$U$3001,PERLINE!$N$2:$N$3001,$A309,PERLINE!$AK$2:$AK$3001,0))</f>
        <v/>
      </c>
      <c r="F309" s="19" t="str">
        <f aca="false">IF($A309="","",E309*D309)</f>
        <v/>
      </c>
      <c r="G309" s="17" t="str">
        <f aca="false">IF($A309="","",'كشف المطالبة'!$D$5)</f>
        <v/>
      </c>
      <c r="H309" s="18" t="str">
        <f aca="false">IF($A309="","",SUMIFS(PERLINE!$U$2:$U$3001,PERLINE!$N$2:$N$3001,$A309,PERLINE!$AK$2:$AK$3001,1))</f>
        <v/>
      </c>
      <c r="I309" s="19" t="str">
        <f aca="false">IF($A309="","",H309*G309)</f>
        <v/>
      </c>
      <c r="J309" s="19" t="str">
        <f aca="false">IF($A309="","",F309+I309)</f>
        <v/>
      </c>
      <c r="K309" s="19" t="str">
        <f aca="false">IF($A309="","",H309+E309)</f>
        <v/>
      </c>
      <c r="L309" s="20" t="str">
        <f aca="false">IF($A309="","",K309-J309-N309)</f>
        <v/>
      </c>
      <c r="M309" s="15" t="str">
        <f aca="false">IF($A309="","",INDEX(PERLINE!$A$2:$A$3001,MATCH($A309,PERLINE!$N$2:$N$3001,0)))</f>
        <v/>
      </c>
      <c r="N309" s="21" t="str">
        <f aca="false">IF($A309="","",SUMIFS(PERLINE!$M$2:$M$3001,PERLINE!$N$2:$N$3001,$A309))</f>
        <v/>
      </c>
    </row>
    <row r="310" customFormat="false" ht="15" hidden="false" customHeight="false" outlineLevel="0" collapsed="false">
      <c r="A310" s="15" t="str">
        <f aca="false">IF(ROWS($A$2:$A310)&lt;=Check!$C$4,SMALL(PERLINE!$AL$2:$AL$3001,ROWS($A$2:$A310)),"")</f>
        <v/>
      </c>
      <c r="B310" s="15" t="str">
        <f aca="false">IF($A310="","",INDEX(PERLINE!$J$2:$J$3001,MATCH($A310,PERLINE!$N$2:$N$3001,0)))</f>
        <v/>
      </c>
      <c r="C310" s="16" t="str">
        <f aca="false">IF($A310="","",INDEX(PERLINE!$I$2:$I$3001,MATCH($A310,PERLINE!$N$2:$N$3001,0)))</f>
        <v/>
      </c>
      <c r="D310" s="17" t="str">
        <f aca="false">IF($A310="","",'كشف المطالبة'!$D$6)</f>
        <v/>
      </c>
      <c r="E310" s="18" t="str">
        <f aca="false">IF($A310="","",SUMIFS(PERLINE!$U$2:$U$3001,PERLINE!$N$2:$N$3001,$A310,PERLINE!$AK$2:$AK$3001,0))</f>
        <v/>
      </c>
      <c r="F310" s="19" t="str">
        <f aca="false">IF($A310="","",E310*D310)</f>
        <v/>
      </c>
      <c r="G310" s="17" t="str">
        <f aca="false">IF($A310="","",'كشف المطالبة'!$D$5)</f>
        <v/>
      </c>
      <c r="H310" s="18" t="str">
        <f aca="false">IF($A310="","",SUMIFS(PERLINE!$U$2:$U$3001,PERLINE!$N$2:$N$3001,$A310,PERLINE!$AK$2:$AK$3001,1))</f>
        <v/>
      </c>
      <c r="I310" s="19" t="str">
        <f aca="false">IF($A310="","",H310*G310)</f>
        <v/>
      </c>
      <c r="J310" s="19" t="str">
        <f aca="false">IF($A310="","",F310+I310)</f>
        <v/>
      </c>
      <c r="K310" s="19" t="str">
        <f aca="false">IF($A310="","",H310+E310)</f>
        <v/>
      </c>
      <c r="L310" s="20" t="str">
        <f aca="false">IF($A310="","",K310-J310-N310)</f>
        <v/>
      </c>
      <c r="M310" s="15" t="str">
        <f aca="false">IF($A310="","",INDEX(PERLINE!$A$2:$A$3001,MATCH($A310,PERLINE!$N$2:$N$3001,0)))</f>
        <v/>
      </c>
      <c r="N310" s="21" t="str">
        <f aca="false">IF($A310="","",SUMIFS(PERLINE!$M$2:$M$3001,PERLINE!$N$2:$N$3001,$A310))</f>
        <v/>
      </c>
    </row>
    <row r="311" customFormat="false" ht="15" hidden="false" customHeight="false" outlineLevel="0" collapsed="false">
      <c r="A311" s="15" t="str">
        <f aca="false">IF(ROWS($A$2:$A311)&lt;=Check!$C$4,SMALL(PERLINE!$AL$2:$AL$3001,ROWS($A$2:$A311)),"")</f>
        <v/>
      </c>
      <c r="B311" s="15" t="str">
        <f aca="false">IF($A311="","",INDEX(PERLINE!$J$2:$J$3001,MATCH($A311,PERLINE!$N$2:$N$3001,0)))</f>
        <v/>
      </c>
      <c r="C311" s="16" t="str">
        <f aca="false">IF($A311="","",INDEX(PERLINE!$I$2:$I$3001,MATCH($A311,PERLINE!$N$2:$N$3001,0)))</f>
        <v/>
      </c>
      <c r="D311" s="17" t="str">
        <f aca="false">IF($A311="","",'كشف المطالبة'!$D$6)</f>
        <v/>
      </c>
      <c r="E311" s="18" t="str">
        <f aca="false">IF($A311="","",SUMIFS(PERLINE!$U$2:$U$3001,PERLINE!$N$2:$N$3001,$A311,PERLINE!$AK$2:$AK$3001,0))</f>
        <v/>
      </c>
      <c r="F311" s="19" t="str">
        <f aca="false">IF($A311="","",E311*D311)</f>
        <v/>
      </c>
      <c r="G311" s="17" t="str">
        <f aca="false">IF($A311="","",'كشف المطالبة'!$D$5)</f>
        <v/>
      </c>
      <c r="H311" s="18" t="str">
        <f aca="false">IF($A311="","",SUMIFS(PERLINE!$U$2:$U$3001,PERLINE!$N$2:$N$3001,$A311,PERLINE!$AK$2:$AK$3001,1))</f>
        <v/>
      </c>
      <c r="I311" s="19" t="str">
        <f aca="false">IF($A311="","",H311*G311)</f>
        <v/>
      </c>
      <c r="J311" s="19" t="str">
        <f aca="false">IF($A311="","",F311+I311)</f>
        <v/>
      </c>
      <c r="K311" s="19" t="str">
        <f aca="false">IF($A311="","",H311+E311)</f>
        <v/>
      </c>
      <c r="L311" s="20" t="str">
        <f aca="false">IF($A311="","",K311-J311-N311)</f>
        <v/>
      </c>
      <c r="M311" s="15" t="str">
        <f aca="false">IF($A311="","",INDEX(PERLINE!$A$2:$A$3001,MATCH($A311,PERLINE!$N$2:$N$3001,0)))</f>
        <v/>
      </c>
      <c r="N311" s="21" t="str">
        <f aca="false">IF($A311="","",SUMIFS(PERLINE!$M$2:$M$3001,PERLINE!$N$2:$N$3001,$A311))</f>
        <v/>
      </c>
    </row>
    <row r="312" customFormat="false" ht="15" hidden="false" customHeight="false" outlineLevel="0" collapsed="false">
      <c r="A312" s="15" t="str">
        <f aca="false">IF(ROWS($A$2:$A312)&lt;=Check!$C$4,SMALL(PERLINE!$AL$2:$AL$3001,ROWS($A$2:$A312)),"")</f>
        <v/>
      </c>
      <c r="B312" s="15" t="str">
        <f aca="false">IF($A312="","",INDEX(PERLINE!$J$2:$J$3001,MATCH($A312,PERLINE!$N$2:$N$3001,0)))</f>
        <v/>
      </c>
      <c r="C312" s="16" t="str">
        <f aca="false">IF($A312="","",INDEX(PERLINE!$I$2:$I$3001,MATCH($A312,PERLINE!$N$2:$N$3001,0)))</f>
        <v/>
      </c>
      <c r="D312" s="17" t="str">
        <f aca="false">IF($A312="","",'كشف المطالبة'!$D$6)</f>
        <v/>
      </c>
      <c r="E312" s="18" t="str">
        <f aca="false">IF($A312="","",SUMIFS(PERLINE!$U$2:$U$3001,PERLINE!$N$2:$N$3001,$A312,PERLINE!$AK$2:$AK$3001,0))</f>
        <v/>
      </c>
      <c r="F312" s="19" t="str">
        <f aca="false">IF($A312="","",E312*D312)</f>
        <v/>
      </c>
      <c r="G312" s="17" t="str">
        <f aca="false">IF($A312="","",'كشف المطالبة'!$D$5)</f>
        <v/>
      </c>
      <c r="H312" s="18" t="str">
        <f aca="false">IF($A312="","",SUMIFS(PERLINE!$U$2:$U$3001,PERLINE!$N$2:$N$3001,$A312,PERLINE!$AK$2:$AK$3001,1))</f>
        <v/>
      </c>
      <c r="I312" s="19" t="str">
        <f aca="false">IF($A312="","",H312*G312)</f>
        <v/>
      </c>
      <c r="J312" s="19" t="str">
        <f aca="false">IF($A312="","",F312+I312)</f>
        <v/>
      </c>
      <c r="K312" s="19" t="str">
        <f aca="false">IF($A312="","",H312+E312)</f>
        <v/>
      </c>
      <c r="L312" s="20" t="str">
        <f aca="false">IF($A312="","",K312-J312-N312)</f>
        <v/>
      </c>
      <c r="M312" s="15" t="str">
        <f aca="false">IF($A312="","",INDEX(PERLINE!$A$2:$A$3001,MATCH($A312,PERLINE!$N$2:$N$3001,0)))</f>
        <v/>
      </c>
      <c r="N312" s="21" t="str">
        <f aca="false">IF($A312="","",SUMIFS(PERLINE!$M$2:$M$3001,PERLINE!$N$2:$N$3001,$A312))</f>
        <v/>
      </c>
    </row>
    <row r="313" customFormat="false" ht="15" hidden="false" customHeight="false" outlineLevel="0" collapsed="false">
      <c r="A313" s="15" t="str">
        <f aca="false">IF(ROWS($A$2:$A313)&lt;=Check!$C$4,SMALL(PERLINE!$AL$2:$AL$3001,ROWS($A$2:$A313)),"")</f>
        <v/>
      </c>
      <c r="B313" s="15" t="str">
        <f aca="false">IF($A313="","",INDEX(PERLINE!$J$2:$J$3001,MATCH($A313,PERLINE!$N$2:$N$3001,0)))</f>
        <v/>
      </c>
      <c r="C313" s="16" t="str">
        <f aca="false">IF($A313="","",INDEX(PERLINE!$I$2:$I$3001,MATCH($A313,PERLINE!$N$2:$N$3001,0)))</f>
        <v/>
      </c>
      <c r="D313" s="17" t="str">
        <f aca="false">IF($A313="","",'كشف المطالبة'!$D$6)</f>
        <v/>
      </c>
      <c r="E313" s="18" t="str">
        <f aca="false">IF($A313="","",SUMIFS(PERLINE!$U$2:$U$3001,PERLINE!$N$2:$N$3001,$A313,PERLINE!$AK$2:$AK$3001,0))</f>
        <v/>
      </c>
      <c r="F313" s="19" t="str">
        <f aca="false">IF($A313="","",E313*D313)</f>
        <v/>
      </c>
      <c r="G313" s="17" t="str">
        <f aca="false">IF($A313="","",'كشف المطالبة'!$D$5)</f>
        <v/>
      </c>
      <c r="H313" s="18" t="str">
        <f aca="false">IF($A313="","",SUMIFS(PERLINE!$U$2:$U$3001,PERLINE!$N$2:$N$3001,$A313,PERLINE!$AK$2:$AK$3001,1))</f>
        <v/>
      </c>
      <c r="I313" s="19" t="str">
        <f aca="false">IF($A313="","",H313*G313)</f>
        <v/>
      </c>
      <c r="J313" s="19" t="str">
        <f aca="false">IF($A313="","",F313+I313)</f>
        <v/>
      </c>
      <c r="K313" s="19" t="str">
        <f aca="false">IF($A313="","",H313+E313)</f>
        <v/>
      </c>
      <c r="L313" s="20" t="str">
        <f aca="false">IF($A313="","",K313-J313-N313)</f>
        <v/>
      </c>
      <c r="M313" s="15" t="str">
        <f aca="false">IF($A313="","",INDEX(PERLINE!$A$2:$A$3001,MATCH($A313,PERLINE!$N$2:$N$3001,0)))</f>
        <v/>
      </c>
      <c r="N313" s="21" t="str">
        <f aca="false">IF($A313="","",SUMIFS(PERLINE!$M$2:$M$3001,PERLINE!$N$2:$N$3001,$A313))</f>
        <v/>
      </c>
    </row>
    <row r="314" customFormat="false" ht="15" hidden="false" customHeight="false" outlineLevel="0" collapsed="false">
      <c r="A314" s="15" t="str">
        <f aca="false">IF(ROWS($A$2:$A314)&lt;=Check!$C$4,SMALL(PERLINE!$AL$2:$AL$3001,ROWS($A$2:$A314)),"")</f>
        <v/>
      </c>
      <c r="B314" s="15" t="str">
        <f aca="false">IF($A314="","",INDEX(PERLINE!$J$2:$J$3001,MATCH($A314,PERLINE!$N$2:$N$3001,0)))</f>
        <v/>
      </c>
      <c r="C314" s="16" t="str">
        <f aca="false">IF($A314="","",INDEX(PERLINE!$I$2:$I$3001,MATCH($A314,PERLINE!$N$2:$N$3001,0)))</f>
        <v/>
      </c>
      <c r="D314" s="17" t="str">
        <f aca="false">IF($A314="","",'كشف المطالبة'!$D$6)</f>
        <v/>
      </c>
      <c r="E314" s="18" t="str">
        <f aca="false">IF($A314="","",SUMIFS(PERLINE!$U$2:$U$3001,PERLINE!$N$2:$N$3001,$A314,PERLINE!$AK$2:$AK$3001,0))</f>
        <v/>
      </c>
      <c r="F314" s="19" t="str">
        <f aca="false">IF($A314="","",E314*D314)</f>
        <v/>
      </c>
      <c r="G314" s="17" t="str">
        <f aca="false">IF($A314="","",'كشف المطالبة'!$D$5)</f>
        <v/>
      </c>
      <c r="H314" s="18" t="str">
        <f aca="false">IF($A314="","",SUMIFS(PERLINE!$U$2:$U$3001,PERLINE!$N$2:$N$3001,$A314,PERLINE!$AK$2:$AK$3001,1))</f>
        <v/>
      </c>
      <c r="I314" s="19" t="str">
        <f aca="false">IF($A314="","",H314*G314)</f>
        <v/>
      </c>
      <c r="J314" s="19" t="str">
        <f aca="false">IF($A314="","",F314+I314)</f>
        <v/>
      </c>
      <c r="K314" s="19" t="str">
        <f aca="false">IF($A314="","",H314+E314)</f>
        <v/>
      </c>
      <c r="L314" s="20" t="str">
        <f aca="false">IF($A314="","",K314-J314-N314)</f>
        <v/>
      </c>
      <c r="M314" s="15" t="str">
        <f aca="false">IF($A314="","",INDEX(PERLINE!$A$2:$A$3001,MATCH($A314,PERLINE!$N$2:$N$3001,0)))</f>
        <v/>
      </c>
      <c r="N314" s="21" t="str">
        <f aca="false">IF($A314="","",SUMIFS(PERLINE!$M$2:$M$3001,PERLINE!$N$2:$N$3001,$A314))</f>
        <v/>
      </c>
    </row>
    <row r="315" customFormat="false" ht="15" hidden="false" customHeight="false" outlineLevel="0" collapsed="false">
      <c r="A315" s="15" t="str">
        <f aca="false">IF(ROWS($A$2:$A315)&lt;=Check!$C$4,SMALL(PERLINE!$AL$2:$AL$3001,ROWS($A$2:$A315)),"")</f>
        <v/>
      </c>
      <c r="B315" s="15" t="str">
        <f aca="false">IF($A315="","",INDEX(PERLINE!$J$2:$J$3001,MATCH($A315,PERLINE!$N$2:$N$3001,0)))</f>
        <v/>
      </c>
      <c r="C315" s="16" t="str">
        <f aca="false">IF($A315="","",INDEX(PERLINE!$I$2:$I$3001,MATCH($A315,PERLINE!$N$2:$N$3001,0)))</f>
        <v/>
      </c>
      <c r="D315" s="17" t="str">
        <f aca="false">IF($A315="","",'كشف المطالبة'!$D$6)</f>
        <v/>
      </c>
      <c r="E315" s="18" t="str">
        <f aca="false">IF($A315="","",SUMIFS(PERLINE!$U$2:$U$3001,PERLINE!$N$2:$N$3001,$A315,PERLINE!$AK$2:$AK$3001,0))</f>
        <v/>
      </c>
      <c r="F315" s="19" t="str">
        <f aca="false">IF($A315="","",E315*D315)</f>
        <v/>
      </c>
      <c r="G315" s="17" t="str">
        <f aca="false">IF($A315="","",'كشف المطالبة'!$D$5)</f>
        <v/>
      </c>
      <c r="H315" s="18" t="str">
        <f aca="false">IF($A315="","",SUMIFS(PERLINE!$U$2:$U$3001,PERLINE!$N$2:$N$3001,$A315,PERLINE!$AK$2:$AK$3001,1))</f>
        <v/>
      </c>
      <c r="I315" s="19" t="str">
        <f aca="false">IF($A315="","",H315*G315)</f>
        <v/>
      </c>
      <c r="J315" s="19" t="str">
        <f aca="false">IF($A315="","",F315+I315)</f>
        <v/>
      </c>
      <c r="K315" s="19" t="str">
        <f aca="false">IF($A315="","",H315+E315)</f>
        <v/>
      </c>
      <c r="L315" s="20" t="str">
        <f aca="false">IF($A315="","",K315-J315-N315)</f>
        <v/>
      </c>
      <c r="M315" s="15" t="str">
        <f aca="false">IF($A315="","",INDEX(PERLINE!$A$2:$A$3001,MATCH($A315,PERLINE!$N$2:$N$3001,0)))</f>
        <v/>
      </c>
      <c r="N315" s="21" t="str">
        <f aca="false">IF($A315="","",SUMIFS(PERLINE!$M$2:$M$3001,PERLINE!$N$2:$N$3001,$A315))</f>
        <v/>
      </c>
    </row>
    <row r="316" customFormat="false" ht="15" hidden="false" customHeight="false" outlineLevel="0" collapsed="false">
      <c r="A316" s="15" t="str">
        <f aca="false">IF(ROWS($A$2:$A316)&lt;=Check!$C$4,SMALL(PERLINE!$AL$2:$AL$3001,ROWS($A$2:$A316)),"")</f>
        <v/>
      </c>
      <c r="B316" s="15" t="str">
        <f aca="false">IF($A316="","",INDEX(PERLINE!$J$2:$J$3001,MATCH($A316,PERLINE!$N$2:$N$3001,0)))</f>
        <v/>
      </c>
      <c r="C316" s="16" t="str">
        <f aca="false">IF($A316="","",INDEX(PERLINE!$I$2:$I$3001,MATCH($A316,PERLINE!$N$2:$N$3001,0)))</f>
        <v/>
      </c>
      <c r="D316" s="17" t="str">
        <f aca="false">IF($A316="","",'كشف المطالبة'!$D$6)</f>
        <v/>
      </c>
      <c r="E316" s="18" t="str">
        <f aca="false">IF($A316="","",SUMIFS(PERLINE!$U$2:$U$3001,PERLINE!$N$2:$N$3001,$A316,PERLINE!$AK$2:$AK$3001,0))</f>
        <v/>
      </c>
      <c r="F316" s="19" t="str">
        <f aca="false">IF($A316="","",E316*D316)</f>
        <v/>
      </c>
      <c r="G316" s="17" t="str">
        <f aca="false">IF($A316="","",'كشف المطالبة'!$D$5)</f>
        <v/>
      </c>
      <c r="H316" s="18" t="str">
        <f aca="false">IF($A316="","",SUMIFS(PERLINE!$U$2:$U$3001,PERLINE!$N$2:$N$3001,$A316,PERLINE!$AK$2:$AK$3001,1))</f>
        <v/>
      </c>
      <c r="I316" s="19" t="str">
        <f aca="false">IF($A316="","",H316*G316)</f>
        <v/>
      </c>
      <c r="J316" s="19" t="str">
        <f aca="false">IF($A316="","",F316+I316)</f>
        <v/>
      </c>
      <c r="K316" s="19" t="str">
        <f aca="false">IF($A316="","",H316+E316)</f>
        <v/>
      </c>
      <c r="L316" s="20" t="str">
        <f aca="false">IF($A316="","",K316-J316-N316)</f>
        <v/>
      </c>
      <c r="M316" s="15" t="str">
        <f aca="false">IF($A316="","",INDEX(PERLINE!$A$2:$A$3001,MATCH($A316,PERLINE!$N$2:$N$3001,0)))</f>
        <v/>
      </c>
      <c r="N316" s="21" t="str">
        <f aca="false">IF($A316="","",SUMIFS(PERLINE!$M$2:$M$3001,PERLINE!$N$2:$N$3001,$A316))</f>
        <v/>
      </c>
    </row>
    <row r="317" customFormat="false" ht="15" hidden="false" customHeight="false" outlineLevel="0" collapsed="false">
      <c r="A317" s="15" t="str">
        <f aca="false">IF(ROWS($A$2:$A317)&lt;=Check!$C$4,SMALL(PERLINE!$AL$2:$AL$3001,ROWS($A$2:$A317)),"")</f>
        <v/>
      </c>
      <c r="B317" s="15" t="str">
        <f aca="false">IF($A317="","",INDEX(PERLINE!$J$2:$J$3001,MATCH($A317,PERLINE!$N$2:$N$3001,0)))</f>
        <v/>
      </c>
      <c r="C317" s="16" t="str">
        <f aca="false">IF($A317="","",INDEX(PERLINE!$I$2:$I$3001,MATCH($A317,PERLINE!$N$2:$N$3001,0)))</f>
        <v/>
      </c>
      <c r="D317" s="17" t="str">
        <f aca="false">IF($A317="","",'كشف المطالبة'!$D$6)</f>
        <v/>
      </c>
      <c r="E317" s="18" t="str">
        <f aca="false">IF($A317="","",SUMIFS(PERLINE!$U$2:$U$3001,PERLINE!$N$2:$N$3001,$A317,PERLINE!$AK$2:$AK$3001,0))</f>
        <v/>
      </c>
      <c r="F317" s="19" t="str">
        <f aca="false">IF($A317="","",E317*D317)</f>
        <v/>
      </c>
      <c r="G317" s="17" t="str">
        <f aca="false">IF($A317="","",'كشف المطالبة'!$D$5)</f>
        <v/>
      </c>
      <c r="H317" s="18" t="str">
        <f aca="false">IF($A317="","",SUMIFS(PERLINE!$U$2:$U$3001,PERLINE!$N$2:$N$3001,$A317,PERLINE!$AK$2:$AK$3001,1))</f>
        <v/>
      </c>
      <c r="I317" s="19" t="str">
        <f aca="false">IF($A317="","",H317*G317)</f>
        <v/>
      </c>
      <c r="J317" s="19" t="str">
        <f aca="false">IF($A317="","",F317+I317)</f>
        <v/>
      </c>
      <c r="K317" s="19" t="str">
        <f aca="false">IF($A317="","",H317+E317)</f>
        <v/>
      </c>
      <c r="L317" s="20" t="str">
        <f aca="false">IF($A317="","",K317-J317-N317)</f>
        <v/>
      </c>
      <c r="M317" s="15" t="str">
        <f aca="false">IF($A317="","",INDEX(PERLINE!$A$2:$A$3001,MATCH($A317,PERLINE!$N$2:$N$3001,0)))</f>
        <v/>
      </c>
      <c r="N317" s="21" t="str">
        <f aca="false">IF($A317="","",SUMIFS(PERLINE!$M$2:$M$3001,PERLINE!$N$2:$N$3001,$A317))</f>
        <v/>
      </c>
    </row>
    <row r="318" customFormat="false" ht="15" hidden="false" customHeight="false" outlineLevel="0" collapsed="false">
      <c r="A318" s="15" t="str">
        <f aca="false">IF(ROWS($A$2:$A318)&lt;=Check!$C$4,SMALL(PERLINE!$AL$2:$AL$3001,ROWS($A$2:$A318)),"")</f>
        <v/>
      </c>
      <c r="B318" s="15" t="str">
        <f aca="false">IF($A318="","",INDEX(PERLINE!$J$2:$J$3001,MATCH($A318,PERLINE!$N$2:$N$3001,0)))</f>
        <v/>
      </c>
      <c r="C318" s="16" t="str">
        <f aca="false">IF($A318="","",INDEX(PERLINE!$I$2:$I$3001,MATCH($A318,PERLINE!$N$2:$N$3001,0)))</f>
        <v/>
      </c>
      <c r="D318" s="17" t="str">
        <f aca="false">IF($A318="","",'كشف المطالبة'!$D$6)</f>
        <v/>
      </c>
      <c r="E318" s="18" t="str">
        <f aca="false">IF($A318="","",SUMIFS(PERLINE!$U$2:$U$3001,PERLINE!$N$2:$N$3001,$A318,PERLINE!$AK$2:$AK$3001,0))</f>
        <v/>
      </c>
      <c r="F318" s="19" t="str">
        <f aca="false">IF($A318="","",E318*D318)</f>
        <v/>
      </c>
      <c r="G318" s="17" t="str">
        <f aca="false">IF($A318="","",'كشف المطالبة'!$D$5)</f>
        <v/>
      </c>
      <c r="H318" s="18" t="str">
        <f aca="false">IF($A318="","",SUMIFS(PERLINE!$U$2:$U$3001,PERLINE!$N$2:$N$3001,$A318,PERLINE!$AK$2:$AK$3001,1))</f>
        <v/>
      </c>
      <c r="I318" s="19" t="str">
        <f aca="false">IF($A318="","",H318*G318)</f>
        <v/>
      </c>
      <c r="J318" s="19" t="str">
        <f aca="false">IF($A318="","",F318+I318)</f>
        <v/>
      </c>
      <c r="K318" s="19" t="str">
        <f aca="false">IF($A318="","",H318+E318)</f>
        <v/>
      </c>
      <c r="L318" s="20" t="str">
        <f aca="false">IF($A318="","",K318-J318-N318)</f>
        <v/>
      </c>
      <c r="M318" s="15" t="str">
        <f aca="false">IF($A318="","",INDEX(PERLINE!$A$2:$A$3001,MATCH($A318,PERLINE!$N$2:$N$3001,0)))</f>
        <v/>
      </c>
      <c r="N318" s="21" t="str">
        <f aca="false">IF($A318="","",SUMIFS(PERLINE!$M$2:$M$3001,PERLINE!$N$2:$N$3001,$A318))</f>
        <v/>
      </c>
    </row>
    <row r="319" customFormat="false" ht="15" hidden="false" customHeight="false" outlineLevel="0" collapsed="false">
      <c r="A319" s="15" t="str">
        <f aca="false">IF(ROWS($A$2:$A319)&lt;=Check!$C$4,SMALL(PERLINE!$AL$2:$AL$3001,ROWS($A$2:$A319)),"")</f>
        <v/>
      </c>
      <c r="B319" s="15" t="str">
        <f aca="false">IF($A319="","",INDEX(PERLINE!$J$2:$J$3001,MATCH($A319,PERLINE!$N$2:$N$3001,0)))</f>
        <v/>
      </c>
      <c r="C319" s="16" t="str">
        <f aca="false">IF($A319="","",INDEX(PERLINE!$I$2:$I$3001,MATCH($A319,PERLINE!$N$2:$N$3001,0)))</f>
        <v/>
      </c>
      <c r="D319" s="17" t="str">
        <f aca="false">IF($A319="","",'كشف المطالبة'!$D$6)</f>
        <v/>
      </c>
      <c r="E319" s="18" t="str">
        <f aca="false">IF($A319="","",SUMIFS(PERLINE!$U$2:$U$3001,PERLINE!$N$2:$N$3001,$A319,PERLINE!$AK$2:$AK$3001,0))</f>
        <v/>
      </c>
      <c r="F319" s="19" t="str">
        <f aca="false">IF($A319="","",E319*D319)</f>
        <v/>
      </c>
      <c r="G319" s="17" t="str">
        <f aca="false">IF($A319="","",'كشف المطالبة'!$D$5)</f>
        <v/>
      </c>
      <c r="H319" s="18" t="str">
        <f aca="false">IF($A319="","",SUMIFS(PERLINE!$U$2:$U$3001,PERLINE!$N$2:$N$3001,$A319,PERLINE!$AK$2:$AK$3001,1))</f>
        <v/>
      </c>
      <c r="I319" s="19" t="str">
        <f aca="false">IF($A319="","",H319*G319)</f>
        <v/>
      </c>
      <c r="J319" s="19" t="str">
        <f aca="false">IF($A319="","",F319+I319)</f>
        <v/>
      </c>
      <c r="K319" s="19" t="str">
        <f aca="false">IF($A319="","",H319+E319)</f>
        <v/>
      </c>
      <c r="L319" s="20" t="str">
        <f aca="false">IF($A319="","",K319-J319-N319)</f>
        <v/>
      </c>
      <c r="M319" s="15" t="str">
        <f aca="false">IF($A319="","",INDEX(PERLINE!$A$2:$A$3001,MATCH($A319,PERLINE!$N$2:$N$3001,0)))</f>
        <v/>
      </c>
      <c r="N319" s="21" t="str">
        <f aca="false">IF($A319="","",SUMIFS(PERLINE!$M$2:$M$3001,PERLINE!$N$2:$N$3001,$A319))</f>
        <v/>
      </c>
    </row>
    <row r="320" customFormat="false" ht="15" hidden="false" customHeight="false" outlineLevel="0" collapsed="false">
      <c r="A320" s="15" t="str">
        <f aca="false">IF(ROWS($A$2:$A320)&lt;=Check!$C$4,SMALL(PERLINE!$AL$2:$AL$3001,ROWS($A$2:$A320)),"")</f>
        <v/>
      </c>
      <c r="B320" s="15" t="str">
        <f aca="false">IF($A320="","",INDEX(PERLINE!$J$2:$J$3001,MATCH($A320,PERLINE!$N$2:$N$3001,0)))</f>
        <v/>
      </c>
      <c r="C320" s="16" t="str">
        <f aca="false">IF($A320="","",INDEX(PERLINE!$I$2:$I$3001,MATCH($A320,PERLINE!$N$2:$N$3001,0)))</f>
        <v/>
      </c>
      <c r="D320" s="17" t="str">
        <f aca="false">IF($A320="","",'كشف المطالبة'!$D$6)</f>
        <v/>
      </c>
      <c r="E320" s="18" t="str">
        <f aca="false">IF($A320="","",SUMIFS(PERLINE!$U$2:$U$3001,PERLINE!$N$2:$N$3001,$A320,PERLINE!$AK$2:$AK$3001,0))</f>
        <v/>
      </c>
      <c r="F320" s="19" t="str">
        <f aca="false">IF($A320="","",E320*D320)</f>
        <v/>
      </c>
      <c r="G320" s="17" t="str">
        <f aca="false">IF($A320="","",'كشف المطالبة'!$D$5)</f>
        <v/>
      </c>
      <c r="H320" s="18" t="str">
        <f aca="false">IF($A320="","",SUMIFS(PERLINE!$U$2:$U$3001,PERLINE!$N$2:$N$3001,$A320,PERLINE!$AK$2:$AK$3001,1))</f>
        <v/>
      </c>
      <c r="I320" s="19" t="str">
        <f aca="false">IF($A320="","",H320*G320)</f>
        <v/>
      </c>
      <c r="J320" s="19" t="str">
        <f aca="false">IF($A320="","",F320+I320)</f>
        <v/>
      </c>
      <c r="K320" s="19" t="str">
        <f aca="false">IF($A320="","",H320+E320)</f>
        <v/>
      </c>
      <c r="L320" s="20" t="str">
        <f aca="false">IF($A320="","",K320-J320-N320)</f>
        <v/>
      </c>
      <c r="M320" s="15" t="str">
        <f aca="false">IF($A320="","",INDEX(PERLINE!$A$2:$A$3001,MATCH($A320,PERLINE!$N$2:$N$3001,0)))</f>
        <v/>
      </c>
      <c r="N320" s="21" t="str">
        <f aca="false">IF($A320="","",SUMIFS(PERLINE!$M$2:$M$3001,PERLINE!$N$2:$N$3001,$A320))</f>
        <v/>
      </c>
    </row>
    <row r="321" customFormat="false" ht="15" hidden="false" customHeight="false" outlineLevel="0" collapsed="false">
      <c r="A321" s="15" t="str">
        <f aca="false">IF(ROWS($A$2:$A321)&lt;=Check!$C$4,SMALL(PERLINE!$AL$2:$AL$3001,ROWS($A$2:$A321)),"")</f>
        <v/>
      </c>
      <c r="B321" s="15" t="str">
        <f aca="false">IF($A321="","",INDEX(PERLINE!$J$2:$J$3001,MATCH($A321,PERLINE!$N$2:$N$3001,0)))</f>
        <v/>
      </c>
      <c r="C321" s="16" t="str">
        <f aca="false">IF($A321="","",INDEX(PERLINE!$I$2:$I$3001,MATCH($A321,PERLINE!$N$2:$N$3001,0)))</f>
        <v/>
      </c>
      <c r="D321" s="17" t="str">
        <f aca="false">IF($A321="","",'كشف المطالبة'!$D$6)</f>
        <v/>
      </c>
      <c r="E321" s="18" t="str">
        <f aca="false">IF($A321="","",SUMIFS(PERLINE!$U$2:$U$3001,PERLINE!$N$2:$N$3001,$A321,PERLINE!$AK$2:$AK$3001,0))</f>
        <v/>
      </c>
      <c r="F321" s="19" t="str">
        <f aca="false">IF($A321="","",E321*D321)</f>
        <v/>
      </c>
      <c r="G321" s="17" t="str">
        <f aca="false">IF($A321="","",'كشف المطالبة'!$D$5)</f>
        <v/>
      </c>
      <c r="H321" s="18" t="str">
        <f aca="false">IF($A321="","",SUMIFS(PERLINE!$U$2:$U$3001,PERLINE!$N$2:$N$3001,$A321,PERLINE!$AK$2:$AK$3001,1))</f>
        <v/>
      </c>
      <c r="I321" s="19" t="str">
        <f aca="false">IF($A321="","",H321*G321)</f>
        <v/>
      </c>
      <c r="J321" s="19" t="str">
        <f aca="false">IF($A321="","",F321+I321)</f>
        <v/>
      </c>
      <c r="K321" s="19" t="str">
        <f aca="false">IF($A321="","",H321+E321)</f>
        <v/>
      </c>
      <c r="L321" s="20" t="str">
        <f aca="false">IF($A321="","",K321-J321-N321)</f>
        <v/>
      </c>
      <c r="M321" s="15" t="str">
        <f aca="false">IF($A321="","",INDEX(PERLINE!$A$2:$A$3001,MATCH($A321,PERLINE!$N$2:$N$3001,0)))</f>
        <v/>
      </c>
      <c r="N321" s="21" t="str">
        <f aca="false">IF($A321="","",SUMIFS(PERLINE!$M$2:$M$3001,PERLINE!$N$2:$N$3001,$A321))</f>
        <v/>
      </c>
    </row>
    <row r="322" customFormat="false" ht="15" hidden="false" customHeight="false" outlineLevel="0" collapsed="false">
      <c r="A322" s="15" t="str">
        <f aca="false">IF(ROWS($A$2:$A322)&lt;=Check!$C$4,SMALL(PERLINE!$AL$2:$AL$3001,ROWS($A$2:$A322)),"")</f>
        <v/>
      </c>
      <c r="B322" s="15" t="str">
        <f aca="false">IF($A322="","",INDEX(PERLINE!$J$2:$J$3001,MATCH($A322,PERLINE!$N$2:$N$3001,0)))</f>
        <v/>
      </c>
      <c r="C322" s="16" t="str">
        <f aca="false">IF($A322="","",INDEX(PERLINE!$I$2:$I$3001,MATCH($A322,PERLINE!$N$2:$N$3001,0)))</f>
        <v/>
      </c>
      <c r="D322" s="17" t="str">
        <f aca="false">IF($A322="","",'كشف المطالبة'!$D$6)</f>
        <v/>
      </c>
      <c r="E322" s="18" t="str">
        <f aca="false">IF($A322="","",SUMIFS(PERLINE!$U$2:$U$3001,PERLINE!$N$2:$N$3001,$A322,PERLINE!$AK$2:$AK$3001,0))</f>
        <v/>
      </c>
      <c r="F322" s="19" t="str">
        <f aca="false">IF($A322="","",E322*D322)</f>
        <v/>
      </c>
      <c r="G322" s="17" t="str">
        <f aca="false">IF($A322="","",'كشف المطالبة'!$D$5)</f>
        <v/>
      </c>
      <c r="H322" s="18" t="str">
        <f aca="false">IF($A322="","",SUMIFS(PERLINE!$U$2:$U$3001,PERLINE!$N$2:$N$3001,$A322,PERLINE!$AK$2:$AK$3001,1))</f>
        <v/>
      </c>
      <c r="I322" s="19" t="str">
        <f aca="false">IF($A322="","",H322*G322)</f>
        <v/>
      </c>
      <c r="J322" s="19" t="str">
        <f aca="false">IF($A322="","",F322+I322)</f>
        <v/>
      </c>
      <c r="K322" s="19" t="str">
        <f aca="false">IF($A322="","",H322+E322)</f>
        <v/>
      </c>
      <c r="L322" s="20" t="str">
        <f aca="false">IF($A322="","",K322-J322-N322)</f>
        <v/>
      </c>
      <c r="M322" s="15" t="str">
        <f aca="false">IF($A322="","",INDEX(PERLINE!$A$2:$A$3001,MATCH($A322,PERLINE!$N$2:$N$3001,0)))</f>
        <v/>
      </c>
      <c r="N322" s="21" t="str">
        <f aca="false">IF($A322="","",SUMIFS(PERLINE!$M$2:$M$3001,PERLINE!$N$2:$N$3001,$A322))</f>
        <v/>
      </c>
    </row>
    <row r="323" customFormat="false" ht="15" hidden="false" customHeight="false" outlineLevel="0" collapsed="false">
      <c r="A323" s="15" t="str">
        <f aca="false">IF(ROWS($A$2:$A323)&lt;=Check!$C$4,SMALL(PERLINE!$AL$2:$AL$3001,ROWS($A$2:$A323)),"")</f>
        <v/>
      </c>
      <c r="B323" s="15" t="str">
        <f aca="false">IF($A323="","",INDEX(PERLINE!$J$2:$J$3001,MATCH($A323,PERLINE!$N$2:$N$3001,0)))</f>
        <v/>
      </c>
      <c r="C323" s="16" t="str">
        <f aca="false">IF($A323="","",INDEX(PERLINE!$I$2:$I$3001,MATCH($A323,PERLINE!$N$2:$N$3001,0)))</f>
        <v/>
      </c>
      <c r="D323" s="17" t="str">
        <f aca="false">IF($A323="","",'كشف المطالبة'!$D$6)</f>
        <v/>
      </c>
      <c r="E323" s="18" t="str">
        <f aca="false">IF($A323="","",SUMIFS(PERLINE!$U$2:$U$3001,PERLINE!$N$2:$N$3001,$A323,PERLINE!$AK$2:$AK$3001,0))</f>
        <v/>
      </c>
      <c r="F323" s="19" t="str">
        <f aca="false">IF($A323="","",E323*D323)</f>
        <v/>
      </c>
      <c r="G323" s="17" t="str">
        <f aca="false">IF($A323="","",'كشف المطالبة'!$D$5)</f>
        <v/>
      </c>
      <c r="H323" s="18" t="str">
        <f aca="false">IF($A323="","",SUMIFS(PERLINE!$U$2:$U$3001,PERLINE!$N$2:$N$3001,$A323,PERLINE!$AK$2:$AK$3001,1))</f>
        <v/>
      </c>
      <c r="I323" s="19" t="str">
        <f aca="false">IF($A323="","",H323*G323)</f>
        <v/>
      </c>
      <c r="J323" s="19" t="str">
        <f aca="false">IF($A323="","",F323+I323)</f>
        <v/>
      </c>
      <c r="K323" s="19" t="str">
        <f aca="false">IF($A323="","",H323+E323)</f>
        <v/>
      </c>
      <c r="L323" s="20" t="str">
        <f aca="false">IF($A323="","",K323-J323-N323)</f>
        <v/>
      </c>
      <c r="M323" s="15" t="str">
        <f aca="false">IF($A323="","",INDEX(PERLINE!$A$2:$A$3001,MATCH($A323,PERLINE!$N$2:$N$3001,0)))</f>
        <v/>
      </c>
      <c r="N323" s="21" t="str">
        <f aca="false">IF($A323="","",SUMIFS(PERLINE!$M$2:$M$3001,PERLINE!$N$2:$N$3001,$A323))</f>
        <v/>
      </c>
    </row>
    <row r="324" customFormat="false" ht="15" hidden="false" customHeight="false" outlineLevel="0" collapsed="false">
      <c r="A324" s="15" t="str">
        <f aca="false">IF(ROWS($A$2:$A324)&lt;=Check!$C$4,SMALL(PERLINE!$AL$2:$AL$3001,ROWS($A$2:$A324)),"")</f>
        <v/>
      </c>
      <c r="B324" s="15" t="str">
        <f aca="false">IF($A324="","",INDEX(PERLINE!$J$2:$J$3001,MATCH($A324,PERLINE!$N$2:$N$3001,0)))</f>
        <v/>
      </c>
      <c r="C324" s="16" t="str">
        <f aca="false">IF($A324="","",INDEX(PERLINE!$I$2:$I$3001,MATCH($A324,PERLINE!$N$2:$N$3001,0)))</f>
        <v/>
      </c>
      <c r="D324" s="17" t="str">
        <f aca="false">IF($A324="","",'كشف المطالبة'!$D$6)</f>
        <v/>
      </c>
      <c r="E324" s="18" t="str">
        <f aca="false">IF($A324="","",SUMIFS(PERLINE!$U$2:$U$3001,PERLINE!$N$2:$N$3001,$A324,PERLINE!$AK$2:$AK$3001,0))</f>
        <v/>
      </c>
      <c r="F324" s="19" t="str">
        <f aca="false">IF($A324="","",E324*D324)</f>
        <v/>
      </c>
      <c r="G324" s="17" t="str">
        <f aca="false">IF($A324="","",'كشف المطالبة'!$D$5)</f>
        <v/>
      </c>
      <c r="H324" s="18" t="str">
        <f aca="false">IF($A324="","",SUMIFS(PERLINE!$U$2:$U$3001,PERLINE!$N$2:$N$3001,$A324,PERLINE!$AK$2:$AK$3001,1))</f>
        <v/>
      </c>
      <c r="I324" s="19" t="str">
        <f aca="false">IF($A324="","",H324*G324)</f>
        <v/>
      </c>
      <c r="J324" s="19" t="str">
        <f aca="false">IF($A324="","",F324+I324)</f>
        <v/>
      </c>
      <c r="K324" s="19" t="str">
        <f aca="false">IF($A324="","",H324+E324)</f>
        <v/>
      </c>
      <c r="L324" s="20" t="str">
        <f aca="false">IF($A324="","",K324-J324-N324)</f>
        <v/>
      </c>
      <c r="M324" s="15" t="str">
        <f aca="false">IF($A324="","",INDEX(PERLINE!$A$2:$A$3001,MATCH($A324,PERLINE!$N$2:$N$3001,0)))</f>
        <v/>
      </c>
      <c r="N324" s="21" t="str">
        <f aca="false">IF($A324="","",SUMIFS(PERLINE!$M$2:$M$3001,PERLINE!$N$2:$N$3001,$A324))</f>
        <v/>
      </c>
    </row>
    <row r="325" customFormat="false" ht="15" hidden="false" customHeight="false" outlineLevel="0" collapsed="false">
      <c r="A325" s="15" t="str">
        <f aca="false">IF(ROWS($A$2:$A325)&lt;=Check!$C$4,SMALL(PERLINE!$AL$2:$AL$3001,ROWS($A$2:$A325)),"")</f>
        <v/>
      </c>
      <c r="B325" s="15" t="str">
        <f aca="false">IF($A325="","",INDEX(PERLINE!$J$2:$J$3001,MATCH($A325,PERLINE!$N$2:$N$3001,0)))</f>
        <v/>
      </c>
      <c r="C325" s="16" t="str">
        <f aca="false">IF($A325="","",INDEX(PERLINE!$I$2:$I$3001,MATCH($A325,PERLINE!$N$2:$N$3001,0)))</f>
        <v/>
      </c>
      <c r="D325" s="17" t="str">
        <f aca="false">IF($A325="","",'كشف المطالبة'!$D$6)</f>
        <v/>
      </c>
      <c r="E325" s="18" t="str">
        <f aca="false">IF($A325="","",SUMIFS(PERLINE!$U$2:$U$3001,PERLINE!$N$2:$N$3001,$A325,PERLINE!$AK$2:$AK$3001,0))</f>
        <v/>
      </c>
      <c r="F325" s="19" t="str">
        <f aca="false">IF($A325="","",E325*D325)</f>
        <v/>
      </c>
      <c r="G325" s="17" t="str">
        <f aca="false">IF($A325="","",'كشف المطالبة'!$D$5)</f>
        <v/>
      </c>
      <c r="H325" s="18" t="str">
        <f aca="false">IF($A325="","",SUMIFS(PERLINE!$U$2:$U$3001,PERLINE!$N$2:$N$3001,$A325,PERLINE!$AK$2:$AK$3001,1))</f>
        <v/>
      </c>
      <c r="I325" s="19" t="str">
        <f aca="false">IF($A325="","",H325*G325)</f>
        <v/>
      </c>
      <c r="J325" s="19" t="str">
        <f aca="false">IF($A325="","",F325+I325)</f>
        <v/>
      </c>
      <c r="K325" s="19" t="str">
        <f aca="false">IF($A325="","",H325+E325)</f>
        <v/>
      </c>
      <c r="L325" s="20" t="str">
        <f aca="false">IF($A325="","",K325-J325-N325)</f>
        <v/>
      </c>
      <c r="M325" s="15" t="str">
        <f aca="false">IF($A325="","",INDEX(PERLINE!$A$2:$A$3001,MATCH($A325,PERLINE!$N$2:$N$3001,0)))</f>
        <v/>
      </c>
      <c r="N325" s="21" t="str">
        <f aca="false">IF($A325="","",SUMIFS(PERLINE!$M$2:$M$3001,PERLINE!$N$2:$N$3001,$A325))</f>
        <v/>
      </c>
    </row>
    <row r="326" customFormat="false" ht="15" hidden="false" customHeight="false" outlineLevel="0" collapsed="false">
      <c r="A326" s="15" t="str">
        <f aca="false">IF(ROWS($A$2:$A326)&lt;=Check!$C$4,SMALL(PERLINE!$AL$2:$AL$3001,ROWS($A$2:$A326)),"")</f>
        <v/>
      </c>
      <c r="B326" s="15" t="str">
        <f aca="false">IF($A326="","",INDEX(PERLINE!$J$2:$J$3001,MATCH($A326,PERLINE!$N$2:$N$3001,0)))</f>
        <v/>
      </c>
      <c r="C326" s="16" t="str">
        <f aca="false">IF($A326="","",INDEX(PERLINE!$I$2:$I$3001,MATCH($A326,PERLINE!$N$2:$N$3001,0)))</f>
        <v/>
      </c>
      <c r="D326" s="17" t="str">
        <f aca="false">IF($A326="","",'كشف المطالبة'!$D$6)</f>
        <v/>
      </c>
      <c r="E326" s="18" t="str">
        <f aca="false">IF($A326="","",SUMIFS(PERLINE!$U$2:$U$3001,PERLINE!$N$2:$N$3001,$A326,PERLINE!$AK$2:$AK$3001,0))</f>
        <v/>
      </c>
      <c r="F326" s="19" t="str">
        <f aca="false">IF($A326="","",E326*D326)</f>
        <v/>
      </c>
      <c r="G326" s="17" t="str">
        <f aca="false">IF($A326="","",'كشف المطالبة'!$D$5)</f>
        <v/>
      </c>
      <c r="H326" s="18" t="str">
        <f aca="false">IF($A326="","",SUMIFS(PERLINE!$U$2:$U$3001,PERLINE!$N$2:$N$3001,$A326,PERLINE!$AK$2:$AK$3001,1))</f>
        <v/>
      </c>
      <c r="I326" s="19" t="str">
        <f aca="false">IF($A326="","",H326*G326)</f>
        <v/>
      </c>
      <c r="J326" s="19" t="str">
        <f aca="false">IF($A326="","",F326+I326)</f>
        <v/>
      </c>
      <c r="K326" s="19" t="str">
        <f aca="false">IF($A326="","",H326+E326)</f>
        <v/>
      </c>
      <c r="L326" s="20" t="str">
        <f aca="false">IF($A326="","",K326-J326-N326)</f>
        <v/>
      </c>
      <c r="M326" s="15" t="str">
        <f aca="false">IF($A326="","",INDEX(PERLINE!$A$2:$A$3001,MATCH($A326,PERLINE!$N$2:$N$3001,0)))</f>
        <v/>
      </c>
      <c r="N326" s="21" t="str">
        <f aca="false">IF($A326="","",SUMIFS(PERLINE!$M$2:$M$3001,PERLINE!$N$2:$N$3001,$A326))</f>
        <v/>
      </c>
    </row>
    <row r="327" customFormat="false" ht="15" hidden="false" customHeight="false" outlineLevel="0" collapsed="false">
      <c r="A327" s="15" t="str">
        <f aca="false">IF(ROWS($A$2:$A327)&lt;=Check!$C$4,SMALL(PERLINE!$AL$2:$AL$3001,ROWS($A$2:$A327)),"")</f>
        <v/>
      </c>
      <c r="B327" s="15" t="str">
        <f aca="false">IF($A327="","",INDEX(PERLINE!$J$2:$J$3001,MATCH($A327,PERLINE!$N$2:$N$3001,0)))</f>
        <v/>
      </c>
      <c r="C327" s="16" t="str">
        <f aca="false">IF($A327="","",INDEX(PERLINE!$I$2:$I$3001,MATCH($A327,PERLINE!$N$2:$N$3001,0)))</f>
        <v/>
      </c>
      <c r="D327" s="17" t="str">
        <f aca="false">IF($A327="","",'كشف المطالبة'!$D$6)</f>
        <v/>
      </c>
      <c r="E327" s="18" t="str">
        <f aca="false">IF($A327="","",SUMIFS(PERLINE!$U$2:$U$3001,PERLINE!$N$2:$N$3001,$A327,PERLINE!$AK$2:$AK$3001,0))</f>
        <v/>
      </c>
      <c r="F327" s="19" t="str">
        <f aca="false">IF($A327="","",E327*D327)</f>
        <v/>
      </c>
      <c r="G327" s="17" t="str">
        <f aca="false">IF($A327="","",'كشف المطالبة'!$D$5)</f>
        <v/>
      </c>
      <c r="H327" s="18" t="str">
        <f aca="false">IF($A327="","",SUMIFS(PERLINE!$U$2:$U$3001,PERLINE!$N$2:$N$3001,$A327,PERLINE!$AK$2:$AK$3001,1))</f>
        <v/>
      </c>
      <c r="I327" s="19" t="str">
        <f aca="false">IF($A327="","",H327*G327)</f>
        <v/>
      </c>
      <c r="J327" s="19" t="str">
        <f aca="false">IF($A327="","",F327+I327)</f>
        <v/>
      </c>
      <c r="K327" s="19" t="str">
        <f aca="false">IF($A327="","",H327+E327)</f>
        <v/>
      </c>
      <c r="L327" s="20" t="str">
        <f aca="false">IF($A327="","",K327-J327-N327)</f>
        <v/>
      </c>
      <c r="M327" s="15" t="str">
        <f aca="false">IF($A327="","",INDEX(PERLINE!$A$2:$A$3001,MATCH($A327,PERLINE!$N$2:$N$3001,0)))</f>
        <v/>
      </c>
      <c r="N327" s="21" t="str">
        <f aca="false">IF($A327="","",SUMIFS(PERLINE!$M$2:$M$3001,PERLINE!$N$2:$N$3001,$A327))</f>
        <v/>
      </c>
    </row>
    <row r="328" customFormat="false" ht="15" hidden="false" customHeight="false" outlineLevel="0" collapsed="false">
      <c r="A328" s="15" t="str">
        <f aca="false">IF(ROWS($A$2:$A328)&lt;=Check!$C$4,SMALL(PERLINE!$AL$2:$AL$3001,ROWS($A$2:$A328)),"")</f>
        <v/>
      </c>
      <c r="B328" s="15" t="str">
        <f aca="false">IF($A328="","",INDEX(PERLINE!$J$2:$J$3001,MATCH($A328,PERLINE!$N$2:$N$3001,0)))</f>
        <v/>
      </c>
      <c r="C328" s="16" t="str">
        <f aca="false">IF($A328="","",INDEX(PERLINE!$I$2:$I$3001,MATCH($A328,PERLINE!$N$2:$N$3001,0)))</f>
        <v/>
      </c>
      <c r="D328" s="17" t="str">
        <f aca="false">IF($A328="","",'كشف المطالبة'!$D$6)</f>
        <v/>
      </c>
      <c r="E328" s="18" t="str">
        <f aca="false">IF($A328="","",SUMIFS(PERLINE!$U$2:$U$3001,PERLINE!$N$2:$N$3001,$A328,PERLINE!$AK$2:$AK$3001,0))</f>
        <v/>
      </c>
      <c r="F328" s="19" t="str">
        <f aca="false">IF($A328="","",E328*D328)</f>
        <v/>
      </c>
      <c r="G328" s="17" t="str">
        <f aca="false">IF($A328="","",'كشف المطالبة'!$D$5)</f>
        <v/>
      </c>
      <c r="H328" s="18" t="str">
        <f aca="false">IF($A328="","",SUMIFS(PERLINE!$U$2:$U$3001,PERLINE!$N$2:$N$3001,$A328,PERLINE!$AK$2:$AK$3001,1))</f>
        <v/>
      </c>
      <c r="I328" s="19" t="str">
        <f aca="false">IF($A328="","",H328*G328)</f>
        <v/>
      </c>
      <c r="J328" s="19" t="str">
        <f aca="false">IF($A328="","",F328+I328)</f>
        <v/>
      </c>
      <c r="K328" s="19" t="str">
        <f aca="false">IF($A328="","",H328+E328)</f>
        <v/>
      </c>
      <c r="L328" s="20" t="str">
        <f aca="false">IF($A328="","",K328-J328-N328)</f>
        <v/>
      </c>
      <c r="M328" s="15" t="str">
        <f aca="false">IF($A328="","",INDEX(PERLINE!$A$2:$A$3001,MATCH($A328,PERLINE!$N$2:$N$3001,0)))</f>
        <v/>
      </c>
      <c r="N328" s="21" t="str">
        <f aca="false">IF($A328="","",SUMIFS(PERLINE!$M$2:$M$3001,PERLINE!$N$2:$N$3001,$A328))</f>
        <v/>
      </c>
    </row>
    <row r="329" customFormat="false" ht="15" hidden="false" customHeight="false" outlineLevel="0" collapsed="false">
      <c r="A329" s="15" t="str">
        <f aca="false">IF(ROWS($A$2:$A329)&lt;=Check!$C$4,SMALL(PERLINE!$AL$2:$AL$3001,ROWS($A$2:$A329)),"")</f>
        <v/>
      </c>
      <c r="B329" s="15" t="str">
        <f aca="false">IF($A329="","",INDEX(PERLINE!$J$2:$J$3001,MATCH($A329,PERLINE!$N$2:$N$3001,0)))</f>
        <v/>
      </c>
      <c r="C329" s="16" t="str">
        <f aca="false">IF($A329="","",INDEX(PERLINE!$I$2:$I$3001,MATCH($A329,PERLINE!$N$2:$N$3001,0)))</f>
        <v/>
      </c>
      <c r="D329" s="17" t="str">
        <f aca="false">IF($A329="","",'كشف المطالبة'!$D$6)</f>
        <v/>
      </c>
      <c r="E329" s="18" t="str">
        <f aca="false">IF($A329="","",SUMIFS(PERLINE!$U$2:$U$3001,PERLINE!$N$2:$N$3001,$A329,PERLINE!$AK$2:$AK$3001,0))</f>
        <v/>
      </c>
      <c r="F329" s="19" t="str">
        <f aca="false">IF($A329="","",E329*D329)</f>
        <v/>
      </c>
      <c r="G329" s="17" t="str">
        <f aca="false">IF($A329="","",'كشف المطالبة'!$D$5)</f>
        <v/>
      </c>
      <c r="H329" s="18" t="str">
        <f aca="false">IF($A329="","",SUMIFS(PERLINE!$U$2:$U$3001,PERLINE!$N$2:$N$3001,$A329,PERLINE!$AK$2:$AK$3001,1))</f>
        <v/>
      </c>
      <c r="I329" s="19" t="str">
        <f aca="false">IF($A329="","",H329*G329)</f>
        <v/>
      </c>
      <c r="J329" s="19" t="str">
        <f aca="false">IF($A329="","",F329+I329)</f>
        <v/>
      </c>
      <c r="K329" s="19" t="str">
        <f aca="false">IF($A329="","",H329+E329)</f>
        <v/>
      </c>
      <c r="L329" s="20" t="str">
        <f aca="false">IF($A329="","",K329-J329-N329)</f>
        <v/>
      </c>
      <c r="M329" s="15" t="str">
        <f aca="false">IF($A329="","",INDEX(PERLINE!$A$2:$A$3001,MATCH($A329,PERLINE!$N$2:$N$3001,0)))</f>
        <v/>
      </c>
      <c r="N329" s="21" t="str">
        <f aca="false">IF($A329="","",SUMIFS(PERLINE!$M$2:$M$3001,PERLINE!$N$2:$N$3001,$A329))</f>
        <v/>
      </c>
    </row>
    <row r="330" customFormat="false" ht="15" hidden="false" customHeight="false" outlineLevel="0" collapsed="false">
      <c r="A330" s="15" t="str">
        <f aca="false">IF(ROWS($A$2:$A330)&lt;=Check!$C$4,SMALL(PERLINE!$AL$2:$AL$3001,ROWS($A$2:$A330)),"")</f>
        <v/>
      </c>
      <c r="B330" s="15" t="str">
        <f aca="false">IF($A330="","",INDEX(PERLINE!$J$2:$J$3001,MATCH($A330,PERLINE!$N$2:$N$3001,0)))</f>
        <v/>
      </c>
      <c r="C330" s="16" t="str">
        <f aca="false">IF($A330="","",INDEX(PERLINE!$I$2:$I$3001,MATCH($A330,PERLINE!$N$2:$N$3001,0)))</f>
        <v/>
      </c>
      <c r="D330" s="17" t="str">
        <f aca="false">IF($A330="","",'كشف المطالبة'!$D$6)</f>
        <v/>
      </c>
      <c r="E330" s="18" t="str">
        <f aca="false">IF($A330="","",SUMIFS(PERLINE!$U$2:$U$3001,PERLINE!$N$2:$N$3001,$A330,PERLINE!$AK$2:$AK$3001,0))</f>
        <v/>
      </c>
      <c r="F330" s="19" t="str">
        <f aca="false">IF($A330="","",E330*D330)</f>
        <v/>
      </c>
      <c r="G330" s="17" t="str">
        <f aca="false">IF($A330="","",'كشف المطالبة'!$D$5)</f>
        <v/>
      </c>
      <c r="H330" s="18" t="str">
        <f aca="false">IF($A330="","",SUMIFS(PERLINE!$U$2:$U$3001,PERLINE!$N$2:$N$3001,$A330,PERLINE!$AK$2:$AK$3001,1))</f>
        <v/>
      </c>
      <c r="I330" s="19" t="str">
        <f aca="false">IF($A330="","",H330*G330)</f>
        <v/>
      </c>
      <c r="J330" s="19" t="str">
        <f aca="false">IF($A330="","",F330+I330)</f>
        <v/>
      </c>
      <c r="K330" s="19" t="str">
        <f aca="false">IF($A330="","",H330+E330)</f>
        <v/>
      </c>
      <c r="L330" s="20" t="str">
        <f aca="false">IF($A330="","",K330-J330-N330)</f>
        <v/>
      </c>
      <c r="M330" s="15" t="str">
        <f aca="false">IF($A330="","",INDEX(PERLINE!$A$2:$A$3001,MATCH($A330,PERLINE!$N$2:$N$3001,0)))</f>
        <v/>
      </c>
      <c r="N330" s="21" t="str">
        <f aca="false">IF($A330="","",SUMIFS(PERLINE!$M$2:$M$3001,PERLINE!$N$2:$N$3001,$A330))</f>
        <v/>
      </c>
    </row>
    <row r="331" customFormat="false" ht="15" hidden="false" customHeight="false" outlineLevel="0" collapsed="false">
      <c r="A331" s="15" t="str">
        <f aca="false">IF(ROWS($A$2:$A331)&lt;=Check!$C$4,SMALL(PERLINE!$AL$2:$AL$3001,ROWS($A$2:$A331)),"")</f>
        <v/>
      </c>
      <c r="B331" s="15" t="str">
        <f aca="false">IF($A331="","",INDEX(PERLINE!$J$2:$J$3001,MATCH($A331,PERLINE!$N$2:$N$3001,0)))</f>
        <v/>
      </c>
      <c r="C331" s="16" t="str">
        <f aca="false">IF($A331="","",INDEX(PERLINE!$I$2:$I$3001,MATCH($A331,PERLINE!$N$2:$N$3001,0)))</f>
        <v/>
      </c>
      <c r="D331" s="17" t="str">
        <f aca="false">IF($A331="","",'كشف المطالبة'!$D$6)</f>
        <v/>
      </c>
      <c r="E331" s="18" t="str">
        <f aca="false">IF($A331="","",SUMIFS(PERLINE!$U$2:$U$3001,PERLINE!$N$2:$N$3001,$A331,PERLINE!$AK$2:$AK$3001,0))</f>
        <v/>
      </c>
      <c r="F331" s="19" t="str">
        <f aca="false">IF($A331="","",E331*D331)</f>
        <v/>
      </c>
      <c r="G331" s="17" t="str">
        <f aca="false">IF($A331="","",'كشف المطالبة'!$D$5)</f>
        <v/>
      </c>
      <c r="H331" s="18" t="str">
        <f aca="false">IF($A331="","",SUMIFS(PERLINE!$U$2:$U$3001,PERLINE!$N$2:$N$3001,$A331,PERLINE!$AK$2:$AK$3001,1))</f>
        <v/>
      </c>
      <c r="I331" s="19" t="str">
        <f aca="false">IF($A331="","",H331*G331)</f>
        <v/>
      </c>
      <c r="J331" s="19" t="str">
        <f aca="false">IF($A331="","",F331+I331)</f>
        <v/>
      </c>
      <c r="K331" s="19" t="str">
        <f aca="false">IF($A331="","",H331+E331)</f>
        <v/>
      </c>
      <c r="L331" s="20" t="str">
        <f aca="false">IF($A331="","",K331-J331-N331)</f>
        <v/>
      </c>
      <c r="M331" s="15" t="str">
        <f aca="false">IF($A331="","",INDEX(PERLINE!$A$2:$A$3001,MATCH($A331,PERLINE!$N$2:$N$3001,0)))</f>
        <v/>
      </c>
      <c r="N331" s="21" t="str">
        <f aca="false">IF($A331="","",SUMIFS(PERLINE!$M$2:$M$3001,PERLINE!$N$2:$N$3001,$A331))</f>
        <v/>
      </c>
    </row>
    <row r="332" customFormat="false" ht="15" hidden="false" customHeight="false" outlineLevel="0" collapsed="false">
      <c r="A332" s="15" t="str">
        <f aca="false">IF(ROWS($A$2:$A332)&lt;=Check!$C$4,SMALL(PERLINE!$AL$2:$AL$3001,ROWS($A$2:$A332)),"")</f>
        <v/>
      </c>
      <c r="B332" s="15" t="str">
        <f aca="false">IF($A332="","",INDEX(PERLINE!$J$2:$J$3001,MATCH($A332,PERLINE!$N$2:$N$3001,0)))</f>
        <v/>
      </c>
      <c r="C332" s="16" t="str">
        <f aca="false">IF($A332="","",INDEX(PERLINE!$I$2:$I$3001,MATCH($A332,PERLINE!$N$2:$N$3001,0)))</f>
        <v/>
      </c>
      <c r="D332" s="17" t="str">
        <f aca="false">IF($A332="","",'كشف المطالبة'!$D$6)</f>
        <v/>
      </c>
      <c r="E332" s="18" t="str">
        <f aca="false">IF($A332="","",SUMIFS(PERLINE!$U$2:$U$3001,PERLINE!$N$2:$N$3001,$A332,PERLINE!$AK$2:$AK$3001,0))</f>
        <v/>
      </c>
      <c r="F332" s="19" t="str">
        <f aca="false">IF($A332="","",E332*D332)</f>
        <v/>
      </c>
      <c r="G332" s="17" t="str">
        <f aca="false">IF($A332="","",'كشف المطالبة'!$D$5)</f>
        <v/>
      </c>
      <c r="H332" s="18" t="str">
        <f aca="false">IF($A332="","",SUMIFS(PERLINE!$U$2:$U$3001,PERLINE!$N$2:$N$3001,$A332,PERLINE!$AK$2:$AK$3001,1))</f>
        <v/>
      </c>
      <c r="I332" s="19" t="str">
        <f aca="false">IF($A332="","",H332*G332)</f>
        <v/>
      </c>
      <c r="J332" s="19" t="str">
        <f aca="false">IF($A332="","",F332+I332)</f>
        <v/>
      </c>
      <c r="K332" s="19" t="str">
        <f aca="false">IF($A332="","",H332+E332)</f>
        <v/>
      </c>
      <c r="L332" s="20" t="str">
        <f aca="false">IF($A332="","",K332-J332-N332)</f>
        <v/>
      </c>
      <c r="M332" s="15" t="str">
        <f aca="false">IF($A332="","",INDEX(PERLINE!$A$2:$A$3001,MATCH($A332,PERLINE!$N$2:$N$3001,0)))</f>
        <v/>
      </c>
      <c r="N332" s="21" t="str">
        <f aca="false">IF($A332="","",SUMIFS(PERLINE!$M$2:$M$3001,PERLINE!$N$2:$N$3001,$A332))</f>
        <v/>
      </c>
    </row>
    <row r="333" customFormat="false" ht="15" hidden="false" customHeight="false" outlineLevel="0" collapsed="false">
      <c r="A333" s="15" t="str">
        <f aca="false">IF(ROWS($A$2:$A333)&lt;=Check!$C$4,SMALL(PERLINE!$AL$2:$AL$3001,ROWS($A$2:$A333)),"")</f>
        <v/>
      </c>
      <c r="B333" s="15" t="str">
        <f aca="false">IF($A333="","",INDEX(PERLINE!$J$2:$J$3001,MATCH($A333,PERLINE!$N$2:$N$3001,0)))</f>
        <v/>
      </c>
      <c r="C333" s="16" t="str">
        <f aca="false">IF($A333="","",INDEX(PERLINE!$I$2:$I$3001,MATCH($A333,PERLINE!$N$2:$N$3001,0)))</f>
        <v/>
      </c>
      <c r="D333" s="17" t="str">
        <f aca="false">IF($A333="","",'كشف المطالبة'!$D$6)</f>
        <v/>
      </c>
      <c r="E333" s="18" t="str">
        <f aca="false">IF($A333="","",SUMIFS(PERLINE!$U$2:$U$3001,PERLINE!$N$2:$N$3001,$A333,PERLINE!$AK$2:$AK$3001,0))</f>
        <v/>
      </c>
      <c r="F333" s="19" t="str">
        <f aca="false">IF($A333="","",E333*D333)</f>
        <v/>
      </c>
      <c r="G333" s="17" t="str">
        <f aca="false">IF($A333="","",'كشف المطالبة'!$D$5)</f>
        <v/>
      </c>
      <c r="H333" s="18" t="str">
        <f aca="false">IF($A333="","",SUMIFS(PERLINE!$U$2:$U$3001,PERLINE!$N$2:$N$3001,$A333,PERLINE!$AK$2:$AK$3001,1))</f>
        <v/>
      </c>
      <c r="I333" s="19" t="str">
        <f aca="false">IF($A333="","",H333*G333)</f>
        <v/>
      </c>
      <c r="J333" s="19" t="str">
        <f aca="false">IF($A333="","",F333+I333)</f>
        <v/>
      </c>
      <c r="K333" s="19" t="str">
        <f aca="false">IF($A333="","",H333+E333)</f>
        <v/>
      </c>
      <c r="L333" s="20" t="str">
        <f aca="false">IF($A333="","",K333-J333-N333)</f>
        <v/>
      </c>
      <c r="M333" s="15" t="str">
        <f aca="false">IF($A333="","",INDEX(PERLINE!$A$2:$A$3001,MATCH($A333,PERLINE!$N$2:$N$3001,0)))</f>
        <v/>
      </c>
      <c r="N333" s="21" t="str">
        <f aca="false">IF($A333="","",SUMIFS(PERLINE!$M$2:$M$3001,PERLINE!$N$2:$N$3001,$A333))</f>
        <v/>
      </c>
    </row>
    <row r="334" customFormat="false" ht="15" hidden="false" customHeight="false" outlineLevel="0" collapsed="false">
      <c r="A334" s="15" t="str">
        <f aca="false">IF(ROWS($A$2:$A334)&lt;=Check!$C$4,SMALL(PERLINE!$AL$2:$AL$3001,ROWS($A$2:$A334)),"")</f>
        <v/>
      </c>
      <c r="B334" s="15" t="str">
        <f aca="false">IF($A334="","",INDEX(PERLINE!$J$2:$J$3001,MATCH($A334,PERLINE!$N$2:$N$3001,0)))</f>
        <v/>
      </c>
      <c r="C334" s="16" t="str">
        <f aca="false">IF($A334="","",INDEX(PERLINE!$I$2:$I$3001,MATCH($A334,PERLINE!$N$2:$N$3001,0)))</f>
        <v/>
      </c>
      <c r="D334" s="17" t="str">
        <f aca="false">IF($A334="","",'كشف المطالبة'!$D$6)</f>
        <v/>
      </c>
      <c r="E334" s="18" t="str">
        <f aca="false">IF($A334="","",SUMIFS(PERLINE!$U$2:$U$3001,PERLINE!$N$2:$N$3001,$A334,PERLINE!$AK$2:$AK$3001,0))</f>
        <v/>
      </c>
      <c r="F334" s="19" t="str">
        <f aca="false">IF($A334="","",E334*D334)</f>
        <v/>
      </c>
      <c r="G334" s="17" t="str">
        <f aca="false">IF($A334="","",'كشف المطالبة'!$D$5)</f>
        <v/>
      </c>
      <c r="H334" s="18" t="str">
        <f aca="false">IF($A334="","",SUMIFS(PERLINE!$U$2:$U$3001,PERLINE!$N$2:$N$3001,$A334,PERLINE!$AK$2:$AK$3001,1))</f>
        <v/>
      </c>
      <c r="I334" s="19" t="str">
        <f aca="false">IF($A334="","",H334*G334)</f>
        <v/>
      </c>
      <c r="J334" s="19" t="str">
        <f aca="false">IF($A334="","",F334+I334)</f>
        <v/>
      </c>
      <c r="K334" s="19" t="str">
        <f aca="false">IF($A334="","",H334+E334)</f>
        <v/>
      </c>
      <c r="L334" s="20" t="str">
        <f aca="false">IF($A334="","",K334-J334-N334)</f>
        <v/>
      </c>
      <c r="M334" s="15" t="str">
        <f aca="false">IF($A334="","",INDEX(PERLINE!$A$2:$A$3001,MATCH($A334,PERLINE!$N$2:$N$3001,0)))</f>
        <v/>
      </c>
      <c r="N334" s="21" t="str">
        <f aca="false">IF($A334="","",SUMIFS(PERLINE!$M$2:$M$3001,PERLINE!$N$2:$N$3001,$A334))</f>
        <v/>
      </c>
    </row>
    <row r="335" customFormat="false" ht="15" hidden="false" customHeight="false" outlineLevel="0" collapsed="false">
      <c r="A335" s="15" t="str">
        <f aca="false">IF(ROWS($A$2:$A335)&lt;=Check!$C$4,SMALL(PERLINE!$AL$2:$AL$3001,ROWS($A$2:$A335)),"")</f>
        <v/>
      </c>
      <c r="B335" s="15" t="str">
        <f aca="false">IF($A335="","",INDEX(PERLINE!$J$2:$J$3001,MATCH($A335,PERLINE!$N$2:$N$3001,0)))</f>
        <v/>
      </c>
      <c r="C335" s="16" t="str">
        <f aca="false">IF($A335="","",INDEX(PERLINE!$I$2:$I$3001,MATCH($A335,PERLINE!$N$2:$N$3001,0)))</f>
        <v/>
      </c>
      <c r="D335" s="17" t="str">
        <f aca="false">IF($A335="","",'كشف المطالبة'!$D$6)</f>
        <v/>
      </c>
      <c r="E335" s="18" t="str">
        <f aca="false">IF($A335="","",SUMIFS(PERLINE!$U$2:$U$3001,PERLINE!$N$2:$N$3001,$A335,PERLINE!$AK$2:$AK$3001,0))</f>
        <v/>
      </c>
      <c r="F335" s="19" t="str">
        <f aca="false">IF($A335="","",E335*D335)</f>
        <v/>
      </c>
      <c r="G335" s="17" t="str">
        <f aca="false">IF($A335="","",'كشف المطالبة'!$D$5)</f>
        <v/>
      </c>
      <c r="H335" s="18" t="str">
        <f aca="false">IF($A335="","",SUMIFS(PERLINE!$U$2:$U$3001,PERLINE!$N$2:$N$3001,$A335,PERLINE!$AK$2:$AK$3001,1))</f>
        <v/>
      </c>
      <c r="I335" s="19" t="str">
        <f aca="false">IF($A335="","",H335*G335)</f>
        <v/>
      </c>
      <c r="J335" s="19" t="str">
        <f aca="false">IF($A335="","",F335+I335)</f>
        <v/>
      </c>
      <c r="K335" s="19" t="str">
        <f aca="false">IF($A335="","",H335+E335)</f>
        <v/>
      </c>
      <c r="L335" s="20" t="str">
        <f aca="false">IF($A335="","",K335-J335-N335)</f>
        <v/>
      </c>
      <c r="M335" s="15" t="str">
        <f aca="false">IF($A335="","",INDEX(PERLINE!$A$2:$A$3001,MATCH($A335,PERLINE!$N$2:$N$3001,0)))</f>
        <v/>
      </c>
      <c r="N335" s="21" t="str">
        <f aca="false">IF($A335="","",SUMIFS(PERLINE!$M$2:$M$3001,PERLINE!$N$2:$N$3001,$A335))</f>
        <v/>
      </c>
    </row>
    <row r="336" customFormat="false" ht="15" hidden="false" customHeight="false" outlineLevel="0" collapsed="false">
      <c r="A336" s="15" t="str">
        <f aca="false">IF(ROWS($A$2:$A336)&lt;=Check!$C$4,SMALL(PERLINE!$AL$2:$AL$3001,ROWS($A$2:$A336)),"")</f>
        <v/>
      </c>
      <c r="B336" s="15" t="str">
        <f aca="false">IF($A336="","",INDEX(PERLINE!$J$2:$J$3001,MATCH($A336,PERLINE!$N$2:$N$3001,0)))</f>
        <v/>
      </c>
      <c r="C336" s="16" t="str">
        <f aca="false">IF($A336="","",INDEX(PERLINE!$I$2:$I$3001,MATCH($A336,PERLINE!$N$2:$N$3001,0)))</f>
        <v/>
      </c>
      <c r="D336" s="17" t="str">
        <f aca="false">IF($A336="","",'كشف المطالبة'!$D$6)</f>
        <v/>
      </c>
      <c r="E336" s="18" t="str">
        <f aca="false">IF($A336="","",SUMIFS(PERLINE!$U$2:$U$3001,PERLINE!$N$2:$N$3001,$A336,PERLINE!$AK$2:$AK$3001,0))</f>
        <v/>
      </c>
      <c r="F336" s="19" t="str">
        <f aca="false">IF($A336="","",E336*D336)</f>
        <v/>
      </c>
      <c r="G336" s="17" t="str">
        <f aca="false">IF($A336="","",'كشف المطالبة'!$D$5)</f>
        <v/>
      </c>
      <c r="H336" s="18" t="str">
        <f aca="false">IF($A336="","",SUMIFS(PERLINE!$U$2:$U$3001,PERLINE!$N$2:$N$3001,$A336,PERLINE!$AK$2:$AK$3001,1))</f>
        <v/>
      </c>
      <c r="I336" s="19" t="str">
        <f aca="false">IF($A336="","",H336*G336)</f>
        <v/>
      </c>
      <c r="J336" s="19" t="str">
        <f aca="false">IF($A336="","",F336+I336)</f>
        <v/>
      </c>
      <c r="K336" s="19" t="str">
        <f aca="false">IF($A336="","",H336+E336)</f>
        <v/>
      </c>
      <c r="L336" s="20" t="str">
        <f aca="false">IF($A336="","",K336-J336-N336)</f>
        <v/>
      </c>
      <c r="M336" s="15" t="str">
        <f aca="false">IF($A336="","",INDEX(PERLINE!$A$2:$A$3001,MATCH($A336,PERLINE!$N$2:$N$3001,0)))</f>
        <v/>
      </c>
      <c r="N336" s="21" t="str">
        <f aca="false">IF($A336="","",SUMIFS(PERLINE!$M$2:$M$3001,PERLINE!$N$2:$N$3001,$A336))</f>
        <v/>
      </c>
    </row>
    <row r="337" customFormat="false" ht="15" hidden="false" customHeight="false" outlineLevel="0" collapsed="false">
      <c r="A337" s="15" t="str">
        <f aca="false">IF(ROWS($A$2:$A337)&lt;=Check!$C$4,SMALL(PERLINE!$AL$2:$AL$3001,ROWS($A$2:$A337)),"")</f>
        <v/>
      </c>
      <c r="B337" s="15" t="str">
        <f aca="false">IF($A337="","",INDEX(PERLINE!$J$2:$J$3001,MATCH($A337,PERLINE!$N$2:$N$3001,0)))</f>
        <v/>
      </c>
      <c r="C337" s="16" t="str">
        <f aca="false">IF($A337="","",INDEX(PERLINE!$I$2:$I$3001,MATCH($A337,PERLINE!$N$2:$N$3001,0)))</f>
        <v/>
      </c>
      <c r="D337" s="17" t="str">
        <f aca="false">IF($A337="","",'كشف المطالبة'!$D$6)</f>
        <v/>
      </c>
      <c r="E337" s="18" t="str">
        <f aca="false">IF($A337="","",SUMIFS(PERLINE!$U$2:$U$3001,PERLINE!$N$2:$N$3001,$A337,PERLINE!$AK$2:$AK$3001,0))</f>
        <v/>
      </c>
      <c r="F337" s="19" t="str">
        <f aca="false">IF($A337="","",E337*D337)</f>
        <v/>
      </c>
      <c r="G337" s="17" t="str">
        <f aca="false">IF($A337="","",'كشف المطالبة'!$D$5)</f>
        <v/>
      </c>
      <c r="H337" s="18" t="str">
        <f aca="false">IF($A337="","",SUMIFS(PERLINE!$U$2:$U$3001,PERLINE!$N$2:$N$3001,$A337,PERLINE!$AK$2:$AK$3001,1))</f>
        <v/>
      </c>
      <c r="I337" s="19" t="str">
        <f aca="false">IF($A337="","",H337*G337)</f>
        <v/>
      </c>
      <c r="J337" s="19" t="str">
        <f aca="false">IF($A337="","",F337+I337)</f>
        <v/>
      </c>
      <c r="K337" s="19" t="str">
        <f aca="false">IF($A337="","",H337+E337)</f>
        <v/>
      </c>
      <c r="L337" s="20" t="str">
        <f aca="false">IF($A337="","",K337-J337-N337)</f>
        <v/>
      </c>
      <c r="M337" s="15" t="str">
        <f aca="false">IF($A337="","",INDEX(PERLINE!$A$2:$A$3001,MATCH($A337,PERLINE!$N$2:$N$3001,0)))</f>
        <v/>
      </c>
      <c r="N337" s="21" t="str">
        <f aca="false">IF($A337="","",SUMIFS(PERLINE!$M$2:$M$3001,PERLINE!$N$2:$N$3001,$A337))</f>
        <v/>
      </c>
    </row>
    <row r="338" customFormat="false" ht="15" hidden="false" customHeight="false" outlineLevel="0" collapsed="false">
      <c r="A338" s="15" t="str">
        <f aca="false">IF(ROWS($A$2:$A338)&lt;=Check!$C$4,SMALL(PERLINE!$AL$2:$AL$3001,ROWS($A$2:$A338)),"")</f>
        <v/>
      </c>
      <c r="B338" s="15" t="str">
        <f aca="false">IF($A338="","",INDEX(PERLINE!$J$2:$J$3001,MATCH($A338,PERLINE!$N$2:$N$3001,0)))</f>
        <v/>
      </c>
      <c r="C338" s="16" t="str">
        <f aca="false">IF($A338="","",INDEX(PERLINE!$I$2:$I$3001,MATCH($A338,PERLINE!$N$2:$N$3001,0)))</f>
        <v/>
      </c>
      <c r="D338" s="17" t="str">
        <f aca="false">IF($A338="","",'كشف المطالبة'!$D$6)</f>
        <v/>
      </c>
      <c r="E338" s="18" t="str">
        <f aca="false">IF($A338="","",SUMIFS(PERLINE!$U$2:$U$3001,PERLINE!$N$2:$N$3001,$A338,PERLINE!$AK$2:$AK$3001,0))</f>
        <v/>
      </c>
      <c r="F338" s="19" t="str">
        <f aca="false">IF($A338="","",E338*D338)</f>
        <v/>
      </c>
      <c r="G338" s="17" t="str">
        <f aca="false">IF($A338="","",'كشف المطالبة'!$D$5)</f>
        <v/>
      </c>
      <c r="H338" s="18" t="str">
        <f aca="false">IF($A338="","",SUMIFS(PERLINE!$U$2:$U$3001,PERLINE!$N$2:$N$3001,$A338,PERLINE!$AK$2:$AK$3001,1))</f>
        <v/>
      </c>
      <c r="I338" s="19" t="str">
        <f aca="false">IF($A338="","",H338*G338)</f>
        <v/>
      </c>
      <c r="J338" s="19" t="str">
        <f aca="false">IF($A338="","",F338+I338)</f>
        <v/>
      </c>
      <c r="K338" s="19" t="str">
        <f aca="false">IF($A338="","",H338+E338)</f>
        <v/>
      </c>
      <c r="L338" s="20" t="str">
        <f aca="false">IF($A338="","",K338-J338-N338)</f>
        <v/>
      </c>
      <c r="M338" s="15" t="str">
        <f aca="false">IF($A338="","",INDEX(PERLINE!$A$2:$A$3001,MATCH($A338,PERLINE!$N$2:$N$3001,0)))</f>
        <v/>
      </c>
      <c r="N338" s="21" t="str">
        <f aca="false">IF($A338="","",SUMIFS(PERLINE!$M$2:$M$3001,PERLINE!$N$2:$N$3001,$A338))</f>
        <v/>
      </c>
    </row>
    <row r="339" customFormat="false" ht="15" hidden="false" customHeight="false" outlineLevel="0" collapsed="false">
      <c r="A339" s="15" t="str">
        <f aca="false">IF(ROWS($A$2:$A339)&lt;=Check!$C$4,SMALL(PERLINE!$AL$2:$AL$3001,ROWS($A$2:$A339)),"")</f>
        <v/>
      </c>
      <c r="B339" s="15" t="str">
        <f aca="false">IF($A339="","",INDEX(PERLINE!$J$2:$J$3001,MATCH($A339,PERLINE!$N$2:$N$3001,0)))</f>
        <v/>
      </c>
      <c r="C339" s="16" t="str">
        <f aca="false">IF($A339="","",INDEX(PERLINE!$I$2:$I$3001,MATCH($A339,PERLINE!$N$2:$N$3001,0)))</f>
        <v/>
      </c>
      <c r="D339" s="17" t="str">
        <f aca="false">IF($A339="","",'كشف المطالبة'!$D$6)</f>
        <v/>
      </c>
      <c r="E339" s="18" t="str">
        <f aca="false">IF($A339="","",SUMIFS(PERLINE!$U$2:$U$3001,PERLINE!$N$2:$N$3001,$A339,PERLINE!$AK$2:$AK$3001,0))</f>
        <v/>
      </c>
      <c r="F339" s="19" t="str">
        <f aca="false">IF($A339="","",E339*D339)</f>
        <v/>
      </c>
      <c r="G339" s="17" t="str">
        <f aca="false">IF($A339="","",'كشف المطالبة'!$D$5)</f>
        <v/>
      </c>
      <c r="H339" s="18" t="str">
        <f aca="false">IF($A339="","",SUMIFS(PERLINE!$U$2:$U$3001,PERLINE!$N$2:$N$3001,$A339,PERLINE!$AK$2:$AK$3001,1))</f>
        <v/>
      </c>
      <c r="I339" s="19" t="str">
        <f aca="false">IF($A339="","",H339*G339)</f>
        <v/>
      </c>
      <c r="J339" s="19" t="str">
        <f aca="false">IF($A339="","",F339+I339)</f>
        <v/>
      </c>
      <c r="K339" s="19" t="str">
        <f aca="false">IF($A339="","",H339+E339)</f>
        <v/>
      </c>
      <c r="L339" s="20" t="str">
        <f aca="false">IF($A339="","",K339-J339-N339)</f>
        <v/>
      </c>
      <c r="M339" s="15" t="str">
        <f aca="false">IF($A339="","",INDEX(PERLINE!$A$2:$A$3001,MATCH($A339,PERLINE!$N$2:$N$3001,0)))</f>
        <v/>
      </c>
      <c r="N339" s="21" t="str">
        <f aca="false">IF($A339="","",SUMIFS(PERLINE!$M$2:$M$3001,PERLINE!$N$2:$N$3001,$A339))</f>
        <v/>
      </c>
    </row>
    <row r="340" customFormat="false" ht="15" hidden="false" customHeight="false" outlineLevel="0" collapsed="false">
      <c r="A340" s="15" t="str">
        <f aca="false">IF(ROWS($A$2:$A340)&lt;=Check!$C$4,SMALL(PERLINE!$AL$2:$AL$3001,ROWS($A$2:$A340)),"")</f>
        <v/>
      </c>
      <c r="B340" s="15" t="str">
        <f aca="false">IF($A340="","",INDEX(PERLINE!$J$2:$J$3001,MATCH($A340,PERLINE!$N$2:$N$3001,0)))</f>
        <v/>
      </c>
      <c r="C340" s="16" t="str">
        <f aca="false">IF($A340="","",INDEX(PERLINE!$I$2:$I$3001,MATCH($A340,PERLINE!$N$2:$N$3001,0)))</f>
        <v/>
      </c>
      <c r="D340" s="17" t="str">
        <f aca="false">IF($A340="","",'كشف المطالبة'!$D$6)</f>
        <v/>
      </c>
      <c r="E340" s="18" t="str">
        <f aca="false">IF($A340="","",SUMIFS(PERLINE!$U$2:$U$3001,PERLINE!$N$2:$N$3001,$A340,PERLINE!$AK$2:$AK$3001,0))</f>
        <v/>
      </c>
      <c r="F340" s="19" t="str">
        <f aca="false">IF($A340="","",E340*D340)</f>
        <v/>
      </c>
      <c r="G340" s="17" t="str">
        <f aca="false">IF($A340="","",'كشف المطالبة'!$D$5)</f>
        <v/>
      </c>
      <c r="H340" s="18" t="str">
        <f aca="false">IF($A340="","",SUMIFS(PERLINE!$U$2:$U$3001,PERLINE!$N$2:$N$3001,$A340,PERLINE!$AK$2:$AK$3001,1))</f>
        <v/>
      </c>
      <c r="I340" s="19" t="str">
        <f aca="false">IF($A340="","",H340*G340)</f>
        <v/>
      </c>
      <c r="J340" s="19" t="str">
        <f aca="false">IF($A340="","",F340+I340)</f>
        <v/>
      </c>
      <c r="K340" s="19" t="str">
        <f aca="false">IF($A340="","",H340+E340)</f>
        <v/>
      </c>
      <c r="L340" s="20" t="str">
        <f aca="false">IF($A340="","",K340-J340-N340)</f>
        <v/>
      </c>
      <c r="M340" s="15" t="str">
        <f aca="false">IF($A340="","",INDEX(PERLINE!$A$2:$A$3001,MATCH($A340,PERLINE!$N$2:$N$3001,0)))</f>
        <v/>
      </c>
      <c r="N340" s="21" t="str">
        <f aca="false">IF($A340="","",SUMIFS(PERLINE!$M$2:$M$3001,PERLINE!$N$2:$N$3001,$A340))</f>
        <v/>
      </c>
    </row>
    <row r="341" customFormat="false" ht="15" hidden="false" customHeight="false" outlineLevel="0" collapsed="false">
      <c r="A341" s="15" t="str">
        <f aca="false">IF(ROWS($A$2:$A341)&lt;=Check!$C$4,SMALL(PERLINE!$AL$2:$AL$3001,ROWS($A$2:$A341)),"")</f>
        <v/>
      </c>
      <c r="B341" s="15" t="str">
        <f aca="false">IF($A341="","",INDEX(PERLINE!$J$2:$J$3001,MATCH($A341,PERLINE!$N$2:$N$3001,0)))</f>
        <v/>
      </c>
      <c r="C341" s="16" t="str">
        <f aca="false">IF($A341="","",INDEX(PERLINE!$I$2:$I$3001,MATCH($A341,PERLINE!$N$2:$N$3001,0)))</f>
        <v/>
      </c>
      <c r="D341" s="17" t="str">
        <f aca="false">IF($A341="","",'كشف المطالبة'!$D$6)</f>
        <v/>
      </c>
      <c r="E341" s="18" t="str">
        <f aca="false">IF($A341="","",SUMIFS(PERLINE!$U$2:$U$3001,PERLINE!$N$2:$N$3001,$A341,PERLINE!$AK$2:$AK$3001,0))</f>
        <v/>
      </c>
      <c r="F341" s="19" t="str">
        <f aca="false">IF($A341="","",E341*D341)</f>
        <v/>
      </c>
      <c r="G341" s="17" t="str">
        <f aca="false">IF($A341="","",'كشف المطالبة'!$D$5)</f>
        <v/>
      </c>
      <c r="H341" s="18" t="str">
        <f aca="false">IF($A341="","",SUMIFS(PERLINE!$U$2:$U$3001,PERLINE!$N$2:$N$3001,$A341,PERLINE!$AK$2:$AK$3001,1))</f>
        <v/>
      </c>
      <c r="I341" s="19" t="str">
        <f aca="false">IF($A341="","",H341*G341)</f>
        <v/>
      </c>
      <c r="J341" s="19" t="str">
        <f aca="false">IF($A341="","",F341+I341)</f>
        <v/>
      </c>
      <c r="K341" s="19" t="str">
        <f aca="false">IF($A341="","",H341+E341)</f>
        <v/>
      </c>
      <c r="L341" s="20" t="str">
        <f aca="false">IF($A341="","",K341-J341-N341)</f>
        <v/>
      </c>
      <c r="M341" s="15" t="str">
        <f aca="false">IF($A341="","",INDEX(PERLINE!$A$2:$A$3001,MATCH($A341,PERLINE!$N$2:$N$3001,0)))</f>
        <v/>
      </c>
      <c r="N341" s="21" t="str">
        <f aca="false">IF($A341="","",SUMIFS(PERLINE!$M$2:$M$3001,PERLINE!$N$2:$N$3001,$A341))</f>
        <v/>
      </c>
    </row>
    <row r="342" customFormat="false" ht="15" hidden="false" customHeight="false" outlineLevel="0" collapsed="false">
      <c r="A342" s="15" t="str">
        <f aca="false">IF(ROWS($A$2:$A342)&lt;=Check!$C$4,SMALL(PERLINE!$AL$2:$AL$3001,ROWS($A$2:$A342)),"")</f>
        <v/>
      </c>
      <c r="B342" s="15" t="str">
        <f aca="false">IF($A342="","",INDEX(PERLINE!$J$2:$J$3001,MATCH($A342,PERLINE!$N$2:$N$3001,0)))</f>
        <v/>
      </c>
      <c r="C342" s="16" t="str">
        <f aca="false">IF($A342="","",INDEX(PERLINE!$I$2:$I$3001,MATCH($A342,PERLINE!$N$2:$N$3001,0)))</f>
        <v/>
      </c>
      <c r="D342" s="17" t="str">
        <f aca="false">IF($A342="","",'كشف المطالبة'!$D$6)</f>
        <v/>
      </c>
      <c r="E342" s="18" t="str">
        <f aca="false">IF($A342="","",SUMIFS(PERLINE!$U$2:$U$3001,PERLINE!$N$2:$N$3001,$A342,PERLINE!$AK$2:$AK$3001,0))</f>
        <v/>
      </c>
      <c r="F342" s="19" t="str">
        <f aca="false">IF($A342="","",E342*D342)</f>
        <v/>
      </c>
      <c r="G342" s="17" t="str">
        <f aca="false">IF($A342="","",'كشف المطالبة'!$D$5)</f>
        <v/>
      </c>
      <c r="H342" s="18" t="str">
        <f aca="false">IF($A342="","",SUMIFS(PERLINE!$U$2:$U$3001,PERLINE!$N$2:$N$3001,$A342,PERLINE!$AK$2:$AK$3001,1))</f>
        <v/>
      </c>
      <c r="I342" s="19" t="str">
        <f aca="false">IF($A342="","",H342*G342)</f>
        <v/>
      </c>
      <c r="J342" s="19" t="str">
        <f aca="false">IF($A342="","",F342+I342)</f>
        <v/>
      </c>
      <c r="K342" s="19" t="str">
        <f aca="false">IF($A342="","",H342+E342)</f>
        <v/>
      </c>
      <c r="L342" s="20" t="str">
        <f aca="false">IF($A342="","",K342-J342-N342)</f>
        <v/>
      </c>
      <c r="M342" s="15" t="str">
        <f aca="false">IF($A342="","",INDEX(PERLINE!$A$2:$A$3001,MATCH($A342,PERLINE!$N$2:$N$3001,0)))</f>
        <v/>
      </c>
      <c r="N342" s="21" t="str">
        <f aca="false">IF($A342="","",SUMIFS(PERLINE!$M$2:$M$3001,PERLINE!$N$2:$N$3001,$A342))</f>
        <v/>
      </c>
    </row>
    <row r="343" customFormat="false" ht="15" hidden="false" customHeight="false" outlineLevel="0" collapsed="false">
      <c r="A343" s="15" t="str">
        <f aca="false">IF(ROWS($A$2:$A343)&lt;=Check!$C$4,SMALL(PERLINE!$AL$2:$AL$3001,ROWS($A$2:$A343)),"")</f>
        <v/>
      </c>
      <c r="B343" s="15" t="str">
        <f aca="false">IF($A343="","",INDEX(PERLINE!$J$2:$J$3001,MATCH($A343,PERLINE!$N$2:$N$3001,0)))</f>
        <v/>
      </c>
      <c r="C343" s="16" t="str">
        <f aca="false">IF($A343="","",INDEX(PERLINE!$I$2:$I$3001,MATCH($A343,PERLINE!$N$2:$N$3001,0)))</f>
        <v/>
      </c>
      <c r="D343" s="17" t="str">
        <f aca="false">IF($A343="","",'كشف المطالبة'!$D$6)</f>
        <v/>
      </c>
      <c r="E343" s="18" t="str">
        <f aca="false">IF($A343="","",SUMIFS(PERLINE!$U$2:$U$3001,PERLINE!$N$2:$N$3001,$A343,PERLINE!$AK$2:$AK$3001,0))</f>
        <v/>
      </c>
      <c r="F343" s="19" t="str">
        <f aca="false">IF($A343="","",E343*D343)</f>
        <v/>
      </c>
      <c r="G343" s="17" t="str">
        <f aca="false">IF($A343="","",'كشف المطالبة'!$D$5)</f>
        <v/>
      </c>
      <c r="H343" s="18" t="str">
        <f aca="false">IF($A343="","",SUMIFS(PERLINE!$U$2:$U$3001,PERLINE!$N$2:$N$3001,$A343,PERLINE!$AK$2:$AK$3001,1))</f>
        <v/>
      </c>
      <c r="I343" s="19" t="str">
        <f aca="false">IF($A343="","",H343*G343)</f>
        <v/>
      </c>
      <c r="J343" s="19" t="str">
        <f aca="false">IF($A343="","",F343+I343)</f>
        <v/>
      </c>
      <c r="K343" s="19" t="str">
        <f aca="false">IF($A343="","",H343+E343)</f>
        <v/>
      </c>
      <c r="L343" s="20" t="str">
        <f aca="false">IF($A343="","",K343-J343-N343)</f>
        <v/>
      </c>
      <c r="M343" s="15" t="str">
        <f aca="false">IF($A343="","",INDEX(PERLINE!$A$2:$A$3001,MATCH($A343,PERLINE!$N$2:$N$3001,0)))</f>
        <v/>
      </c>
      <c r="N343" s="21" t="str">
        <f aca="false">IF($A343="","",SUMIFS(PERLINE!$M$2:$M$3001,PERLINE!$N$2:$N$3001,$A343))</f>
        <v/>
      </c>
    </row>
    <row r="344" customFormat="false" ht="15" hidden="false" customHeight="false" outlineLevel="0" collapsed="false">
      <c r="A344" s="15" t="str">
        <f aca="false">IF(ROWS($A$2:$A344)&lt;=Check!$C$4,SMALL(PERLINE!$AL$2:$AL$3001,ROWS($A$2:$A344)),"")</f>
        <v/>
      </c>
      <c r="B344" s="15" t="str">
        <f aca="false">IF($A344="","",INDEX(PERLINE!$J$2:$J$3001,MATCH($A344,PERLINE!$N$2:$N$3001,0)))</f>
        <v/>
      </c>
      <c r="C344" s="16" t="str">
        <f aca="false">IF($A344="","",INDEX(PERLINE!$I$2:$I$3001,MATCH($A344,PERLINE!$N$2:$N$3001,0)))</f>
        <v/>
      </c>
      <c r="D344" s="17" t="str">
        <f aca="false">IF($A344="","",'كشف المطالبة'!$D$6)</f>
        <v/>
      </c>
      <c r="E344" s="18" t="str">
        <f aca="false">IF($A344="","",SUMIFS(PERLINE!$U$2:$U$3001,PERLINE!$N$2:$N$3001,$A344,PERLINE!$AK$2:$AK$3001,0))</f>
        <v/>
      </c>
      <c r="F344" s="19" t="str">
        <f aca="false">IF($A344="","",E344*D344)</f>
        <v/>
      </c>
      <c r="G344" s="17" t="str">
        <f aca="false">IF($A344="","",'كشف المطالبة'!$D$5)</f>
        <v/>
      </c>
      <c r="H344" s="18" t="str">
        <f aca="false">IF($A344="","",SUMIFS(PERLINE!$U$2:$U$3001,PERLINE!$N$2:$N$3001,$A344,PERLINE!$AK$2:$AK$3001,1))</f>
        <v/>
      </c>
      <c r="I344" s="19" t="str">
        <f aca="false">IF($A344="","",H344*G344)</f>
        <v/>
      </c>
      <c r="J344" s="19" t="str">
        <f aca="false">IF($A344="","",F344+I344)</f>
        <v/>
      </c>
      <c r="K344" s="19" t="str">
        <f aca="false">IF($A344="","",H344+E344)</f>
        <v/>
      </c>
      <c r="L344" s="20" t="str">
        <f aca="false">IF($A344="","",K344-J344-N344)</f>
        <v/>
      </c>
      <c r="M344" s="15" t="str">
        <f aca="false">IF($A344="","",INDEX(PERLINE!$A$2:$A$3001,MATCH($A344,PERLINE!$N$2:$N$3001,0)))</f>
        <v/>
      </c>
      <c r="N344" s="21" t="str">
        <f aca="false">IF($A344="","",SUMIFS(PERLINE!$M$2:$M$3001,PERLINE!$N$2:$N$3001,$A344))</f>
        <v/>
      </c>
    </row>
    <row r="345" customFormat="false" ht="15" hidden="false" customHeight="false" outlineLevel="0" collapsed="false">
      <c r="A345" s="15" t="str">
        <f aca="false">IF(ROWS($A$2:$A345)&lt;=Check!$C$4,SMALL(PERLINE!$AL$2:$AL$3001,ROWS($A$2:$A345)),"")</f>
        <v/>
      </c>
      <c r="B345" s="15" t="str">
        <f aca="false">IF($A345="","",INDEX(PERLINE!$J$2:$J$3001,MATCH($A345,PERLINE!$N$2:$N$3001,0)))</f>
        <v/>
      </c>
      <c r="C345" s="16" t="str">
        <f aca="false">IF($A345="","",INDEX(PERLINE!$I$2:$I$3001,MATCH($A345,PERLINE!$N$2:$N$3001,0)))</f>
        <v/>
      </c>
      <c r="D345" s="17" t="str">
        <f aca="false">IF($A345="","",'كشف المطالبة'!$D$6)</f>
        <v/>
      </c>
      <c r="E345" s="18" t="str">
        <f aca="false">IF($A345="","",SUMIFS(PERLINE!$U$2:$U$3001,PERLINE!$N$2:$N$3001,$A345,PERLINE!$AK$2:$AK$3001,0))</f>
        <v/>
      </c>
      <c r="F345" s="19" t="str">
        <f aca="false">IF($A345="","",E345*D345)</f>
        <v/>
      </c>
      <c r="G345" s="17" t="str">
        <f aca="false">IF($A345="","",'كشف المطالبة'!$D$5)</f>
        <v/>
      </c>
      <c r="H345" s="18" t="str">
        <f aca="false">IF($A345="","",SUMIFS(PERLINE!$U$2:$U$3001,PERLINE!$N$2:$N$3001,$A345,PERLINE!$AK$2:$AK$3001,1))</f>
        <v/>
      </c>
      <c r="I345" s="19" t="str">
        <f aca="false">IF($A345="","",H345*G345)</f>
        <v/>
      </c>
      <c r="J345" s="19" t="str">
        <f aca="false">IF($A345="","",F345+I345)</f>
        <v/>
      </c>
      <c r="K345" s="19" t="str">
        <f aca="false">IF($A345="","",H345+E345)</f>
        <v/>
      </c>
      <c r="L345" s="20" t="str">
        <f aca="false">IF($A345="","",K345-J345-N345)</f>
        <v/>
      </c>
      <c r="M345" s="15" t="str">
        <f aca="false">IF($A345="","",INDEX(PERLINE!$A$2:$A$3001,MATCH($A345,PERLINE!$N$2:$N$3001,0)))</f>
        <v/>
      </c>
      <c r="N345" s="21" t="str">
        <f aca="false">IF($A345="","",SUMIFS(PERLINE!$M$2:$M$3001,PERLINE!$N$2:$N$3001,$A345))</f>
        <v/>
      </c>
    </row>
    <row r="346" customFormat="false" ht="15" hidden="false" customHeight="false" outlineLevel="0" collapsed="false">
      <c r="A346" s="15" t="str">
        <f aca="false">IF(ROWS($A$2:$A346)&lt;=Check!$C$4,SMALL(PERLINE!$AL$2:$AL$3001,ROWS($A$2:$A346)),"")</f>
        <v/>
      </c>
      <c r="B346" s="15" t="str">
        <f aca="false">IF($A346="","",INDEX(PERLINE!$J$2:$J$3001,MATCH($A346,PERLINE!$N$2:$N$3001,0)))</f>
        <v/>
      </c>
      <c r="C346" s="16" t="str">
        <f aca="false">IF($A346="","",INDEX(PERLINE!$I$2:$I$3001,MATCH($A346,PERLINE!$N$2:$N$3001,0)))</f>
        <v/>
      </c>
      <c r="D346" s="17" t="str">
        <f aca="false">IF($A346="","",'كشف المطالبة'!$D$6)</f>
        <v/>
      </c>
      <c r="E346" s="18" t="str">
        <f aca="false">IF($A346="","",SUMIFS(PERLINE!$U$2:$U$3001,PERLINE!$N$2:$N$3001,$A346,PERLINE!$AK$2:$AK$3001,0))</f>
        <v/>
      </c>
      <c r="F346" s="19" t="str">
        <f aca="false">IF($A346="","",E346*D346)</f>
        <v/>
      </c>
      <c r="G346" s="17" t="str">
        <f aca="false">IF($A346="","",'كشف المطالبة'!$D$5)</f>
        <v/>
      </c>
      <c r="H346" s="18" t="str">
        <f aca="false">IF($A346="","",SUMIFS(PERLINE!$U$2:$U$3001,PERLINE!$N$2:$N$3001,$A346,PERLINE!$AK$2:$AK$3001,1))</f>
        <v/>
      </c>
      <c r="I346" s="19" t="str">
        <f aca="false">IF($A346="","",H346*G346)</f>
        <v/>
      </c>
      <c r="J346" s="19" t="str">
        <f aca="false">IF($A346="","",F346+I346)</f>
        <v/>
      </c>
      <c r="K346" s="19" t="str">
        <f aca="false">IF($A346="","",H346+E346)</f>
        <v/>
      </c>
      <c r="L346" s="20" t="str">
        <f aca="false">IF($A346="","",K346-J346-N346)</f>
        <v/>
      </c>
      <c r="M346" s="15" t="str">
        <f aca="false">IF($A346="","",INDEX(PERLINE!$A$2:$A$3001,MATCH($A346,PERLINE!$N$2:$N$3001,0)))</f>
        <v/>
      </c>
      <c r="N346" s="21" t="str">
        <f aca="false">IF($A346="","",SUMIFS(PERLINE!$M$2:$M$3001,PERLINE!$N$2:$N$3001,$A346))</f>
        <v/>
      </c>
    </row>
    <row r="347" customFormat="false" ht="15" hidden="false" customHeight="false" outlineLevel="0" collapsed="false">
      <c r="A347" s="15" t="str">
        <f aca="false">IF(ROWS($A$2:$A347)&lt;=Check!$C$4,SMALL(PERLINE!$AL$2:$AL$3001,ROWS($A$2:$A347)),"")</f>
        <v/>
      </c>
      <c r="B347" s="15" t="str">
        <f aca="false">IF($A347="","",INDEX(PERLINE!$J$2:$J$3001,MATCH($A347,PERLINE!$N$2:$N$3001,0)))</f>
        <v/>
      </c>
      <c r="C347" s="16" t="str">
        <f aca="false">IF($A347="","",INDEX(PERLINE!$I$2:$I$3001,MATCH($A347,PERLINE!$N$2:$N$3001,0)))</f>
        <v/>
      </c>
      <c r="D347" s="17" t="str">
        <f aca="false">IF($A347="","",'كشف المطالبة'!$D$6)</f>
        <v/>
      </c>
      <c r="E347" s="18" t="str">
        <f aca="false">IF($A347="","",SUMIFS(PERLINE!$U$2:$U$3001,PERLINE!$N$2:$N$3001,$A347,PERLINE!$AK$2:$AK$3001,0))</f>
        <v/>
      </c>
      <c r="F347" s="19" t="str">
        <f aca="false">IF($A347="","",E347*D347)</f>
        <v/>
      </c>
      <c r="G347" s="17" t="str">
        <f aca="false">IF($A347="","",'كشف المطالبة'!$D$5)</f>
        <v/>
      </c>
      <c r="H347" s="18" t="str">
        <f aca="false">IF($A347="","",SUMIFS(PERLINE!$U$2:$U$3001,PERLINE!$N$2:$N$3001,$A347,PERLINE!$AK$2:$AK$3001,1))</f>
        <v/>
      </c>
      <c r="I347" s="19" t="str">
        <f aca="false">IF($A347="","",H347*G347)</f>
        <v/>
      </c>
      <c r="J347" s="19" t="str">
        <f aca="false">IF($A347="","",F347+I347)</f>
        <v/>
      </c>
      <c r="K347" s="19" t="str">
        <f aca="false">IF($A347="","",H347+E347)</f>
        <v/>
      </c>
      <c r="L347" s="20" t="str">
        <f aca="false">IF($A347="","",K347-J347-N347)</f>
        <v/>
      </c>
      <c r="M347" s="15" t="str">
        <f aca="false">IF($A347="","",INDEX(PERLINE!$A$2:$A$3001,MATCH($A347,PERLINE!$N$2:$N$3001,0)))</f>
        <v/>
      </c>
      <c r="N347" s="21" t="str">
        <f aca="false">IF($A347="","",SUMIFS(PERLINE!$M$2:$M$3001,PERLINE!$N$2:$N$3001,$A347))</f>
        <v/>
      </c>
    </row>
    <row r="348" customFormat="false" ht="15" hidden="false" customHeight="false" outlineLevel="0" collapsed="false">
      <c r="A348" s="15" t="str">
        <f aca="false">IF(ROWS($A$2:$A348)&lt;=Check!$C$4,SMALL(PERLINE!$AL$2:$AL$3001,ROWS($A$2:$A348)),"")</f>
        <v/>
      </c>
      <c r="B348" s="15" t="str">
        <f aca="false">IF($A348="","",INDEX(PERLINE!$J$2:$J$3001,MATCH($A348,PERLINE!$N$2:$N$3001,0)))</f>
        <v/>
      </c>
      <c r="C348" s="16" t="str">
        <f aca="false">IF($A348="","",INDEX(PERLINE!$I$2:$I$3001,MATCH($A348,PERLINE!$N$2:$N$3001,0)))</f>
        <v/>
      </c>
      <c r="D348" s="17" t="str">
        <f aca="false">IF($A348="","",'كشف المطالبة'!$D$6)</f>
        <v/>
      </c>
      <c r="E348" s="18" t="str">
        <f aca="false">IF($A348="","",SUMIFS(PERLINE!$U$2:$U$3001,PERLINE!$N$2:$N$3001,$A348,PERLINE!$AK$2:$AK$3001,0))</f>
        <v/>
      </c>
      <c r="F348" s="19" t="str">
        <f aca="false">IF($A348="","",E348*D348)</f>
        <v/>
      </c>
      <c r="G348" s="17" t="str">
        <f aca="false">IF($A348="","",'كشف المطالبة'!$D$5)</f>
        <v/>
      </c>
      <c r="H348" s="18" t="str">
        <f aca="false">IF($A348="","",SUMIFS(PERLINE!$U$2:$U$3001,PERLINE!$N$2:$N$3001,$A348,PERLINE!$AK$2:$AK$3001,1))</f>
        <v/>
      </c>
      <c r="I348" s="19" t="str">
        <f aca="false">IF($A348="","",H348*G348)</f>
        <v/>
      </c>
      <c r="J348" s="19" t="str">
        <f aca="false">IF($A348="","",F348+I348)</f>
        <v/>
      </c>
      <c r="K348" s="19" t="str">
        <f aca="false">IF($A348="","",H348+E348)</f>
        <v/>
      </c>
      <c r="L348" s="20" t="str">
        <f aca="false">IF($A348="","",K348-J348-N348)</f>
        <v/>
      </c>
      <c r="M348" s="15" t="str">
        <f aca="false">IF($A348="","",INDEX(PERLINE!$A$2:$A$3001,MATCH($A348,PERLINE!$N$2:$N$3001,0)))</f>
        <v/>
      </c>
      <c r="N348" s="21" t="str">
        <f aca="false">IF($A348="","",SUMIFS(PERLINE!$M$2:$M$3001,PERLINE!$N$2:$N$3001,$A348))</f>
        <v/>
      </c>
    </row>
    <row r="349" customFormat="false" ht="15" hidden="false" customHeight="false" outlineLevel="0" collapsed="false">
      <c r="A349" s="15" t="str">
        <f aca="false">IF(ROWS($A$2:$A349)&lt;=Check!$C$4,SMALL(PERLINE!$AL$2:$AL$3001,ROWS($A$2:$A349)),"")</f>
        <v/>
      </c>
      <c r="B349" s="15" t="str">
        <f aca="false">IF($A349="","",INDEX(PERLINE!$J$2:$J$3001,MATCH($A349,PERLINE!$N$2:$N$3001,0)))</f>
        <v/>
      </c>
      <c r="C349" s="16" t="str">
        <f aca="false">IF($A349="","",INDEX(PERLINE!$I$2:$I$3001,MATCH($A349,PERLINE!$N$2:$N$3001,0)))</f>
        <v/>
      </c>
      <c r="D349" s="17" t="str">
        <f aca="false">IF($A349="","",'كشف المطالبة'!$D$6)</f>
        <v/>
      </c>
      <c r="E349" s="18" t="str">
        <f aca="false">IF($A349="","",SUMIFS(PERLINE!$U$2:$U$3001,PERLINE!$N$2:$N$3001,$A349,PERLINE!$AK$2:$AK$3001,0))</f>
        <v/>
      </c>
      <c r="F349" s="19" t="str">
        <f aca="false">IF($A349="","",E349*D349)</f>
        <v/>
      </c>
      <c r="G349" s="17" t="str">
        <f aca="false">IF($A349="","",'كشف المطالبة'!$D$5)</f>
        <v/>
      </c>
      <c r="H349" s="18" t="str">
        <f aca="false">IF($A349="","",SUMIFS(PERLINE!$U$2:$U$3001,PERLINE!$N$2:$N$3001,$A349,PERLINE!$AK$2:$AK$3001,1))</f>
        <v/>
      </c>
      <c r="I349" s="19" t="str">
        <f aca="false">IF($A349="","",H349*G349)</f>
        <v/>
      </c>
      <c r="J349" s="19" t="str">
        <f aca="false">IF($A349="","",F349+I349)</f>
        <v/>
      </c>
      <c r="K349" s="19" t="str">
        <f aca="false">IF($A349="","",H349+E349)</f>
        <v/>
      </c>
      <c r="L349" s="20" t="str">
        <f aca="false">IF($A349="","",K349-J349-N349)</f>
        <v/>
      </c>
      <c r="M349" s="15" t="str">
        <f aca="false">IF($A349="","",INDEX(PERLINE!$A$2:$A$3001,MATCH($A349,PERLINE!$N$2:$N$3001,0)))</f>
        <v/>
      </c>
      <c r="N349" s="21" t="str">
        <f aca="false">IF($A349="","",SUMIFS(PERLINE!$M$2:$M$3001,PERLINE!$N$2:$N$3001,$A349))</f>
        <v/>
      </c>
    </row>
    <row r="350" customFormat="false" ht="15" hidden="false" customHeight="false" outlineLevel="0" collapsed="false">
      <c r="A350" s="15" t="str">
        <f aca="false">IF(ROWS($A$2:$A350)&lt;=Check!$C$4,SMALL(PERLINE!$AL$2:$AL$3001,ROWS($A$2:$A350)),"")</f>
        <v/>
      </c>
      <c r="B350" s="15" t="str">
        <f aca="false">IF($A350="","",INDEX(PERLINE!$J$2:$J$3001,MATCH($A350,PERLINE!$N$2:$N$3001,0)))</f>
        <v/>
      </c>
      <c r="C350" s="16" t="str">
        <f aca="false">IF($A350="","",INDEX(PERLINE!$I$2:$I$3001,MATCH($A350,PERLINE!$N$2:$N$3001,0)))</f>
        <v/>
      </c>
      <c r="D350" s="17" t="str">
        <f aca="false">IF($A350="","",'كشف المطالبة'!$D$6)</f>
        <v/>
      </c>
      <c r="E350" s="18" t="str">
        <f aca="false">IF($A350="","",SUMIFS(PERLINE!$U$2:$U$3001,PERLINE!$N$2:$N$3001,$A350,PERLINE!$AK$2:$AK$3001,0))</f>
        <v/>
      </c>
      <c r="F350" s="19" t="str">
        <f aca="false">IF($A350="","",E350*D350)</f>
        <v/>
      </c>
      <c r="G350" s="17" t="str">
        <f aca="false">IF($A350="","",'كشف المطالبة'!$D$5)</f>
        <v/>
      </c>
      <c r="H350" s="18" t="str">
        <f aca="false">IF($A350="","",SUMIFS(PERLINE!$U$2:$U$3001,PERLINE!$N$2:$N$3001,$A350,PERLINE!$AK$2:$AK$3001,1))</f>
        <v/>
      </c>
      <c r="I350" s="19" t="str">
        <f aca="false">IF($A350="","",H350*G350)</f>
        <v/>
      </c>
      <c r="J350" s="19" t="str">
        <f aca="false">IF($A350="","",F350+I350)</f>
        <v/>
      </c>
      <c r="K350" s="19" t="str">
        <f aca="false">IF($A350="","",H350+E350)</f>
        <v/>
      </c>
      <c r="L350" s="20" t="str">
        <f aca="false">IF($A350="","",K350-J350-N350)</f>
        <v/>
      </c>
      <c r="M350" s="15" t="str">
        <f aca="false">IF($A350="","",INDEX(PERLINE!$A$2:$A$3001,MATCH($A350,PERLINE!$N$2:$N$3001,0)))</f>
        <v/>
      </c>
      <c r="N350" s="21" t="str">
        <f aca="false">IF($A350="","",SUMIFS(PERLINE!$M$2:$M$3001,PERLINE!$N$2:$N$3001,$A350))</f>
        <v/>
      </c>
    </row>
    <row r="351" customFormat="false" ht="15" hidden="false" customHeight="false" outlineLevel="0" collapsed="false">
      <c r="A351" s="15" t="str">
        <f aca="false">IF(ROWS($A$2:$A351)&lt;=Check!$C$4,SMALL(PERLINE!$AL$2:$AL$3001,ROWS($A$2:$A351)),"")</f>
        <v/>
      </c>
      <c r="B351" s="15" t="str">
        <f aca="false">IF($A351="","",INDEX(PERLINE!$J$2:$J$3001,MATCH($A351,PERLINE!$N$2:$N$3001,0)))</f>
        <v/>
      </c>
      <c r="C351" s="16" t="str">
        <f aca="false">IF($A351="","",INDEX(PERLINE!$I$2:$I$3001,MATCH($A351,PERLINE!$N$2:$N$3001,0)))</f>
        <v/>
      </c>
      <c r="D351" s="17" t="str">
        <f aca="false">IF($A351="","",'كشف المطالبة'!$D$6)</f>
        <v/>
      </c>
      <c r="E351" s="18" t="str">
        <f aca="false">IF($A351="","",SUMIFS(PERLINE!$U$2:$U$3001,PERLINE!$N$2:$N$3001,$A351,PERLINE!$AK$2:$AK$3001,0))</f>
        <v/>
      </c>
      <c r="F351" s="19" t="str">
        <f aca="false">IF($A351="","",E351*D351)</f>
        <v/>
      </c>
      <c r="G351" s="17" t="str">
        <f aca="false">IF($A351="","",'كشف المطالبة'!$D$5)</f>
        <v/>
      </c>
      <c r="H351" s="18" t="str">
        <f aca="false">IF($A351="","",SUMIFS(PERLINE!$U$2:$U$3001,PERLINE!$N$2:$N$3001,$A351,PERLINE!$AK$2:$AK$3001,1))</f>
        <v/>
      </c>
      <c r="I351" s="19" t="str">
        <f aca="false">IF($A351="","",H351*G351)</f>
        <v/>
      </c>
      <c r="J351" s="19" t="str">
        <f aca="false">IF($A351="","",F351+I351)</f>
        <v/>
      </c>
      <c r="K351" s="19" t="str">
        <f aca="false">IF($A351="","",H351+E351)</f>
        <v/>
      </c>
      <c r="L351" s="20" t="str">
        <f aca="false">IF($A351="","",K351-J351-N351)</f>
        <v/>
      </c>
      <c r="M351" s="15" t="str">
        <f aca="false">IF($A351="","",INDEX(PERLINE!$A$2:$A$3001,MATCH($A351,PERLINE!$N$2:$N$3001,0)))</f>
        <v/>
      </c>
      <c r="N351" s="21" t="str">
        <f aca="false">IF($A351="","",SUMIFS(PERLINE!$M$2:$M$3001,PERLINE!$N$2:$N$3001,$A351))</f>
        <v/>
      </c>
    </row>
    <row r="352" customFormat="false" ht="15" hidden="false" customHeight="false" outlineLevel="0" collapsed="false">
      <c r="A352" s="15" t="str">
        <f aca="false">IF(ROWS($A$2:$A352)&lt;=Check!$C$4,SMALL(PERLINE!$AL$2:$AL$3001,ROWS($A$2:$A352)),"")</f>
        <v/>
      </c>
      <c r="B352" s="15" t="str">
        <f aca="false">IF($A352="","",INDEX(PERLINE!$J$2:$J$3001,MATCH($A352,PERLINE!$N$2:$N$3001,0)))</f>
        <v/>
      </c>
      <c r="C352" s="16" t="str">
        <f aca="false">IF($A352="","",INDEX(PERLINE!$I$2:$I$3001,MATCH($A352,PERLINE!$N$2:$N$3001,0)))</f>
        <v/>
      </c>
      <c r="D352" s="17" t="str">
        <f aca="false">IF($A352="","",'كشف المطالبة'!$D$6)</f>
        <v/>
      </c>
      <c r="E352" s="18" t="str">
        <f aca="false">IF($A352="","",SUMIFS(PERLINE!$U$2:$U$3001,PERLINE!$N$2:$N$3001,$A352,PERLINE!$AK$2:$AK$3001,0))</f>
        <v/>
      </c>
      <c r="F352" s="19" t="str">
        <f aca="false">IF($A352="","",E352*D352)</f>
        <v/>
      </c>
      <c r="G352" s="17" t="str">
        <f aca="false">IF($A352="","",'كشف المطالبة'!$D$5)</f>
        <v/>
      </c>
      <c r="H352" s="18" t="str">
        <f aca="false">IF($A352="","",SUMIFS(PERLINE!$U$2:$U$3001,PERLINE!$N$2:$N$3001,$A352,PERLINE!$AK$2:$AK$3001,1))</f>
        <v/>
      </c>
      <c r="I352" s="19" t="str">
        <f aca="false">IF($A352="","",H352*G352)</f>
        <v/>
      </c>
      <c r="J352" s="19" t="str">
        <f aca="false">IF($A352="","",F352+I352)</f>
        <v/>
      </c>
      <c r="K352" s="19" t="str">
        <f aca="false">IF($A352="","",H352+E352)</f>
        <v/>
      </c>
      <c r="L352" s="20" t="str">
        <f aca="false">IF($A352="","",K352-J352-N352)</f>
        <v/>
      </c>
      <c r="M352" s="15" t="str">
        <f aca="false">IF($A352="","",INDEX(PERLINE!$A$2:$A$3001,MATCH($A352,PERLINE!$N$2:$N$3001,0)))</f>
        <v/>
      </c>
      <c r="N352" s="21" t="str">
        <f aca="false">IF($A352="","",SUMIFS(PERLINE!$M$2:$M$3001,PERLINE!$N$2:$N$3001,$A352))</f>
        <v/>
      </c>
    </row>
    <row r="353" customFormat="false" ht="15" hidden="false" customHeight="false" outlineLevel="0" collapsed="false">
      <c r="A353" s="15" t="str">
        <f aca="false">IF(ROWS($A$2:$A353)&lt;=Check!$C$4,SMALL(PERLINE!$AL$2:$AL$3001,ROWS($A$2:$A353)),"")</f>
        <v/>
      </c>
      <c r="B353" s="15" t="str">
        <f aca="false">IF($A353="","",INDEX(PERLINE!$J$2:$J$3001,MATCH($A353,PERLINE!$N$2:$N$3001,0)))</f>
        <v/>
      </c>
      <c r="C353" s="16" t="str">
        <f aca="false">IF($A353="","",INDEX(PERLINE!$I$2:$I$3001,MATCH($A353,PERLINE!$N$2:$N$3001,0)))</f>
        <v/>
      </c>
      <c r="D353" s="17" t="str">
        <f aca="false">IF($A353="","",'كشف المطالبة'!$D$6)</f>
        <v/>
      </c>
      <c r="E353" s="18" t="str">
        <f aca="false">IF($A353="","",SUMIFS(PERLINE!$U$2:$U$3001,PERLINE!$N$2:$N$3001,$A353,PERLINE!$AK$2:$AK$3001,0))</f>
        <v/>
      </c>
      <c r="F353" s="19" t="str">
        <f aca="false">IF($A353="","",E353*D353)</f>
        <v/>
      </c>
      <c r="G353" s="17" t="str">
        <f aca="false">IF($A353="","",'كشف المطالبة'!$D$5)</f>
        <v/>
      </c>
      <c r="H353" s="18" t="str">
        <f aca="false">IF($A353="","",SUMIFS(PERLINE!$U$2:$U$3001,PERLINE!$N$2:$N$3001,$A353,PERLINE!$AK$2:$AK$3001,1))</f>
        <v/>
      </c>
      <c r="I353" s="19" t="str">
        <f aca="false">IF($A353="","",H353*G353)</f>
        <v/>
      </c>
      <c r="J353" s="19" t="str">
        <f aca="false">IF($A353="","",F353+I353)</f>
        <v/>
      </c>
      <c r="K353" s="19" t="str">
        <f aca="false">IF($A353="","",H353+E353)</f>
        <v/>
      </c>
      <c r="L353" s="20" t="str">
        <f aca="false">IF($A353="","",K353-J353-N353)</f>
        <v/>
      </c>
      <c r="M353" s="15" t="str">
        <f aca="false">IF($A353="","",INDEX(PERLINE!$A$2:$A$3001,MATCH($A353,PERLINE!$N$2:$N$3001,0)))</f>
        <v/>
      </c>
      <c r="N353" s="21" t="str">
        <f aca="false">IF($A353="","",SUMIFS(PERLINE!$M$2:$M$3001,PERLINE!$N$2:$N$3001,$A353))</f>
        <v/>
      </c>
    </row>
    <row r="354" customFormat="false" ht="15" hidden="false" customHeight="false" outlineLevel="0" collapsed="false">
      <c r="A354" s="15" t="str">
        <f aca="false">IF(ROWS($A$2:$A354)&lt;=Check!$C$4,SMALL(PERLINE!$AL$2:$AL$3001,ROWS($A$2:$A354)),"")</f>
        <v/>
      </c>
      <c r="B354" s="15" t="str">
        <f aca="false">IF($A354="","",INDEX(PERLINE!$J$2:$J$3001,MATCH($A354,PERLINE!$N$2:$N$3001,0)))</f>
        <v/>
      </c>
      <c r="C354" s="16" t="str">
        <f aca="false">IF($A354="","",INDEX(PERLINE!$I$2:$I$3001,MATCH($A354,PERLINE!$N$2:$N$3001,0)))</f>
        <v/>
      </c>
      <c r="D354" s="17" t="str">
        <f aca="false">IF($A354="","",'كشف المطالبة'!$D$6)</f>
        <v/>
      </c>
      <c r="E354" s="18" t="str">
        <f aca="false">IF($A354="","",SUMIFS(PERLINE!$U$2:$U$3001,PERLINE!$N$2:$N$3001,$A354,PERLINE!$AK$2:$AK$3001,0))</f>
        <v/>
      </c>
      <c r="F354" s="19" t="str">
        <f aca="false">IF($A354="","",E354*D354)</f>
        <v/>
      </c>
      <c r="G354" s="17" t="str">
        <f aca="false">IF($A354="","",'كشف المطالبة'!$D$5)</f>
        <v/>
      </c>
      <c r="H354" s="18" t="str">
        <f aca="false">IF($A354="","",SUMIFS(PERLINE!$U$2:$U$3001,PERLINE!$N$2:$N$3001,$A354,PERLINE!$AK$2:$AK$3001,1))</f>
        <v/>
      </c>
      <c r="I354" s="19" t="str">
        <f aca="false">IF($A354="","",H354*G354)</f>
        <v/>
      </c>
      <c r="J354" s="19" t="str">
        <f aca="false">IF($A354="","",F354+I354)</f>
        <v/>
      </c>
      <c r="K354" s="19" t="str">
        <f aca="false">IF($A354="","",H354+E354)</f>
        <v/>
      </c>
      <c r="L354" s="20" t="str">
        <f aca="false">IF($A354="","",K354-J354-N354)</f>
        <v/>
      </c>
      <c r="M354" s="15" t="str">
        <f aca="false">IF($A354="","",INDEX(PERLINE!$A$2:$A$3001,MATCH($A354,PERLINE!$N$2:$N$3001,0)))</f>
        <v/>
      </c>
      <c r="N354" s="21" t="str">
        <f aca="false">IF($A354="","",SUMIFS(PERLINE!$M$2:$M$3001,PERLINE!$N$2:$N$3001,$A354))</f>
        <v/>
      </c>
    </row>
    <row r="355" customFormat="false" ht="15" hidden="false" customHeight="false" outlineLevel="0" collapsed="false">
      <c r="A355" s="15" t="str">
        <f aca="false">IF(ROWS($A$2:$A355)&lt;=Check!$C$4,SMALL(PERLINE!$AL$2:$AL$3001,ROWS($A$2:$A355)),"")</f>
        <v/>
      </c>
      <c r="B355" s="15" t="str">
        <f aca="false">IF($A355="","",INDEX(PERLINE!$J$2:$J$3001,MATCH($A355,PERLINE!$N$2:$N$3001,0)))</f>
        <v/>
      </c>
      <c r="C355" s="16" t="str">
        <f aca="false">IF($A355="","",INDEX(PERLINE!$I$2:$I$3001,MATCH($A355,PERLINE!$N$2:$N$3001,0)))</f>
        <v/>
      </c>
      <c r="D355" s="17" t="str">
        <f aca="false">IF($A355="","",'كشف المطالبة'!$D$6)</f>
        <v/>
      </c>
      <c r="E355" s="18" t="str">
        <f aca="false">IF($A355="","",SUMIFS(PERLINE!$U$2:$U$3001,PERLINE!$N$2:$N$3001,$A355,PERLINE!$AK$2:$AK$3001,0))</f>
        <v/>
      </c>
      <c r="F355" s="19" t="str">
        <f aca="false">IF($A355="","",E355*D355)</f>
        <v/>
      </c>
      <c r="G355" s="17" t="str">
        <f aca="false">IF($A355="","",'كشف المطالبة'!$D$5)</f>
        <v/>
      </c>
      <c r="H355" s="18" t="str">
        <f aca="false">IF($A355="","",SUMIFS(PERLINE!$U$2:$U$3001,PERLINE!$N$2:$N$3001,$A355,PERLINE!$AK$2:$AK$3001,1))</f>
        <v/>
      </c>
      <c r="I355" s="19" t="str">
        <f aca="false">IF($A355="","",H355*G355)</f>
        <v/>
      </c>
      <c r="J355" s="19" t="str">
        <f aca="false">IF($A355="","",F355+I355)</f>
        <v/>
      </c>
      <c r="K355" s="19" t="str">
        <f aca="false">IF($A355="","",H355+E355)</f>
        <v/>
      </c>
      <c r="L355" s="20" t="str">
        <f aca="false">IF($A355="","",K355-J355-N355)</f>
        <v/>
      </c>
      <c r="M355" s="15" t="str">
        <f aca="false">IF($A355="","",INDEX(PERLINE!$A$2:$A$3001,MATCH($A355,PERLINE!$N$2:$N$3001,0)))</f>
        <v/>
      </c>
      <c r="N355" s="21" t="str">
        <f aca="false">IF($A355="","",SUMIFS(PERLINE!$M$2:$M$3001,PERLINE!$N$2:$N$3001,$A355))</f>
        <v/>
      </c>
    </row>
    <row r="356" customFormat="false" ht="15" hidden="false" customHeight="false" outlineLevel="0" collapsed="false">
      <c r="A356" s="15" t="str">
        <f aca="false">IF(ROWS($A$2:$A356)&lt;=Check!$C$4,SMALL(PERLINE!$AL$2:$AL$3001,ROWS($A$2:$A356)),"")</f>
        <v/>
      </c>
      <c r="B356" s="15" t="str">
        <f aca="false">IF($A356="","",INDEX(PERLINE!$J$2:$J$3001,MATCH($A356,PERLINE!$N$2:$N$3001,0)))</f>
        <v/>
      </c>
      <c r="C356" s="16" t="str">
        <f aca="false">IF($A356="","",INDEX(PERLINE!$I$2:$I$3001,MATCH($A356,PERLINE!$N$2:$N$3001,0)))</f>
        <v/>
      </c>
      <c r="D356" s="17" t="str">
        <f aca="false">IF($A356="","",'كشف المطالبة'!$D$6)</f>
        <v/>
      </c>
      <c r="E356" s="18" t="str">
        <f aca="false">IF($A356="","",SUMIFS(PERLINE!$U$2:$U$3001,PERLINE!$N$2:$N$3001,$A356,PERLINE!$AK$2:$AK$3001,0))</f>
        <v/>
      </c>
      <c r="F356" s="19" t="str">
        <f aca="false">IF($A356="","",E356*D356)</f>
        <v/>
      </c>
      <c r="G356" s="17" t="str">
        <f aca="false">IF($A356="","",'كشف المطالبة'!$D$5)</f>
        <v/>
      </c>
      <c r="H356" s="18" t="str">
        <f aca="false">IF($A356="","",SUMIFS(PERLINE!$U$2:$U$3001,PERLINE!$N$2:$N$3001,$A356,PERLINE!$AK$2:$AK$3001,1))</f>
        <v/>
      </c>
      <c r="I356" s="19" t="str">
        <f aca="false">IF($A356="","",H356*G356)</f>
        <v/>
      </c>
      <c r="J356" s="19" t="str">
        <f aca="false">IF($A356="","",F356+I356)</f>
        <v/>
      </c>
      <c r="K356" s="19" t="str">
        <f aca="false">IF($A356="","",H356+E356)</f>
        <v/>
      </c>
      <c r="L356" s="20" t="str">
        <f aca="false">IF($A356="","",K356-J356-N356)</f>
        <v/>
      </c>
      <c r="M356" s="15" t="str">
        <f aca="false">IF($A356="","",INDEX(PERLINE!$A$2:$A$3001,MATCH($A356,PERLINE!$N$2:$N$3001,0)))</f>
        <v/>
      </c>
      <c r="N356" s="21" t="str">
        <f aca="false">IF($A356="","",SUMIFS(PERLINE!$M$2:$M$3001,PERLINE!$N$2:$N$3001,$A356))</f>
        <v/>
      </c>
    </row>
    <row r="357" customFormat="false" ht="15" hidden="false" customHeight="false" outlineLevel="0" collapsed="false">
      <c r="A357" s="15" t="str">
        <f aca="false">IF(ROWS($A$2:$A357)&lt;=Check!$C$4,SMALL(PERLINE!$AL$2:$AL$3001,ROWS($A$2:$A357)),"")</f>
        <v/>
      </c>
      <c r="B357" s="15" t="str">
        <f aca="false">IF($A357="","",INDEX(PERLINE!$J$2:$J$3001,MATCH($A357,PERLINE!$N$2:$N$3001,0)))</f>
        <v/>
      </c>
      <c r="C357" s="16" t="str">
        <f aca="false">IF($A357="","",INDEX(PERLINE!$I$2:$I$3001,MATCH($A357,PERLINE!$N$2:$N$3001,0)))</f>
        <v/>
      </c>
      <c r="D357" s="17" t="str">
        <f aca="false">IF($A357="","",'كشف المطالبة'!$D$6)</f>
        <v/>
      </c>
      <c r="E357" s="18" t="str">
        <f aca="false">IF($A357="","",SUMIFS(PERLINE!$U$2:$U$3001,PERLINE!$N$2:$N$3001,$A357,PERLINE!$AK$2:$AK$3001,0))</f>
        <v/>
      </c>
      <c r="F357" s="19" t="str">
        <f aca="false">IF($A357="","",E357*D357)</f>
        <v/>
      </c>
      <c r="G357" s="17" t="str">
        <f aca="false">IF($A357="","",'كشف المطالبة'!$D$5)</f>
        <v/>
      </c>
      <c r="H357" s="18" t="str">
        <f aca="false">IF($A357="","",SUMIFS(PERLINE!$U$2:$U$3001,PERLINE!$N$2:$N$3001,$A357,PERLINE!$AK$2:$AK$3001,1))</f>
        <v/>
      </c>
      <c r="I357" s="19" t="str">
        <f aca="false">IF($A357="","",H357*G357)</f>
        <v/>
      </c>
      <c r="J357" s="19" t="str">
        <f aca="false">IF($A357="","",F357+I357)</f>
        <v/>
      </c>
      <c r="K357" s="19" t="str">
        <f aca="false">IF($A357="","",H357+E357)</f>
        <v/>
      </c>
      <c r="L357" s="20" t="str">
        <f aca="false">IF($A357="","",K357-J357-N357)</f>
        <v/>
      </c>
      <c r="M357" s="15" t="str">
        <f aca="false">IF($A357="","",INDEX(PERLINE!$A$2:$A$3001,MATCH($A357,PERLINE!$N$2:$N$3001,0)))</f>
        <v/>
      </c>
      <c r="N357" s="21" t="str">
        <f aca="false">IF($A357="","",SUMIFS(PERLINE!$M$2:$M$3001,PERLINE!$N$2:$N$3001,$A357))</f>
        <v/>
      </c>
    </row>
    <row r="358" customFormat="false" ht="15" hidden="false" customHeight="false" outlineLevel="0" collapsed="false">
      <c r="A358" s="15" t="str">
        <f aca="false">IF(ROWS($A$2:$A358)&lt;=Check!$C$4,SMALL(PERLINE!$AL$2:$AL$3001,ROWS($A$2:$A358)),"")</f>
        <v/>
      </c>
      <c r="B358" s="15" t="str">
        <f aca="false">IF($A358="","",INDEX(PERLINE!$J$2:$J$3001,MATCH($A358,PERLINE!$N$2:$N$3001,0)))</f>
        <v/>
      </c>
      <c r="C358" s="16" t="str">
        <f aca="false">IF($A358="","",INDEX(PERLINE!$I$2:$I$3001,MATCH($A358,PERLINE!$N$2:$N$3001,0)))</f>
        <v/>
      </c>
      <c r="D358" s="17" t="str">
        <f aca="false">IF($A358="","",'كشف المطالبة'!$D$6)</f>
        <v/>
      </c>
      <c r="E358" s="18" t="str">
        <f aca="false">IF($A358="","",SUMIFS(PERLINE!$U$2:$U$3001,PERLINE!$N$2:$N$3001,$A358,PERLINE!$AK$2:$AK$3001,0))</f>
        <v/>
      </c>
      <c r="F358" s="19" t="str">
        <f aca="false">IF($A358="","",E358*D358)</f>
        <v/>
      </c>
      <c r="G358" s="17" t="str">
        <f aca="false">IF($A358="","",'كشف المطالبة'!$D$5)</f>
        <v/>
      </c>
      <c r="H358" s="18" t="str">
        <f aca="false">IF($A358="","",SUMIFS(PERLINE!$U$2:$U$3001,PERLINE!$N$2:$N$3001,$A358,PERLINE!$AK$2:$AK$3001,1))</f>
        <v/>
      </c>
      <c r="I358" s="19" t="str">
        <f aca="false">IF($A358="","",H358*G358)</f>
        <v/>
      </c>
      <c r="J358" s="19" t="str">
        <f aca="false">IF($A358="","",F358+I358)</f>
        <v/>
      </c>
      <c r="K358" s="19" t="str">
        <f aca="false">IF($A358="","",H358+E358)</f>
        <v/>
      </c>
      <c r="L358" s="20" t="str">
        <f aca="false">IF($A358="","",K358-J358-N358)</f>
        <v/>
      </c>
      <c r="M358" s="15" t="str">
        <f aca="false">IF($A358="","",INDEX(PERLINE!$A$2:$A$3001,MATCH($A358,PERLINE!$N$2:$N$3001,0)))</f>
        <v/>
      </c>
      <c r="N358" s="21" t="str">
        <f aca="false">IF($A358="","",SUMIFS(PERLINE!$M$2:$M$3001,PERLINE!$N$2:$N$3001,$A358))</f>
        <v/>
      </c>
    </row>
    <row r="359" customFormat="false" ht="15" hidden="false" customHeight="false" outlineLevel="0" collapsed="false">
      <c r="A359" s="15" t="str">
        <f aca="false">IF(ROWS($A$2:$A359)&lt;=Check!$C$4,SMALL(PERLINE!$AL$2:$AL$3001,ROWS($A$2:$A359)),"")</f>
        <v/>
      </c>
      <c r="B359" s="15" t="str">
        <f aca="false">IF($A359="","",INDEX(PERLINE!$J$2:$J$3001,MATCH($A359,PERLINE!$N$2:$N$3001,0)))</f>
        <v/>
      </c>
      <c r="C359" s="16" t="str">
        <f aca="false">IF($A359="","",INDEX(PERLINE!$I$2:$I$3001,MATCH($A359,PERLINE!$N$2:$N$3001,0)))</f>
        <v/>
      </c>
      <c r="D359" s="17" t="str">
        <f aca="false">IF($A359="","",'كشف المطالبة'!$D$6)</f>
        <v/>
      </c>
      <c r="E359" s="18" t="str">
        <f aca="false">IF($A359="","",SUMIFS(PERLINE!$U$2:$U$3001,PERLINE!$N$2:$N$3001,$A359,PERLINE!$AK$2:$AK$3001,0))</f>
        <v/>
      </c>
      <c r="F359" s="19" t="str">
        <f aca="false">IF($A359="","",E359*D359)</f>
        <v/>
      </c>
      <c r="G359" s="17" t="str">
        <f aca="false">IF($A359="","",'كشف المطالبة'!$D$5)</f>
        <v/>
      </c>
      <c r="H359" s="18" t="str">
        <f aca="false">IF($A359="","",SUMIFS(PERLINE!$U$2:$U$3001,PERLINE!$N$2:$N$3001,$A359,PERLINE!$AK$2:$AK$3001,1))</f>
        <v/>
      </c>
      <c r="I359" s="19" t="str">
        <f aca="false">IF($A359="","",H359*G359)</f>
        <v/>
      </c>
      <c r="J359" s="19" t="str">
        <f aca="false">IF($A359="","",F359+I359)</f>
        <v/>
      </c>
      <c r="K359" s="19" t="str">
        <f aca="false">IF($A359="","",H359+E359)</f>
        <v/>
      </c>
      <c r="L359" s="20" t="str">
        <f aca="false">IF($A359="","",K359-J359-N359)</f>
        <v/>
      </c>
      <c r="M359" s="15" t="str">
        <f aca="false">IF($A359="","",INDEX(PERLINE!$A$2:$A$3001,MATCH($A359,PERLINE!$N$2:$N$3001,0)))</f>
        <v/>
      </c>
      <c r="N359" s="21" t="str">
        <f aca="false">IF($A359="","",SUMIFS(PERLINE!$M$2:$M$3001,PERLINE!$N$2:$N$3001,$A359))</f>
        <v/>
      </c>
    </row>
    <row r="360" customFormat="false" ht="15" hidden="false" customHeight="false" outlineLevel="0" collapsed="false">
      <c r="A360" s="15" t="str">
        <f aca="false">IF(ROWS($A$2:$A360)&lt;=Check!$C$4,SMALL(PERLINE!$AL$2:$AL$3001,ROWS($A$2:$A360)),"")</f>
        <v/>
      </c>
      <c r="B360" s="15" t="str">
        <f aca="false">IF($A360="","",INDEX(PERLINE!$J$2:$J$3001,MATCH($A360,PERLINE!$N$2:$N$3001,0)))</f>
        <v/>
      </c>
      <c r="C360" s="16" t="str">
        <f aca="false">IF($A360="","",INDEX(PERLINE!$I$2:$I$3001,MATCH($A360,PERLINE!$N$2:$N$3001,0)))</f>
        <v/>
      </c>
      <c r="D360" s="17" t="str">
        <f aca="false">IF($A360="","",'كشف المطالبة'!$D$6)</f>
        <v/>
      </c>
      <c r="E360" s="18" t="str">
        <f aca="false">IF($A360="","",SUMIFS(PERLINE!$U$2:$U$3001,PERLINE!$N$2:$N$3001,$A360,PERLINE!$AK$2:$AK$3001,0))</f>
        <v/>
      </c>
      <c r="F360" s="19" t="str">
        <f aca="false">IF($A360="","",E360*D360)</f>
        <v/>
      </c>
      <c r="G360" s="17" t="str">
        <f aca="false">IF($A360="","",'كشف المطالبة'!$D$5)</f>
        <v/>
      </c>
      <c r="H360" s="18" t="str">
        <f aca="false">IF($A360="","",SUMIFS(PERLINE!$U$2:$U$3001,PERLINE!$N$2:$N$3001,$A360,PERLINE!$AK$2:$AK$3001,1))</f>
        <v/>
      </c>
      <c r="I360" s="19" t="str">
        <f aca="false">IF($A360="","",H360*G360)</f>
        <v/>
      </c>
      <c r="J360" s="19" t="str">
        <f aca="false">IF($A360="","",F360+I360)</f>
        <v/>
      </c>
      <c r="K360" s="19" t="str">
        <f aca="false">IF($A360="","",H360+E360)</f>
        <v/>
      </c>
      <c r="L360" s="20" t="str">
        <f aca="false">IF($A360="","",K360-J360-N360)</f>
        <v/>
      </c>
      <c r="M360" s="15" t="str">
        <f aca="false">IF($A360="","",INDEX(PERLINE!$A$2:$A$3001,MATCH($A360,PERLINE!$N$2:$N$3001,0)))</f>
        <v/>
      </c>
      <c r="N360" s="21" t="str">
        <f aca="false">IF($A360="","",SUMIFS(PERLINE!$M$2:$M$3001,PERLINE!$N$2:$N$3001,$A360))</f>
        <v/>
      </c>
    </row>
    <row r="361" customFormat="false" ht="15" hidden="false" customHeight="false" outlineLevel="0" collapsed="false">
      <c r="A361" s="15" t="str">
        <f aca="false">IF(ROWS($A$2:$A361)&lt;=Check!$C$4,SMALL(PERLINE!$AL$2:$AL$3001,ROWS($A$2:$A361)),"")</f>
        <v/>
      </c>
      <c r="B361" s="15" t="str">
        <f aca="false">IF($A361="","",INDEX(PERLINE!$J$2:$J$3001,MATCH($A361,PERLINE!$N$2:$N$3001,0)))</f>
        <v/>
      </c>
      <c r="C361" s="16" t="str">
        <f aca="false">IF($A361="","",INDEX(PERLINE!$I$2:$I$3001,MATCH($A361,PERLINE!$N$2:$N$3001,0)))</f>
        <v/>
      </c>
      <c r="D361" s="17" t="str">
        <f aca="false">IF($A361="","",'كشف المطالبة'!$D$6)</f>
        <v/>
      </c>
      <c r="E361" s="18" t="str">
        <f aca="false">IF($A361="","",SUMIFS(PERLINE!$U$2:$U$3001,PERLINE!$N$2:$N$3001,$A361,PERLINE!$AK$2:$AK$3001,0))</f>
        <v/>
      </c>
      <c r="F361" s="19" t="str">
        <f aca="false">IF($A361="","",E361*D361)</f>
        <v/>
      </c>
      <c r="G361" s="17" t="str">
        <f aca="false">IF($A361="","",'كشف المطالبة'!$D$5)</f>
        <v/>
      </c>
      <c r="H361" s="18" t="str">
        <f aca="false">IF($A361="","",SUMIFS(PERLINE!$U$2:$U$3001,PERLINE!$N$2:$N$3001,$A361,PERLINE!$AK$2:$AK$3001,1))</f>
        <v/>
      </c>
      <c r="I361" s="19" t="str">
        <f aca="false">IF($A361="","",H361*G361)</f>
        <v/>
      </c>
      <c r="J361" s="19" t="str">
        <f aca="false">IF($A361="","",F361+I361)</f>
        <v/>
      </c>
      <c r="K361" s="19" t="str">
        <f aca="false">IF($A361="","",H361+E361)</f>
        <v/>
      </c>
      <c r="L361" s="20" t="str">
        <f aca="false">IF($A361="","",K361-J361-N361)</f>
        <v/>
      </c>
      <c r="M361" s="15" t="str">
        <f aca="false">IF($A361="","",INDEX(PERLINE!$A$2:$A$3001,MATCH($A361,PERLINE!$N$2:$N$3001,0)))</f>
        <v/>
      </c>
      <c r="N361" s="21" t="str">
        <f aca="false">IF($A361="","",SUMIFS(PERLINE!$M$2:$M$3001,PERLINE!$N$2:$N$3001,$A361))</f>
        <v/>
      </c>
    </row>
    <row r="362" customFormat="false" ht="15" hidden="false" customHeight="false" outlineLevel="0" collapsed="false">
      <c r="A362" s="15" t="str">
        <f aca="false">IF(ROWS($A$2:$A362)&lt;=Check!$C$4,SMALL(PERLINE!$AL$2:$AL$3001,ROWS($A$2:$A362)),"")</f>
        <v/>
      </c>
      <c r="B362" s="15" t="str">
        <f aca="false">IF($A362="","",INDEX(PERLINE!$J$2:$J$3001,MATCH($A362,PERLINE!$N$2:$N$3001,0)))</f>
        <v/>
      </c>
      <c r="C362" s="16" t="str">
        <f aca="false">IF($A362="","",INDEX(PERLINE!$I$2:$I$3001,MATCH($A362,PERLINE!$N$2:$N$3001,0)))</f>
        <v/>
      </c>
      <c r="D362" s="17" t="str">
        <f aca="false">IF($A362="","",'كشف المطالبة'!$D$6)</f>
        <v/>
      </c>
      <c r="E362" s="18" t="str">
        <f aca="false">IF($A362="","",SUMIFS(PERLINE!$U$2:$U$3001,PERLINE!$N$2:$N$3001,$A362,PERLINE!$AK$2:$AK$3001,0))</f>
        <v/>
      </c>
      <c r="F362" s="19" t="str">
        <f aca="false">IF($A362="","",E362*D362)</f>
        <v/>
      </c>
      <c r="G362" s="17" t="str">
        <f aca="false">IF($A362="","",'كشف المطالبة'!$D$5)</f>
        <v/>
      </c>
      <c r="H362" s="18" t="str">
        <f aca="false">IF($A362="","",SUMIFS(PERLINE!$U$2:$U$3001,PERLINE!$N$2:$N$3001,$A362,PERLINE!$AK$2:$AK$3001,1))</f>
        <v/>
      </c>
      <c r="I362" s="19" t="str">
        <f aca="false">IF($A362="","",H362*G362)</f>
        <v/>
      </c>
      <c r="J362" s="19" t="str">
        <f aca="false">IF($A362="","",F362+I362)</f>
        <v/>
      </c>
      <c r="K362" s="19" t="str">
        <f aca="false">IF($A362="","",H362+E362)</f>
        <v/>
      </c>
      <c r="L362" s="20" t="str">
        <f aca="false">IF($A362="","",K362-J362-N362)</f>
        <v/>
      </c>
      <c r="M362" s="15" t="str">
        <f aca="false">IF($A362="","",INDEX(PERLINE!$A$2:$A$3001,MATCH($A362,PERLINE!$N$2:$N$3001,0)))</f>
        <v/>
      </c>
      <c r="N362" s="21" t="str">
        <f aca="false">IF($A362="","",SUMIFS(PERLINE!$M$2:$M$3001,PERLINE!$N$2:$N$3001,$A362))</f>
        <v/>
      </c>
    </row>
    <row r="363" customFormat="false" ht="15" hidden="false" customHeight="false" outlineLevel="0" collapsed="false">
      <c r="A363" s="15" t="str">
        <f aca="false">IF(ROWS($A$2:$A363)&lt;=Check!$C$4,SMALL(PERLINE!$AL$2:$AL$3001,ROWS($A$2:$A363)),"")</f>
        <v/>
      </c>
      <c r="B363" s="15" t="str">
        <f aca="false">IF($A363="","",INDEX(PERLINE!$J$2:$J$3001,MATCH($A363,PERLINE!$N$2:$N$3001,0)))</f>
        <v/>
      </c>
      <c r="C363" s="16" t="str">
        <f aca="false">IF($A363="","",INDEX(PERLINE!$I$2:$I$3001,MATCH($A363,PERLINE!$N$2:$N$3001,0)))</f>
        <v/>
      </c>
      <c r="D363" s="17" t="str">
        <f aca="false">IF($A363="","",'كشف المطالبة'!$D$6)</f>
        <v/>
      </c>
      <c r="E363" s="18" t="str">
        <f aca="false">IF($A363="","",SUMIFS(PERLINE!$U$2:$U$3001,PERLINE!$N$2:$N$3001,$A363,PERLINE!$AK$2:$AK$3001,0))</f>
        <v/>
      </c>
      <c r="F363" s="19" t="str">
        <f aca="false">IF($A363="","",E363*D363)</f>
        <v/>
      </c>
      <c r="G363" s="17" t="str">
        <f aca="false">IF($A363="","",'كشف المطالبة'!$D$5)</f>
        <v/>
      </c>
      <c r="H363" s="18" t="str">
        <f aca="false">IF($A363="","",SUMIFS(PERLINE!$U$2:$U$3001,PERLINE!$N$2:$N$3001,$A363,PERLINE!$AK$2:$AK$3001,1))</f>
        <v/>
      </c>
      <c r="I363" s="19" t="str">
        <f aca="false">IF($A363="","",H363*G363)</f>
        <v/>
      </c>
      <c r="J363" s="19" t="str">
        <f aca="false">IF($A363="","",F363+I363)</f>
        <v/>
      </c>
      <c r="K363" s="19" t="str">
        <f aca="false">IF($A363="","",H363+E363)</f>
        <v/>
      </c>
      <c r="L363" s="20" t="str">
        <f aca="false">IF($A363="","",K363-J363-N363)</f>
        <v/>
      </c>
      <c r="M363" s="15" t="str">
        <f aca="false">IF($A363="","",INDEX(PERLINE!$A$2:$A$3001,MATCH($A363,PERLINE!$N$2:$N$3001,0)))</f>
        <v/>
      </c>
      <c r="N363" s="21" t="str">
        <f aca="false">IF($A363="","",SUMIFS(PERLINE!$M$2:$M$3001,PERLINE!$N$2:$N$3001,$A363))</f>
        <v/>
      </c>
    </row>
    <row r="364" customFormat="false" ht="15" hidden="false" customHeight="false" outlineLevel="0" collapsed="false">
      <c r="A364" s="15" t="str">
        <f aca="false">IF(ROWS($A$2:$A364)&lt;=Check!$C$4,SMALL(PERLINE!$AL$2:$AL$3001,ROWS($A$2:$A364)),"")</f>
        <v/>
      </c>
      <c r="B364" s="15" t="str">
        <f aca="false">IF($A364="","",INDEX(PERLINE!$J$2:$J$3001,MATCH($A364,PERLINE!$N$2:$N$3001,0)))</f>
        <v/>
      </c>
      <c r="C364" s="16" t="str">
        <f aca="false">IF($A364="","",INDEX(PERLINE!$I$2:$I$3001,MATCH($A364,PERLINE!$N$2:$N$3001,0)))</f>
        <v/>
      </c>
      <c r="D364" s="17" t="str">
        <f aca="false">IF($A364="","",'كشف المطالبة'!$D$6)</f>
        <v/>
      </c>
      <c r="E364" s="18" t="str">
        <f aca="false">IF($A364="","",SUMIFS(PERLINE!$U$2:$U$3001,PERLINE!$N$2:$N$3001,$A364,PERLINE!$AK$2:$AK$3001,0))</f>
        <v/>
      </c>
      <c r="F364" s="19" t="str">
        <f aca="false">IF($A364="","",E364*D364)</f>
        <v/>
      </c>
      <c r="G364" s="17" t="str">
        <f aca="false">IF($A364="","",'كشف المطالبة'!$D$5)</f>
        <v/>
      </c>
      <c r="H364" s="18" t="str">
        <f aca="false">IF($A364="","",SUMIFS(PERLINE!$U$2:$U$3001,PERLINE!$N$2:$N$3001,$A364,PERLINE!$AK$2:$AK$3001,1))</f>
        <v/>
      </c>
      <c r="I364" s="19" t="str">
        <f aca="false">IF($A364="","",H364*G364)</f>
        <v/>
      </c>
      <c r="J364" s="19" t="str">
        <f aca="false">IF($A364="","",F364+I364)</f>
        <v/>
      </c>
      <c r="K364" s="19" t="str">
        <f aca="false">IF($A364="","",H364+E364)</f>
        <v/>
      </c>
      <c r="L364" s="20" t="str">
        <f aca="false">IF($A364="","",K364-J364-N364)</f>
        <v/>
      </c>
      <c r="M364" s="15" t="str">
        <f aca="false">IF($A364="","",INDEX(PERLINE!$A$2:$A$3001,MATCH($A364,PERLINE!$N$2:$N$3001,0)))</f>
        <v/>
      </c>
      <c r="N364" s="21" t="str">
        <f aca="false">IF($A364="","",SUMIFS(PERLINE!$M$2:$M$3001,PERLINE!$N$2:$N$3001,$A364))</f>
        <v/>
      </c>
    </row>
    <row r="365" customFormat="false" ht="15" hidden="false" customHeight="false" outlineLevel="0" collapsed="false">
      <c r="A365" s="15" t="str">
        <f aca="false">IF(ROWS($A$2:$A365)&lt;=Check!$C$4,SMALL(PERLINE!$AL$2:$AL$3001,ROWS($A$2:$A365)),"")</f>
        <v/>
      </c>
      <c r="B365" s="15" t="str">
        <f aca="false">IF($A365="","",INDEX(PERLINE!$J$2:$J$3001,MATCH($A365,PERLINE!$N$2:$N$3001,0)))</f>
        <v/>
      </c>
      <c r="C365" s="16" t="str">
        <f aca="false">IF($A365="","",INDEX(PERLINE!$I$2:$I$3001,MATCH($A365,PERLINE!$N$2:$N$3001,0)))</f>
        <v/>
      </c>
      <c r="D365" s="17" t="str">
        <f aca="false">IF($A365="","",'كشف المطالبة'!$D$6)</f>
        <v/>
      </c>
      <c r="E365" s="18" t="str">
        <f aca="false">IF($A365="","",SUMIFS(PERLINE!$U$2:$U$3001,PERLINE!$N$2:$N$3001,$A365,PERLINE!$AK$2:$AK$3001,0))</f>
        <v/>
      </c>
      <c r="F365" s="19" t="str">
        <f aca="false">IF($A365="","",E365*D365)</f>
        <v/>
      </c>
      <c r="G365" s="17" t="str">
        <f aca="false">IF($A365="","",'كشف المطالبة'!$D$5)</f>
        <v/>
      </c>
      <c r="H365" s="18" t="str">
        <f aca="false">IF($A365="","",SUMIFS(PERLINE!$U$2:$U$3001,PERLINE!$N$2:$N$3001,$A365,PERLINE!$AK$2:$AK$3001,1))</f>
        <v/>
      </c>
      <c r="I365" s="19" t="str">
        <f aca="false">IF($A365="","",H365*G365)</f>
        <v/>
      </c>
      <c r="J365" s="19" t="str">
        <f aca="false">IF($A365="","",F365+I365)</f>
        <v/>
      </c>
      <c r="K365" s="19" t="str">
        <f aca="false">IF($A365="","",H365+E365)</f>
        <v/>
      </c>
      <c r="L365" s="20" t="str">
        <f aca="false">IF($A365="","",K365-J365-N365)</f>
        <v/>
      </c>
      <c r="M365" s="15" t="str">
        <f aca="false">IF($A365="","",INDEX(PERLINE!$A$2:$A$3001,MATCH($A365,PERLINE!$N$2:$N$3001,0)))</f>
        <v/>
      </c>
      <c r="N365" s="21" t="str">
        <f aca="false">IF($A365="","",SUMIFS(PERLINE!$M$2:$M$3001,PERLINE!$N$2:$N$3001,$A365))</f>
        <v/>
      </c>
    </row>
    <row r="366" customFormat="false" ht="15" hidden="false" customHeight="false" outlineLevel="0" collapsed="false">
      <c r="A366" s="15" t="str">
        <f aca="false">IF(ROWS($A$2:$A366)&lt;=Check!$C$4,SMALL(PERLINE!$AL$2:$AL$3001,ROWS($A$2:$A366)),"")</f>
        <v/>
      </c>
      <c r="B366" s="15" t="str">
        <f aca="false">IF($A366="","",INDEX(PERLINE!$J$2:$J$3001,MATCH($A366,PERLINE!$N$2:$N$3001,0)))</f>
        <v/>
      </c>
      <c r="C366" s="16" t="str">
        <f aca="false">IF($A366="","",INDEX(PERLINE!$I$2:$I$3001,MATCH($A366,PERLINE!$N$2:$N$3001,0)))</f>
        <v/>
      </c>
      <c r="D366" s="17" t="str">
        <f aca="false">IF($A366="","",'كشف المطالبة'!$D$6)</f>
        <v/>
      </c>
      <c r="E366" s="18" t="str">
        <f aca="false">IF($A366="","",SUMIFS(PERLINE!$U$2:$U$3001,PERLINE!$N$2:$N$3001,$A366,PERLINE!$AK$2:$AK$3001,0))</f>
        <v/>
      </c>
      <c r="F366" s="19" t="str">
        <f aca="false">IF($A366="","",E366*D366)</f>
        <v/>
      </c>
      <c r="G366" s="17" t="str">
        <f aca="false">IF($A366="","",'كشف المطالبة'!$D$5)</f>
        <v/>
      </c>
      <c r="H366" s="18" t="str">
        <f aca="false">IF($A366="","",SUMIFS(PERLINE!$U$2:$U$3001,PERLINE!$N$2:$N$3001,$A366,PERLINE!$AK$2:$AK$3001,1))</f>
        <v/>
      </c>
      <c r="I366" s="19" t="str">
        <f aca="false">IF($A366="","",H366*G366)</f>
        <v/>
      </c>
      <c r="J366" s="19" t="str">
        <f aca="false">IF($A366="","",F366+I366)</f>
        <v/>
      </c>
      <c r="K366" s="19" t="str">
        <f aca="false">IF($A366="","",H366+E366)</f>
        <v/>
      </c>
      <c r="L366" s="20" t="str">
        <f aca="false">IF($A366="","",K366-J366-N366)</f>
        <v/>
      </c>
      <c r="M366" s="15" t="str">
        <f aca="false">IF($A366="","",INDEX(PERLINE!$A$2:$A$3001,MATCH($A366,PERLINE!$N$2:$N$3001,0)))</f>
        <v/>
      </c>
      <c r="N366" s="21" t="str">
        <f aca="false">IF($A366="","",SUMIFS(PERLINE!$M$2:$M$3001,PERLINE!$N$2:$N$3001,$A366))</f>
        <v/>
      </c>
    </row>
    <row r="367" customFormat="false" ht="15" hidden="false" customHeight="false" outlineLevel="0" collapsed="false">
      <c r="A367" s="15" t="str">
        <f aca="false">IF(ROWS($A$2:$A367)&lt;=Check!$C$4,SMALL(PERLINE!$AL$2:$AL$3001,ROWS($A$2:$A367)),"")</f>
        <v/>
      </c>
      <c r="B367" s="15" t="str">
        <f aca="false">IF($A367="","",INDEX(PERLINE!$J$2:$J$3001,MATCH($A367,PERLINE!$N$2:$N$3001,0)))</f>
        <v/>
      </c>
      <c r="C367" s="16" t="str">
        <f aca="false">IF($A367="","",INDEX(PERLINE!$I$2:$I$3001,MATCH($A367,PERLINE!$N$2:$N$3001,0)))</f>
        <v/>
      </c>
      <c r="D367" s="17" t="str">
        <f aca="false">IF($A367="","",'كشف المطالبة'!$D$6)</f>
        <v/>
      </c>
      <c r="E367" s="18" t="str">
        <f aca="false">IF($A367="","",SUMIFS(PERLINE!$U$2:$U$3001,PERLINE!$N$2:$N$3001,$A367,PERLINE!$AK$2:$AK$3001,0))</f>
        <v/>
      </c>
      <c r="F367" s="19" t="str">
        <f aca="false">IF($A367="","",E367*D367)</f>
        <v/>
      </c>
      <c r="G367" s="17" t="str">
        <f aca="false">IF($A367="","",'كشف المطالبة'!$D$5)</f>
        <v/>
      </c>
      <c r="H367" s="18" t="str">
        <f aca="false">IF($A367="","",SUMIFS(PERLINE!$U$2:$U$3001,PERLINE!$N$2:$N$3001,$A367,PERLINE!$AK$2:$AK$3001,1))</f>
        <v/>
      </c>
      <c r="I367" s="19" t="str">
        <f aca="false">IF($A367="","",H367*G367)</f>
        <v/>
      </c>
      <c r="J367" s="19" t="str">
        <f aca="false">IF($A367="","",F367+I367)</f>
        <v/>
      </c>
      <c r="K367" s="19" t="str">
        <f aca="false">IF($A367="","",H367+E367)</f>
        <v/>
      </c>
      <c r="L367" s="20" t="str">
        <f aca="false">IF($A367="","",K367-J367-N367)</f>
        <v/>
      </c>
      <c r="M367" s="15" t="str">
        <f aca="false">IF($A367="","",INDEX(PERLINE!$A$2:$A$3001,MATCH($A367,PERLINE!$N$2:$N$3001,0)))</f>
        <v/>
      </c>
      <c r="N367" s="21" t="str">
        <f aca="false">IF($A367="","",SUMIFS(PERLINE!$M$2:$M$3001,PERLINE!$N$2:$N$3001,$A367))</f>
        <v/>
      </c>
    </row>
    <row r="368" customFormat="false" ht="15" hidden="false" customHeight="false" outlineLevel="0" collapsed="false">
      <c r="A368" s="15" t="str">
        <f aca="false">IF(ROWS($A$2:$A368)&lt;=Check!$C$4,SMALL(PERLINE!$AL$2:$AL$3001,ROWS($A$2:$A368)),"")</f>
        <v/>
      </c>
      <c r="B368" s="15" t="str">
        <f aca="false">IF($A368="","",INDEX(PERLINE!$J$2:$J$3001,MATCH($A368,PERLINE!$N$2:$N$3001,0)))</f>
        <v/>
      </c>
      <c r="C368" s="16" t="str">
        <f aca="false">IF($A368="","",INDEX(PERLINE!$I$2:$I$3001,MATCH($A368,PERLINE!$N$2:$N$3001,0)))</f>
        <v/>
      </c>
      <c r="D368" s="17" t="str">
        <f aca="false">IF($A368="","",'كشف المطالبة'!$D$6)</f>
        <v/>
      </c>
      <c r="E368" s="18" t="str">
        <f aca="false">IF($A368="","",SUMIFS(PERLINE!$U$2:$U$3001,PERLINE!$N$2:$N$3001,$A368,PERLINE!$AK$2:$AK$3001,0))</f>
        <v/>
      </c>
      <c r="F368" s="19" t="str">
        <f aca="false">IF($A368="","",E368*D368)</f>
        <v/>
      </c>
      <c r="G368" s="17" t="str">
        <f aca="false">IF($A368="","",'كشف المطالبة'!$D$5)</f>
        <v/>
      </c>
      <c r="H368" s="18" t="str">
        <f aca="false">IF($A368="","",SUMIFS(PERLINE!$U$2:$U$3001,PERLINE!$N$2:$N$3001,$A368,PERLINE!$AK$2:$AK$3001,1))</f>
        <v/>
      </c>
      <c r="I368" s="19" t="str">
        <f aca="false">IF($A368="","",H368*G368)</f>
        <v/>
      </c>
      <c r="J368" s="19" t="str">
        <f aca="false">IF($A368="","",F368+I368)</f>
        <v/>
      </c>
      <c r="K368" s="19" t="str">
        <f aca="false">IF($A368="","",H368+E368)</f>
        <v/>
      </c>
      <c r="L368" s="20" t="str">
        <f aca="false">IF($A368="","",K368-J368-N368)</f>
        <v/>
      </c>
      <c r="M368" s="15" t="str">
        <f aca="false">IF($A368="","",INDEX(PERLINE!$A$2:$A$3001,MATCH($A368,PERLINE!$N$2:$N$3001,0)))</f>
        <v/>
      </c>
      <c r="N368" s="21" t="str">
        <f aca="false">IF($A368="","",SUMIFS(PERLINE!$M$2:$M$3001,PERLINE!$N$2:$N$3001,$A368))</f>
        <v/>
      </c>
    </row>
    <row r="369" customFormat="false" ht="15" hidden="false" customHeight="false" outlineLevel="0" collapsed="false">
      <c r="A369" s="15" t="str">
        <f aca="false">IF(ROWS($A$2:$A369)&lt;=Check!$C$4,SMALL(PERLINE!$AL$2:$AL$3001,ROWS($A$2:$A369)),"")</f>
        <v/>
      </c>
      <c r="B369" s="15" t="str">
        <f aca="false">IF($A369="","",INDEX(PERLINE!$J$2:$J$3001,MATCH($A369,PERLINE!$N$2:$N$3001,0)))</f>
        <v/>
      </c>
      <c r="C369" s="16" t="str">
        <f aca="false">IF($A369="","",INDEX(PERLINE!$I$2:$I$3001,MATCH($A369,PERLINE!$N$2:$N$3001,0)))</f>
        <v/>
      </c>
      <c r="D369" s="17" t="str">
        <f aca="false">IF($A369="","",'كشف المطالبة'!$D$6)</f>
        <v/>
      </c>
      <c r="E369" s="18" t="str">
        <f aca="false">IF($A369="","",SUMIFS(PERLINE!$U$2:$U$3001,PERLINE!$N$2:$N$3001,$A369,PERLINE!$AK$2:$AK$3001,0))</f>
        <v/>
      </c>
      <c r="F369" s="19" t="str">
        <f aca="false">IF($A369="","",E369*D369)</f>
        <v/>
      </c>
      <c r="G369" s="17" t="str">
        <f aca="false">IF($A369="","",'كشف المطالبة'!$D$5)</f>
        <v/>
      </c>
      <c r="H369" s="18" t="str">
        <f aca="false">IF($A369="","",SUMIFS(PERLINE!$U$2:$U$3001,PERLINE!$N$2:$N$3001,$A369,PERLINE!$AK$2:$AK$3001,1))</f>
        <v/>
      </c>
      <c r="I369" s="19" t="str">
        <f aca="false">IF($A369="","",H369*G369)</f>
        <v/>
      </c>
      <c r="J369" s="19" t="str">
        <f aca="false">IF($A369="","",F369+I369)</f>
        <v/>
      </c>
      <c r="K369" s="19" t="str">
        <f aca="false">IF($A369="","",H369+E369)</f>
        <v/>
      </c>
      <c r="L369" s="20" t="str">
        <f aca="false">IF($A369="","",K369-J369-N369)</f>
        <v/>
      </c>
      <c r="M369" s="15" t="str">
        <f aca="false">IF($A369="","",INDEX(PERLINE!$A$2:$A$3001,MATCH($A369,PERLINE!$N$2:$N$3001,0)))</f>
        <v/>
      </c>
      <c r="N369" s="21" t="str">
        <f aca="false">IF($A369="","",SUMIFS(PERLINE!$M$2:$M$3001,PERLINE!$N$2:$N$3001,$A369))</f>
        <v/>
      </c>
    </row>
    <row r="370" customFormat="false" ht="15" hidden="false" customHeight="false" outlineLevel="0" collapsed="false">
      <c r="A370" s="15" t="str">
        <f aca="false">IF(ROWS($A$2:$A370)&lt;=Check!$C$4,SMALL(PERLINE!$AL$2:$AL$3001,ROWS($A$2:$A370)),"")</f>
        <v/>
      </c>
      <c r="B370" s="15" t="str">
        <f aca="false">IF($A370="","",INDEX(PERLINE!$J$2:$J$3001,MATCH($A370,PERLINE!$N$2:$N$3001,0)))</f>
        <v/>
      </c>
      <c r="C370" s="16" t="str">
        <f aca="false">IF($A370="","",INDEX(PERLINE!$I$2:$I$3001,MATCH($A370,PERLINE!$N$2:$N$3001,0)))</f>
        <v/>
      </c>
      <c r="D370" s="17" t="str">
        <f aca="false">IF($A370="","",'كشف المطالبة'!$D$6)</f>
        <v/>
      </c>
      <c r="E370" s="18" t="str">
        <f aca="false">IF($A370="","",SUMIFS(PERLINE!$U$2:$U$3001,PERLINE!$N$2:$N$3001,$A370,PERLINE!$AK$2:$AK$3001,0))</f>
        <v/>
      </c>
      <c r="F370" s="19" t="str">
        <f aca="false">IF($A370="","",E370*D370)</f>
        <v/>
      </c>
      <c r="G370" s="17" t="str">
        <f aca="false">IF($A370="","",'كشف المطالبة'!$D$5)</f>
        <v/>
      </c>
      <c r="H370" s="18" t="str">
        <f aca="false">IF($A370="","",SUMIFS(PERLINE!$U$2:$U$3001,PERLINE!$N$2:$N$3001,$A370,PERLINE!$AK$2:$AK$3001,1))</f>
        <v/>
      </c>
      <c r="I370" s="19" t="str">
        <f aca="false">IF($A370="","",H370*G370)</f>
        <v/>
      </c>
      <c r="J370" s="19" t="str">
        <f aca="false">IF($A370="","",F370+I370)</f>
        <v/>
      </c>
      <c r="K370" s="19" t="str">
        <f aca="false">IF($A370="","",H370+E370)</f>
        <v/>
      </c>
      <c r="L370" s="20" t="str">
        <f aca="false">IF($A370="","",K370-J370-N370)</f>
        <v/>
      </c>
      <c r="M370" s="15" t="str">
        <f aca="false">IF($A370="","",INDEX(PERLINE!$A$2:$A$3001,MATCH($A370,PERLINE!$N$2:$N$3001,0)))</f>
        <v/>
      </c>
      <c r="N370" s="21" t="str">
        <f aca="false">IF($A370="","",SUMIFS(PERLINE!$M$2:$M$3001,PERLINE!$N$2:$N$3001,$A370))</f>
        <v/>
      </c>
    </row>
    <row r="371" customFormat="false" ht="15" hidden="false" customHeight="false" outlineLevel="0" collapsed="false">
      <c r="A371" s="15" t="str">
        <f aca="false">IF(ROWS($A$2:$A371)&lt;=Check!$C$4,SMALL(PERLINE!$AL$2:$AL$3001,ROWS($A$2:$A371)),"")</f>
        <v/>
      </c>
      <c r="B371" s="15" t="str">
        <f aca="false">IF($A371="","",INDEX(PERLINE!$J$2:$J$3001,MATCH($A371,PERLINE!$N$2:$N$3001,0)))</f>
        <v/>
      </c>
      <c r="C371" s="16" t="str">
        <f aca="false">IF($A371="","",INDEX(PERLINE!$I$2:$I$3001,MATCH($A371,PERLINE!$N$2:$N$3001,0)))</f>
        <v/>
      </c>
      <c r="D371" s="17" t="str">
        <f aca="false">IF($A371="","",'كشف المطالبة'!$D$6)</f>
        <v/>
      </c>
      <c r="E371" s="18" t="str">
        <f aca="false">IF($A371="","",SUMIFS(PERLINE!$U$2:$U$3001,PERLINE!$N$2:$N$3001,$A371,PERLINE!$AK$2:$AK$3001,0))</f>
        <v/>
      </c>
      <c r="F371" s="19" t="str">
        <f aca="false">IF($A371="","",E371*D371)</f>
        <v/>
      </c>
      <c r="G371" s="17" t="str">
        <f aca="false">IF($A371="","",'كشف المطالبة'!$D$5)</f>
        <v/>
      </c>
      <c r="H371" s="18" t="str">
        <f aca="false">IF($A371="","",SUMIFS(PERLINE!$U$2:$U$3001,PERLINE!$N$2:$N$3001,$A371,PERLINE!$AK$2:$AK$3001,1))</f>
        <v/>
      </c>
      <c r="I371" s="19" t="str">
        <f aca="false">IF($A371="","",H371*G371)</f>
        <v/>
      </c>
      <c r="J371" s="19" t="str">
        <f aca="false">IF($A371="","",F371+I371)</f>
        <v/>
      </c>
      <c r="K371" s="19" t="str">
        <f aca="false">IF($A371="","",H371+E371)</f>
        <v/>
      </c>
      <c r="L371" s="20" t="str">
        <f aca="false">IF($A371="","",K371-J371-N371)</f>
        <v/>
      </c>
      <c r="M371" s="15" t="str">
        <f aca="false">IF($A371="","",INDEX(PERLINE!$A$2:$A$3001,MATCH($A371,PERLINE!$N$2:$N$3001,0)))</f>
        <v/>
      </c>
      <c r="N371" s="21" t="str">
        <f aca="false">IF($A371="","",SUMIFS(PERLINE!$M$2:$M$3001,PERLINE!$N$2:$N$3001,$A371))</f>
        <v/>
      </c>
    </row>
    <row r="372" customFormat="false" ht="15" hidden="false" customHeight="false" outlineLevel="0" collapsed="false">
      <c r="A372" s="15" t="str">
        <f aca="false">IF(ROWS($A$2:$A372)&lt;=Check!$C$4,SMALL(PERLINE!$AL$2:$AL$3001,ROWS($A$2:$A372)),"")</f>
        <v/>
      </c>
      <c r="B372" s="15" t="str">
        <f aca="false">IF($A372="","",INDEX(PERLINE!$J$2:$J$3001,MATCH($A372,PERLINE!$N$2:$N$3001,0)))</f>
        <v/>
      </c>
      <c r="C372" s="16" t="str">
        <f aca="false">IF($A372="","",INDEX(PERLINE!$I$2:$I$3001,MATCH($A372,PERLINE!$N$2:$N$3001,0)))</f>
        <v/>
      </c>
      <c r="D372" s="17" t="str">
        <f aca="false">IF($A372="","",'كشف المطالبة'!$D$6)</f>
        <v/>
      </c>
      <c r="E372" s="18" t="str">
        <f aca="false">IF($A372="","",SUMIFS(PERLINE!$U$2:$U$3001,PERLINE!$N$2:$N$3001,$A372,PERLINE!$AK$2:$AK$3001,0))</f>
        <v/>
      </c>
      <c r="F372" s="19" t="str">
        <f aca="false">IF($A372="","",E372*D372)</f>
        <v/>
      </c>
      <c r="G372" s="17" t="str">
        <f aca="false">IF($A372="","",'كشف المطالبة'!$D$5)</f>
        <v/>
      </c>
      <c r="H372" s="18" t="str">
        <f aca="false">IF($A372="","",SUMIFS(PERLINE!$U$2:$U$3001,PERLINE!$N$2:$N$3001,$A372,PERLINE!$AK$2:$AK$3001,1))</f>
        <v/>
      </c>
      <c r="I372" s="19" t="str">
        <f aca="false">IF($A372="","",H372*G372)</f>
        <v/>
      </c>
      <c r="J372" s="19" t="str">
        <f aca="false">IF($A372="","",F372+I372)</f>
        <v/>
      </c>
      <c r="K372" s="19" t="str">
        <f aca="false">IF($A372="","",H372+E372)</f>
        <v/>
      </c>
      <c r="L372" s="20" t="str">
        <f aca="false">IF($A372="","",K372-J372-N372)</f>
        <v/>
      </c>
      <c r="M372" s="15" t="str">
        <f aca="false">IF($A372="","",INDEX(PERLINE!$A$2:$A$3001,MATCH($A372,PERLINE!$N$2:$N$3001,0)))</f>
        <v/>
      </c>
      <c r="N372" s="21" t="str">
        <f aca="false">IF($A372="","",SUMIFS(PERLINE!$M$2:$M$3001,PERLINE!$N$2:$N$3001,$A372))</f>
        <v/>
      </c>
    </row>
    <row r="373" customFormat="false" ht="15" hidden="false" customHeight="false" outlineLevel="0" collapsed="false">
      <c r="A373" s="15" t="str">
        <f aca="false">IF(ROWS($A$2:$A373)&lt;=Check!$C$4,SMALL(PERLINE!$AL$2:$AL$3001,ROWS($A$2:$A373)),"")</f>
        <v/>
      </c>
      <c r="B373" s="15" t="str">
        <f aca="false">IF($A373="","",INDEX(PERLINE!$J$2:$J$3001,MATCH($A373,PERLINE!$N$2:$N$3001,0)))</f>
        <v/>
      </c>
      <c r="C373" s="16" t="str">
        <f aca="false">IF($A373="","",INDEX(PERLINE!$I$2:$I$3001,MATCH($A373,PERLINE!$N$2:$N$3001,0)))</f>
        <v/>
      </c>
      <c r="D373" s="17" t="str">
        <f aca="false">IF($A373="","",'كشف المطالبة'!$D$6)</f>
        <v/>
      </c>
      <c r="E373" s="18" t="str">
        <f aca="false">IF($A373="","",SUMIFS(PERLINE!$U$2:$U$3001,PERLINE!$N$2:$N$3001,$A373,PERLINE!$AK$2:$AK$3001,0))</f>
        <v/>
      </c>
      <c r="F373" s="19" t="str">
        <f aca="false">IF($A373="","",E373*D373)</f>
        <v/>
      </c>
      <c r="G373" s="17" t="str">
        <f aca="false">IF($A373="","",'كشف المطالبة'!$D$5)</f>
        <v/>
      </c>
      <c r="H373" s="18" t="str">
        <f aca="false">IF($A373="","",SUMIFS(PERLINE!$U$2:$U$3001,PERLINE!$N$2:$N$3001,$A373,PERLINE!$AK$2:$AK$3001,1))</f>
        <v/>
      </c>
      <c r="I373" s="19" t="str">
        <f aca="false">IF($A373="","",H373*G373)</f>
        <v/>
      </c>
      <c r="J373" s="19" t="str">
        <f aca="false">IF($A373="","",F373+I373)</f>
        <v/>
      </c>
      <c r="K373" s="19" t="str">
        <f aca="false">IF($A373="","",H373+E373)</f>
        <v/>
      </c>
      <c r="L373" s="20" t="str">
        <f aca="false">IF($A373="","",K373-J373-N373)</f>
        <v/>
      </c>
      <c r="M373" s="15" t="str">
        <f aca="false">IF($A373="","",INDEX(PERLINE!$A$2:$A$3001,MATCH($A373,PERLINE!$N$2:$N$3001,0)))</f>
        <v/>
      </c>
      <c r="N373" s="21" t="str">
        <f aca="false">IF($A373="","",SUMIFS(PERLINE!$M$2:$M$3001,PERLINE!$N$2:$N$3001,$A373))</f>
        <v/>
      </c>
    </row>
    <row r="374" customFormat="false" ht="15" hidden="false" customHeight="false" outlineLevel="0" collapsed="false">
      <c r="A374" s="15" t="str">
        <f aca="false">IF(ROWS($A$2:$A374)&lt;=Check!$C$4,SMALL(PERLINE!$AL$2:$AL$3001,ROWS($A$2:$A374)),"")</f>
        <v/>
      </c>
      <c r="B374" s="15" t="str">
        <f aca="false">IF($A374="","",INDEX(PERLINE!$J$2:$J$3001,MATCH($A374,PERLINE!$N$2:$N$3001,0)))</f>
        <v/>
      </c>
      <c r="C374" s="16" t="str">
        <f aca="false">IF($A374="","",INDEX(PERLINE!$I$2:$I$3001,MATCH($A374,PERLINE!$N$2:$N$3001,0)))</f>
        <v/>
      </c>
      <c r="D374" s="17" t="str">
        <f aca="false">IF($A374="","",'كشف المطالبة'!$D$6)</f>
        <v/>
      </c>
      <c r="E374" s="18" t="str">
        <f aca="false">IF($A374="","",SUMIFS(PERLINE!$U$2:$U$3001,PERLINE!$N$2:$N$3001,$A374,PERLINE!$AK$2:$AK$3001,0))</f>
        <v/>
      </c>
      <c r="F374" s="19" t="str">
        <f aca="false">IF($A374="","",E374*D374)</f>
        <v/>
      </c>
      <c r="G374" s="17" t="str">
        <f aca="false">IF($A374="","",'كشف المطالبة'!$D$5)</f>
        <v/>
      </c>
      <c r="H374" s="18" t="str">
        <f aca="false">IF($A374="","",SUMIFS(PERLINE!$U$2:$U$3001,PERLINE!$N$2:$N$3001,$A374,PERLINE!$AK$2:$AK$3001,1))</f>
        <v/>
      </c>
      <c r="I374" s="19" t="str">
        <f aca="false">IF($A374="","",H374*G374)</f>
        <v/>
      </c>
      <c r="J374" s="19" t="str">
        <f aca="false">IF($A374="","",F374+I374)</f>
        <v/>
      </c>
      <c r="K374" s="19" t="str">
        <f aca="false">IF($A374="","",H374+E374)</f>
        <v/>
      </c>
      <c r="L374" s="20" t="str">
        <f aca="false">IF($A374="","",K374-J374-N374)</f>
        <v/>
      </c>
      <c r="M374" s="15" t="str">
        <f aca="false">IF($A374="","",INDEX(PERLINE!$A$2:$A$3001,MATCH($A374,PERLINE!$N$2:$N$3001,0)))</f>
        <v/>
      </c>
      <c r="N374" s="21" t="str">
        <f aca="false">IF($A374="","",SUMIFS(PERLINE!$M$2:$M$3001,PERLINE!$N$2:$N$3001,$A374))</f>
        <v/>
      </c>
    </row>
    <row r="375" customFormat="false" ht="15" hidden="false" customHeight="false" outlineLevel="0" collapsed="false">
      <c r="A375" s="15" t="str">
        <f aca="false">IF(ROWS($A$2:$A375)&lt;=Check!$C$4,SMALL(PERLINE!$AL$2:$AL$3001,ROWS($A$2:$A375)),"")</f>
        <v/>
      </c>
      <c r="B375" s="15" t="str">
        <f aca="false">IF($A375="","",INDEX(PERLINE!$J$2:$J$3001,MATCH($A375,PERLINE!$N$2:$N$3001,0)))</f>
        <v/>
      </c>
      <c r="C375" s="16" t="str">
        <f aca="false">IF($A375="","",INDEX(PERLINE!$I$2:$I$3001,MATCH($A375,PERLINE!$N$2:$N$3001,0)))</f>
        <v/>
      </c>
      <c r="D375" s="17" t="str">
        <f aca="false">IF($A375="","",'كشف المطالبة'!$D$6)</f>
        <v/>
      </c>
      <c r="E375" s="18" t="str">
        <f aca="false">IF($A375="","",SUMIFS(PERLINE!$U$2:$U$3001,PERLINE!$N$2:$N$3001,$A375,PERLINE!$AK$2:$AK$3001,0))</f>
        <v/>
      </c>
      <c r="F375" s="19" t="str">
        <f aca="false">IF($A375="","",E375*D375)</f>
        <v/>
      </c>
      <c r="G375" s="17" t="str">
        <f aca="false">IF($A375="","",'كشف المطالبة'!$D$5)</f>
        <v/>
      </c>
      <c r="H375" s="18" t="str">
        <f aca="false">IF($A375="","",SUMIFS(PERLINE!$U$2:$U$3001,PERLINE!$N$2:$N$3001,$A375,PERLINE!$AK$2:$AK$3001,1))</f>
        <v/>
      </c>
      <c r="I375" s="19" t="str">
        <f aca="false">IF($A375="","",H375*G375)</f>
        <v/>
      </c>
      <c r="J375" s="19" t="str">
        <f aca="false">IF($A375="","",F375+I375)</f>
        <v/>
      </c>
      <c r="K375" s="19" t="str">
        <f aca="false">IF($A375="","",H375+E375)</f>
        <v/>
      </c>
      <c r="L375" s="20" t="str">
        <f aca="false">IF($A375="","",K375-J375-N375)</f>
        <v/>
      </c>
      <c r="M375" s="15" t="str">
        <f aca="false">IF($A375="","",INDEX(PERLINE!$A$2:$A$3001,MATCH($A375,PERLINE!$N$2:$N$3001,0)))</f>
        <v/>
      </c>
      <c r="N375" s="21" t="str">
        <f aca="false">IF($A375="","",SUMIFS(PERLINE!$M$2:$M$3001,PERLINE!$N$2:$N$3001,$A375))</f>
        <v/>
      </c>
    </row>
    <row r="376" customFormat="false" ht="15" hidden="false" customHeight="false" outlineLevel="0" collapsed="false">
      <c r="A376" s="15" t="str">
        <f aca="false">IF(ROWS($A$2:$A376)&lt;=Check!$C$4,SMALL(PERLINE!$AL$2:$AL$3001,ROWS($A$2:$A376)),"")</f>
        <v/>
      </c>
      <c r="B376" s="15" t="str">
        <f aca="false">IF($A376="","",INDEX(PERLINE!$J$2:$J$3001,MATCH($A376,PERLINE!$N$2:$N$3001,0)))</f>
        <v/>
      </c>
      <c r="C376" s="16" t="str">
        <f aca="false">IF($A376="","",INDEX(PERLINE!$I$2:$I$3001,MATCH($A376,PERLINE!$N$2:$N$3001,0)))</f>
        <v/>
      </c>
      <c r="D376" s="17" t="str">
        <f aca="false">IF($A376="","",'كشف المطالبة'!$D$6)</f>
        <v/>
      </c>
      <c r="E376" s="18" t="str">
        <f aca="false">IF($A376="","",SUMIFS(PERLINE!$U$2:$U$3001,PERLINE!$N$2:$N$3001,$A376,PERLINE!$AK$2:$AK$3001,0))</f>
        <v/>
      </c>
      <c r="F376" s="19" t="str">
        <f aca="false">IF($A376="","",E376*D376)</f>
        <v/>
      </c>
      <c r="G376" s="17" t="str">
        <f aca="false">IF($A376="","",'كشف المطالبة'!$D$5)</f>
        <v/>
      </c>
      <c r="H376" s="18" t="str">
        <f aca="false">IF($A376="","",SUMIFS(PERLINE!$U$2:$U$3001,PERLINE!$N$2:$N$3001,$A376,PERLINE!$AK$2:$AK$3001,1))</f>
        <v/>
      </c>
      <c r="I376" s="19" t="str">
        <f aca="false">IF($A376="","",H376*G376)</f>
        <v/>
      </c>
      <c r="J376" s="19" t="str">
        <f aca="false">IF($A376="","",F376+I376)</f>
        <v/>
      </c>
      <c r="K376" s="19" t="str">
        <f aca="false">IF($A376="","",H376+E376)</f>
        <v/>
      </c>
      <c r="L376" s="20" t="str">
        <f aca="false">IF($A376="","",K376-J376-N376)</f>
        <v/>
      </c>
      <c r="M376" s="15" t="str">
        <f aca="false">IF($A376="","",INDEX(PERLINE!$A$2:$A$3001,MATCH($A376,PERLINE!$N$2:$N$3001,0)))</f>
        <v/>
      </c>
      <c r="N376" s="21" t="str">
        <f aca="false">IF($A376="","",SUMIFS(PERLINE!$M$2:$M$3001,PERLINE!$N$2:$N$3001,$A376))</f>
        <v/>
      </c>
    </row>
    <row r="377" customFormat="false" ht="15" hidden="false" customHeight="false" outlineLevel="0" collapsed="false">
      <c r="A377" s="15" t="str">
        <f aca="false">IF(ROWS($A$2:$A377)&lt;=Check!$C$4,SMALL(PERLINE!$AL$2:$AL$3001,ROWS($A$2:$A377)),"")</f>
        <v/>
      </c>
      <c r="B377" s="15" t="str">
        <f aca="false">IF($A377="","",INDEX(PERLINE!$J$2:$J$3001,MATCH($A377,PERLINE!$N$2:$N$3001,0)))</f>
        <v/>
      </c>
      <c r="C377" s="16" t="str">
        <f aca="false">IF($A377="","",INDEX(PERLINE!$I$2:$I$3001,MATCH($A377,PERLINE!$N$2:$N$3001,0)))</f>
        <v/>
      </c>
      <c r="D377" s="17" t="str">
        <f aca="false">IF($A377="","",'كشف المطالبة'!$D$6)</f>
        <v/>
      </c>
      <c r="E377" s="18" t="str">
        <f aca="false">IF($A377="","",SUMIFS(PERLINE!$U$2:$U$3001,PERLINE!$N$2:$N$3001,$A377,PERLINE!$AK$2:$AK$3001,0))</f>
        <v/>
      </c>
      <c r="F377" s="19" t="str">
        <f aca="false">IF($A377="","",E377*D377)</f>
        <v/>
      </c>
      <c r="G377" s="17" t="str">
        <f aca="false">IF($A377="","",'كشف المطالبة'!$D$5)</f>
        <v/>
      </c>
      <c r="H377" s="18" t="str">
        <f aca="false">IF($A377="","",SUMIFS(PERLINE!$U$2:$U$3001,PERLINE!$N$2:$N$3001,$A377,PERLINE!$AK$2:$AK$3001,1))</f>
        <v/>
      </c>
      <c r="I377" s="19" t="str">
        <f aca="false">IF($A377="","",H377*G377)</f>
        <v/>
      </c>
      <c r="J377" s="19" t="str">
        <f aca="false">IF($A377="","",F377+I377)</f>
        <v/>
      </c>
      <c r="K377" s="19" t="str">
        <f aca="false">IF($A377="","",H377+E377)</f>
        <v/>
      </c>
      <c r="L377" s="20" t="str">
        <f aca="false">IF($A377="","",K377-J377-N377)</f>
        <v/>
      </c>
      <c r="M377" s="15" t="str">
        <f aca="false">IF($A377="","",INDEX(PERLINE!$A$2:$A$3001,MATCH($A377,PERLINE!$N$2:$N$3001,0)))</f>
        <v/>
      </c>
      <c r="N377" s="21" t="str">
        <f aca="false">IF($A377="","",SUMIFS(PERLINE!$M$2:$M$3001,PERLINE!$N$2:$N$3001,$A377))</f>
        <v/>
      </c>
    </row>
    <row r="378" customFormat="false" ht="15" hidden="false" customHeight="false" outlineLevel="0" collapsed="false">
      <c r="A378" s="15" t="str">
        <f aca="false">IF(ROWS($A$2:$A378)&lt;=Check!$C$4,SMALL(PERLINE!$AL$2:$AL$3001,ROWS($A$2:$A378)),"")</f>
        <v/>
      </c>
      <c r="B378" s="15" t="str">
        <f aca="false">IF($A378="","",INDEX(PERLINE!$J$2:$J$3001,MATCH($A378,PERLINE!$N$2:$N$3001,0)))</f>
        <v/>
      </c>
      <c r="C378" s="16" t="str">
        <f aca="false">IF($A378="","",INDEX(PERLINE!$I$2:$I$3001,MATCH($A378,PERLINE!$N$2:$N$3001,0)))</f>
        <v/>
      </c>
      <c r="D378" s="17" t="str">
        <f aca="false">IF($A378="","",'كشف المطالبة'!$D$6)</f>
        <v/>
      </c>
      <c r="E378" s="18" t="str">
        <f aca="false">IF($A378="","",SUMIFS(PERLINE!$U$2:$U$3001,PERLINE!$N$2:$N$3001,$A378,PERLINE!$AK$2:$AK$3001,0))</f>
        <v/>
      </c>
      <c r="F378" s="19" t="str">
        <f aca="false">IF($A378="","",E378*D378)</f>
        <v/>
      </c>
      <c r="G378" s="17" t="str">
        <f aca="false">IF($A378="","",'كشف المطالبة'!$D$5)</f>
        <v/>
      </c>
      <c r="H378" s="18" t="str">
        <f aca="false">IF($A378="","",SUMIFS(PERLINE!$U$2:$U$3001,PERLINE!$N$2:$N$3001,$A378,PERLINE!$AK$2:$AK$3001,1))</f>
        <v/>
      </c>
      <c r="I378" s="19" t="str">
        <f aca="false">IF($A378="","",H378*G378)</f>
        <v/>
      </c>
      <c r="J378" s="19" t="str">
        <f aca="false">IF($A378="","",F378+I378)</f>
        <v/>
      </c>
      <c r="K378" s="19" t="str">
        <f aca="false">IF($A378="","",H378+E378)</f>
        <v/>
      </c>
      <c r="L378" s="20" t="str">
        <f aca="false">IF($A378="","",K378-J378-N378)</f>
        <v/>
      </c>
      <c r="M378" s="15" t="str">
        <f aca="false">IF($A378="","",INDEX(PERLINE!$A$2:$A$3001,MATCH($A378,PERLINE!$N$2:$N$3001,0)))</f>
        <v/>
      </c>
      <c r="N378" s="21" t="str">
        <f aca="false">IF($A378="","",SUMIFS(PERLINE!$M$2:$M$3001,PERLINE!$N$2:$N$3001,$A378))</f>
        <v/>
      </c>
    </row>
    <row r="379" customFormat="false" ht="15" hidden="false" customHeight="false" outlineLevel="0" collapsed="false">
      <c r="A379" s="15" t="str">
        <f aca="false">IF(ROWS($A$2:$A379)&lt;=Check!$C$4,SMALL(PERLINE!$AL$2:$AL$3001,ROWS($A$2:$A379)),"")</f>
        <v/>
      </c>
      <c r="B379" s="15" t="str">
        <f aca="false">IF($A379="","",INDEX(PERLINE!$J$2:$J$3001,MATCH($A379,PERLINE!$N$2:$N$3001,0)))</f>
        <v/>
      </c>
      <c r="C379" s="16" t="str">
        <f aca="false">IF($A379="","",INDEX(PERLINE!$I$2:$I$3001,MATCH($A379,PERLINE!$N$2:$N$3001,0)))</f>
        <v/>
      </c>
      <c r="D379" s="17" t="str">
        <f aca="false">IF($A379="","",'كشف المطالبة'!$D$6)</f>
        <v/>
      </c>
      <c r="E379" s="18" t="str">
        <f aca="false">IF($A379="","",SUMIFS(PERLINE!$U$2:$U$3001,PERLINE!$N$2:$N$3001,$A379,PERLINE!$AK$2:$AK$3001,0))</f>
        <v/>
      </c>
      <c r="F379" s="19" t="str">
        <f aca="false">IF($A379="","",E379*D379)</f>
        <v/>
      </c>
      <c r="G379" s="17" t="str">
        <f aca="false">IF($A379="","",'كشف المطالبة'!$D$5)</f>
        <v/>
      </c>
      <c r="H379" s="18" t="str">
        <f aca="false">IF($A379="","",SUMIFS(PERLINE!$U$2:$U$3001,PERLINE!$N$2:$N$3001,$A379,PERLINE!$AK$2:$AK$3001,1))</f>
        <v/>
      </c>
      <c r="I379" s="19" t="str">
        <f aca="false">IF($A379="","",H379*G379)</f>
        <v/>
      </c>
      <c r="J379" s="19" t="str">
        <f aca="false">IF($A379="","",F379+I379)</f>
        <v/>
      </c>
      <c r="K379" s="19" t="str">
        <f aca="false">IF($A379="","",H379+E379)</f>
        <v/>
      </c>
      <c r="L379" s="20" t="str">
        <f aca="false">IF($A379="","",K379-J379-N379)</f>
        <v/>
      </c>
      <c r="M379" s="15" t="str">
        <f aca="false">IF($A379="","",INDEX(PERLINE!$A$2:$A$3001,MATCH($A379,PERLINE!$N$2:$N$3001,0)))</f>
        <v/>
      </c>
      <c r="N379" s="21" t="str">
        <f aca="false">IF($A379="","",SUMIFS(PERLINE!$M$2:$M$3001,PERLINE!$N$2:$N$3001,$A379))</f>
        <v/>
      </c>
    </row>
    <row r="380" customFormat="false" ht="15" hidden="false" customHeight="false" outlineLevel="0" collapsed="false">
      <c r="A380" s="15" t="str">
        <f aca="false">IF(ROWS($A$2:$A380)&lt;=Check!$C$4,SMALL(PERLINE!$AL$2:$AL$3001,ROWS($A$2:$A380)),"")</f>
        <v/>
      </c>
      <c r="B380" s="15" t="str">
        <f aca="false">IF($A380="","",INDEX(PERLINE!$J$2:$J$3001,MATCH($A380,PERLINE!$N$2:$N$3001,0)))</f>
        <v/>
      </c>
      <c r="C380" s="16" t="str">
        <f aca="false">IF($A380="","",INDEX(PERLINE!$I$2:$I$3001,MATCH($A380,PERLINE!$N$2:$N$3001,0)))</f>
        <v/>
      </c>
      <c r="D380" s="17" t="str">
        <f aca="false">IF($A380="","",'كشف المطالبة'!$D$6)</f>
        <v/>
      </c>
      <c r="E380" s="18" t="str">
        <f aca="false">IF($A380="","",SUMIFS(PERLINE!$U$2:$U$3001,PERLINE!$N$2:$N$3001,$A380,PERLINE!$AK$2:$AK$3001,0))</f>
        <v/>
      </c>
      <c r="F380" s="19" t="str">
        <f aca="false">IF($A380="","",E380*D380)</f>
        <v/>
      </c>
      <c r="G380" s="17" t="str">
        <f aca="false">IF($A380="","",'كشف المطالبة'!$D$5)</f>
        <v/>
      </c>
      <c r="H380" s="18" t="str">
        <f aca="false">IF($A380="","",SUMIFS(PERLINE!$U$2:$U$3001,PERLINE!$N$2:$N$3001,$A380,PERLINE!$AK$2:$AK$3001,1))</f>
        <v/>
      </c>
      <c r="I380" s="19" t="str">
        <f aca="false">IF($A380="","",H380*G380)</f>
        <v/>
      </c>
      <c r="J380" s="19" t="str">
        <f aca="false">IF($A380="","",F380+I380)</f>
        <v/>
      </c>
      <c r="K380" s="19" t="str">
        <f aca="false">IF($A380="","",H380+E380)</f>
        <v/>
      </c>
      <c r="L380" s="20" t="str">
        <f aca="false">IF($A380="","",K380-J380-N380)</f>
        <v/>
      </c>
      <c r="M380" s="15" t="str">
        <f aca="false">IF($A380="","",INDEX(PERLINE!$A$2:$A$3001,MATCH($A380,PERLINE!$N$2:$N$3001,0)))</f>
        <v/>
      </c>
      <c r="N380" s="21" t="str">
        <f aca="false">IF($A380="","",SUMIFS(PERLINE!$M$2:$M$3001,PERLINE!$N$2:$N$3001,$A380))</f>
        <v/>
      </c>
    </row>
    <row r="381" customFormat="false" ht="15" hidden="false" customHeight="false" outlineLevel="0" collapsed="false">
      <c r="A381" s="15" t="str">
        <f aca="false">IF(ROWS($A$2:$A381)&lt;=Check!$C$4,SMALL(PERLINE!$AL$2:$AL$3001,ROWS($A$2:$A381)),"")</f>
        <v/>
      </c>
      <c r="B381" s="15" t="str">
        <f aca="false">IF($A381="","",INDEX(PERLINE!$J$2:$J$3001,MATCH($A381,PERLINE!$N$2:$N$3001,0)))</f>
        <v/>
      </c>
      <c r="C381" s="16" t="str">
        <f aca="false">IF($A381="","",INDEX(PERLINE!$I$2:$I$3001,MATCH($A381,PERLINE!$N$2:$N$3001,0)))</f>
        <v/>
      </c>
      <c r="D381" s="17" t="str">
        <f aca="false">IF($A381="","",'كشف المطالبة'!$D$6)</f>
        <v/>
      </c>
      <c r="E381" s="18" t="str">
        <f aca="false">IF($A381="","",SUMIFS(PERLINE!$U$2:$U$3001,PERLINE!$N$2:$N$3001,$A381,PERLINE!$AK$2:$AK$3001,0))</f>
        <v/>
      </c>
      <c r="F381" s="19" t="str">
        <f aca="false">IF($A381="","",E381*D381)</f>
        <v/>
      </c>
      <c r="G381" s="17" t="str">
        <f aca="false">IF($A381="","",'كشف المطالبة'!$D$5)</f>
        <v/>
      </c>
      <c r="H381" s="18" t="str">
        <f aca="false">IF($A381="","",SUMIFS(PERLINE!$U$2:$U$3001,PERLINE!$N$2:$N$3001,$A381,PERLINE!$AK$2:$AK$3001,1))</f>
        <v/>
      </c>
      <c r="I381" s="19" t="str">
        <f aca="false">IF($A381="","",H381*G381)</f>
        <v/>
      </c>
      <c r="J381" s="19" t="str">
        <f aca="false">IF($A381="","",F381+I381)</f>
        <v/>
      </c>
      <c r="K381" s="19" t="str">
        <f aca="false">IF($A381="","",H381+E381)</f>
        <v/>
      </c>
      <c r="L381" s="20" t="str">
        <f aca="false">IF($A381="","",K381-J381-N381)</f>
        <v/>
      </c>
      <c r="M381" s="15" t="str">
        <f aca="false">IF($A381="","",INDEX(PERLINE!$A$2:$A$3001,MATCH($A381,PERLINE!$N$2:$N$3001,0)))</f>
        <v/>
      </c>
      <c r="N381" s="21" t="str">
        <f aca="false">IF($A381="","",SUMIFS(PERLINE!$M$2:$M$3001,PERLINE!$N$2:$N$3001,$A381))</f>
        <v/>
      </c>
    </row>
    <row r="382" customFormat="false" ht="15" hidden="false" customHeight="false" outlineLevel="0" collapsed="false">
      <c r="A382" s="15" t="str">
        <f aca="false">IF(ROWS($A$2:$A382)&lt;=Check!$C$4,SMALL(PERLINE!$AL$2:$AL$3001,ROWS($A$2:$A382)),"")</f>
        <v/>
      </c>
      <c r="B382" s="15" t="str">
        <f aca="false">IF($A382="","",INDEX(PERLINE!$J$2:$J$3001,MATCH($A382,PERLINE!$N$2:$N$3001,0)))</f>
        <v/>
      </c>
      <c r="C382" s="16" t="str">
        <f aca="false">IF($A382="","",INDEX(PERLINE!$I$2:$I$3001,MATCH($A382,PERLINE!$N$2:$N$3001,0)))</f>
        <v/>
      </c>
      <c r="D382" s="17" t="str">
        <f aca="false">IF($A382="","",'كشف المطالبة'!$D$6)</f>
        <v/>
      </c>
      <c r="E382" s="18" t="str">
        <f aca="false">IF($A382="","",SUMIFS(PERLINE!$U$2:$U$3001,PERLINE!$N$2:$N$3001,$A382,PERLINE!$AK$2:$AK$3001,0))</f>
        <v/>
      </c>
      <c r="F382" s="19" t="str">
        <f aca="false">IF($A382="","",E382*D382)</f>
        <v/>
      </c>
      <c r="G382" s="17" t="str">
        <f aca="false">IF($A382="","",'كشف المطالبة'!$D$5)</f>
        <v/>
      </c>
      <c r="H382" s="18" t="str">
        <f aca="false">IF($A382="","",SUMIFS(PERLINE!$U$2:$U$3001,PERLINE!$N$2:$N$3001,$A382,PERLINE!$AK$2:$AK$3001,1))</f>
        <v/>
      </c>
      <c r="I382" s="19" t="str">
        <f aca="false">IF($A382="","",H382*G382)</f>
        <v/>
      </c>
      <c r="J382" s="19" t="str">
        <f aca="false">IF($A382="","",F382+I382)</f>
        <v/>
      </c>
      <c r="K382" s="19" t="str">
        <f aca="false">IF($A382="","",H382+E382)</f>
        <v/>
      </c>
      <c r="L382" s="20" t="str">
        <f aca="false">IF($A382="","",K382-J382-N382)</f>
        <v/>
      </c>
      <c r="M382" s="15" t="str">
        <f aca="false">IF($A382="","",INDEX(PERLINE!$A$2:$A$3001,MATCH($A382,PERLINE!$N$2:$N$3001,0)))</f>
        <v/>
      </c>
      <c r="N382" s="21" t="str">
        <f aca="false">IF($A382="","",SUMIFS(PERLINE!$M$2:$M$3001,PERLINE!$N$2:$N$3001,$A382))</f>
        <v/>
      </c>
    </row>
    <row r="383" customFormat="false" ht="15" hidden="false" customHeight="false" outlineLevel="0" collapsed="false">
      <c r="A383" s="15" t="str">
        <f aca="false">IF(ROWS($A$2:$A383)&lt;=Check!$C$4,SMALL(PERLINE!$AL$2:$AL$3001,ROWS($A$2:$A383)),"")</f>
        <v/>
      </c>
      <c r="B383" s="15" t="str">
        <f aca="false">IF($A383="","",INDEX(PERLINE!$J$2:$J$3001,MATCH($A383,PERLINE!$N$2:$N$3001,0)))</f>
        <v/>
      </c>
      <c r="C383" s="16" t="str">
        <f aca="false">IF($A383="","",INDEX(PERLINE!$I$2:$I$3001,MATCH($A383,PERLINE!$N$2:$N$3001,0)))</f>
        <v/>
      </c>
      <c r="D383" s="17" t="str">
        <f aca="false">IF($A383="","",'كشف المطالبة'!$D$6)</f>
        <v/>
      </c>
      <c r="E383" s="18" t="str">
        <f aca="false">IF($A383="","",SUMIFS(PERLINE!$U$2:$U$3001,PERLINE!$N$2:$N$3001,$A383,PERLINE!$AK$2:$AK$3001,0))</f>
        <v/>
      </c>
      <c r="F383" s="19" t="str">
        <f aca="false">IF($A383="","",E383*D383)</f>
        <v/>
      </c>
      <c r="G383" s="17" t="str">
        <f aca="false">IF($A383="","",'كشف المطالبة'!$D$5)</f>
        <v/>
      </c>
      <c r="H383" s="18" t="str">
        <f aca="false">IF($A383="","",SUMIFS(PERLINE!$U$2:$U$3001,PERLINE!$N$2:$N$3001,$A383,PERLINE!$AK$2:$AK$3001,1))</f>
        <v/>
      </c>
      <c r="I383" s="19" t="str">
        <f aca="false">IF($A383="","",H383*G383)</f>
        <v/>
      </c>
      <c r="J383" s="19" t="str">
        <f aca="false">IF($A383="","",F383+I383)</f>
        <v/>
      </c>
      <c r="K383" s="19" t="str">
        <f aca="false">IF($A383="","",H383+E383)</f>
        <v/>
      </c>
      <c r="L383" s="20" t="str">
        <f aca="false">IF($A383="","",K383-J383-N383)</f>
        <v/>
      </c>
      <c r="M383" s="15" t="str">
        <f aca="false">IF($A383="","",INDEX(PERLINE!$A$2:$A$3001,MATCH($A383,PERLINE!$N$2:$N$3001,0)))</f>
        <v/>
      </c>
      <c r="N383" s="21" t="str">
        <f aca="false">IF($A383="","",SUMIFS(PERLINE!$M$2:$M$3001,PERLINE!$N$2:$N$3001,$A383))</f>
        <v/>
      </c>
    </row>
    <row r="384" customFormat="false" ht="15" hidden="false" customHeight="false" outlineLevel="0" collapsed="false">
      <c r="A384" s="15" t="str">
        <f aca="false">IF(ROWS($A$2:$A384)&lt;=Check!$C$4,SMALL(PERLINE!$AL$2:$AL$3001,ROWS($A$2:$A384)),"")</f>
        <v/>
      </c>
      <c r="B384" s="15" t="str">
        <f aca="false">IF($A384="","",INDEX(PERLINE!$J$2:$J$3001,MATCH($A384,PERLINE!$N$2:$N$3001,0)))</f>
        <v/>
      </c>
      <c r="C384" s="16" t="str">
        <f aca="false">IF($A384="","",INDEX(PERLINE!$I$2:$I$3001,MATCH($A384,PERLINE!$N$2:$N$3001,0)))</f>
        <v/>
      </c>
      <c r="D384" s="17" t="str">
        <f aca="false">IF($A384="","",'كشف المطالبة'!$D$6)</f>
        <v/>
      </c>
      <c r="E384" s="18" t="str">
        <f aca="false">IF($A384="","",SUMIFS(PERLINE!$U$2:$U$3001,PERLINE!$N$2:$N$3001,$A384,PERLINE!$AK$2:$AK$3001,0))</f>
        <v/>
      </c>
      <c r="F384" s="19" t="str">
        <f aca="false">IF($A384="","",E384*D384)</f>
        <v/>
      </c>
      <c r="G384" s="17" t="str">
        <f aca="false">IF($A384="","",'كشف المطالبة'!$D$5)</f>
        <v/>
      </c>
      <c r="H384" s="18" t="str">
        <f aca="false">IF($A384="","",SUMIFS(PERLINE!$U$2:$U$3001,PERLINE!$N$2:$N$3001,$A384,PERLINE!$AK$2:$AK$3001,1))</f>
        <v/>
      </c>
      <c r="I384" s="19" t="str">
        <f aca="false">IF($A384="","",H384*G384)</f>
        <v/>
      </c>
      <c r="J384" s="19" t="str">
        <f aca="false">IF($A384="","",F384+I384)</f>
        <v/>
      </c>
      <c r="K384" s="19" t="str">
        <f aca="false">IF($A384="","",H384+E384)</f>
        <v/>
      </c>
      <c r="L384" s="20" t="str">
        <f aca="false">IF($A384="","",K384-J384-N384)</f>
        <v/>
      </c>
      <c r="M384" s="15" t="str">
        <f aca="false">IF($A384="","",INDEX(PERLINE!$A$2:$A$3001,MATCH($A384,PERLINE!$N$2:$N$3001,0)))</f>
        <v/>
      </c>
      <c r="N384" s="21" t="str">
        <f aca="false">IF($A384="","",SUMIFS(PERLINE!$M$2:$M$3001,PERLINE!$N$2:$N$3001,$A384))</f>
        <v/>
      </c>
    </row>
    <row r="385" customFormat="false" ht="15" hidden="false" customHeight="false" outlineLevel="0" collapsed="false">
      <c r="A385" s="15" t="str">
        <f aca="false">IF(ROWS($A$2:$A385)&lt;=Check!$C$4,SMALL(PERLINE!$AL$2:$AL$3001,ROWS($A$2:$A385)),"")</f>
        <v/>
      </c>
      <c r="B385" s="15" t="str">
        <f aca="false">IF($A385="","",INDEX(PERLINE!$J$2:$J$3001,MATCH($A385,PERLINE!$N$2:$N$3001,0)))</f>
        <v/>
      </c>
      <c r="C385" s="16" t="str">
        <f aca="false">IF($A385="","",INDEX(PERLINE!$I$2:$I$3001,MATCH($A385,PERLINE!$N$2:$N$3001,0)))</f>
        <v/>
      </c>
      <c r="D385" s="17" t="str">
        <f aca="false">IF($A385="","",'كشف المطالبة'!$D$6)</f>
        <v/>
      </c>
      <c r="E385" s="18" t="str">
        <f aca="false">IF($A385="","",SUMIFS(PERLINE!$U$2:$U$3001,PERLINE!$N$2:$N$3001,$A385,PERLINE!$AK$2:$AK$3001,0))</f>
        <v/>
      </c>
      <c r="F385" s="19" t="str">
        <f aca="false">IF($A385="","",E385*D385)</f>
        <v/>
      </c>
      <c r="G385" s="17" t="str">
        <f aca="false">IF($A385="","",'كشف المطالبة'!$D$5)</f>
        <v/>
      </c>
      <c r="H385" s="18" t="str">
        <f aca="false">IF($A385="","",SUMIFS(PERLINE!$U$2:$U$3001,PERLINE!$N$2:$N$3001,$A385,PERLINE!$AK$2:$AK$3001,1))</f>
        <v/>
      </c>
      <c r="I385" s="19" t="str">
        <f aca="false">IF($A385="","",H385*G385)</f>
        <v/>
      </c>
      <c r="J385" s="19" t="str">
        <f aca="false">IF($A385="","",F385+I385)</f>
        <v/>
      </c>
      <c r="K385" s="19" t="str">
        <f aca="false">IF($A385="","",H385+E385)</f>
        <v/>
      </c>
      <c r="L385" s="20" t="str">
        <f aca="false">IF($A385="","",K385-J385-N385)</f>
        <v/>
      </c>
      <c r="M385" s="15" t="str">
        <f aca="false">IF($A385="","",INDEX(PERLINE!$A$2:$A$3001,MATCH($A385,PERLINE!$N$2:$N$3001,0)))</f>
        <v/>
      </c>
      <c r="N385" s="21" t="str">
        <f aca="false">IF($A385="","",SUMIFS(PERLINE!$M$2:$M$3001,PERLINE!$N$2:$N$3001,$A385))</f>
        <v/>
      </c>
    </row>
    <row r="386" customFormat="false" ht="15" hidden="false" customHeight="false" outlineLevel="0" collapsed="false">
      <c r="A386" s="15" t="str">
        <f aca="false">IF(ROWS($A$2:$A386)&lt;=Check!$C$4,SMALL(PERLINE!$AL$2:$AL$3001,ROWS($A$2:$A386)),"")</f>
        <v/>
      </c>
      <c r="B386" s="15" t="str">
        <f aca="false">IF($A386="","",INDEX(PERLINE!$J$2:$J$3001,MATCH($A386,PERLINE!$N$2:$N$3001,0)))</f>
        <v/>
      </c>
      <c r="C386" s="16" t="str">
        <f aca="false">IF($A386="","",INDEX(PERLINE!$I$2:$I$3001,MATCH($A386,PERLINE!$N$2:$N$3001,0)))</f>
        <v/>
      </c>
      <c r="D386" s="17" t="str">
        <f aca="false">IF($A386="","",'كشف المطالبة'!$D$6)</f>
        <v/>
      </c>
      <c r="E386" s="18" t="str">
        <f aca="false">IF($A386="","",SUMIFS(PERLINE!$U$2:$U$3001,PERLINE!$N$2:$N$3001,$A386,PERLINE!$AK$2:$AK$3001,0))</f>
        <v/>
      </c>
      <c r="F386" s="19" t="str">
        <f aca="false">IF($A386="","",E386*D386)</f>
        <v/>
      </c>
      <c r="G386" s="17" t="str">
        <f aca="false">IF($A386="","",'كشف المطالبة'!$D$5)</f>
        <v/>
      </c>
      <c r="H386" s="18" t="str">
        <f aca="false">IF($A386="","",SUMIFS(PERLINE!$U$2:$U$3001,PERLINE!$N$2:$N$3001,$A386,PERLINE!$AK$2:$AK$3001,1))</f>
        <v/>
      </c>
      <c r="I386" s="19" t="str">
        <f aca="false">IF($A386="","",H386*G386)</f>
        <v/>
      </c>
      <c r="J386" s="19" t="str">
        <f aca="false">IF($A386="","",F386+I386)</f>
        <v/>
      </c>
      <c r="K386" s="19" t="str">
        <f aca="false">IF($A386="","",H386+E386)</f>
        <v/>
      </c>
      <c r="L386" s="20" t="str">
        <f aca="false">IF($A386="","",K386-J386-N386)</f>
        <v/>
      </c>
      <c r="M386" s="15" t="str">
        <f aca="false">IF($A386="","",INDEX(PERLINE!$A$2:$A$3001,MATCH($A386,PERLINE!$N$2:$N$3001,0)))</f>
        <v/>
      </c>
      <c r="N386" s="21" t="str">
        <f aca="false">IF($A386="","",SUMIFS(PERLINE!$M$2:$M$3001,PERLINE!$N$2:$N$3001,$A386))</f>
        <v/>
      </c>
    </row>
    <row r="387" customFormat="false" ht="15" hidden="false" customHeight="false" outlineLevel="0" collapsed="false">
      <c r="A387" s="15" t="str">
        <f aca="false">IF(ROWS($A$2:$A387)&lt;=Check!$C$4,SMALL(PERLINE!$AL$2:$AL$3001,ROWS($A$2:$A387)),"")</f>
        <v/>
      </c>
      <c r="B387" s="15" t="str">
        <f aca="false">IF($A387="","",INDEX(PERLINE!$J$2:$J$3001,MATCH($A387,PERLINE!$N$2:$N$3001,0)))</f>
        <v/>
      </c>
      <c r="C387" s="16" t="str">
        <f aca="false">IF($A387="","",INDEX(PERLINE!$I$2:$I$3001,MATCH($A387,PERLINE!$N$2:$N$3001,0)))</f>
        <v/>
      </c>
      <c r="D387" s="17" t="str">
        <f aca="false">IF($A387="","",'كشف المطالبة'!$D$6)</f>
        <v/>
      </c>
      <c r="E387" s="18" t="str">
        <f aca="false">IF($A387="","",SUMIFS(PERLINE!$U$2:$U$3001,PERLINE!$N$2:$N$3001,$A387,PERLINE!$AK$2:$AK$3001,0))</f>
        <v/>
      </c>
      <c r="F387" s="19" t="str">
        <f aca="false">IF($A387="","",E387*D387)</f>
        <v/>
      </c>
      <c r="G387" s="17" t="str">
        <f aca="false">IF($A387="","",'كشف المطالبة'!$D$5)</f>
        <v/>
      </c>
      <c r="H387" s="18" t="str">
        <f aca="false">IF($A387="","",SUMIFS(PERLINE!$U$2:$U$3001,PERLINE!$N$2:$N$3001,$A387,PERLINE!$AK$2:$AK$3001,1))</f>
        <v/>
      </c>
      <c r="I387" s="19" t="str">
        <f aca="false">IF($A387="","",H387*G387)</f>
        <v/>
      </c>
      <c r="J387" s="19" t="str">
        <f aca="false">IF($A387="","",F387+I387)</f>
        <v/>
      </c>
      <c r="K387" s="19" t="str">
        <f aca="false">IF($A387="","",H387+E387)</f>
        <v/>
      </c>
      <c r="L387" s="20" t="str">
        <f aca="false">IF($A387="","",K387-J387-N387)</f>
        <v/>
      </c>
      <c r="M387" s="15" t="str">
        <f aca="false">IF($A387="","",INDEX(PERLINE!$A$2:$A$3001,MATCH($A387,PERLINE!$N$2:$N$3001,0)))</f>
        <v/>
      </c>
      <c r="N387" s="21" t="str">
        <f aca="false">IF($A387="","",SUMIFS(PERLINE!$M$2:$M$3001,PERLINE!$N$2:$N$3001,$A387))</f>
        <v/>
      </c>
    </row>
    <row r="388" customFormat="false" ht="15" hidden="false" customHeight="false" outlineLevel="0" collapsed="false">
      <c r="A388" s="15" t="str">
        <f aca="false">IF(ROWS($A$2:$A388)&lt;=Check!$C$4,SMALL(PERLINE!$AL$2:$AL$3001,ROWS($A$2:$A388)),"")</f>
        <v/>
      </c>
      <c r="B388" s="15" t="str">
        <f aca="false">IF($A388="","",INDEX(PERLINE!$J$2:$J$3001,MATCH($A388,PERLINE!$N$2:$N$3001,0)))</f>
        <v/>
      </c>
      <c r="C388" s="16" t="str">
        <f aca="false">IF($A388="","",INDEX(PERLINE!$I$2:$I$3001,MATCH($A388,PERLINE!$N$2:$N$3001,0)))</f>
        <v/>
      </c>
      <c r="D388" s="17" t="str">
        <f aca="false">IF($A388="","",'كشف المطالبة'!$D$6)</f>
        <v/>
      </c>
      <c r="E388" s="18" t="str">
        <f aca="false">IF($A388="","",SUMIFS(PERLINE!$U$2:$U$3001,PERLINE!$N$2:$N$3001,$A388,PERLINE!$AK$2:$AK$3001,0))</f>
        <v/>
      </c>
      <c r="F388" s="19" t="str">
        <f aca="false">IF($A388="","",E388*D388)</f>
        <v/>
      </c>
      <c r="G388" s="17" t="str">
        <f aca="false">IF($A388="","",'كشف المطالبة'!$D$5)</f>
        <v/>
      </c>
      <c r="H388" s="18" t="str">
        <f aca="false">IF($A388="","",SUMIFS(PERLINE!$U$2:$U$3001,PERLINE!$N$2:$N$3001,$A388,PERLINE!$AK$2:$AK$3001,1))</f>
        <v/>
      </c>
      <c r="I388" s="19" t="str">
        <f aca="false">IF($A388="","",H388*G388)</f>
        <v/>
      </c>
      <c r="J388" s="19" t="str">
        <f aca="false">IF($A388="","",F388+I388)</f>
        <v/>
      </c>
      <c r="K388" s="19" t="str">
        <f aca="false">IF($A388="","",H388+E388)</f>
        <v/>
      </c>
      <c r="L388" s="20" t="str">
        <f aca="false">IF($A388="","",K388-J388-N388)</f>
        <v/>
      </c>
      <c r="M388" s="15" t="str">
        <f aca="false">IF($A388="","",INDEX(PERLINE!$A$2:$A$3001,MATCH($A388,PERLINE!$N$2:$N$3001,0)))</f>
        <v/>
      </c>
      <c r="N388" s="21" t="str">
        <f aca="false">IF($A388="","",SUMIFS(PERLINE!$M$2:$M$3001,PERLINE!$N$2:$N$3001,$A388))</f>
        <v/>
      </c>
    </row>
    <row r="389" customFormat="false" ht="15" hidden="false" customHeight="false" outlineLevel="0" collapsed="false">
      <c r="A389" s="15" t="str">
        <f aca="false">IF(ROWS($A$2:$A389)&lt;=Check!$C$4,SMALL(PERLINE!$AL$2:$AL$3001,ROWS($A$2:$A389)),"")</f>
        <v/>
      </c>
      <c r="B389" s="15" t="str">
        <f aca="false">IF($A389="","",INDEX(PERLINE!$J$2:$J$3001,MATCH($A389,PERLINE!$N$2:$N$3001,0)))</f>
        <v/>
      </c>
      <c r="C389" s="16" t="str">
        <f aca="false">IF($A389="","",INDEX(PERLINE!$I$2:$I$3001,MATCH($A389,PERLINE!$N$2:$N$3001,0)))</f>
        <v/>
      </c>
      <c r="D389" s="17" t="str">
        <f aca="false">IF($A389="","",'كشف المطالبة'!$D$6)</f>
        <v/>
      </c>
      <c r="E389" s="18" t="str">
        <f aca="false">IF($A389="","",SUMIFS(PERLINE!$U$2:$U$3001,PERLINE!$N$2:$N$3001,$A389,PERLINE!$AK$2:$AK$3001,0))</f>
        <v/>
      </c>
      <c r="F389" s="19" t="str">
        <f aca="false">IF($A389="","",E389*D389)</f>
        <v/>
      </c>
      <c r="G389" s="17" t="str">
        <f aca="false">IF($A389="","",'كشف المطالبة'!$D$5)</f>
        <v/>
      </c>
      <c r="H389" s="18" t="str">
        <f aca="false">IF($A389="","",SUMIFS(PERLINE!$U$2:$U$3001,PERLINE!$N$2:$N$3001,$A389,PERLINE!$AK$2:$AK$3001,1))</f>
        <v/>
      </c>
      <c r="I389" s="19" t="str">
        <f aca="false">IF($A389="","",H389*G389)</f>
        <v/>
      </c>
      <c r="J389" s="19" t="str">
        <f aca="false">IF($A389="","",F389+I389)</f>
        <v/>
      </c>
      <c r="K389" s="19" t="str">
        <f aca="false">IF($A389="","",H389+E389)</f>
        <v/>
      </c>
      <c r="L389" s="20" t="str">
        <f aca="false">IF($A389="","",K389-J389-N389)</f>
        <v/>
      </c>
      <c r="M389" s="15" t="str">
        <f aca="false">IF($A389="","",INDEX(PERLINE!$A$2:$A$3001,MATCH($A389,PERLINE!$N$2:$N$3001,0)))</f>
        <v/>
      </c>
      <c r="N389" s="21" t="str">
        <f aca="false">IF($A389="","",SUMIFS(PERLINE!$M$2:$M$3001,PERLINE!$N$2:$N$3001,$A389))</f>
        <v/>
      </c>
    </row>
    <row r="390" customFormat="false" ht="15" hidden="false" customHeight="false" outlineLevel="0" collapsed="false">
      <c r="A390" s="15" t="str">
        <f aca="false">IF(ROWS($A$2:$A390)&lt;=Check!$C$4,SMALL(PERLINE!$AL$2:$AL$3001,ROWS($A$2:$A390)),"")</f>
        <v/>
      </c>
      <c r="B390" s="15" t="str">
        <f aca="false">IF($A390="","",INDEX(PERLINE!$J$2:$J$3001,MATCH($A390,PERLINE!$N$2:$N$3001,0)))</f>
        <v/>
      </c>
      <c r="C390" s="16" t="str">
        <f aca="false">IF($A390="","",INDEX(PERLINE!$I$2:$I$3001,MATCH($A390,PERLINE!$N$2:$N$3001,0)))</f>
        <v/>
      </c>
      <c r="D390" s="17" t="str">
        <f aca="false">IF($A390="","",'كشف المطالبة'!$D$6)</f>
        <v/>
      </c>
      <c r="E390" s="18" t="str">
        <f aca="false">IF($A390="","",SUMIFS(PERLINE!$U$2:$U$3001,PERLINE!$N$2:$N$3001,$A390,PERLINE!$AK$2:$AK$3001,0))</f>
        <v/>
      </c>
      <c r="F390" s="19" t="str">
        <f aca="false">IF($A390="","",E390*D390)</f>
        <v/>
      </c>
      <c r="G390" s="17" t="str">
        <f aca="false">IF($A390="","",'كشف المطالبة'!$D$5)</f>
        <v/>
      </c>
      <c r="H390" s="18" t="str">
        <f aca="false">IF($A390="","",SUMIFS(PERLINE!$U$2:$U$3001,PERLINE!$N$2:$N$3001,$A390,PERLINE!$AK$2:$AK$3001,1))</f>
        <v/>
      </c>
      <c r="I390" s="19" t="str">
        <f aca="false">IF($A390="","",H390*G390)</f>
        <v/>
      </c>
      <c r="J390" s="19" t="str">
        <f aca="false">IF($A390="","",F390+I390)</f>
        <v/>
      </c>
      <c r="K390" s="19" t="str">
        <f aca="false">IF($A390="","",H390+E390)</f>
        <v/>
      </c>
      <c r="L390" s="20" t="str">
        <f aca="false">IF($A390="","",K390-J390-N390)</f>
        <v/>
      </c>
      <c r="M390" s="15" t="str">
        <f aca="false">IF($A390="","",INDEX(PERLINE!$A$2:$A$3001,MATCH($A390,PERLINE!$N$2:$N$3001,0)))</f>
        <v/>
      </c>
      <c r="N390" s="21" t="str">
        <f aca="false">IF($A390="","",SUMIFS(PERLINE!$M$2:$M$3001,PERLINE!$N$2:$N$3001,$A390))</f>
        <v/>
      </c>
    </row>
    <row r="391" customFormat="false" ht="15" hidden="false" customHeight="false" outlineLevel="0" collapsed="false">
      <c r="A391" s="15" t="str">
        <f aca="false">IF(ROWS($A$2:$A391)&lt;=Check!$C$4,SMALL(PERLINE!$AL$2:$AL$3001,ROWS($A$2:$A391)),"")</f>
        <v/>
      </c>
      <c r="B391" s="15" t="str">
        <f aca="false">IF($A391="","",INDEX(PERLINE!$J$2:$J$3001,MATCH($A391,PERLINE!$N$2:$N$3001,0)))</f>
        <v/>
      </c>
      <c r="C391" s="16" t="str">
        <f aca="false">IF($A391="","",INDEX(PERLINE!$I$2:$I$3001,MATCH($A391,PERLINE!$N$2:$N$3001,0)))</f>
        <v/>
      </c>
      <c r="D391" s="17" t="str">
        <f aca="false">IF($A391="","",'كشف المطالبة'!$D$6)</f>
        <v/>
      </c>
      <c r="E391" s="18" t="str">
        <f aca="false">IF($A391="","",SUMIFS(PERLINE!$U$2:$U$3001,PERLINE!$N$2:$N$3001,$A391,PERLINE!$AK$2:$AK$3001,0))</f>
        <v/>
      </c>
      <c r="F391" s="19" t="str">
        <f aca="false">IF($A391="","",E391*D391)</f>
        <v/>
      </c>
      <c r="G391" s="17" t="str">
        <f aca="false">IF($A391="","",'كشف المطالبة'!$D$5)</f>
        <v/>
      </c>
      <c r="H391" s="18" t="str">
        <f aca="false">IF($A391="","",SUMIFS(PERLINE!$U$2:$U$3001,PERLINE!$N$2:$N$3001,$A391,PERLINE!$AK$2:$AK$3001,1))</f>
        <v/>
      </c>
      <c r="I391" s="19" t="str">
        <f aca="false">IF($A391="","",H391*G391)</f>
        <v/>
      </c>
      <c r="J391" s="19" t="str">
        <f aca="false">IF($A391="","",F391+I391)</f>
        <v/>
      </c>
      <c r="K391" s="19" t="str">
        <f aca="false">IF($A391="","",H391+E391)</f>
        <v/>
      </c>
      <c r="L391" s="20" t="str">
        <f aca="false">IF($A391="","",K391-J391-N391)</f>
        <v/>
      </c>
      <c r="M391" s="15" t="str">
        <f aca="false">IF($A391="","",INDEX(PERLINE!$A$2:$A$3001,MATCH($A391,PERLINE!$N$2:$N$3001,0)))</f>
        <v/>
      </c>
      <c r="N391" s="21" t="str">
        <f aca="false">IF($A391="","",SUMIFS(PERLINE!$M$2:$M$3001,PERLINE!$N$2:$N$3001,$A391))</f>
        <v/>
      </c>
    </row>
    <row r="392" customFormat="false" ht="15" hidden="false" customHeight="false" outlineLevel="0" collapsed="false">
      <c r="A392" s="15" t="str">
        <f aca="false">IF(ROWS($A$2:$A392)&lt;=Check!$C$4,SMALL(PERLINE!$AL$2:$AL$3001,ROWS($A$2:$A392)),"")</f>
        <v/>
      </c>
      <c r="B392" s="15" t="str">
        <f aca="false">IF($A392="","",INDEX(PERLINE!$J$2:$J$3001,MATCH($A392,PERLINE!$N$2:$N$3001,0)))</f>
        <v/>
      </c>
      <c r="C392" s="16" t="str">
        <f aca="false">IF($A392="","",INDEX(PERLINE!$I$2:$I$3001,MATCH($A392,PERLINE!$N$2:$N$3001,0)))</f>
        <v/>
      </c>
      <c r="D392" s="17" t="str">
        <f aca="false">IF($A392="","",'كشف المطالبة'!$D$6)</f>
        <v/>
      </c>
      <c r="E392" s="18" t="str">
        <f aca="false">IF($A392="","",SUMIFS(PERLINE!$U$2:$U$3001,PERLINE!$N$2:$N$3001,$A392,PERLINE!$AK$2:$AK$3001,0))</f>
        <v/>
      </c>
      <c r="F392" s="19" t="str">
        <f aca="false">IF($A392="","",E392*D392)</f>
        <v/>
      </c>
      <c r="G392" s="17" t="str">
        <f aca="false">IF($A392="","",'كشف المطالبة'!$D$5)</f>
        <v/>
      </c>
      <c r="H392" s="18" t="str">
        <f aca="false">IF($A392="","",SUMIFS(PERLINE!$U$2:$U$3001,PERLINE!$N$2:$N$3001,$A392,PERLINE!$AK$2:$AK$3001,1))</f>
        <v/>
      </c>
      <c r="I392" s="19" t="str">
        <f aca="false">IF($A392="","",H392*G392)</f>
        <v/>
      </c>
      <c r="J392" s="19" t="str">
        <f aca="false">IF($A392="","",F392+I392)</f>
        <v/>
      </c>
      <c r="K392" s="19" t="str">
        <f aca="false">IF($A392="","",H392+E392)</f>
        <v/>
      </c>
      <c r="L392" s="20" t="str">
        <f aca="false">IF($A392="","",K392-J392-N392)</f>
        <v/>
      </c>
      <c r="M392" s="15" t="str">
        <f aca="false">IF($A392="","",INDEX(PERLINE!$A$2:$A$3001,MATCH($A392,PERLINE!$N$2:$N$3001,0)))</f>
        <v/>
      </c>
      <c r="N392" s="21" t="str">
        <f aca="false">IF($A392="","",SUMIFS(PERLINE!$M$2:$M$3001,PERLINE!$N$2:$N$3001,$A392))</f>
        <v/>
      </c>
    </row>
    <row r="393" customFormat="false" ht="15" hidden="false" customHeight="false" outlineLevel="0" collapsed="false">
      <c r="A393" s="15" t="str">
        <f aca="false">IF(ROWS($A$2:$A393)&lt;=Check!$C$4,SMALL(PERLINE!$AL$2:$AL$3001,ROWS($A$2:$A393)),"")</f>
        <v/>
      </c>
      <c r="B393" s="15" t="str">
        <f aca="false">IF($A393="","",INDEX(PERLINE!$J$2:$J$3001,MATCH($A393,PERLINE!$N$2:$N$3001,0)))</f>
        <v/>
      </c>
      <c r="C393" s="16" t="str">
        <f aca="false">IF($A393="","",INDEX(PERLINE!$I$2:$I$3001,MATCH($A393,PERLINE!$N$2:$N$3001,0)))</f>
        <v/>
      </c>
      <c r="D393" s="17" t="str">
        <f aca="false">IF($A393="","",'كشف المطالبة'!$D$6)</f>
        <v/>
      </c>
      <c r="E393" s="18" t="str">
        <f aca="false">IF($A393="","",SUMIFS(PERLINE!$U$2:$U$3001,PERLINE!$N$2:$N$3001,$A393,PERLINE!$AK$2:$AK$3001,0))</f>
        <v/>
      </c>
      <c r="F393" s="19" t="str">
        <f aca="false">IF($A393="","",E393*D393)</f>
        <v/>
      </c>
      <c r="G393" s="17" t="str">
        <f aca="false">IF($A393="","",'كشف المطالبة'!$D$5)</f>
        <v/>
      </c>
      <c r="H393" s="18" t="str">
        <f aca="false">IF($A393="","",SUMIFS(PERLINE!$U$2:$U$3001,PERLINE!$N$2:$N$3001,$A393,PERLINE!$AK$2:$AK$3001,1))</f>
        <v/>
      </c>
      <c r="I393" s="19" t="str">
        <f aca="false">IF($A393="","",H393*G393)</f>
        <v/>
      </c>
      <c r="J393" s="19" t="str">
        <f aca="false">IF($A393="","",F393+I393)</f>
        <v/>
      </c>
      <c r="K393" s="19" t="str">
        <f aca="false">IF($A393="","",H393+E393)</f>
        <v/>
      </c>
      <c r="L393" s="20" t="str">
        <f aca="false">IF($A393="","",K393-J393-N393)</f>
        <v/>
      </c>
      <c r="M393" s="15" t="str">
        <f aca="false">IF($A393="","",INDEX(PERLINE!$A$2:$A$3001,MATCH($A393,PERLINE!$N$2:$N$3001,0)))</f>
        <v/>
      </c>
      <c r="N393" s="21" t="str">
        <f aca="false">IF($A393="","",SUMIFS(PERLINE!$M$2:$M$3001,PERLINE!$N$2:$N$3001,$A393))</f>
        <v/>
      </c>
    </row>
    <row r="394" customFormat="false" ht="15" hidden="false" customHeight="false" outlineLevel="0" collapsed="false">
      <c r="A394" s="15" t="str">
        <f aca="false">IF(ROWS($A$2:$A394)&lt;=Check!$C$4,SMALL(PERLINE!$AL$2:$AL$3001,ROWS($A$2:$A394)),"")</f>
        <v/>
      </c>
      <c r="B394" s="15" t="str">
        <f aca="false">IF($A394="","",INDEX(PERLINE!$J$2:$J$3001,MATCH($A394,PERLINE!$N$2:$N$3001,0)))</f>
        <v/>
      </c>
      <c r="C394" s="16" t="str">
        <f aca="false">IF($A394="","",INDEX(PERLINE!$I$2:$I$3001,MATCH($A394,PERLINE!$N$2:$N$3001,0)))</f>
        <v/>
      </c>
      <c r="D394" s="17" t="str">
        <f aca="false">IF($A394="","",'كشف المطالبة'!$D$6)</f>
        <v/>
      </c>
      <c r="E394" s="18" t="str">
        <f aca="false">IF($A394="","",SUMIFS(PERLINE!$U$2:$U$3001,PERLINE!$N$2:$N$3001,$A394,PERLINE!$AK$2:$AK$3001,0))</f>
        <v/>
      </c>
      <c r="F394" s="19" t="str">
        <f aca="false">IF($A394="","",E394*D394)</f>
        <v/>
      </c>
      <c r="G394" s="17" t="str">
        <f aca="false">IF($A394="","",'كشف المطالبة'!$D$5)</f>
        <v/>
      </c>
      <c r="H394" s="18" t="str">
        <f aca="false">IF($A394="","",SUMIFS(PERLINE!$U$2:$U$3001,PERLINE!$N$2:$N$3001,$A394,PERLINE!$AK$2:$AK$3001,1))</f>
        <v/>
      </c>
      <c r="I394" s="19" t="str">
        <f aca="false">IF($A394="","",H394*G394)</f>
        <v/>
      </c>
      <c r="J394" s="19" t="str">
        <f aca="false">IF($A394="","",F394+I394)</f>
        <v/>
      </c>
      <c r="K394" s="19" t="str">
        <f aca="false">IF($A394="","",H394+E394)</f>
        <v/>
      </c>
      <c r="L394" s="20" t="str">
        <f aca="false">IF($A394="","",K394-J394-N394)</f>
        <v/>
      </c>
      <c r="M394" s="15" t="str">
        <f aca="false">IF($A394="","",INDEX(PERLINE!$A$2:$A$3001,MATCH($A394,PERLINE!$N$2:$N$3001,0)))</f>
        <v/>
      </c>
      <c r="N394" s="21" t="str">
        <f aca="false">IF($A394="","",SUMIFS(PERLINE!$M$2:$M$3001,PERLINE!$N$2:$N$3001,$A394))</f>
        <v/>
      </c>
    </row>
    <row r="395" customFormat="false" ht="15" hidden="false" customHeight="false" outlineLevel="0" collapsed="false">
      <c r="A395" s="15" t="str">
        <f aca="false">IF(ROWS($A$2:$A395)&lt;=Check!$C$4,SMALL(PERLINE!$AL$2:$AL$3001,ROWS($A$2:$A395)),"")</f>
        <v/>
      </c>
      <c r="B395" s="15" t="str">
        <f aca="false">IF($A395="","",INDEX(PERLINE!$J$2:$J$3001,MATCH($A395,PERLINE!$N$2:$N$3001,0)))</f>
        <v/>
      </c>
      <c r="C395" s="16" t="str">
        <f aca="false">IF($A395="","",INDEX(PERLINE!$I$2:$I$3001,MATCH($A395,PERLINE!$N$2:$N$3001,0)))</f>
        <v/>
      </c>
      <c r="D395" s="17" t="str">
        <f aca="false">IF($A395="","",'كشف المطالبة'!$D$6)</f>
        <v/>
      </c>
      <c r="E395" s="18" t="str">
        <f aca="false">IF($A395="","",SUMIFS(PERLINE!$U$2:$U$3001,PERLINE!$N$2:$N$3001,$A395,PERLINE!$AK$2:$AK$3001,0))</f>
        <v/>
      </c>
      <c r="F395" s="19" t="str">
        <f aca="false">IF($A395="","",E395*D395)</f>
        <v/>
      </c>
      <c r="G395" s="17" t="str">
        <f aca="false">IF($A395="","",'كشف المطالبة'!$D$5)</f>
        <v/>
      </c>
      <c r="H395" s="18" t="str">
        <f aca="false">IF($A395="","",SUMIFS(PERLINE!$U$2:$U$3001,PERLINE!$N$2:$N$3001,$A395,PERLINE!$AK$2:$AK$3001,1))</f>
        <v/>
      </c>
      <c r="I395" s="19" t="str">
        <f aca="false">IF($A395="","",H395*G395)</f>
        <v/>
      </c>
      <c r="J395" s="19" t="str">
        <f aca="false">IF($A395="","",F395+I395)</f>
        <v/>
      </c>
      <c r="K395" s="19" t="str">
        <f aca="false">IF($A395="","",H395+E395)</f>
        <v/>
      </c>
      <c r="L395" s="20" t="str">
        <f aca="false">IF($A395="","",K395-J395-N395)</f>
        <v/>
      </c>
      <c r="M395" s="15" t="str">
        <f aca="false">IF($A395="","",INDEX(PERLINE!$A$2:$A$3001,MATCH($A395,PERLINE!$N$2:$N$3001,0)))</f>
        <v/>
      </c>
      <c r="N395" s="21" t="str">
        <f aca="false">IF($A395="","",SUMIFS(PERLINE!$M$2:$M$3001,PERLINE!$N$2:$N$3001,$A395))</f>
        <v/>
      </c>
    </row>
    <row r="396" customFormat="false" ht="15" hidden="false" customHeight="false" outlineLevel="0" collapsed="false">
      <c r="A396" s="15" t="str">
        <f aca="false">IF(ROWS($A$2:$A396)&lt;=Check!$C$4,SMALL(PERLINE!$AL$2:$AL$3001,ROWS($A$2:$A396)),"")</f>
        <v/>
      </c>
      <c r="B396" s="15" t="str">
        <f aca="false">IF($A396="","",INDEX(PERLINE!$J$2:$J$3001,MATCH($A396,PERLINE!$N$2:$N$3001,0)))</f>
        <v/>
      </c>
      <c r="C396" s="16" t="str">
        <f aca="false">IF($A396="","",INDEX(PERLINE!$I$2:$I$3001,MATCH($A396,PERLINE!$N$2:$N$3001,0)))</f>
        <v/>
      </c>
      <c r="D396" s="17" t="str">
        <f aca="false">IF($A396="","",'كشف المطالبة'!$D$6)</f>
        <v/>
      </c>
      <c r="E396" s="18" t="str">
        <f aca="false">IF($A396="","",SUMIFS(PERLINE!$U$2:$U$3001,PERLINE!$N$2:$N$3001,$A396,PERLINE!$AK$2:$AK$3001,0))</f>
        <v/>
      </c>
      <c r="F396" s="19" t="str">
        <f aca="false">IF($A396="","",E396*D396)</f>
        <v/>
      </c>
      <c r="G396" s="17" t="str">
        <f aca="false">IF($A396="","",'كشف المطالبة'!$D$5)</f>
        <v/>
      </c>
      <c r="H396" s="18" t="str">
        <f aca="false">IF($A396="","",SUMIFS(PERLINE!$U$2:$U$3001,PERLINE!$N$2:$N$3001,$A396,PERLINE!$AK$2:$AK$3001,1))</f>
        <v/>
      </c>
      <c r="I396" s="19" t="str">
        <f aca="false">IF($A396="","",H396*G396)</f>
        <v/>
      </c>
      <c r="J396" s="19" t="str">
        <f aca="false">IF($A396="","",F396+I396)</f>
        <v/>
      </c>
      <c r="K396" s="19" t="str">
        <f aca="false">IF($A396="","",H396+E396)</f>
        <v/>
      </c>
      <c r="L396" s="20" t="str">
        <f aca="false">IF($A396="","",K396-J396-N396)</f>
        <v/>
      </c>
      <c r="M396" s="15" t="str">
        <f aca="false">IF($A396="","",INDEX(PERLINE!$A$2:$A$3001,MATCH($A396,PERLINE!$N$2:$N$3001,0)))</f>
        <v/>
      </c>
      <c r="N396" s="21" t="str">
        <f aca="false">IF($A396="","",SUMIFS(PERLINE!$M$2:$M$3001,PERLINE!$N$2:$N$3001,$A396))</f>
        <v/>
      </c>
    </row>
    <row r="397" customFormat="false" ht="15" hidden="false" customHeight="false" outlineLevel="0" collapsed="false">
      <c r="A397" s="15" t="str">
        <f aca="false">IF(ROWS($A$2:$A397)&lt;=Check!$C$4,SMALL(PERLINE!$AL$2:$AL$3001,ROWS($A$2:$A397)),"")</f>
        <v/>
      </c>
      <c r="B397" s="15" t="str">
        <f aca="false">IF($A397="","",INDEX(PERLINE!$J$2:$J$3001,MATCH($A397,PERLINE!$N$2:$N$3001,0)))</f>
        <v/>
      </c>
      <c r="C397" s="16" t="str">
        <f aca="false">IF($A397="","",INDEX(PERLINE!$I$2:$I$3001,MATCH($A397,PERLINE!$N$2:$N$3001,0)))</f>
        <v/>
      </c>
      <c r="D397" s="17" t="str">
        <f aca="false">IF($A397="","",'كشف المطالبة'!$D$6)</f>
        <v/>
      </c>
      <c r="E397" s="18" t="str">
        <f aca="false">IF($A397="","",SUMIFS(PERLINE!$U$2:$U$3001,PERLINE!$N$2:$N$3001,$A397,PERLINE!$AK$2:$AK$3001,0))</f>
        <v/>
      </c>
      <c r="F397" s="19" t="str">
        <f aca="false">IF($A397="","",E397*D397)</f>
        <v/>
      </c>
      <c r="G397" s="17" t="str">
        <f aca="false">IF($A397="","",'كشف المطالبة'!$D$5)</f>
        <v/>
      </c>
      <c r="H397" s="18" t="str">
        <f aca="false">IF($A397="","",SUMIFS(PERLINE!$U$2:$U$3001,PERLINE!$N$2:$N$3001,$A397,PERLINE!$AK$2:$AK$3001,1))</f>
        <v/>
      </c>
      <c r="I397" s="19" t="str">
        <f aca="false">IF($A397="","",H397*G397)</f>
        <v/>
      </c>
      <c r="J397" s="19" t="str">
        <f aca="false">IF($A397="","",F397+I397)</f>
        <v/>
      </c>
      <c r="K397" s="19" t="str">
        <f aca="false">IF($A397="","",H397+E397)</f>
        <v/>
      </c>
      <c r="L397" s="20" t="str">
        <f aca="false">IF($A397="","",K397-J397-N397)</f>
        <v/>
      </c>
      <c r="M397" s="15" t="str">
        <f aca="false">IF($A397="","",INDEX(PERLINE!$A$2:$A$3001,MATCH($A397,PERLINE!$N$2:$N$3001,0)))</f>
        <v/>
      </c>
      <c r="N397" s="21" t="str">
        <f aca="false">IF($A397="","",SUMIFS(PERLINE!$M$2:$M$3001,PERLINE!$N$2:$N$3001,$A397))</f>
        <v/>
      </c>
    </row>
    <row r="398" customFormat="false" ht="15" hidden="false" customHeight="false" outlineLevel="0" collapsed="false">
      <c r="A398" s="15" t="str">
        <f aca="false">IF(ROWS($A$2:$A398)&lt;=Check!$C$4,SMALL(PERLINE!$AL$2:$AL$3001,ROWS($A$2:$A398)),"")</f>
        <v/>
      </c>
      <c r="B398" s="15" t="str">
        <f aca="false">IF($A398="","",INDEX(PERLINE!$J$2:$J$3001,MATCH($A398,PERLINE!$N$2:$N$3001,0)))</f>
        <v/>
      </c>
      <c r="C398" s="16" t="str">
        <f aca="false">IF($A398="","",INDEX(PERLINE!$I$2:$I$3001,MATCH($A398,PERLINE!$N$2:$N$3001,0)))</f>
        <v/>
      </c>
      <c r="D398" s="17" t="str">
        <f aca="false">IF($A398="","",'كشف المطالبة'!$D$6)</f>
        <v/>
      </c>
      <c r="E398" s="18" t="str">
        <f aca="false">IF($A398="","",SUMIFS(PERLINE!$U$2:$U$3001,PERLINE!$N$2:$N$3001,$A398,PERLINE!$AK$2:$AK$3001,0))</f>
        <v/>
      </c>
      <c r="F398" s="19" t="str">
        <f aca="false">IF($A398="","",E398*D398)</f>
        <v/>
      </c>
      <c r="G398" s="17" t="str">
        <f aca="false">IF($A398="","",'كشف المطالبة'!$D$5)</f>
        <v/>
      </c>
      <c r="H398" s="18" t="str">
        <f aca="false">IF($A398="","",SUMIFS(PERLINE!$U$2:$U$3001,PERLINE!$N$2:$N$3001,$A398,PERLINE!$AK$2:$AK$3001,1))</f>
        <v/>
      </c>
      <c r="I398" s="19" t="str">
        <f aca="false">IF($A398="","",H398*G398)</f>
        <v/>
      </c>
      <c r="J398" s="19" t="str">
        <f aca="false">IF($A398="","",F398+I398)</f>
        <v/>
      </c>
      <c r="K398" s="19" t="str">
        <f aca="false">IF($A398="","",H398+E398)</f>
        <v/>
      </c>
      <c r="L398" s="20" t="str">
        <f aca="false">IF($A398="","",K398-J398-N398)</f>
        <v/>
      </c>
      <c r="M398" s="15" t="str">
        <f aca="false">IF($A398="","",INDEX(PERLINE!$A$2:$A$3001,MATCH($A398,PERLINE!$N$2:$N$3001,0)))</f>
        <v/>
      </c>
      <c r="N398" s="21" t="str">
        <f aca="false">IF($A398="","",SUMIFS(PERLINE!$M$2:$M$3001,PERLINE!$N$2:$N$3001,$A398))</f>
        <v/>
      </c>
    </row>
    <row r="399" customFormat="false" ht="15" hidden="false" customHeight="false" outlineLevel="0" collapsed="false">
      <c r="A399" s="15" t="str">
        <f aca="false">IF(ROWS($A$2:$A399)&lt;=Check!$C$4,SMALL(PERLINE!$AL$2:$AL$3001,ROWS($A$2:$A399)),"")</f>
        <v/>
      </c>
      <c r="B399" s="15" t="str">
        <f aca="false">IF($A399="","",INDEX(PERLINE!$J$2:$J$3001,MATCH($A399,PERLINE!$N$2:$N$3001,0)))</f>
        <v/>
      </c>
      <c r="C399" s="16" t="str">
        <f aca="false">IF($A399="","",INDEX(PERLINE!$I$2:$I$3001,MATCH($A399,PERLINE!$N$2:$N$3001,0)))</f>
        <v/>
      </c>
      <c r="D399" s="17" t="str">
        <f aca="false">IF($A399="","",'كشف المطالبة'!$D$6)</f>
        <v/>
      </c>
      <c r="E399" s="18" t="str">
        <f aca="false">IF($A399="","",SUMIFS(PERLINE!$U$2:$U$3001,PERLINE!$N$2:$N$3001,$A399,PERLINE!$AK$2:$AK$3001,0))</f>
        <v/>
      </c>
      <c r="F399" s="19" t="str">
        <f aca="false">IF($A399="","",E399*D399)</f>
        <v/>
      </c>
      <c r="G399" s="17" t="str">
        <f aca="false">IF($A399="","",'كشف المطالبة'!$D$5)</f>
        <v/>
      </c>
      <c r="H399" s="18" t="str">
        <f aca="false">IF($A399="","",SUMIFS(PERLINE!$U$2:$U$3001,PERLINE!$N$2:$N$3001,$A399,PERLINE!$AK$2:$AK$3001,1))</f>
        <v/>
      </c>
      <c r="I399" s="19" t="str">
        <f aca="false">IF($A399="","",H399*G399)</f>
        <v/>
      </c>
      <c r="J399" s="19" t="str">
        <f aca="false">IF($A399="","",F399+I399)</f>
        <v/>
      </c>
      <c r="K399" s="19" t="str">
        <f aca="false">IF($A399="","",H399+E399)</f>
        <v/>
      </c>
      <c r="L399" s="20" t="str">
        <f aca="false">IF($A399="","",K399-J399-N399)</f>
        <v/>
      </c>
      <c r="M399" s="15" t="str">
        <f aca="false">IF($A399="","",INDEX(PERLINE!$A$2:$A$3001,MATCH($A399,PERLINE!$N$2:$N$3001,0)))</f>
        <v/>
      </c>
      <c r="N399" s="21" t="str">
        <f aca="false">IF($A399="","",SUMIFS(PERLINE!$M$2:$M$3001,PERLINE!$N$2:$N$3001,$A399))</f>
        <v/>
      </c>
    </row>
    <row r="400" customFormat="false" ht="15" hidden="false" customHeight="false" outlineLevel="0" collapsed="false">
      <c r="A400" s="15" t="str">
        <f aca="false">IF(ROWS($A$2:$A400)&lt;=Check!$C$4,SMALL(PERLINE!$AL$2:$AL$3001,ROWS($A$2:$A400)),"")</f>
        <v/>
      </c>
      <c r="B400" s="15" t="str">
        <f aca="false">IF($A400="","",INDEX(PERLINE!$J$2:$J$3001,MATCH($A400,PERLINE!$N$2:$N$3001,0)))</f>
        <v/>
      </c>
      <c r="C400" s="16" t="str">
        <f aca="false">IF($A400="","",INDEX(PERLINE!$I$2:$I$3001,MATCH($A400,PERLINE!$N$2:$N$3001,0)))</f>
        <v/>
      </c>
      <c r="D400" s="17" t="str">
        <f aca="false">IF($A400="","",'كشف المطالبة'!$D$6)</f>
        <v/>
      </c>
      <c r="E400" s="18" t="str">
        <f aca="false">IF($A400="","",SUMIFS(PERLINE!$U$2:$U$3001,PERLINE!$N$2:$N$3001,$A400,PERLINE!$AK$2:$AK$3001,0))</f>
        <v/>
      </c>
      <c r="F400" s="19" t="str">
        <f aca="false">IF($A400="","",E400*D400)</f>
        <v/>
      </c>
      <c r="G400" s="17" t="str">
        <f aca="false">IF($A400="","",'كشف المطالبة'!$D$5)</f>
        <v/>
      </c>
      <c r="H400" s="18" t="str">
        <f aca="false">IF($A400="","",SUMIFS(PERLINE!$U$2:$U$3001,PERLINE!$N$2:$N$3001,$A400,PERLINE!$AK$2:$AK$3001,1))</f>
        <v/>
      </c>
      <c r="I400" s="19" t="str">
        <f aca="false">IF($A400="","",H400*G400)</f>
        <v/>
      </c>
      <c r="J400" s="19" t="str">
        <f aca="false">IF($A400="","",F400+I400)</f>
        <v/>
      </c>
      <c r="K400" s="19" t="str">
        <f aca="false">IF($A400="","",H400+E400)</f>
        <v/>
      </c>
      <c r="L400" s="20" t="str">
        <f aca="false">IF($A400="","",K400-J400-N400)</f>
        <v/>
      </c>
      <c r="M400" s="15" t="str">
        <f aca="false">IF($A400="","",INDEX(PERLINE!$A$2:$A$3001,MATCH($A400,PERLINE!$N$2:$N$3001,0)))</f>
        <v/>
      </c>
      <c r="N400" s="21" t="str">
        <f aca="false">IF($A400="","",SUMIFS(PERLINE!$M$2:$M$3001,PERLINE!$N$2:$N$3001,$A400))</f>
        <v/>
      </c>
    </row>
    <row r="401" customFormat="false" ht="15" hidden="false" customHeight="false" outlineLevel="0" collapsed="false">
      <c r="A401" s="15" t="str">
        <f aca="false">IF(ROWS($A$2:$A401)&lt;=Check!$C$4,SMALL(PERLINE!$AL$2:$AL$3001,ROWS($A$2:$A401)),"")</f>
        <v/>
      </c>
      <c r="B401" s="15" t="str">
        <f aca="false">IF($A401="","",INDEX(PERLINE!$J$2:$J$3001,MATCH($A401,PERLINE!$N$2:$N$3001,0)))</f>
        <v/>
      </c>
      <c r="C401" s="16" t="str">
        <f aca="false">IF($A401="","",INDEX(PERLINE!$I$2:$I$3001,MATCH($A401,PERLINE!$N$2:$N$3001,0)))</f>
        <v/>
      </c>
      <c r="D401" s="17" t="str">
        <f aca="false">IF($A401="","",'كشف المطالبة'!$D$6)</f>
        <v/>
      </c>
      <c r="E401" s="18" t="str">
        <f aca="false">IF($A401="","",SUMIFS(PERLINE!$U$2:$U$3001,PERLINE!$N$2:$N$3001,$A401,PERLINE!$AK$2:$AK$3001,0))</f>
        <v/>
      </c>
      <c r="F401" s="19" t="str">
        <f aca="false">IF($A401="","",E401*D401)</f>
        <v/>
      </c>
      <c r="G401" s="17" t="str">
        <f aca="false">IF($A401="","",'كشف المطالبة'!$D$5)</f>
        <v/>
      </c>
      <c r="H401" s="18" t="str">
        <f aca="false">IF($A401="","",SUMIFS(PERLINE!$U$2:$U$3001,PERLINE!$N$2:$N$3001,$A401,PERLINE!$AK$2:$AK$3001,1))</f>
        <v/>
      </c>
      <c r="I401" s="19" t="str">
        <f aca="false">IF($A401="","",H401*G401)</f>
        <v/>
      </c>
      <c r="J401" s="19" t="str">
        <f aca="false">IF($A401="","",F401+I401)</f>
        <v/>
      </c>
      <c r="K401" s="19" t="str">
        <f aca="false">IF($A401="","",H401+E401)</f>
        <v/>
      </c>
      <c r="L401" s="20" t="str">
        <f aca="false">IF($A401="","",K401-J401-N401)</f>
        <v/>
      </c>
      <c r="M401" s="15" t="str">
        <f aca="false">IF($A401="","",INDEX(PERLINE!$A$2:$A$3001,MATCH($A401,PERLINE!$N$2:$N$3001,0)))</f>
        <v/>
      </c>
      <c r="N401" s="21" t="str">
        <f aca="false">IF($A401="","",SUMIFS(PERLINE!$M$2:$M$3001,PERLINE!$N$2:$N$3001,$A401))</f>
        <v/>
      </c>
    </row>
    <row r="402" customFormat="false" ht="15" hidden="false" customHeight="false" outlineLevel="0" collapsed="false">
      <c r="A402" s="15" t="str">
        <f aca="false">IF(ROWS($A$2:$A402)&lt;=Check!$C$4,SMALL(PERLINE!$AL$2:$AL$3001,ROWS($A$2:$A402)),"")</f>
        <v/>
      </c>
      <c r="B402" s="15" t="str">
        <f aca="false">IF($A402="","",INDEX(PERLINE!$J$2:$J$3001,MATCH($A402,PERLINE!$N$2:$N$3001,0)))</f>
        <v/>
      </c>
      <c r="C402" s="16" t="str">
        <f aca="false">IF($A402="","",INDEX(PERLINE!$I$2:$I$3001,MATCH($A402,PERLINE!$N$2:$N$3001,0)))</f>
        <v/>
      </c>
      <c r="D402" s="17" t="str">
        <f aca="false">IF($A402="","",'كشف المطالبة'!$D$6)</f>
        <v/>
      </c>
      <c r="E402" s="18" t="str">
        <f aca="false">IF($A402="","",SUMIFS(PERLINE!$U$2:$U$3001,PERLINE!$N$2:$N$3001,$A402,PERLINE!$AK$2:$AK$3001,0))</f>
        <v/>
      </c>
      <c r="F402" s="19" t="str">
        <f aca="false">IF($A402="","",E402*D402)</f>
        <v/>
      </c>
      <c r="G402" s="17" t="str">
        <f aca="false">IF($A402="","",'كشف المطالبة'!$D$5)</f>
        <v/>
      </c>
      <c r="H402" s="18" t="str">
        <f aca="false">IF($A402="","",SUMIFS(PERLINE!$U$2:$U$3001,PERLINE!$N$2:$N$3001,$A402,PERLINE!$AK$2:$AK$3001,1))</f>
        <v/>
      </c>
      <c r="I402" s="19" t="str">
        <f aca="false">IF($A402="","",H402*G402)</f>
        <v/>
      </c>
      <c r="J402" s="19" t="str">
        <f aca="false">IF($A402="","",F402+I402)</f>
        <v/>
      </c>
      <c r="K402" s="19" t="str">
        <f aca="false">IF($A402="","",H402+E402)</f>
        <v/>
      </c>
      <c r="L402" s="20" t="str">
        <f aca="false">IF($A402="","",K402-J402-N402)</f>
        <v/>
      </c>
      <c r="M402" s="15" t="str">
        <f aca="false">IF($A402="","",INDEX(PERLINE!$A$2:$A$3001,MATCH($A402,PERLINE!$N$2:$N$3001,0)))</f>
        <v/>
      </c>
      <c r="N402" s="21" t="str">
        <f aca="false">IF($A402="","",SUMIFS(PERLINE!$M$2:$M$3001,PERLINE!$N$2:$N$3001,$A402))</f>
        <v/>
      </c>
    </row>
    <row r="403" customFormat="false" ht="15" hidden="false" customHeight="false" outlineLevel="0" collapsed="false">
      <c r="A403" s="15" t="str">
        <f aca="false">IF(ROWS($A$2:$A403)&lt;=Check!$C$4,SMALL(PERLINE!$AL$2:$AL$3001,ROWS($A$2:$A403)),"")</f>
        <v/>
      </c>
      <c r="B403" s="15" t="str">
        <f aca="false">IF($A403="","",INDEX(PERLINE!$J$2:$J$3001,MATCH($A403,PERLINE!$N$2:$N$3001,0)))</f>
        <v/>
      </c>
      <c r="C403" s="16" t="str">
        <f aca="false">IF($A403="","",INDEX(PERLINE!$I$2:$I$3001,MATCH($A403,PERLINE!$N$2:$N$3001,0)))</f>
        <v/>
      </c>
      <c r="D403" s="17" t="str">
        <f aca="false">IF($A403="","",'كشف المطالبة'!$D$6)</f>
        <v/>
      </c>
      <c r="E403" s="18" t="str">
        <f aca="false">IF($A403="","",SUMIFS(PERLINE!$U$2:$U$3001,PERLINE!$N$2:$N$3001,$A403,PERLINE!$AK$2:$AK$3001,0))</f>
        <v/>
      </c>
      <c r="F403" s="19" t="str">
        <f aca="false">IF($A403="","",E403*D403)</f>
        <v/>
      </c>
      <c r="G403" s="17" t="str">
        <f aca="false">IF($A403="","",'كشف المطالبة'!$D$5)</f>
        <v/>
      </c>
      <c r="H403" s="18" t="str">
        <f aca="false">IF($A403="","",SUMIFS(PERLINE!$U$2:$U$3001,PERLINE!$N$2:$N$3001,$A403,PERLINE!$AK$2:$AK$3001,1))</f>
        <v/>
      </c>
      <c r="I403" s="19" t="str">
        <f aca="false">IF($A403="","",H403*G403)</f>
        <v/>
      </c>
      <c r="J403" s="19" t="str">
        <f aca="false">IF($A403="","",F403+I403)</f>
        <v/>
      </c>
      <c r="K403" s="19" t="str">
        <f aca="false">IF($A403="","",H403+E403)</f>
        <v/>
      </c>
      <c r="L403" s="20" t="str">
        <f aca="false">IF($A403="","",K403-J403-N403)</f>
        <v/>
      </c>
      <c r="M403" s="15" t="str">
        <f aca="false">IF($A403="","",INDEX(PERLINE!$A$2:$A$3001,MATCH($A403,PERLINE!$N$2:$N$3001,0)))</f>
        <v/>
      </c>
      <c r="N403" s="21" t="str">
        <f aca="false">IF($A403="","",SUMIFS(PERLINE!$M$2:$M$3001,PERLINE!$N$2:$N$3001,$A403))</f>
        <v/>
      </c>
    </row>
    <row r="404" customFormat="false" ht="15" hidden="false" customHeight="false" outlineLevel="0" collapsed="false">
      <c r="A404" s="15" t="str">
        <f aca="false">IF(ROWS($A$2:$A404)&lt;=Check!$C$4,SMALL(PERLINE!$AL$2:$AL$3001,ROWS($A$2:$A404)),"")</f>
        <v/>
      </c>
      <c r="B404" s="15" t="str">
        <f aca="false">IF($A404="","",INDEX(PERLINE!$J$2:$J$3001,MATCH($A404,PERLINE!$N$2:$N$3001,0)))</f>
        <v/>
      </c>
      <c r="C404" s="16" t="str">
        <f aca="false">IF($A404="","",INDEX(PERLINE!$I$2:$I$3001,MATCH($A404,PERLINE!$N$2:$N$3001,0)))</f>
        <v/>
      </c>
      <c r="D404" s="17" t="str">
        <f aca="false">IF($A404="","",'كشف المطالبة'!$D$6)</f>
        <v/>
      </c>
      <c r="E404" s="18" t="str">
        <f aca="false">IF($A404="","",SUMIFS(PERLINE!$U$2:$U$3001,PERLINE!$N$2:$N$3001,$A404,PERLINE!$AK$2:$AK$3001,0))</f>
        <v/>
      </c>
      <c r="F404" s="19" t="str">
        <f aca="false">IF($A404="","",E404*D404)</f>
        <v/>
      </c>
      <c r="G404" s="17" t="str">
        <f aca="false">IF($A404="","",'كشف المطالبة'!$D$5)</f>
        <v/>
      </c>
      <c r="H404" s="18" t="str">
        <f aca="false">IF($A404="","",SUMIFS(PERLINE!$U$2:$U$3001,PERLINE!$N$2:$N$3001,$A404,PERLINE!$AK$2:$AK$3001,1))</f>
        <v/>
      </c>
      <c r="I404" s="19" t="str">
        <f aca="false">IF($A404="","",H404*G404)</f>
        <v/>
      </c>
      <c r="J404" s="19" t="str">
        <f aca="false">IF($A404="","",F404+I404)</f>
        <v/>
      </c>
      <c r="K404" s="19" t="str">
        <f aca="false">IF($A404="","",H404+E404)</f>
        <v/>
      </c>
      <c r="L404" s="20" t="str">
        <f aca="false">IF($A404="","",K404-J404-N404)</f>
        <v/>
      </c>
      <c r="M404" s="15" t="str">
        <f aca="false">IF($A404="","",INDEX(PERLINE!$A$2:$A$3001,MATCH($A404,PERLINE!$N$2:$N$3001,0)))</f>
        <v/>
      </c>
      <c r="N404" s="21" t="str">
        <f aca="false">IF($A404="","",SUMIFS(PERLINE!$M$2:$M$3001,PERLINE!$N$2:$N$3001,$A404))</f>
        <v/>
      </c>
    </row>
    <row r="405" customFormat="false" ht="15" hidden="false" customHeight="false" outlineLevel="0" collapsed="false">
      <c r="A405" s="15" t="str">
        <f aca="false">IF(ROWS($A$2:$A405)&lt;=Check!$C$4,SMALL(PERLINE!$AL$2:$AL$3001,ROWS($A$2:$A405)),"")</f>
        <v/>
      </c>
      <c r="B405" s="15" t="str">
        <f aca="false">IF($A405="","",INDEX(PERLINE!$J$2:$J$3001,MATCH($A405,PERLINE!$N$2:$N$3001,0)))</f>
        <v/>
      </c>
      <c r="C405" s="16" t="str">
        <f aca="false">IF($A405="","",INDEX(PERLINE!$I$2:$I$3001,MATCH($A405,PERLINE!$N$2:$N$3001,0)))</f>
        <v/>
      </c>
      <c r="D405" s="17" t="str">
        <f aca="false">IF($A405="","",'كشف المطالبة'!$D$6)</f>
        <v/>
      </c>
      <c r="E405" s="18" t="str">
        <f aca="false">IF($A405="","",SUMIFS(PERLINE!$U$2:$U$3001,PERLINE!$N$2:$N$3001,$A405,PERLINE!$AK$2:$AK$3001,0))</f>
        <v/>
      </c>
      <c r="F405" s="19" t="str">
        <f aca="false">IF($A405="","",E405*D405)</f>
        <v/>
      </c>
      <c r="G405" s="17" t="str">
        <f aca="false">IF($A405="","",'كشف المطالبة'!$D$5)</f>
        <v/>
      </c>
      <c r="H405" s="18" t="str">
        <f aca="false">IF($A405="","",SUMIFS(PERLINE!$U$2:$U$3001,PERLINE!$N$2:$N$3001,$A405,PERLINE!$AK$2:$AK$3001,1))</f>
        <v/>
      </c>
      <c r="I405" s="19" t="str">
        <f aca="false">IF($A405="","",H405*G405)</f>
        <v/>
      </c>
      <c r="J405" s="19" t="str">
        <f aca="false">IF($A405="","",F405+I405)</f>
        <v/>
      </c>
      <c r="K405" s="19" t="str">
        <f aca="false">IF($A405="","",H405+E405)</f>
        <v/>
      </c>
      <c r="L405" s="20" t="str">
        <f aca="false">IF($A405="","",K405-J405-N405)</f>
        <v/>
      </c>
      <c r="M405" s="15" t="str">
        <f aca="false">IF($A405="","",INDEX(PERLINE!$A$2:$A$3001,MATCH($A405,PERLINE!$N$2:$N$3001,0)))</f>
        <v/>
      </c>
      <c r="N405" s="21" t="str">
        <f aca="false">IF($A405="","",SUMIFS(PERLINE!$M$2:$M$3001,PERLINE!$N$2:$N$3001,$A405))</f>
        <v/>
      </c>
    </row>
    <row r="406" customFormat="false" ht="15" hidden="false" customHeight="false" outlineLevel="0" collapsed="false">
      <c r="A406" s="15" t="str">
        <f aca="false">IF(ROWS($A$2:$A406)&lt;=Check!$C$4,SMALL(PERLINE!$AL$2:$AL$3001,ROWS($A$2:$A406)),"")</f>
        <v/>
      </c>
      <c r="B406" s="15" t="str">
        <f aca="false">IF($A406="","",INDEX(PERLINE!$J$2:$J$3001,MATCH($A406,PERLINE!$N$2:$N$3001,0)))</f>
        <v/>
      </c>
      <c r="C406" s="16" t="str">
        <f aca="false">IF($A406="","",INDEX(PERLINE!$I$2:$I$3001,MATCH($A406,PERLINE!$N$2:$N$3001,0)))</f>
        <v/>
      </c>
      <c r="D406" s="17" t="str">
        <f aca="false">IF($A406="","",'كشف المطالبة'!$D$6)</f>
        <v/>
      </c>
      <c r="E406" s="18" t="str">
        <f aca="false">IF($A406="","",SUMIFS(PERLINE!$U$2:$U$3001,PERLINE!$N$2:$N$3001,$A406,PERLINE!$AK$2:$AK$3001,0))</f>
        <v/>
      </c>
      <c r="F406" s="19" t="str">
        <f aca="false">IF($A406="","",E406*D406)</f>
        <v/>
      </c>
      <c r="G406" s="17" t="str">
        <f aca="false">IF($A406="","",'كشف المطالبة'!$D$5)</f>
        <v/>
      </c>
      <c r="H406" s="18" t="str">
        <f aca="false">IF($A406="","",SUMIFS(PERLINE!$U$2:$U$3001,PERLINE!$N$2:$N$3001,$A406,PERLINE!$AK$2:$AK$3001,1))</f>
        <v/>
      </c>
      <c r="I406" s="19" t="str">
        <f aca="false">IF($A406="","",H406*G406)</f>
        <v/>
      </c>
      <c r="J406" s="19" t="str">
        <f aca="false">IF($A406="","",F406+I406)</f>
        <v/>
      </c>
      <c r="K406" s="19" t="str">
        <f aca="false">IF($A406="","",H406+E406)</f>
        <v/>
      </c>
      <c r="L406" s="20" t="str">
        <f aca="false">IF($A406="","",K406-J406-N406)</f>
        <v/>
      </c>
      <c r="M406" s="15" t="str">
        <f aca="false">IF($A406="","",INDEX(PERLINE!$A$2:$A$3001,MATCH($A406,PERLINE!$N$2:$N$3001,0)))</f>
        <v/>
      </c>
      <c r="N406" s="21" t="str">
        <f aca="false">IF($A406="","",SUMIFS(PERLINE!$M$2:$M$3001,PERLINE!$N$2:$N$3001,$A406))</f>
        <v/>
      </c>
    </row>
    <row r="407" customFormat="false" ht="15" hidden="false" customHeight="false" outlineLevel="0" collapsed="false">
      <c r="A407" s="15" t="str">
        <f aca="false">IF(ROWS($A$2:$A407)&lt;=Check!$C$4,SMALL(PERLINE!$AL$2:$AL$3001,ROWS($A$2:$A407)),"")</f>
        <v/>
      </c>
      <c r="B407" s="15" t="str">
        <f aca="false">IF($A407="","",INDEX(PERLINE!$J$2:$J$3001,MATCH($A407,PERLINE!$N$2:$N$3001,0)))</f>
        <v/>
      </c>
      <c r="C407" s="16" t="str">
        <f aca="false">IF($A407="","",INDEX(PERLINE!$I$2:$I$3001,MATCH($A407,PERLINE!$N$2:$N$3001,0)))</f>
        <v/>
      </c>
      <c r="D407" s="17" t="str">
        <f aca="false">IF($A407="","",'كشف المطالبة'!$D$6)</f>
        <v/>
      </c>
      <c r="E407" s="18" t="str">
        <f aca="false">IF($A407="","",SUMIFS(PERLINE!$U$2:$U$3001,PERLINE!$N$2:$N$3001,$A407,PERLINE!$AK$2:$AK$3001,0))</f>
        <v/>
      </c>
      <c r="F407" s="19" t="str">
        <f aca="false">IF($A407="","",E407*D407)</f>
        <v/>
      </c>
      <c r="G407" s="17" t="str">
        <f aca="false">IF($A407="","",'كشف المطالبة'!$D$5)</f>
        <v/>
      </c>
      <c r="H407" s="18" t="str">
        <f aca="false">IF($A407="","",SUMIFS(PERLINE!$U$2:$U$3001,PERLINE!$N$2:$N$3001,$A407,PERLINE!$AK$2:$AK$3001,1))</f>
        <v/>
      </c>
      <c r="I407" s="19" t="str">
        <f aca="false">IF($A407="","",H407*G407)</f>
        <v/>
      </c>
      <c r="J407" s="19" t="str">
        <f aca="false">IF($A407="","",F407+I407)</f>
        <v/>
      </c>
      <c r="K407" s="19" t="str">
        <f aca="false">IF($A407="","",H407+E407)</f>
        <v/>
      </c>
      <c r="L407" s="20" t="str">
        <f aca="false">IF($A407="","",K407-J407-N407)</f>
        <v/>
      </c>
      <c r="M407" s="15" t="str">
        <f aca="false">IF($A407="","",INDEX(PERLINE!$A$2:$A$3001,MATCH($A407,PERLINE!$N$2:$N$3001,0)))</f>
        <v/>
      </c>
      <c r="N407" s="21" t="str">
        <f aca="false">IF($A407="","",SUMIFS(PERLINE!$M$2:$M$3001,PERLINE!$N$2:$N$3001,$A407))</f>
        <v/>
      </c>
    </row>
    <row r="408" customFormat="false" ht="15" hidden="false" customHeight="false" outlineLevel="0" collapsed="false">
      <c r="A408" s="15" t="str">
        <f aca="false">IF(ROWS($A$2:$A408)&lt;=Check!$C$4,SMALL(PERLINE!$AL$2:$AL$3001,ROWS($A$2:$A408)),"")</f>
        <v/>
      </c>
      <c r="B408" s="15" t="str">
        <f aca="false">IF($A408="","",INDEX(PERLINE!$J$2:$J$3001,MATCH($A408,PERLINE!$N$2:$N$3001,0)))</f>
        <v/>
      </c>
      <c r="C408" s="16" t="str">
        <f aca="false">IF($A408="","",INDEX(PERLINE!$I$2:$I$3001,MATCH($A408,PERLINE!$N$2:$N$3001,0)))</f>
        <v/>
      </c>
      <c r="D408" s="17" t="str">
        <f aca="false">IF($A408="","",'كشف المطالبة'!$D$6)</f>
        <v/>
      </c>
      <c r="E408" s="18" t="str">
        <f aca="false">IF($A408="","",SUMIFS(PERLINE!$U$2:$U$3001,PERLINE!$N$2:$N$3001,$A408,PERLINE!$AK$2:$AK$3001,0))</f>
        <v/>
      </c>
      <c r="F408" s="19" t="str">
        <f aca="false">IF($A408="","",E408*D408)</f>
        <v/>
      </c>
      <c r="G408" s="17" t="str">
        <f aca="false">IF($A408="","",'كشف المطالبة'!$D$5)</f>
        <v/>
      </c>
      <c r="H408" s="18" t="str">
        <f aca="false">IF($A408="","",SUMIFS(PERLINE!$U$2:$U$3001,PERLINE!$N$2:$N$3001,$A408,PERLINE!$AK$2:$AK$3001,1))</f>
        <v/>
      </c>
      <c r="I408" s="19" t="str">
        <f aca="false">IF($A408="","",H408*G408)</f>
        <v/>
      </c>
      <c r="J408" s="19" t="str">
        <f aca="false">IF($A408="","",F408+I408)</f>
        <v/>
      </c>
      <c r="K408" s="19" t="str">
        <f aca="false">IF($A408="","",H408+E408)</f>
        <v/>
      </c>
      <c r="L408" s="20" t="str">
        <f aca="false">IF($A408="","",K408-J408-N408)</f>
        <v/>
      </c>
      <c r="M408" s="15" t="str">
        <f aca="false">IF($A408="","",INDEX(PERLINE!$A$2:$A$3001,MATCH($A408,PERLINE!$N$2:$N$3001,0)))</f>
        <v/>
      </c>
      <c r="N408" s="21" t="str">
        <f aca="false">IF($A408="","",SUMIFS(PERLINE!$M$2:$M$3001,PERLINE!$N$2:$N$3001,$A408))</f>
        <v/>
      </c>
    </row>
    <row r="409" customFormat="false" ht="15" hidden="false" customHeight="false" outlineLevel="0" collapsed="false">
      <c r="A409" s="15" t="str">
        <f aca="false">IF(ROWS($A$2:$A409)&lt;=Check!$C$4,SMALL(PERLINE!$AL$2:$AL$3001,ROWS($A$2:$A409)),"")</f>
        <v/>
      </c>
      <c r="B409" s="15" t="str">
        <f aca="false">IF($A409="","",INDEX(PERLINE!$J$2:$J$3001,MATCH($A409,PERLINE!$N$2:$N$3001,0)))</f>
        <v/>
      </c>
      <c r="C409" s="16" t="str">
        <f aca="false">IF($A409="","",INDEX(PERLINE!$I$2:$I$3001,MATCH($A409,PERLINE!$N$2:$N$3001,0)))</f>
        <v/>
      </c>
      <c r="D409" s="17" t="str">
        <f aca="false">IF($A409="","",'كشف المطالبة'!$D$6)</f>
        <v/>
      </c>
      <c r="E409" s="18" t="str">
        <f aca="false">IF($A409="","",SUMIFS(PERLINE!$U$2:$U$3001,PERLINE!$N$2:$N$3001,$A409,PERLINE!$AK$2:$AK$3001,0))</f>
        <v/>
      </c>
      <c r="F409" s="19" t="str">
        <f aca="false">IF($A409="","",E409*D409)</f>
        <v/>
      </c>
      <c r="G409" s="17" t="str">
        <f aca="false">IF($A409="","",'كشف المطالبة'!$D$5)</f>
        <v/>
      </c>
      <c r="H409" s="18" t="str">
        <f aca="false">IF($A409="","",SUMIFS(PERLINE!$U$2:$U$3001,PERLINE!$N$2:$N$3001,$A409,PERLINE!$AK$2:$AK$3001,1))</f>
        <v/>
      </c>
      <c r="I409" s="19" t="str">
        <f aca="false">IF($A409="","",H409*G409)</f>
        <v/>
      </c>
      <c r="J409" s="19" t="str">
        <f aca="false">IF($A409="","",F409+I409)</f>
        <v/>
      </c>
      <c r="K409" s="19" t="str">
        <f aca="false">IF($A409="","",H409+E409)</f>
        <v/>
      </c>
      <c r="L409" s="20" t="str">
        <f aca="false">IF($A409="","",K409-J409-N409)</f>
        <v/>
      </c>
      <c r="M409" s="15" t="str">
        <f aca="false">IF($A409="","",INDEX(PERLINE!$A$2:$A$3001,MATCH($A409,PERLINE!$N$2:$N$3001,0)))</f>
        <v/>
      </c>
      <c r="N409" s="21" t="str">
        <f aca="false">IF($A409="","",SUMIFS(PERLINE!$M$2:$M$3001,PERLINE!$N$2:$N$3001,$A409))</f>
        <v/>
      </c>
    </row>
    <row r="410" customFormat="false" ht="15" hidden="false" customHeight="false" outlineLevel="0" collapsed="false">
      <c r="A410" s="15" t="str">
        <f aca="false">IF(ROWS($A$2:$A410)&lt;=Check!$C$4,SMALL(PERLINE!$AL$2:$AL$3001,ROWS($A$2:$A410)),"")</f>
        <v/>
      </c>
      <c r="B410" s="15" t="str">
        <f aca="false">IF($A410="","",INDEX(PERLINE!$J$2:$J$3001,MATCH($A410,PERLINE!$N$2:$N$3001,0)))</f>
        <v/>
      </c>
      <c r="C410" s="16" t="str">
        <f aca="false">IF($A410="","",INDEX(PERLINE!$I$2:$I$3001,MATCH($A410,PERLINE!$N$2:$N$3001,0)))</f>
        <v/>
      </c>
      <c r="D410" s="17" t="str">
        <f aca="false">IF($A410="","",'كشف المطالبة'!$D$6)</f>
        <v/>
      </c>
      <c r="E410" s="18" t="str">
        <f aca="false">IF($A410="","",SUMIFS(PERLINE!$U$2:$U$3001,PERLINE!$N$2:$N$3001,$A410,PERLINE!$AK$2:$AK$3001,0))</f>
        <v/>
      </c>
      <c r="F410" s="19" t="str">
        <f aca="false">IF($A410="","",E410*D410)</f>
        <v/>
      </c>
      <c r="G410" s="17" t="str">
        <f aca="false">IF($A410="","",'كشف المطالبة'!$D$5)</f>
        <v/>
      </c>
      <c r="H410" s="18" t="str">
        <f aca="false">IF($A410="","",SUMIFS(PERLINE!$U$2:$U$3001,PERLINE!$N$2:$N$3001,$A410,PERLINE!$AK$2:$AK$3001,1))</f>
        <v/>
      </c>
      <c r="I410" s="19" t="str">
        <f aca="false">IF($A410="","",H410*G410)</f>
        <v/>
      </c>
      <c r="J410" s="19" t="str">
        <f aca="false">IF($A410="","",F410+I410)</f>
        <v/>
      </c>
      <c r="K410" s="19" t="str">
        <f aca="false">IF($A410="","",H410+E410)</f>
        <v/>
      </c>
      <c r="L410" s="20" t="str">
        <f aca="false">IF($A410="","",K410-J410-N410)</f>
        <v/>
      </c>
      <c r="M410" s="15" t="str">
        <f aca="false">IF($A410="","",INDEX(PERLINE!$A$2:$A$3001,MATCH($A410,PERLINE!$N$2:$N$3001,0)))</f>
        <v/>
      </c>
      <c r="N410" s="21" t="str">
        <f aca="false">IF($A410="","",SUMIFS(PERLINE!$M$2:$M$3001,PERLINE!$N$2:$N$3001,$A410))</f>
        <v/>
      </c>
    </row>
    <row r="411" customFormat="false" ht="15" hidden="false" customHeight="false" outlineLevel="0" collapsed="false">
      <c r="A411" s="15" t="str">
        <f aca="false">IF(ROWS($A$2:$A411)&lt;=Check!$C$4,SMALL(PERLINE!$AL$2:$AL$3001,ROWS($A$2:$A411)),"")</f>
        <v/>
      </c>
      <c r="B411" s="15" t="str">
        <f aca="false">IF($A411="","",INDEX(PERLINE!$J$2:$J$3001,MATCH($A411,PERLINE!$N$2:$N$3001,0)))</f>
        <v/>
      </c>
      <c r="C411" s="16" t="str">
        <f aca="false">IF($A411="","",INDEX(PERLINE!$I$2:$I$3001,MATCH($A411,PERLINE!$N$2:$N$3001,0)))</f>
        <v/>
      </c>
      <c r="D411" s="17" t="str">
        <f aca="false">IF($A411="","",'كشف المطالبة'!$D$6)</f>
        <v/>
      </c>
      <c r="E411" s="18" t="str">
        <f aca="false">IF($A411="","",SUMIFS(PERLINE!$U$2:$U$3001,PERLINE!$N$2:$N$3001,$A411,PERLINE!$AK$2:$AK$3001,0))</f>
        <v/>
      </c>
      <c r="F411" s="19" t="str">
        <f aca="false">IF($A411="","",E411*D411)</f>
        <v/>
      </c>
      <c r="G411" s="17" t="str">
        <f aca="false">IF($A411="","",'كشف المطالبة'!$D$5)</f>
        <v/>
      </c>
      <c r="H411" s="18" t="str">
        <f aca="false">IF($A411="","",SUMIFS(PERLINE!$U$2:$U$3001,PERLINE!$N$2:$N$3001,$A411,PERLINE!$AK$2:$AK$3001,1))</f>
        <v/>
      </c>
      <c r="I411" s="19" t="str">
        <f aca="false">IF($A411="","",H411*G411)</f>
        <v/>
      </c>
      <c r="J411" s="19" t="str">
        <f aca="false">IF($A411="","",F411+I411)</f>
        <v/>
      </c>
      <c r="K411" s="19" t="str">
        <f aca="false">IF($A411="","",H411+E411)</f>
        <v/>
      </c>
      <c r="L411" s="20" t="str">
        <f aca="false">IF($A411="","",K411-J411-N411)</f>
        <v/>
      </c>
      <c r="M411" s="15" t="str">
        <f aca="false">IF($A411="","",INDEX(PERLINE!$A$2:$A$3001,MATCH($A411,PERLINE!$N$2:$N$3001,0)))</f>
        <v/>
      </c>
      <c r="N411" s="21" t="str">
        <f aca="false">IF($A411="","",SUMIFS(PERLINE!$M$2:$M$3001,PERLINE!$N$2:$N$3001,$A411))</f>
        <v/>
      </c>
    </row>
    <row r="412" customFormat="false" ht="15" hidden="false" customHeight="false" outlineLevel="0" collapsed="false">
      <c r="A412" s="15" t="str">
        <f aca="false">IF(ROWS($A$2:$A412)&lt;=Check!$C$4,SMALL(PERLINE!$AL$2:$AL$3001,ROWS($A$2:$A412)),"")</f>
        <v/>
      </c>
      <c r="B412" s="15" t="str">
        <f aca="false">IF($A412="","",INDEX(PERLINE!$J$2:$J$3001,MATCH($A412,PERLINE!$N$2:$N$3001,0)))</f>
        <v/>
      </c>
      <c r="C412" s="16" t="str">
        <f aca="false">IF($A412="","",INDEX(PERLINE!$I$2:$I$3001,MATCH($A412,PERLINE!$N$2:$N$3001,0)))</f>
        <v/>
      </c>
      <c r="D412" s="17" t="str">
        <f aca="false">IF($A412="","",'كشف المطالبة'!$D$6)</f>
        <v/>
      </c>
      <c r="E412" s="18" t="str">
        <f aca="false">IF($A412="","",SUMIFS(PERLINE!$U$2:$U$3001,PERLINE!$N$2:$N$3001,$A412,PERLINE!$AK$2:$AK$3001,0))</f>
        <v/>
      </c>
      <c r="F412" s="19" t="str">
        <f aca="false">IF($A412="","",E412*D412)</f>
        <v/>
      </c>
      <c r="G412" s="17" t="str">
        <f aca="false">IF($A412="","",'كشف المطالبة'!$D$5)</f>
        <v/>
      </c>
      <c r="H412" s="18" t="str">
        <f aca="false">IF($A412="","",SUMIFS(PERLINE!$U$2:$U$3001,PERLINE!$N$2:$N$3001,$A412,PERLINE!$AK$2:$AK$3001,1))</f>
        <v/>
      </c>
      <c r="I412" s="19" t="str">
        <f aca="false">IF($A412="","",H412*G412)</f>
        <v/>
      </c>
      <c r="J412" s="19" t="str">
        <f aca="false">IF($A412="","",F412+I412)</f>
        <v/>
      </c>
      <c r="K412" s="19" t="str">
        <f aca="false">IF($A412="","",H412+E412)</f>
        <v/>
      </c>
      <c r="L412" s="20" t="str">
        <f aca="false">IF($A412="","",K412-J412-N412)</f>
        <v/>
      </c>
      <c r="M412" s="15" t="str">
        <f aca="false">IF($A412="","",INDEX(PERLINE!$A$2:$A$3001,MATCH($A412,PERLINE!$N$2:$N$3001,0)))</f>
        <v/>
      </c>
      <c r="N412" s="21" t="str">
        <f aca="false">IF($A412="","",SUMIFS(PERLINE!$M$2:$M$3001,PERLINE!$N$2:$N$3001,$A412))</f>
        <v/>
      </c>
    </row>
    <row r="413" customFormat="false" ht="15" hidden="false" customHeight="false" outlineLevel="0" collapsed="false">
      <c r="A413" s="15" t="str">
        <f aca="false">IF(ROWS($A$2:$A413)&lt;=Check!$C$4,SMALL(PERLINE!$AL$2:$AL$3001,ROWS($A$2:$A413)),"")</f>
        <v/>
      </c>
      <c r="B413" s="15" t="str">
        <f aca="false">IF($A413="","",INDEX(PERLINE!$J$2:$J$3001,MATCH($A413,PERLINE!$N$2:$N$3001,0)))</f>
        <v/>
      </c>
      <c r="C413" s="16" t="str">
        <f aca="false">IF($A413="","",INDEX(PERLINE!$I$2:$I$3001,MATCH($A413,PERLINE!$N$2:$N$3001,0)))</f>
        <v/>
      </c>
      <c r="D413" s="17" t="str">
        <f aca="false">IF($A413="","",'كشف المطالبة'!$D$6)</f>
        <v/>
      </c>
      <c r="E413" s="18" t="str">
        <f aca="false">IF($A413="","",SUMIFS(PERLINE!$U$2:$U$3001,PERLINE!$N$2:$N$3001,$A413,PERLINE!$AK$2:$AK$3001,0))</f>
        <v/>
      </c>
      <c r="F413" s="19" t="str">
        <f aca="false">IF($A413="","",E413*D413)</f>
        <v/>
      </c>
      <c r="G413" s="17" t="str">
        <f aca="false">IF($A413="","",'كشف المطالبة'!$D$5)</f>
        <v/>
      </c>
      <c r="H413" s="18" t="str">
        <f aca="false">IF($A413="","",SUMIFS(PERLINE!$U$2:$U$3001,PERLINE!$N$2:$N$3001,$A413,PERLINE!$AK$2:$AK$3001,1))</f>
        <v/>
      </c>
      <c r="I413" s="19" t="str">
        <f aca="false">IF($A413="","",H413*G413)</f>
        <v/>
      </c>
      <c r="J413" s="19" t="str">
        <f aca="false">IF($A413="","",F413+I413)</f>
        <v/>
      </c>
      <c r="K413" s="19" t="str">
        <f aca="false">IF($A413="","",H413+E413)</f>
        <v/>
      </c>
      <c r="L413" s="20" t="str">
        <f aca="false">IF($A413="","",K413-J413-N413)</f>
        <v/>
      </c>
      <c r="M413" s="15" t="str">
        <f aca="false">IF($A413="","",INDEX(PERLINE!$A$2:$A$3001,MATCH($A413,PERLINE!$N$2:$N$3001,0)))</f>
        <v/>
      </c>
      <c r="N413" s="21" t="str">
        <f aca="false">IF($A413="","",SUMIFS(PERLINE!$M$2:$M$3001,PERLINE!$N$2:$N$3001,$A413))</f>
        <v/>
      </c>
    </row>
    <row r="414" customFormat="false" ht="15" hidden="false" customHeight="false" outlineLevel="0" collapsed="false">
      <c r="A414" s="15" t="str">
        <f aca="false">IF(ROWS($A$2:$A414)&lt;=Check!$C$4,SMALL(PERLINE!$AL$2:$AL$3001,ROWS($A$2:$A414)),"")</f>
        <v/>
      </c>
      <c r="B414" s="15" t="str">
        <f aca="false">IF($A414="","",INDEX(PERLINE!$J$2:$J$3001,MATCH($A414,PERLINE!$N$2:$N$3001,0)))</f>
        <v/>
      </c>
      <c r="C414" s="16" t="str">
        <f aca="false">IF($A414="","",INDEX(PERLINE!$I$2:$I$3001,MATCH($A414,PERLINE!$N$2:$N$3001,0)))</f>
        <v/>
      </c>
      <c r="D414" s="17" t="str">
        <f aca="false">IF($A414="","",'كشف المطالبة'!$D$6)</f>
        <v/>
      </c>
      <c r="E414" s="18" t="str">
        <f aca="false">IF($A414="","",SUMIFS(PERLINE!$U$2:$U$3001,PERLINE!$N$2:$N$3001,$A414,PERLINE!$AK$2:$AK$3001,0))</f>
        <v/>
      </c>
      <c r="F414" s="19" t="str">
        <f aca="false">IF($A414="","",E414*D414)</f>
        <v/>
      </c>
      <c r="G414" s="17" t="str">
        <f aca="false">IF($A414="","",'كشف المطالبة'!$D$5)</f>
        <v/>
      </c>
      <c r="H414" s="18" t="str">
        <f aca="false">IF($A414="","",SUMIFS(PERLINE!$U$2:$U$3001,PERLINE!$N$2:$N$3001,$A414,PERLINE!$AK$2:$AK$3001,1))</f>
        <v/>
      </c>
      <c r="I414" s="19" t="str">
        <f aca="false">IF($A414="","",H414*G414)</f>
        <v/>
      </c>
      <c r="J414" s="19" t="str">
        <f aca="false">IF($A414="","",F414+I414)</f>
        <v/>
      </c>
      <c r="K414" s="19" t="str">
        <f aca="false">IF($A414="","",H414+E414)</f>
        <v/>
      </c>
      <c r="L414" s="20" t="str">
        <f aca="false">IF($A414="","",K414-J414-N414)</f>
        <v/>
      </c>
      <c r="M414" s="15" t="str">
        <f aca="false">IF($A414="","",INDEX(PERLINE!$A$2:$A$3001,MATCH($A414,PERLINE!$N$2:$N$3001,0)))</f>
        <v/>
      </c>
      <c r="N414" s="21" t="str">
        <f aca="false">IF($A414="","",SUMIFS(PERLINE!$M$2:$M$3001,PERLINE!$N$2:$N$3001,$A414))</f>
        <v/>
      </c>
    </row>
    <row r="415" customFormat="false" ht="15" hidden="false" customHeight="false" outlineLevel="0" collapsed="false">
      <c r="A415" s="15" t="str">
        <f aca="false">IF(ROWS($A$2:$A415)&lt;=Check!$C$4,SMALL(PERLINE!$AL$2:$AL$3001,ROWS($A$2:$A415)),"")</f>
        <v/>
      </c>
      <c r="B415" s="15" t="str">
        <f aca="false">IF($A415="","",INDEX(PERLINE!$J$2:$J$3001,MATCH($A415,PERLINE!$N$2:$N$3001,0)))</f>
        <v/>
      </c>
      <c r="C415" s="16" t="str">
        <f aca="false">IF($A415="","",INDEX(PERLINE!$I$2:$I$3001,MATCH($A415,PERLINE!$N$2:$N$3001,0)))</f>
        <v/>
      </c>
      <c r="D415" s="17" t="str">
        <f aca="false">IF($A415="","",'كشف المطالبة'!$D$6)</f>
        <v/>
      </c>
      <c r="E415" s="18" t="str">
        <f aca="false">IF($A415="","",SUMIFS(PERLINE!$U$2:$U$3001,PERLINE!$N$2:$N$3001,$A415,PERLINE!$AK$2:$AK$3001,0))</f>
        <v/>
      </c>
      <c r="F415" s="19" t="str">
        <f aca="false">IF($A415="","",E415*D415)</f>
        <v/>
      </c>
      <c r="G415" s="17" t="str">
        <f aca="false">IF($A415="","",'كشف المطالبة'!$D$5)</f>
        <v/>
      </c>
      <c r="H415" s="18" t="str">
        <f aca="false">IF($A415="","",SUMIFS(PERLINE!$U$2:$U$3001,PERLINE!$N$2:$N$3001,$A415,PERLINE!$AK$2:$AK$3001,1))</f>
        <v/>
      </c>
      <c r="I415" s="19" t="str">
        <f aca="false">IF($A415="","",H415*G415)</f>
        <v/>
      </c>
      <c r="J415" s="19" t="str">
        <f aca="false">IF($A415="","",F415+I415)</f>
        <v/>
      </c>
      <c r="K415" s="19" t="str">
        <f aca="false">IF($A415="","",H415+E415)</f>
        <v/>
      </c>
      <c r="L415" s="20" t="str">
        <f aca="false">IF($A415="","",K415-J415-N415)</f>
        <v/>
      </c>
      <c r="M415" s="15" t="str">
        <f aca="false">IF($A415="","",INDEX(PERLINE!$A$2:$A$3001,MATCH($A415,PERLINE!$N$2:$N$3001,0)))</f>
        <v/>
      </c>
      <c r="N415" s="21" t="str">
        <f aca="false">IF($A415="","",SUMIFS(PERLINE!$M$2:$M$3001,PERLINE!$N$2:$N$3001,$A415))</f>
        <v/>
      </c>
    </row>
    <row r="416" customFormat="false" ht="15" hidden="false" customHeight="false" outlineLevel="0" collapsed="false">
      <c r="A416" s="15" t="str">
        <f aca="false">IF(ROWS($A$2:$A416)&lt;=Check!$C$4,SMALL(PERLINE!$AL$2:$AL$3001,ROWS($A$2:$A416)),"")</f>
        <v/>
      </c>
      <c r="B416" s="15" t="str">
        <f aca="false">IF($A416="","",INDEX(PERLINE!$J$2:$J$3001,MATCH($A416,PERLINE!$N$2:$N$3001,0)))</f>
        <v/>
      </c>
      <c r="C416" s="16" t="str">
        <f aca="false">IF($A416="","",INDEX(PERLINE!$I$2:$I$3001,MATCH($A416,PERLINE!$N$2:$N$3001,0)))</f>
        <v/>
      </c>
      <c r="D416" s="17" t="str">
        <f aca="false">IF($A416="","",'كشف المطالبة'!$D$6)</f>
        <v/>
      </c>
      <c r="E416" s="18" t="str">
        <f aca="false">IF($A416="","",SUMIFS(PERLINE!$U$2:$U$3001,PERLINE!$N$2:$N$3001,$A416,PERLINE!$AK$2:$AK$3001,0))</f>
        <v/>
      </c>
      <c r="F416" s="19" t="str">
        <f aca="false">IF($A416="","",E416*D416)</f>
        <v/>
      </c>
      <c r="G416" s="17" t="str">
        <f aca="false">IF($A416="","",'كشف المطالبة'!$D$5)</f>
        <v/>
      </c>
      <c r="H416" s="18" t="str">
        <f aca="false">IF($A416="","",SUMIFS(PERLINE!$U$2:$U$3001,PERLINE!$N$2:$N$3001,$A416,PERLINE!$AK$2:$AK$3001,1))</f>
        <v/>
      </c>
      <c r="I416" s="19" t="str">
        <f aca="false">IF($A416="","",H416*G416)</f>
        <v/>
      </c>
      <c r="J416" s="19" t="str">
        <f aca="false">IF($A416="","",F416+I416)</f>
        <v/>
      </c>
      <c r="K416" s="19" t="str">
        <f aca="false">IF($A416="","",H416+E416)</f>
        <v/>
      </c>
      <c r="L416" s="20" t="str">
        <f aca="false">IF($A416="","",K416-J416-N416)</f>
        <v/>
      </c>
      <c r="M416" s="15" t="str">
        <f aca="false">IF($A416="","",INDEX(PERLINE!$A$2:$A$3001,MATCH($A416,PERLINE!$N$2:$N$3001,0)))</f>
        <v/>
      </c>
      <c r="N416" s="21" t="str">
        <f aca="false">IF($A416="","",SUMIFS(PERLINE!$M$2:$M$3001,PERLINE!$N$2:$N$3001,$A416))</f>
        <v/>
      </c>
    </row>
    <row r="417" customFormat="false" ht="15" hidden="false" customHeight="false" outlineLevel="0" collapsed="false">
      <c r="A417" s="15" t="str">
        <f aca="false">IF(ROWS($A$2:$A417)&lt;=Check!$C$4,SMALL(PERLINE!$AL$2:$AL$3001,ROWS($A$2:$A417)),"")</f>
        <v/>
      </c>
      <c r="B417" s="15" t="str">
        <f aca="false">IF($A417="","",INDEX(PERLINE!$J$2:$J$3001,MATCH($A417,PERLINE!$N$2:$N$3001,0)))</f>
        <v/>
      </c>
      <c r="C417" s="16" t="str">
        <f aca="false">IF($A417="","",INDEX(PERLINE!$I$2:$I$3001,MATCH($A417,PERLINE!$N$2:$N$3001,0)))</f>
        <v/>
      </c>
      <c r="D417" s="17" t="str">
        <f aca="false">IF($A417="","",'كشف المطالبة'!$D$6)</f>
        <v/>
      </c>
      <c r="E417" s="18" t="str">
        <f aca="false">IF($A417="","",SUMIFS(PERLINE!$U$2:$U$3001,PERLINE!$N$2:$N$3001,$A417,PERLINE!$AK$2:$AK$3001,0))</f>
        <v/>
      </c>
      <c r="F417" s="19" t="str">
        <f aca="false">IF($A417="","",E417*D417)</f>
        <v/>
      </c>
      <c r="G417" s="17" t="str">
        <f aca="false">IF($A417="","",'كشف المطالبة'!$D$5)</f>
        <v/>
      </c>
      <c r="H417" s="18" t="str">
        <f aca="false">IF($A417="","",SUMIFS(PERLINE!$U$2:$U$3001,PERLINE!$N$2:$N$3001,$A417,PERLINE!$AK$2:$AK$3001,1))</f>
        <v/>
      </c>
      <c r="I417" s="19" t="str">
        <f aca="false">IF($A417="","",H417*G417)</f>
        <v/>
      </c>
      <c r="J417" s="19" t="str">
        <f aca="false">IF($A417="","",F417+I417)</f>
        <v/>
      </c>
      <c r="K417" s="19" t="str">
        <f aca="false">IF($A417="","",H417+E417)</f>
        <v/>
      </c>
      <c r="L417" s="20" t="str">
        <f aca="false">IF($A417="","",K417-J417-N417)</f>
        <v/>
      </c>
      <c r="M417" s="15" t="str">
        <f aca="false">IF($A417="","",INDEX(PERLINE!$A$2:$A$3001,MATCH($A417,PERLINE!$N$2:$N$3001,0)))</f>
        <v/>
      </c>
      <c r="N417" s="21" t="str">
        <f aca="false">IF($A417="","",SUMIFS(PERLINE!$M$2:$M$3001,PERLINE!$N$2:$N$3001,$A417))</f>
        <v/>
      </c>
    </row>
    <row r="418" customFormat="false" ht="15" hidden="false" customHeight="false" outlineLevel="0" collapsed="false">
      <c r="A418" s="15" t="str">
        <f aca="false">IF(ROWS($A$2:$A418)&lt;=Check!$C$4,SMALL(PERLINE!$AL$2:$AL$3001,ROWS($A$2:$A418)),"")</f>
        <v/>
      </c>
      <c r="B418" s="15" t="str">
        <f aca="false">IF($A418="","",INDEX(PERLINE!$J$2:$J$3001,MATCH($A418,PERLINE!$N$2:$N$3001,0)))</f>
        <v/>
      </c>
      <c r="C418" s="16" t="str">
        <f aca="false">IF($A418="","",INDEX(PERLINE!$I$2:$I$3001,MATCH($A418,PERLINE!$N$2:$N$3001,0)))</f>
        <v/>
      </c>
      <c r="D418" s="17" t="str">
        <f aca="false">IF($A418="","",'كشف المطالبة'!$D$6)</f>
        <v/>
      </c>
      <c r="E418" s="18" t="str">
        <f aca="false">IF($A418="","",SUMIFS(PERLINE!$U$2:$U$3001,PERLINE!$N$2:$N$3001,$A418,PERLINE!$AK$2:$AK$3001,0))</f>
        <v/>
      </c>
      <c r="F418" s="19" t="str">
        <f aca="false">IF($A418="","",E418*D418)</f>
        <v/>
      </c>
      <c r="G418" s="17" t="str">
        <f aca="false">IF($A418="","",'كشف المطالبة'!$D$5)</f>
        <v/>
      </c>
      <c r="H418" s="18" t="str">
        <f aca="false">IF($A418="","",SUMIFS(PERLINE!$U$2:$U$3001,PERLINE!$N$2:$N$3001,$A418,PERLINE!$AK$2:$AK$3001,1))</f>
        <v/>
      </c>
      <c r="I418" s="19" t="str">
        <f aca="false">IF($A418="","",H418*G418)</f>
        <v/>
      </c>
      <c r="J418" s="19" t="str">
        <f aca="false">IF($A418="","",F418+I418)</f>
        <v/>
      </c>
      <c r="K418" s="19" t="str">
        <f aca="false">IF($A418="","",H418+E418)</f>
        <v/>
      </c>
      <c r="L418" s="20" t="str">
        <f aca="false">IF($A418="","",K418-J418-N418)</f>
        <v/>
      </c>
      <c r="M418" s="15" t="str">
        <f aca="false">IF($A418="","",INDEX(PERLINE!$A$2:$A$3001,MATCH($A418,PERLINE!$N$2:$N$3001,0)))</f>
        <v/>
      </c>
      <c r="N418" s="21" t="str">
        <f aca="false">IF($A418="","",SUMIFS(PERLINE!$M$2:$M$3001,PERLINE!$N$2:$N$3001,$A418))</f>
        <v/>
      </c>
    </row>
    <row r="419" customFormat="false" ht="15" hidden="false" customHeight="false" outlineLevel="0" collapsed="false">
      <c r="A419" s="15" t="str">
        <f aca="false">IF(ROWS($A$2:$A419)&lt;=Check!$C$4,SMALL(PERLINE!$AL$2:$AL$3001,ROWS($A$2:$A419)),"")</f>
        <v/>
      </c>
      <c r="B419" s="15" t="str">
        <f aca="false">IF($A419="","",INDEX(PERLINE!$J$2:$J$3001,MATCH($A419,PERLINE!$N$2:$N$3001,0)))</f>
        <v/>
      </c>
      <c r="C419" s="16" t="str">
        <f aca="false">IF($A419="","",INDEX(PERLINE!$I$2:$I$3001,MATCH($A419,PERLINE!$N$2:$N$3001,0)))</f>
        <v/>
      </c>
      <c r="D419" s="17" t="str">
        <f aca="false">IF($A419="","",'كشف المطالبة'!$D$6)</f>
        <v/>
      </c>
      <c r="E419" s="18" t="str">
        <f aca="false">IF($A419="","",SUMIFS(PERLINE!$U$2:$U$3001,PERLINE!$N$2:$N$3001,$A419,PERLINE!$AK$2:$AK$3001,0))</f>
        <v/>
      </c>
      <c r="F419" s="19" t="str">
        <f aca="false">IF($A419="","",E419*D419)</f>
        <v/>
      </c>
      <c r="G419" s="17" t="str">
        <f aca="false">IF($A419="","",'كشف المطالبة'!$D$5)</f>
        <v/>
      </c>
      <c r="H419" s="18" t="str">
        <f aca="false">IF($A419="","",SUMIFS(PERLINE!$U$2:$U$3001,PERLINE!$N$2:$N$3001,$A419,PERLINE!$AK$2:$AK$3001,1))</f>
        <v/>
      </c>
      <c r="I419" s="19" t="str">
        <f aca="false">IF($A419="","",H419*G419)</f>
        <v/>
      </c>
      <c r="J419" s="19" t="str">
        <f aca="false">IF($A419="","",F419+I419)</f>
        <v/>
      </c>
      <c r="K419" s="19" t="str">
        <f aca="false">IF($A419="","",H419+E419)</f>
        <v/>
      </c>
      <c r="L419" s="20" t="str">
        <f aca="false">IF($A419="","",K419-J419-N419)</f>
        <v/>
      </c>
      <c r="M419" s="15" t="str">
        <f aca="false">IF($A419="","",INDEX(PERLINE!$A$2:$A$3001,MATCH($A419,PERLINE!$N$2:$N$3001,0)))</f>
        <v/>
      </c>
      <c r="N419" s="21" t="str">
        <f aca="false">IF($A419="","",SUMIFS(PERLINE!$M$2:$M$3001,PERLINE!$N$2:$N$3001,$A419))</f>
        <v/>
      </c>
    </row>
    <row r="420" customFormat="false" ht="15" hidden="false" customHeight="false" outlineLevel="0" collapsed="false">
      <c r="A420" s="15" t="str">
        <f aca="false">IF(ROWS($A$2:$A420)&lt;=Check!$C$4,SMALL(PERLINE!$AL$2:$AL$3001,ROWS($A$2:$A420)),"")</f>
        <v/>
      </c>
      <c r="B420" s="15" t="str">
        <f aca="false">IF($A420="","",INDEX(PERLINE!$J$2:$J$3001,MATCH($A420,PERLINE!$N$2:$N$3001,0)))</f>
        <v/>
      </c>
      <c r="C420" s="16" t="str">
        <f aca="false">IF($A420="","",INDEX(PERLINE!$I$2:$I$3001,MATCH($A420,PERLINE!$N$2:$N$3001,0)))</f>
        <v/>
      </c>
      <c r="D420" s="17" t="str">
        <f aca="false">IF($A420="","",'كشف المطالبة'!$D$6)</f>
        <v/>
      </c>
      <c r="E420" s="18" t="str">
        <f aca="false">IF($A420="","",SUMIFS(PERLINE!$U$2:$U$3001,PERLINE!$N$2:$N$3001,$A420,PERLINE!$AK$2:$AK$3001,0))</f>
        <v/>
      </c>
      <c r="F420" s="19" t="str">
        <f aca="false">IF($A420="","",E420*D420)</f>
        <v/>
      </c>
      <c r="G420" s="17" t="str">
        <f aca="false">IF($A420="","",'كشف المطالبة'!$D$5)</f>
        <v/>
      </c>
      <c r="H420" s="18" t="str">
        <f aca="false">IF($A420="","",SUMIFS(PERLINE!$U$2:$U$3001,PERLINE!$N$2:$N$3001,$A420,PERLINE!$AK$2:$AK$3001,1))</f>
        <v/>
      </c>
      <c r="I420" s="19" t="str">
        <f aca="false">IF($A420="","",H420*G420)</f>
        <v/>
      </c>
      <c r="J420" s="19" t="str">
        <f aca="false">IF($A420="","",F420+I420)</f>
        <v/>
      </c>
      <c r="K420" s="19" t="str">
        <f aca="false">IF($A420="","",H420+E420)</f>
        <v/>
      </c>
      <c r="L420" s="20" t="str">
        <f aca="false">IF($A420="","",K420-J420-N420)</f>
        <v/>
      </c>
      <c r="M420" s="15" t="str">
        <f aca="false">IF($A420="","",INDEX(PERLINE!$A$2:$A$3001,MATCH($A420,PERLINE!$N$2:$N$3001,0)))</f>
        <v/>
      </c>
      <c r="N420" s="21" t="str">
        <f aca="false">IF($A420="","",SUMIFS(PERLINE!$M$2:$M$3001,PERLINE!$N$2:$N$3001,$A420))</f>
        <v/>
      </c>
    </row>
    <row r="421" customFormat="false" ht="15" hidden="false" customHeight="false" outlineLevel="0" collapsed="false">
      <c r="A421" s="15" t="str">
        <f aca="false">IF(ROWS($A$2:$A421)&lt;=Check!$C$4,SMALL(PERLINE!$AL$2:$AL$3001,ROWS($A$2:$A421)),"")</f>
        <v/>
      </c>
      <c r="B421" s="15" t="str">
        <f aca="false">IF($A421="","",INDEX(PERLINE!$J$2:$J$3001,MATCH($A421,PERLINE!$N$2:$N$3001,0)))</f>
        <v/>
      </c>
      <c r="C421" s="16" t="str">
        <f aca="false">IF($A421="","",INDEX(PERLINE!$I$2:$I$3001,MATCH($A421,PERLINE!$N$2:$N$3001,0)))</f>
        <v/>
      </c>
      <c r="D421" s="17" t="str">
        <f aca="false">IF($A421="","",'كشف المطالبة'!$D$6)</f>
        <v/>
      </c>
      <c r="E421" s="18" t="str">
        <f aca="false">IF($A421="","",SUMIFS(PERLINE!$U$2:$U$3001,PERLINE!$N$2:$N$3001,$A421,PERLINE!$AK$2:$AK$3001,0))</f>
        <v/>
      </c>
      <c r="F421" s="19" t="str">
        <f aca="false">IF($A421="","",E421*D421)</f>
        <v/>
      </c>
      <c r="G421" s="17" t="str">
        <f aca="false">IF($A421="","",'كشف المطالبة'!$D$5)</f>
        <v/>
      </c>
      <c r="H421" s="18" t="str">
        <f aca="false">IF($A421="","",SUMIFS(PERLINE!$U$2:$U$3001,PERLINE!$N$2:$N$3001,$A421,PERLINE!$AK$2:$AK$3001,1))</f>
        <v/>
      </c>
      <c r="I421" s="19" t="str">
        <f aca="false">IF($A421="","",H421*G421)</f>
        <v/>
      </c>
      <c r="J421" s="19" t="str">
        <f aca="false">IF($A421="","",F421+I421)</f>
        <v/>
      </c>
      <c r="K421" s="19" t="str">
        <f aca="false">IF($A421="","",H421+E421)</f>
        <v/>
      </c>
      <c r="L421" s="20" t="str">
        <f aca="false">IF($A421="","",K421-J421-N421)</f>
        <v/>
      </c>
      <c r="M421" s="15" t="str">
        <f aca="false">IF($A421="","",INDEX(PERLINE!$A$2:$A$3001,MATCH($A421,PERLINE!$N$2:$N$3001,0)))</f>
        <v/>
      </c>
      <c r="N421" s="21" t="str">
        <f aca="false">IF($A421="","",SUMIFS(PERLINE!$M$2:$M$3001,PERLINE!$N$2:$N$3001,$A421))</f>
        <v/>
      </c>
    </row>
    <row r="422" customFormat="false" ht="15" hidden="false" customHeight="false" outlineLevel="0" collapsed="false">
      <c r="A422" s="15" t="str">
        <f aca="false">IF(ROWS($A$2:$A422)&lt;=Check!$C$4,SMALL(PERLINE!$AL$2:$AL$3001,ROWS($A$2:$A422)),"")</f>
        <v/>
      </c>
      <c r="B422" s="15" t="str">
        <f aca="false">IF($A422="","",INDEX(PERLINE!$J$2:$J$3001,MATCH($A422,PERLINE!$N$2:$N$3001,0)))</f>
        <v/>
      </c>
      <c r="C422" s="16" t="str">
        <f aca="false">IF($A422="","",INDEX(PERLINE!$I$2:$I$3001,MATCH($A422,PERLINE!$N$2:$N$3001,0)))</f>
        <v/>
      </c>
      <c r="D422" s="17" t="str">
        <f aca="false">IF($A422="","",'كشف المطالبة'!$D$6)</f>
        <v/>
      </c>
      <c r="E422" s="18" t="str">
        <f aca="false">IF($A422="","",SUMIFS(PERLINE!$U$2:$U$3001,PERLINE!$N$2:$N$3001,$A422,PERLINE!$AK$2:$AK$3001,0))</f>
        <v/>
      </c>
      <c r="F422" s="19" t="str">
        <f aca="false">IF($A422="","",E422*D422)</f>
        <v/>
      </c>
      <c r="G422" s="17" t="str">
        <f aca="false">IF($A422="","",'كشف المطالبة'!$D$5)</f>
        <v/>
      </c>
      <c r="H422" s="18" t="str">
        <f aca="false">IF($A422="","",SUMIFS(PERLINE!$U$2:$U$3001,PERLINE!$N$2:$N$3001,$A422,PERLINE!$AK$2:$AK$3001,1))</f>
        <v/>
      </c>
      <c r="I422" s="19" t="str">
        <f aca="false">IF($A422="","",H422*G422)</f>
        <v/>
      </c>
      <c r="J422" s="19" t="str">
        <f aca="false">IF($A422="","",F422+I422)</f>
        <v/>
      </c>
      <c r="K422" s="19" t="str">
        <f aca="false">IF($A422="","",H422+E422)</f>
        <v/>
      </c>
      <c r="L422" s="20" t="str">
        <f aca="false">IF($A422="","",K422-J422-N422)</f>
        <v/>
      </c>
      <c r="M422" s="15" t="str">
        <f aca="false">IF($A422="","",INDEX(PERLINE!$A$2:$A$3001,MATCH($A422,PERLINE!$N$2:$N$3001,0)))</f>
        <v/>
      </c>
      <c r="N422" s="21" t="str">
        <f aca="false">IF($A422="","",SUMIFS(PERLINE!$M$2:$M$3001,PERLINE!$N$2:$N$3001,$A422))</f>
        <v/>
      </c>
    </row>
    <row r="423" customFormat="false" ht="15" hidden="false" customHeight="false" outlineLevel="0" collapsed="false">
      <c r="A423" s="15" t="str">
        <f aca="false">IF(ROWS($A$2:$A423)&lt;=Check!$C$4,SMALL(PERLINE!$AL$2:$AL$3001,ROWS($A$2:$A423)),"")</f>
        <v/>
      </c>
      <c r="B423" s="15" t="str">
        <f aca="false">IF($A423="","",INDEX(PERLINE!$J$2:$J$3001,MATCH($A423,PERLINE!$N$2:$N$3001,0)))</f>
        <v/>
      </c>
      <c r="C423" s="16" t="str">
        <f aca="false">IF($A423="","",INDEX(PERLINE!$I$2:$I$3001,MATCH($A423,PERLINE!$N$2:$N$3001,0)))</f>
        <v/>
      </c>
      <c r="D423" s="17" t="str">
        <f aca="false">IF($A423="","",'كشف المطالبة'!$D$6)</f>
        <v/>
      </c>
      <c r="E423" s="18" t="str">
        <f aca="false">IF($A423="","",SUMIFS(PERLINE!$U$2:$U$3001,PERLINE!$N$2:$N$3001,$A423,PERLINE!$AK$2:$AK$3001,0))</f>
        <v/>
      </c>
      <c r="F423" s="19" t="str">
        <f aca="false">IF($A423="","",E423*D423)</f>
        <v/>
      </c>
      <c r="G423" s="17" t="str">
        <f aca="false">IF($A423="","",'كشف المطالبة'!$D$5)</f>
        <v/>
      </c>
      <c r="H423" s="18" t="str">
        <f aca="false">IF($A423="","",SUMIFS(PERLINE!$U$2:$U$3001,PERLINE!$N$2:$N$3001,$A423,PERLINE!$AK$2:$AK$3001,1))</f>
        <v/>
      </c>
      <c r="I423" s="19" t="str">
        <f aca="false">IF($A423="","",H423*G423)</f>
        <v/>
      </c>
      <c r="J423" s="19" t="str">
        <f aca="false">IF($A423="","",F423+I423)</f>
        <v/>
      </c>
      <c r="K423" s="19" t="str">
        <f aca="false">IF($A423="","",H423+E423)</f>
        <v/>
      </c>
      <c r="L423" s="20" t="str">
        <f aca="false">IF($A423="","",K423-J423-N423)</f>
        <v/>
      </c>
      <c r="M423" s="15" t="str">
        <f aca="false">IF($A423="","",INDEX(PERLINE!$A$2:$A$3001,MATCH($A423,PERLINE!$N$2:$N$3001,0)))</f>
        <v/>
      </c>
      <c r="N423" s="21" t="str">
        <f aca="false">IF($A423="","",SUMIFS(PERLINE!$M$2:$M$3001,PERLINE!$N$2:$N$3001,$A423))</f>
        <v/>
      </c>
    </row>
    <row r="424" customFormat="false" ht="15" hidden="false" customHeight="false" outlineLevel="0" collapsed="false">
      <c r="A424" s="15" t="str">
        <f aca="false">IF(ROWS($A$2:$A424)&lt;=Check!$C$4,SMALL(PERLINE!$AL$2:$AL$3001,ROWS($A$2:$A424)),"")</f>
        <v/>
      </c>
      <c r="B424" s="15" t="str">
        <f aca="false">IF($A424="","",INDEX(PERLINE!$J$2:$J$3001,MATCH($A424,PERLINE!$N$2:$N$3001,0)))</f>
        <v/>
      </c>
      <c r="C424" s="16" t="str">
        <f aca="false">IF($A424="","",INDEX(PERLINE!$I$2:$I$3001,MATCH($A424,PERLINE!$N$2:$N$3001,0)))</f>
        <v/>
      </c>
      <c r="D424" s="17" t="str">
        <f aca="false">IF($A424="","",'كشف المطالبة'!$D$6)</f>
        <v/>
      </c>
      <c r="E424" s="18" t="str">
        <f aca="false">IF($A424="","",SUMIFS(PERLINE!$U$2:$U$3001,PERLINE!$N$2:$N$3001,$A424,PERLINE!$AK$2:$AK$3001,0))</f>
        <v/>
      </c>
      <c r="F424" s="19" t="str">
        <f aca="false">IF($A424="","",E424*D424)</f>
        <v/>
      </c>
      <c r="G424" s="17" t="str">
        <f aca="false">IF($A424="","",'كشف المطالبة'!$D$5)</f>
        <v/>
      </c>
      <c r="H424" s="18" t="str">
        <f aca="false">IF($A424="","",SUMIFS(PERLINE!$U$2:$U$3001,PERLINE!$N$2:$N$3001,$A424,PERLINE!$AK$2:$AK$3001,1))</f>
        <v/>
      </c>
      <c r="I424" s="19" t="str">
        <f aca="false">IF($A424="","",H424*G424)</f>
        <v/>
      </c>
      <c r="J424" s="19" t="str">
        <f aca="false">IF($A424="","",F424+I424)</f>
        <v/>
      </c>
      <c r="K424" s="19" t="str">
        <f aca="false">IF($A424="","",H424+E424)</f>
        <v/>
      </c>
      <c r="L424" s="20" t="str">
        <f aca="false">IF($A424="","",K424-J424-N424)</f>
        <v/>
      </c>
      <c r="M424" s="15" t="str">
        <f aca="false">IF($A424="","",INDEX(PERLINE!$A$2:$A$3001,MATCH($A424,PERLINE!$N$2:$N$3001,0)))</f>
        <v/>
      </c>
      <c r="N424" s="21" t="str">
        <f aca="false">IF($A424="","",SUMIFS(PERLINE!$M$2:$M$3001,PERLINE!$N$2:$N$3001,$A424))</f>
        <v/>
      </c>
    </row>
    <row r="425" customFormat="false" ht="15" hidden="false" customHeight="false" outlineLevel="0" collapsed="false">
      <c r="A425" s="15" t="str">
        <f aca="false">IF(ROWS($A$2:$A425)&lt;=Check!$C$4,SMALL(PERLINE!$AL$2:$AL$3001,ROWS($A$2:$A425)),"")</f>
        <v/>
      </c>
      <c r="B425" s="15" t="str">
        <f aca="false">IF($A425="","",INDEX(PERLINE!$J$2:$J$3001,MATCH($A425,PERLINE!$N$2:$N$3001,0)))</f>
        <v/>
      </c>
      <c r="C425" s="16" t="str">
        <f aca="false">IF($A425="","",INDEX(PERLINE!$I$2:$I$3001,MATCH($A425,PERLINE!$N$2:$N$3001,0)))</f>
        <v/>
      </c>
      <c r="D425" s="17" t="str">
        <f aca="false">IF($A425="","",'كشف المطالبة'!$D$6)</f>
        <v/>
      </c>
      <c r="E425" s="18" t="str">
        <f aca="false">IF($A425="","",SUMIFS(PERLINE!$U$2:$U$3001,PERLINE!$N$2:$N$3001,$A425,PERLINE!$AK$2:$AK$3001,0))</f>
        <v/>
      </c>
      <c r="F425" s="19" t="str">
        <f aca="false">IF($A425="","",E425*D425)</f>
        <v/>
      </c>
      <c r="G425" s="17" t="str">
        <f aca="false">IF($A425="","",'كشف المطالبة'!$D$5)</f>
        <v/>
      </c>
      <c r="H425" s="18" t="str">
        <f aca="false">IF($A425="","",SUMIFS(PERLINE!$U$2:$U$3001,PERLINE!$N$2:$N$3001,$A425,PERLINE!$AK$2:$AK$3001,1))</f>
        <v/>
      </c>
      <c r="I425" s="19" t="str">
        <f aca="false">IF($A425="","",H425*G425)</f>
        <v/>
      </c>
      <c r="J425" s="19" t="str">
        <f aca="false">IF($A425="","",F425+I425)</f>
        <v/>
      </c>
      <c r="K425" s="19" t="str">
        <f aca="false">IF($A425="","",H425+E425)</f>
        <v/>
      </c>
      <c r="L425" s="20" t="str">
        <f aca="false">IF($A425="","",K425-J425-N425)</f>
        <v/>
      </c>
      <c r="M425" s="15" t="str">
        <f aca="false">IF($A425="","",INDEX(PERLINE!$A$2:$A$3001,MATCH($A425,PERLINE!$N$2:$N$3001,0)))</f>
        <v/>
      </c>
      <c r="N425" s="21" t="str">
        <f aca="false">IF($A425="","",SUMIFS(PERLINE!$M$2:$M$3001,PERLINE!$N$2:$N$3001,$A425))</f>
        <v/>
      </c>
    </row>
    <row r="426" customFormat="false" ht="15" hidden="false" customHeight="false" outlineLevel="0" collapsed="false">
      <c r="A426" s="15" t="str">
        <f aca="false">IF(ROWS($A$2:$A426)&lt;=Check!$C$4,SMALL(PERLINE!$AL$2:$AL$3001,ROWS($A$2:$A426)),"")</f>
        <v/>
      </c>
      <c r="B426" s="15" t="str">
        <f aca="false">IF($A426="","",INDEX(PERLINE!$J$2:$J$3001,MATCH($A426,PERLINE!$N$2:$N$3001,0)))</f>
        <v/>
      </c>
      <c r="C426" s="16" t="str">
        <f aca="false">IF($A426="","",INDEX(PERLINE!$I$2:$I$3001,MATCH($A426,PERLINE!$N$2:$N$3001,0)))</f>
        <v/>
      </c>
      <c r="D426" s="17" t="str">
        <f aca="false">IF($A426="","",'كشف المطالبة'!$D$6)</f>
        <v/>
      </c>
      <c r="E426" s="18" t="str">
        <f aca="false">IF($A426="","",SUMIFS(PERLINE!$U$2:$U$3001,PERLINE!$N$2:$N$3001,$A426,PERLINE!$AK$2:$AK$3001,0))</f>
        <v/>
      </c>
      <c r="F426" s="19" t="str">
        <f aca="false">IF($A426="","",E426*D426)</f>
        <v/>
      </c>
      <c r="G426" s="17" t="str">
        <f aca="false">IF($A426="","",'كشف المطالبة'!$D$5)</f>
        <v/>
      </c>
      <c r="H426" s="18" t="str">
        <f aca="false">IF($A426="","",SUMIFS(PERLINE!$U$2:$U$3001,PERLINE!$N$2:$N$3001,$A426,PERLINE!$AK$2:$AK$3001,1))</f>
        <v/>
      </c>
      <c r="I426" s="19" t="str">
        <f aca="false">IF($A426="","",H426*G426)</f>
        <v/>
      </c>
      <c r="J426" s="19" t="str">
        <f aca="false">IF($A426="","",F426+I426)</f>
        <v/>
      </c>
      <c r="K426" s="19" t="str">
        <f aca="false">IF($A426="","",H426+E426)</f>
        <v/>
      </c>
      <c r="L426" s="20" t="str">
        <f aca="false">IF($A426="","",K426-J426-N426)</f>
        <v/>
      </c>
      <c r="M426" s="15" t="str">
        <f aca="false">IF($A426="","",INDEX(PERLINE!$A$2:$A$3001,MATCH($A426,PERLINE!$N$2:$N$3001,0)))</f>
        <v/>
      </c>
      <c r="N426" s="21" t="str">
        <f aca="false">IF($A426="","",SUMIFS(PERLINE!$M$2:$M$3001,PERLINE!$N$2:$N$3001,$A426))</f>
        <v/>
      </c>
    </row>
    <row r="427" customFormat="false" ht="15" hidden="false" customHeight="false" outlineLevel="0" collapsed="false">
      <c r="A427" s="15" t="str">
        <f aca="false">IF(ROWS($A$2:$A427)&lt;=Check!$C$4,SMALL(PERLINE!$AL$2:$AL$3001,ROWS($A$2:$A427)),"")</f>
        <v/>
      </c>
      <c r="B427" s="15" t="str">
        <f aca="false">IF($A427="","",INDEX(PERLINE!$J$2:$J$3001,MATCH($A427,PERLINE!$N$2:$N$3001,0)))</f>
        <v/>
      </c>
      <c r="C427" s="16" t="str">
        <f aca="false">IF($A427="","",INDEX(PERLINE!$I$2:$I$3001,MATCH($A427,PERLINE!$N$2:$N$3001,0)))</f>
        <v/>
      </c>
      <c r="D427" s="17" t="str">
        <f aca="false">IF($A427="","",'كشف المطالبة'!$D$6)</f>
        <v/>
      </c>
      <c r="E427" s="18" t="str">
        <f aca="false">IF($A427="","",SUMIFS(PERLINE!$U$2:$U$3001,PERLINE!$N$2:$N$3001,$A427,PERLINE!$AK$2:$AK$3001,0))</f>
        <v/>
      </c>
      <c r="F427" s="19" t="str">
        <f aca="false">IF($A427="","",E427*D427)</f>
        <v/>
      </c>
      <c r="G427" s="17" t="str">
        <f aca="false">IF($A427="","",'كشف المطالبة'!$D$5)</f>
        <v/>
      </c>
      <c r="H427" s="18" t="str">
        <f aca="false">IF($A427="","",SUMIFS(PERLINE!$U$2:$U$3001,PERLINE!$N$2:$N$3001,$A427,PERLINE!$AK$2:$AK$3001,1))</f>
        <v/>
      </c>
      <c r="I427" s="19" t="str">
        <f aca="false">IF($A427="","",H427*G427)</f>
        <v/>
      </c>
      <c r="J427" s="19" t="str">
        <f aca="false">IF($A427="","",F427+I427)</f>
        <v/>
      </c>
      <c r="K427" s="19" t="str">
        <f aca="false">IF($A427="","",H427+E427)</f>
        <v/>
      </c>
      <c r="L427" s="20" t="str">
        <f aca="false">IF($A427="","",K427-J427-N427)</f>
        <v/>
      </c>
      <c r="M427" s="15" t="str">
        <f aca="false">IF($A427="","",INDEX(PERLINE!$A$2:$A$3001,MATCH($A427,PERLINE!$N$2:$N$3001,0)))</f>
        <v/>
      </c>
      <c r="N427" s="21" t="str">
        <f aca="false">IF($A427="","",SUMIFS(PERLINE!$M$2:$M$3001,PERLINE!$N$2:$N$3001,$A427))</f>
        <v/>
      </c>
    </row>
    <row r="428" customFormat="false" ht="15" hidden="false" customHeight="false" outlineLevel="0" collapsed="false">
      <c r="A428" s="15" t="str">
        <f aca="false">IF(ROWS($A$2:$A428)&lt;=Check!$C$4,SMALL(PERLINE!$AL$2:$AL$3001,ROWS($A$2:$A428)),"")</f>
        <v/>
      </c>
      <c r="B428" s="15" t="str">
        <f aca="false">IF($A428="","",INDEX(PERLINE!$J$2:$J$3001,MATCH($A428,PERLINE!$N$2:$N$3001,0)))</f>
        <v/>
      </c>
      <c r="C428" s="16" t="str">
        <f aca="false">IF($A428="","",INDEX(PERLINE!$I$2:$I$3001,MATCH($A428,PERLINE!$N$2:$N$3001,0)))</f>
        <v/>
      </c>
      <c r="D428" s="17" t="str">
        <f aca="false">IF($A428="","",'كشف المطالبة'!$D$6)</f>
        <v/>
      </c>
      <c r="E428" s="18" t="str">
        <f aca="false">IF($A428="","",SUMIFS(PERLINE!$U$2:$U$3001,PERLINE!$N$2:$N$3001,$A428,PERLINE!$AK$2:$AK$3001,0))</f>
        <v/>
      </c>
      <c r="F428" s="19" t="str">
        <f aca="false">IF($A428="","",E428*D428)</f>
        <v/>
      </c>
      <c r="G428" s="17" t="str">
        <f aca="false">IF($A428="","",'كشف المطالبة'!$D$5)</f>
        <v/>
      </c>
      <c r="H428" s="18" t="str">
        <f aca="false">IF($A428="","",SUMIFS(PERLINE!$U$2:$U$3001,PERLINE!$N$2:$N$3001,$A428,PERLINE!$AK$2:$AK$3001,1))</f>
        <v/>
      </c>
      <c r="I428" s="19" t="str">
        <f aca="false">IF($A428="","",H428*G428)</f>
        <v/>
      </c>
      <c r="J428" s="19" t="str">
        <f aca="false">IF($A428="","",F428+I428)</f>
        <v/>
      </c>
      <c r="K428" s="19" t="str">
        <f aca="false">IF($A428="","",H428+E428)</f>
        <v/>
      </c>
      <c r="L428" s="20" t="str">
        <f aca="false">IF($A428="","",K428-J428-N428)</f>
        <v/>
      </c>
      <c r="M428" s="15" t="str">
        <f aca="false">IF($A428="","",INDEX(PERLINE!$A$2:$A$3001,MATCH($A428,PERLINE!$N$2:$N$3001,0)))</f>
        <v/>
      </c>
      <c r="N428" s="21" t="str">
        <f aca="false">IF($A428="","",SUMIFS(PERLINE!$M$2:$M$3001,PERLINE!$N$2:$N$3001,$A428))</f>
        <v/>
      </c>
    </row>
    <row r="429" customFormat="false" ht="15" hidden="false" customHeight="false" outlineLevel="0" collapsed="false">
      <c r="A429" s="15" t="str">
        <f aca="false">IF(ROWS($A$2:$A429)&lt;=Check!$C$4,SMALL(PERLINE!$AL$2:$AL$3001,ROWS($A$2:$A429)),"")</f>
        <v/>
      </c>
      <c r="B429" s="15" t="str">
        <f aca="false">IF($A429="","",INDEX(PERLINE!$J$2:$J$3001,MATCH($A429,PERLINE!$N$2:$N$3001,0)))</f>
        <v/>
      </c>
      <c r="C429" s="16" t="str">
        <f aca="false">IF($A429="","",INDEX(PERLINE!$I$2:$I$3001,MATCH($A429,PERLINE!$N$2:$N$3001,0)))</f>
        <v/>
      </c>
      <c r="D429" s="17" t="str">
        <f aca="false">IF($A429="","",'كشف المطالبة'!$D$6)</f>
        <v/>
      </c>
      <c r="E429" s="18" t="str">
        <f aca="false">IF($A429="","",SUMIFS(PERLINE!$U$2:$U$3001,PERLINE!$N$2:$N$3001,$A429,PERLINE!$AK$2:$AK$3001,0))</f>
        <v/>
      </c>
      <c r="F429" s="19" t="str">
        <f aca="false">IF($A429="","",E429*D429)</f>
        <v/>
      </c>
      <c r="G429" s="17" t="str">
        <f aca="false">IF($A429="","",'كشف المطالبة'!$D$5)</f>
        <v/>
      </c>
      <c r="H429" s="18" t="str">
        <f aca="false">IF($A429="","",SUMIFS(PERLINE!$U$2:$U$3001,PERLINE!$N$2:$N$3001,$A429,PERLINE!$AK$2:$AK$3001,1))</f>
        <v/>
      </c>
      <c r="I429" s="19" t="str">
        <f aca="false">IF($A429="","",H429*G429)</f>
        <v/>
      </c>
      <c r="J429" s="19" t="str">
        <f aca="false">IF($A429="","",F429+I429)</f>
        <v/>
      </c>
      <c r="K429" s="19" t="str">
        <f aca="false">IF($A429="","",H429+E429)</f>
        <v/>
      </c>
      <c r="L429" s="20" t="str">
        <f aca="false">IF($A429="","",K429-J429-N429)</f>
        <v/>
      </c>
      <c r="M429" s="15" t="str">
        <f aca="false">IF($A429="","",INDEX(PERLINE!$A$2:$A$3001,MATCH($A429,PERLINE!$N$2:$N$3001,0)))</f>
        <v/>
      </c>
      <c r="N429" s="21" t="str">
        <f aca="false">IF($A429="","",SUMIFS(PERLINE!$M$2:$M$3001,PERLINE!$N$2:$N$3001,$A429))</f>
        <v/>
      </c>
    </row>
    <row r="430" customFormat="false" ht="15" hidden="false" customHeight="false" outlineLevel="0" collapsed="false">
      <c r="A430" s="15" t="str">
        <f aca="false">IF(ROWS($A$2:$A430)&lt;=Check!$C$4,SMALL(PERLINE!$AL$2:$AL$3001,ROWS($A$2:$A430)),"")</f>
        <v/>
      </c>
      <c r="B430" s="15" t="str">
        <f aca="false">IF($A430="","",INDEX(PERLINE!$J$2:$J$3001,MATCH($A430,PERLINE!$N$2:$N$3001,0)))</f>
        <v/>
      </c>
      <c r="C430" s="16" t="str">
        <f aca="false">IF($A430="","",INDEX(PERLINE!$I$2:$I$3001,MATCH($A430,PERLINE!$N$2:$N$3001,0)))</f>
        <v/>
      </c>
      <c r="D430" s="17" t="str">
        <f aca="false">IF($A430="","",'كشف المطالبة'!$D$6)</f>
        <v/>
      </c>
      <c r="E430" s="18" t="str">
        <f aca="false">IF($A430="","",SUMIFS(PERLINE!$U$2:$U$3001,PERLINE!$N$2:$N$3001,$A430,PERLINE!$AK$2:$AK$3001,0))</f>
        <v/>
      </c>
      <c r="F430" s="19" t="str">
        <f aca="false">IF($A430="","",E430*D430)</f>
        <v/>
      </c>
      <c r="G430" s="17" t="str">
        <f aca="false">IF($A430="","",'كشف المطالبة'!$D$5)</f>
        <v/>
      </c>
      <c r="H430" s="18" t="str">
        <f aca="false">IF($A430="","",SUMIFS(PERLINE!$U$2:$U$3001,PERLINE!$N$2:$N$3001,$A430,PERLINE!$AK$2:$AK$3001,1))</f>
        <v/>
      </c>
      <c r="I430" s="19" t="str">
        <f aca="false">IF($A430="","",H430*G430)</f>
        <v/>
      </c>
      <c r="J430" s="19" t="str">
        <f aca="false">IF($A430="","",F430+I430)</f>
        <v/>
      </c>
      <c r="K430" s="19" t="str">
        <f aca="false">IF($A430="","",H430+E430)</f>
        <v/>
      </c>
      <c r="L430" s="20" t="str">
        <f aca="false">IF($A430="","",K430-J430-N430)</f>
        <v/>
      </c>
      <c r="M430" s="15" t="str">
        <f aca="false">IF($A430="","",INDEX(PERLINE!$A$2:$A$3001,MATCH($A430,PERLINE!$N$2:$N$3001,0)))</f>
        <v/>
      </c>
      <c r="N430" s="21" t="str">
        <f aca="false">IF($A430="","",SUMIFS(PERLINE!$M$2:$M$3001,PERLINE!$N$2:$N$3001,$A430))</f>
        <v/>
      </c>
    </row>
    <row r="431" customFormat="false" ht="15" hidden="false" customHeight="false" outlineLevel="0" collapsed="false">
      <c r="A431" s="15" t="str">
        <f aca="false">IF(ROWS($A$2:$A431)&lt;=Check!$C$4,SMALL(PERLINE!$AL$2:$AL$3001,ROWS($A$2:$A431)),"")</f>
        <v/>
      </c>
      <c r="B431" s="15" t="str">
        <f aca="false">IF($A431="","",INDEX(PERLINE!$J$2:$J$3001,MATCH($A431,PERLINE!$N$2:$N$3001,0)))</f>
        <v/>
      </c>
      <c r="C431" s="16" t="str">
        <f aca="false">IF($A431="","",INDEX(PERLINE!$I$2:$I$3001,MATCH($A431,PERLINE!$N$2:$N$3001,0)))</f>
        <v/>
      </c>
      <c r="D431" s="17" t="str">
        <f aca="false">IF($A431="","",'كشف المطالبة'!$D$6)</f>
        <v/>
      </c>
      <c r="E431" s="18" t="str">
        <f aca="false">IF($A431="","",SUMIFS(PERLINE!$U$2:$U$3001,PERLINE!$N$2:$N$3001,$A431,PERLINE!$AK$2:$AK$3001,0))</f>
        <v/>
      </c>
      <c r="F431" s="19" t="str">
        <f aca="false">IF($A431="","",E431*D431)</f>
        <v/>
      </c>
      <c r="G431" s="17" t="str">
        <f aca="false">IF($A431="","",'كشف المطالبة'!$D$5)</f>
        <v/>
      </c>
      <c r="H431" s="18" t="str">
        <f aca="false">IF($A431="","",SUMIFS(PERLINE!$U$2:$U$3001,PERLINE!$N$2:$N$3001,$A431,PERLINE!$AK$2:$AK$3001,1))</f>
        <v/>
      </c>
      <c r="I431" s="19" t="str">
        <f aca="false">IF($A431="","",H431*G431)</f>
        <v/>
      </c>
      <c r="J431" s="19" t="str">
        <f aca="false">IF($A431="","",F431+I431)</f>
        <v/>
      </c>
      <c r="K431" s="19" t="str">
        <f aca="false">IF($A431="","",H431+E431)</f>
        <v/>
      </c>
      <c r="L431" s="20" t="str">
        <f aca="false">IF($A431="","",K431-J431-N431)</f>
        <v/>
      </c>
      <c r="M431" s="15" t="str">
        <f aca="false">IF($A431="","",INDEX(PERLINE!$A$2:$A$3001,MATCH($A431,PERLINE!$N$2:$N$3001,0)))</f>
        <v/>
      </c>
      <c r="N431" s="21" t="str">
        <f aca="false">IF($A431="","",SUMIFS(PERLINE!$M$2:$M$3001,PERLINE!$N$2:$N$3001,$A431))</f>
        <v/>
      </c>
    </row>
    <row r="432" customFormat="false" ht="15" hidden="false" customHeight="false" outlineLevel="0" collapsed="false">
      <c r="A432" s="15" t="str">
        <f aca="false">IF(ROWS($A$2:$A432)&lt;=Check!$C$4,SMALL(PERLINE!$AL$2:$AL$3001,ROWS($A$2:$A432)),"")</f>
        <v/>
      </c>
      <c r="B432" s="15" t="str">
        <f aca="false">IF($A432="","",INDEX(PERLINE!$J$2:$J$3001,MATCH($A432,PERLINE!$N$2:$N$3001,0)))</f>
        <v/>
      </c>
      <c r="C432" s="16" t="str">
        <f aca="false">IF($A432="","",INDEX(PERLINE!$I$2:$I$3001,MATCH($A432,PERLINE!$N$2:$N$3001,0)))</f>
        <v/>
      </c>
      <c r="D432" s="17" t="str">
        <f aca="false">IF($A432="","",'كشف المطالبة'!$D$6)</f>
        <v/>
      </c>
      <c r="E432" s="18" t="str">
        <f aca="false">IF($A432="","",SUMIFS(PERLINE!$U$2:$U$3001,PERLINE!$N$2:$N$3001,$A432,PERLINE!$AK$2:$AK$3001,0))</f>
        <v/>
      </c>
      <c r="F432" s="19" t="str">
        <f aca="false">IF($A432="","",E432*D432)</f>
        <v/>
      </c>
      <c r="G432" s="17" t="str">
        <f aca="false">IF($A432="","",'كشف المطالبة'!$D$5)</f>
        <v/>
      </c>
      <c r="H432" s="18" t="str">
        <f aca="false">IF($A432="","",SUMIFS(PERLINE!$U$2:$U$3001,PERLINE!$N$2:$N$3001,$A432,PERLINE!$AK$2:$AK$3001,1))</f>
        <v/>
      </c>
      <c r="I432" s="19" t="str">
        <f aca="false">IF($A432="","",H432*G432)</f>
        <v/>
      </c>
      <c r="J432" s="19" t="str">
        <f aca="false">IF($A432="","",F432+I432)</f>
        <v/>
      </c>
      <c r="K432" s="19" t="str">
        <f aca="false">IF($A432="","",H432+E432)</f>
        <v/>
      </c>
      <c r="L432" s="20" t="str">
        <f aca="false">IF($A432="","",K432-J432-N432)</f>
        <v/>
      </c>
      <c r="M432" s="15" t="str">
        <f aca="false">IF($A432="","",INDEX(PERLINE!$A$2:$A$3001,MATCH($A432,PERLINE!$N$2:$N$3001,0)))</f>
        <v/>
      </c>
      <c r="N432" s="21" t="str">
        <f aca="false">IF($A432="","",SUMIFS(PERLINE!$M$2:$M$3001,PERLINE!$N$2:$N$3001,$A432))</f>
        <v/>
      </c>
    </row>
    <row r="433" customFormat="false" ht="15" hidden="false" customHeight="false" outlineLevel="0" collapsed="false">
      <c r="A433" s="15" t="str">
        <f aca="false">IF(ROWS($A$2:$A433)&lt;=Check!$C$4,SMALL(PERLINE!$AL$2:$AL$3001,ROWS($A$2:$A433)),"")</f>
        <v/>
      </c>
      <c r="B433" s="15" t="str">
        <f aca="false">IF($A433="","",INDEX(PERLINE!$J$2:$J$3001,MATCH($A433,PERLINE!$N$2:$N$3001,0)))</f>
        <v/>
      </c>
      <c r="C433" s="16" t="str">
        <f aca="false">IF($A433="","",INDEX(PERLINE!$I$2:$I$3001,MATCH($A433,PERLINE!$N$2:$N$3001,0)))</f>
        <v/>
      </c>
      <c r="D433" s="17" t="str">
        <f aca="false">IF($A433="","",'كشف المطالبة'!$D$6)</f>
        <v/>
      </c>
      <c r="E433" s="18" t="str">
        <f aca="false">IF($A433="","",SUMIFS(PERLINE!$U$2:$U$3001,PERLINE!$N$2:$N$3001,$A433,PERLINE!$AK$2:$AK$3001,0))</f>
        <v/>
      </c>
      <c r="F433" s="19" t="str">
        <f aca="false">IF($A433="","",E433*D433)</f>
        <v/>
      </c>
      <c r="G433" s="17" t="str">
        <f aca="false">IF($A433="","",'كشف المطالبة'!$D$5)</f>
        <v/>
      </c>
      <c r="H433" s="18" t="str">
        <f aca="false">IF($A433="","",SUMIFS(PERLINE!$U$2:$U$3001,PERLINE!$N$2:$N$3001,$A433,PERLINE!$AK$2:$AK$3001,1))</f>
        <v/>
      </c>
      <c r="I433" s="19" t="str">
        <f aca="false">IF($A433="","",H433*G433)</f>
        <v/>
      </c>
      <c r="J433" s="19" t="str">
        <f aca="false">IF($A433="","",F433+I433)</f>
        <v/>
      </c>
      <c r="K433" s="19" t="str">
        <f aca="false">IF($A433="","",H433+E433)</f>
        <v/>
      </c>
      <c r="L433" s="20" t="str">
        <f aca="false">IF($A433="","",K433-J433-N433)</f>
        <v/>
      </c>
      <c r="M433" s="15" t="str">
        <f aca="false">IF($A433="","",INDEX(PERLINE!$A$2:$A$3001,MATCH($A433,PERLINE!$N$2:$N$3001,0)))</f>
        <v/>
      </c>
      <c r="N433" s="21" t="str">
        <f aca="false">IF($A433="","",SUMIFS(PERLINE!$M$2:$M$3001,PERLINE!$N$2:$N$3001,$A433))</f>
        <v/>
      </c>
    </row>
    <row r="434" customFormat="false" ht="15" hidden="false" customHeight="false" outlineLevel="0" collapsed="false">
      <c r="A434" s="15" t="str">
        <f aca="false">IF(ROWS($A$2:$A434)&lt;=Check!$C$4,SMALL(PERLINE!$AL$2:$AL$3001,ROWS($A$2:$A434)),"")</f>
        <v/>
      </c>
      <c r="B434" s="15" t="str">
        <f aca="false">IF($A434="","",INDEX(PERLINE!$J$2:$J$3001,MATCH($A434,PERLINE!$N$2:$N$3001,0)))</f>
        <v/>
      </c>
      <c r="C434" s="16" t="str">
        <f aca="false">IF($A434="","",INDEX(PERLINE!$I$2:$I$3001,MATCH($A434,PERLINE!$N$2:$N$3001,0)))</f>
        <v/>
      </c>
      <c r="D434" s="17" t="str">
        <f aca="false">IF($A434="","",'كشف المطالبة'!$D$6)</f>
        <v/>
      </c>
      <c r="E434" s="18" t="str">
        <f aca="false">IF($A434="","",SUMIFS(PERLINE!$U$2:$U$3001,PERLINE!$N$2:$N$3001,$A434,PERLINE!$AK$2:$AK$3001,0))</f>
        <v/>
      </c>
      <c r="F434" s="19" t="str">
        <f aca="false">IF($A434="","",E434*D434)</f>
        <v/>
      </c>
      <c r="G434" s="17" t="str">
        <f aca="false">IF($A434="","",'كشف المطالبة'!$D$5)</f>
        <v/>
      </c>
      <c r="H434" s="18" t="str">
        <f aca="false">IF($A434="","",SUMIFS(PERLINE!$U$2:$U$3001,PERLINE!$N$2:$N$3001,$A434,PERLINE!$AK$2:$AK$3001,1))</f>
        <v/>
      </c>
      <c r="I434" s="19" t="str">
        <f aca="false">IF($A434="","",H434*G434)</f>
        <v/>
      </c>
      <c r="J434" s="19" t="str">
        <f aca="false">IF($A434="","",F434+I434)</f>
        <v/>
      </c>
      <c r="K434" s="19" t="str">
        <f aca="false">IF($A434="","",H434+E434)</f>
        <v/>
      </c>
      <c r="L434" s="20" t="str">
        <f aca="false">IF($A434="","",K434-J434-N434)</f>
        <v/>
      </c>
      <c r="M434" s="15" t="str">
        <f aca="false">IF($A434="","",INDEX(PERLINE!$A$2:$A$3001,MATCH($A434,PERLINE!$N$2:$N$3001,0)))</f>
        <v/>
      </c>
      <c r="N434" s="21" t="str">
        <f aca="false">IF($A434="","",SUMIFS(PERLINE!$M$2:$M$3001,PERLINE!$N$2:$N$3001,$A434))</f>
        <v/>
      </c>
    </row>
    <row r="435" customFormat="false" ht="15" hidden="false" customHeight="false" outlineLevel="0" collapsed="false">
      <c r="A435" s="15" t="str">
        <f aca="false">IF(ROWS($A$2:$A435)&lt;=Check!$C$4,SMALL(PERLINE!$AL$2:$AL$3001,ROWS($A$2:$A435)),"")</f>
        <v/>
      </c>
      <c r="B435" s="15" t="str">
        <f aca="false">IF($A435="","",INDEX(PERLINE!$J$2:$J$3001,MATCH($A435,PERLINE!$N$2:$N$3001,0)))</f>
        <v/>
      </c>
      <c r="C435" s="16" t="str">
        <f aca="false">IF($A435="","",INDEX(PERLINE!$I$2:$I$3001,MATCH($A435,PERLINE!$N$2:$N$3001,0)))</f>
        <v/>
      </c>
      <c r="D435" s="17" t="str">
        <f aca="false">IF($A435="","",'كشف المطالبة'!$D$6)</f>
        <v/>
      </c>
      <c r="E435" s="18" t="str">
        <f aca="false">IF($A435="","",SUMIFS(PERLINE!$U$2:$U$3001,PERLINE!$N$2:$N$3001,$A435,PERLINE!$AK$2:$AK$3001,0))</f>
        <v/>
      </c>
      <c r="F435" s="19" t="str">
        <f aca="false">IF($A435="","",E435*D435)</f>
        <v/>
      </c>
      <c r="G435" s="17" t="str">
        <f aca="false">IF($A435="","",'كشف المطالبة'!$D$5)</f>
        <v/>
      </c>
      <c r="H435" s="18" t="str">
        <f aca="false">IF($A435="","",SUMIFS(PERLINE!$U$2:$U$3001,PERLINE!$N$2:$N$3001,$A435,PERLINE!$AK$2:$AK$3001,1))</f>
        <v/>
      </c>
      <c r="I435" s="19" t="str">
        <f aca="false">IF($A435="","",H435*G435)</f>
        <v/>
      </c>
      <c r="J435" s="19" t="str">
        <f aca="false">IF($A435="","",F435+I435)</f>
        <v/>
      </c>
      <c r="K435" s="19" t="str">
        <f aca="false">IF($A435="","",H435+E435)</f>
        <v/>
      </c>
      <c r="L435" s="20" t="str">
        <f aca="false">IF($A435="","",K435-J435-N435)</f>
        <v/>
      </c>
      <c r="M435" s="15" t="str">
        <f aca="false">IF($A435="","",INDEX(PERLINE!$A$2:$A$3001,MATCH($A435,PERLINE!$N$2:$N$3001,0)))</f>
        <v/>
      </c>
      <c r="N435" s="21" t="str">
        <f aca="false">IF($A435="","",SUMIFS(PERLINE!$M$2:$M$3001,PERLINE!$N$2:$N$3001,$A435))</f>
        <v/>
      </c>
    </row>
    <row r="436" customFormat="false" ht="15" hidden="false" customHeight="false" outlineLevel="0" collapsed="false">
      <c r="A436" s="15" t="str">
        <f aca="false">IF(ROWS($A$2:$A436)&lt;=Check!$C$4,SMALL(PERLINE!$AL$2:$AL$3001,ROWS($A$2:$A436)),"")</f>
        <v/>
      </c>
      <c r="B436" s="15" t="str">
        <f aca="false">IF($A436="","",INDEX(PERLINE!$J$2:$J$3001,MATCH($A436,PERLINE!$N$2:$N$3001,0)))</f>
        <v/>
      </c>
      <c r="C436" s="16" t="str">
        <f aca="false">IF($A436="","",INDEX(PERLINE!$I$2:$I$3001,MATCH($A436,PERLINE!$N$2:$N$3001,0)))</f>
        <v/>
      </c>
      <c r="D436" s="17" t="str">
        <f aca="false">IF($A436="","",'كشف المطالبة'!$D$6)</f>
        <v/>
      </c>
      <c r="E436" s="18" t="str">
        <f aca="false">IF($A436="","",SUMIFS(PERLINE!$U$2:$U$3001,PERLINE!$N$2:$N$3001,$A436,PERLINE!$AK$2:$AK$3001,0))</f>
        <v/>
      </c>
      <c r="F436" s="19" t="str">
        <f aca="false">IF($A436="","",E436*D436)</f>
        <v/>
      </c>
      <c r="G436" s="17" t="str">
        <f aca="false">IF($A436="","",'كشف المطالبة'!$D$5)</f>
        <v/>
      </c>
      <c r="H436" s="18" t="str">
        <f aca="false">IF($A436="","",SUMIFS(PERLINE!$U$2:$U$3001,PERLINE!$N$2:$N$3001,$A436,PERLINE!$AK$2:$AK$3001,1))</f>
        <v/>
      </c>
      <c r="I436" s="19" t="str">
        <f aca="false">IF($A436="","",H436*G436)</f>
        <v/>
      </c>
      <c r="J436" s="19" t="str">
        <f aca="false">IF($A436="","",F436+I436)</f>
        <v/>
      </c>
      <c r="K436" s="19" t="str">
        <f aca="false">IF($A436="","",H436+E436)</f>
        <v/>
      </c>
      <c r="L436" s="20" t="str">
        <f aca="false">IF($A436="","",K436-J436-N436)</f>
        <v/>
      </c>
      <c r="M436" s="15" t="str">
        <f aca="false">IF($A436="","",INDEX(PERLINE!$A$2:$A$3001,MATCH($A436,PERLINE!$N$2:$N$3001,0)))</f>
        <v/>
      </c>
      <c r="N436" s="21" t="str">
        <f aca="false">IF($A436="","",SUMIFS(PERLINE!$M$2:$M$3001,PERLINE!$N$2:$N$3001,$A436))</f>
        <v/>
      </c>
    </row>
    <row r="437" customFormat="false" ht="15" hidden="false" customHeight="false" outlineLevel="0" collapsed="false">
      <c r="A437" s="15" t="str">
        <f aca="false">IF(ROWS($A$2:$A437)&lt;=Check!$C$4,SMALL(PERLINE!$AL$2:$AL$3001,ROWS($A$2:$A437)),"")</f>
        <v/>
      </c>
      <c r="B437" s="15" t="str">
        <f aca="false">IF($A437="","",INDEX(PERLINE!$J$2:$J$3001,MATCH($A437,PERLINE!$N$2:$N$3001,0)))</f>
        <v/>
      </c>
      <c r="C437" s="16" t="str">
        <f aca="false">IF($A437="","",INDEX(PERLINE!$I$2:$I$3001,MATCH($A437,PERLINE!$N$2:$N$3001,0)))</f>
        <v/>
      </c>
      <c r="D437" s="17" t="str">
        <f aca="false">IF($A437="","",'كشف المطالبة'!$D$6)</f>
        <v/>
      </c>
      <c r="E437" s="18" t="str">
        <f aca="false">IF($A437="","",SUMIFS(PERLINE!$U$2:$U$3001,PERLINE!$N$2:$N$3001,$A437,PERLINE!$AK$2:$AK$3001,0))</f>
        <v/>
      </c>
      <c r="F437" s="19" t="str">
        <f aca="false">IF($A437="","",E437*D437)</f>
        <v/>
      </c>
      <c r="G437" s="17" t="str">
        <f aca="false">IF($A437="","",'كشف المطالبة'!$D$5)</f>
        <v/>
      </c>
      <c r="H437" s="18" t="str">
        <f aca="false">IF($A437="","",SUMIFS(PERLINE!$U$2:$U$3001,PERLINE!$N$2:$N$3001,$A437,PERLINE!$AK$2:$AK$3001,1))</f>
        <v/>
      </c>
      <c r="I437" s="19" t="str">
        <f aca="false">IF($A437="","",H437*G437)</f>
        <v/>
      </c>
      <c r="J437" s="19" t="str">
        <f aca="false">IF($A437="","",F437+I437)</f>
        <v/>
      </c>
      <c r="K437" s="19" t="str">
        <f aca="false">IF($A437="","",H437+E437)</f>
        <v/>
      </c>
      <c r="L437" s="20" t="str">
        <f aca="false">IF($A437="","",K437-J437-N437)</f>
        <v/>
      </c>
      <c r="M437" s="15" t="str">
        <f aca="false">IF($A437="","",INDEX(PERLINE!$A$2:$A$3001,MATCH($A437,PERLINE!$N$2:$N$3001,0)))</f>
        <v/>
      </c>
      <c r="N437" s="21" t="str">
        <f aca="false">IF($A437="","",SUMIFS(PERLINE!$M$2:$M$3001,PERLINE!$N$2:$N$3001,$A437))</f>
        <v/>
      </c>
    </row>
    <row r="438" customFormat="false" ht="15" hidden="false" customHeight="false" outlineLevel="0" collapsed="false">
      <c r="A438" s="15" t="str">
        <f aca="false">IF(ROWS($A$2:$A438)&lt;=Check!$C$4,SMALL(PERLINE!$AL$2:$AL$3001,ROWS($A$2:$A438)),"")</f>
        <v/>
      </c>
      <c r="B438" s="15" t="str">
        <f aca="false">IF($A438="","",INDEX(PERLINE!$J$2:$J$3001,MATCH($A438,PERLINE!$N$2:$N$3001,0)))</f>
        <v/>
      </c>
      <c r="C438" s="16" t="str">
        <f aca="false">IF($A438="","",INDEX(PERLINE!$I$2:$I$3001,MATCH($A438,PERLINE!$N$2:$N$3001,0)))</f>
        <v/>
      </c>
      <c r="D438" s="17" t="str">
        <f aca="false">IF($A438="","",'كشف المطالبة'!$D$6)</f>
        <v/>
      </c>
      <c r="E438" s="18" t="str">
        <f aca="false">IF($A438="","",SUMIFS(PERLINE!$U$2:$U$3001,PERLINE!$N$2:$N$3001,$A438,PERLINE!$AK$2:$AK$3001,0))</f>
        <v/>
      </c>
      <c r="F438" s="19" t="str">
        <f aca="false">IF($A438="","",E438*D438)</f>
        <v/>
      </c>
      <c r="G438" s="17" t="str">
        <f aca="false">IF($A438="","",'كشف المطالبة'!$D$5)</f>
        <v/>
      </c>
      <c r="H438" s="18" t="str">
        <f aca="false">IF($A438="","",SUMIFS(PERLINE!$U$2:$U$3001,PERLINE!$N$2:$N$3001,$A438,PERLINE!$AK$2:$AK$3001,1))</f>
        <v/>
      </c>
      <c r="I438" s="19" t="str">
        <f aca="false">IF($A438="","",H438*G438)</f>
        <v/>
      </c>
      <c r="J438" s="19" t="str">
        <f aca="false">IF($A438="","",F438+I438)</f>
        <v/>
      </c>
      <c r="K438" s="19" t="str">
        <f aca="false">IF($A438="","",H438+E438)</f>
        <v/>
      </c>
      <c r="L438" s="20" t="str">
        <f aca="false">IF($A438="","",K438-J438-N438)</f>
        <v/>
      </c>
      <c r="M438" s="15" t="str">
        <f aca="false">IF($A438="","",INDEX(PERLINE!$A$2:$A$3001,MATCH($A438,PERLINE!$N$2:$N$3001,0)))</f>
        <v/>
      </c>
      <c r="N438" s="21" t="str">
        <f aca="false">IF($A438="","",SUMIFS(PERLINE!$M$2:$M$3001,PERLINE!$N$2:$N$3001,$A438))</f>
        <v/>
      </c>
    </row>
    <row r="439" customFormat="false" ht="15" hidden="false" customHeight="false" outlineLevel="0" collapsed="false">
      <c r="A439" s="15" t="str">
        <f aca="false">IF(ROWS($A$2:$A439)&lt;=Check!$C$4,SMALL(PERLINE!$AL$2:$AL$3001,ROWS($A$2:$A439)),"")</f>
        <v/>
      </c>
      <c r="B439" s="15" t="str">
        <f aca="false">IF($A439="","",INDEX(PERLINE!$J$2:$J$3001,MATCH($A439,PERLINE!$N$2:$N$3001,0)))</f>
        <v/>
      </c>
      <c r="C439" s="16" t="str">
        <f aca="false">IF($A439="","",INDEX(PERLINE!$I$2:$I$3001,MATCH($A439,PERLINE!$N$2:$N$3001,0)))</f>
        <v/>
      </c>
      <c r="D439" s="17" t="str">
        <f aca="false">IF($A439="","",'كشف المطالبة'!$D$6)</f>
        <v/>
      </c>
      <c r="E439" s="18" t="str">
        <f aca="false">IF($A439="","",SUMIFS(PERLINE!$U$2:$U$3001,PERLINE!$N$2:$N$3001,$A439,PERLINE!$AK$2:$AK$3001,0))</f>
        <v/>
      </c>
      <c r="F439" s="19" t="str">
        <f aca="false">IF($A439="","",E439*D439)</f>
        <v/>
      </c>
      <c r="G439" s="17" t="str">
        <f aca="false">IF($A439="","",'كشف المطالبة'!$D$5)</f>
        <v/>
      </c>
      <c r="H439" s="18" t="str">
        <f aca="false">IF($A439="","",SUMIFS(PERLINE!$U$2:$U$3001,PERLINE!$N$2:$N$3001,$A439,PERLINE!$AK$2:$AK$3001,1))</f>
        <v/>
      </c>
      <c r="I439" s="19" t="str">
        <f aca="false">IF($A439="","",H439*G439)</f>
        <v/>
      </c>
      <c r="J439" s="19" t="str">
        <f aca="false">IF($A439="","",F439+I439)</f>
        <v/>
      </c>
      <c r="K439" s="19" t="str">
        <f aca="false">IF($A439="","",H439+E439)</f>
        <v/>
      </c>
      <c r="L439" s="20" t="str">
        <f aca="false">IF($A439="","",K439-J439-N439)</f>
        <v/>
      </c>
      <c r="M439" s="15" t="str">
        <f aca="false">IF($A439="","",INDEX(PERLINE!$A$2:$A$3001,MATCH($A439,PERLINE!$N$2:$N$3001,0)))</f>
        <v/>
      </c>
      <c r="N439" s="21" t="str">
        <f aca="false">IF($A439="","",SUMIFS(PERLINE!$M$2:$M$3001,PERLINE!$N$2:$N$3001,$A439))</f>
        <v/>
      </c>
    </row>
    <row r="440" customFormat="false" ht="15" hidden="false" customHeight="false" outlineLevel="0" collapsed="false">
      <c r="A440" s="15" t="str">
        <f aca="false">IF(ROWS($A$2:$A440)&lt;=Check!$C$4,SMALL(PERLINE!$AL$2:$AL$3001,ROWS($A$2:$A440)),"")</f>
        <v/>
      </c>
      <c r="B440" s="15" t="str">
        <f aca="false">IF($A440="","",INDEX(PERLINE!$J$2:$J$3001,MATCH($A440,PERLINE!$N$2:$N$3001,0)))</f>
        <v/>
      </c>
      <c r="C440" s="16" t="str">
        <f aca="false">IF($A440="","",INDEX(PERLINE!$I$2:$I$3001,MATCH($A440,PERLINE!$N$2:$N$3001,0)))</f>
        <v/>
      </c>
      <c r="D440" s="17" t="str">
        <f aca="false">IF($A440="","",'كشف المطالبة'!$D$6)</f>
        <v/>
      </c>
      <c r="E440" s="18" t="str">
        <f aca="false">IF($A440="","",SUMIFS(PERLINE!$U$2:$U$3001,PERLINE!$N$2:$N$3001,$A440,PERLINE!$AK$2:$AK$3001,0))</f>
        <v/>
      </c>
      <c r="F440" s="19" t="str">
        <f aca="false">IF($A440="","",E440*D440)</f>
        <v/>
      </c>
      <c r="G440" s="17" t="str">
        <f aca="false">IF($A440="","",'كشف المطالبة'!$D$5)</f>
        <v/>
      </c>
      <c r="H440" s="18" t="str">
        <f aca="false">IF($A440="","",SUMIFS(PERLINE!$U$2:$U$3001,PERLINE!$N$2:$N$3001,$A440,PERLINE!$AK$2:$AK$3001,1))</f>
        <v/>
      </c>
      <c r="I440" s="19" t="str">
        <f aca="false">IF($A440="","",H440*G440)</f>
        <v/>
      </c>
      <c r="J440" s="19" t="str">
        <f aca="false">IF($A440="","",F440+I440)</f>
        <v/>
      </c>
      <c r="K440" s="19" t="str">
        <f aca="false">IF($A440="","",H440+E440)</f>
        <v/>
      </c>
      <c r="L440" s="20" t="str">
        <f aca="false">IF($A440="","",K440-J440-N440)</f>
        <v/>
      </c>
      <c r="M440" s="15" t="str">
        <f aca="false">IF($A440="","",INDEX(PERLINE!$A$2:$A$3001,MATCH($A440,PERLINE!$N$2:$N$3001,0)))</f>
        <v/>
      </c>
      <c r="N440" s="21" t="str">
        <f aca="false">IF($A440="","",SUMIFS(PERLINE!$M$2:$M$3001,PERLINE!$N$2:$N$3001,$A440))</f>
        <v/>
      </c>
    </row>
    <row r="441" customFormat="false" ht="15" hidden="false" customHeight="false" outlineLevel="0" collapsed="false">
      <c r="A441" s="15" t="str">
        <f aca="false">IF(ROWS($A$2:$A441)&lt;=Check!$C$4,SMALL(PERLINE!$AL$2:$AL$3001,ROWS($A$2:$A441)),"")</f>
        <v/>
      </c>
      <c r="B441" s="15" t="str">
        <f aca="false">IF($A441="","",INDEX(PERLINE!$J$2:$J$3001,MATCH($A441,PERLINE!$N$2:$N$3001,0)))</f>
        <v/>
      </c>
      <c r="C441" s="16" t="str">
        <f aca="false">IF($A441="","",INDEX(PERLINE!$I$2:$I$3001,MATCH($A441,PERLINE!$N$2:$N$3001,0)))</f>
        <v/>
      </c>
      <c r="D441" s="17" t="str">
        <f aca="false">IF($A441="","",'كشف المطالبة'!$D$6)</f>
        <v/>
      </c>
      <c r="E441" s="18" t="str">
        <f aca="false">IF($A441="","",SUMIFS(PERLINE!$U$2:$U$3001,PERLINE!$N$2:$N$3001,$A441,PERLINE!$AK$2:$AK$3001,0))</f>
        <v/>
      </c>
      <c r="F441" s="19" t="str">
        <f aca="false">IF($A441="","",E441*D441)</f>
        <v/>
      </c>
      <c r="G441" s="17" t="str">
        <f aca="false">IF($A441="","",'كشف المطالبة'!$D$5)</f>
        <v/>
      </c>
      <c r="H441" s="18" t="str">
        <f aca="false">IF($A441="","",SUMIFS(PERLINE!$U$2:$U$3001,PERLINE!$N$2:$N$3001,$A441,PERLINE!$AK$2:$AK$3001,1))</f>
        <v/>
      </c>
      <c r="I441" s="19" t="str">
        <f aca="false">IF($A441="","",H441*G441)</f>
        <v/>
      </c>
      <c r="J441" s="19" t="str">
        <f aca="false">IF($A441="","",F441+I441)</f>
        <v/>
      </c>
      <c r="K441" s="19" t="str">
        <f aca="false">IF($A441="","",H441+E441)</f>
        <v/>
      </c>
      <c r="L441" s="20" t="str">
        <f aca="false">IF($A441="","",K441-J441-N441)</f>
        <v/>
      </c>
      <c r="M441" s="15" t="str">
        <f aca="false">IF($A441="","",INDEX(PERLINE!$A$2:$A$3001,MATCH($A441,PERLINE!$N$2:$N$3001,0)))</f>
        <v/>
      </c>
      <c r="N441" s="21" t="str">
        <f aca="false">IF($A441="","",SUMIFS(PERLINE!$M$2:$M$3001,PERLINE!$N$2:$N$3001,$A441))</f>
        <v/>
      </c>
    </row>
    <row r="442" customFormat="false" ht="15" hidden="false" customHeight="false" outlineLevel="0" collapsed="false">
      <c r="A442" s="15" t="str">
        <f aca="false">IF(ROWS($A$2:$A442)&lt;=Check!$C$4,SMALL(PERLINE!$AL$2:$AL$3001,ROWS($A$2:$A442)),"")</f>
        <v/>
      </c>
      <c r="B442" s="15" t="str">
        <f aca="false">IF($A442="","",INDEX(PERLINE!$J$2:$J$3001,MATCH($A442,PERLINE!$N$2:$N$3001,0)))</f>
        <v/>
      </c>
      <c r="C442" s="16" t="str">
        <f aca="false">IF($A442="","",INDEX(PERLINE!$I$2:$I$3001,MATCH($A442,PERLINE!$N$2:$N$3001,0)))</f>
        <v/>
      </c>
      <c r="D442" s="17" t="str">
        <f aca="false">IF($A442="","",'كشف المطالبة'!$D$6)</f>
        <v/>
      </c>
      <c r="E442" s="18" t="str">
        <f aca="false">IF($A442="","",SUMIFS(PERLINE!$U$2:$U$3001,PERLINE!$N$2:$N$3001,$A442,PERLINE!$AK$2:$AK$3001,0))</f>
        <v/>
      </c>
      <c r="F442" s="19" t="str">
        <f aca="false">IF($A442="","",E442*D442)</f>
        <v/>
      </c>
      <c r="G442" s="17" t="str">
        <f aca="false">IF($A442="","",'كشف المطالبة'!$D$5)</f>
        <v/>
      </c>
      <c r="H442" s="18" t="str">
        <f aca="false">IF($A442="","",SUMIFS(PERLINE!$U$2:$U$3001,PERLINE!$N$2:$N$3001,$A442,PERLINE!$AK$2:$AK$3001,1))</f>
        <v/>
      </c>
      <c r="I442" s="19" t="str">
        <f aca="false">IF($A442="","",H442*G442)</f>
        <v/>
      </c>
      <c r="J442" s="19" t="str">
        <f aca="false">IF($A442="","",F442+I442)</f>
        <v/>
      </c>
      <c r="K442" s="19" t="str">
        <f aca="false">IF($A442="","",H442+E442)</f>
        <v/>
      </c>
      <c r="L442" s="20" t="str">
        <f aca="false">IF($A442="","",K442-J442-N442)</f>
        <v/>
      </c>
      <c r="M442" s="15" t="str">
        <f aca="false">IF($A442="","",INDEX(PERLINE!$A$2:$A$3001,MATCH($A442,PERLINE!$N$2:$N$3001,0)))</f>
        <v/>
      </c>
      <c r="N442" s="21" t="str">
        <f aca="false">IF($A442="","",SUMIFS(PERLINE!$M$2:$M$3001,PERLINE!$N$2:$N$3001,$A442))</f>
        <v/>
      </c>
    </row>
    <row r="443" customFormat="false" ht="15" hidden="false" customHeight="false" outlineLevel="0" collapsed="false">
      <c r="A443" s="15" t="str">
        <f aca="false">IF(ROWS($A$2:$A443)&lt;=Check!$C$4,SMALL(PERLINE!$AL$2:$AL$3001,ROWS($A$2:$A443)),"")</f>
        <v/>
      </c>
      <c r="B443" s="15" t="str">
        <f aca="false">IF($A443="","",INDEX(PERLINE!$J$2:$J$3001,MATCH($A443,PERLINE!$N$2:$N$3001,0)))</f>
        <v/>
      </c>
      <c r="C443" s="16" t="str">
        <f aca="false">IF($A443="","",INDEX(PERLINE!$I$2:$I$3001,MATCH($A443,PERLINE!$N$2:$N$3001,0)))</f>
        <v/>
      </c>
      <c r="D443" s="17" t="str">
        <f aca="false">IF($A443="","",'كشف المطالبة'!$D$6)</f>
        <v/>
      </c>
      <c r="E443" s="18" t="str">
        <f aca="false">IF($A443="","",SUMIFS(PERLINE!$U$2:$U$3001,PERLINE!$N$2:$N$3001,$A443,PERLINE!$AK$2:$AK$3001,0))</f>
        <v/>
      </c>
      <c r="F443" s="19" t="str">
        <f aca="false">IF($A443="","",E443*D443)</f>
        <v/>
      </c>
      <c r="G443" s="17" t="str">
        <f aca="false">IF($A443="","",'كشف المطالبة'!$D$5)</f>
        <v/>
      </c>
      <c r="H443" s="18" t="str">
        <f aca="false">IF($A443="","",SUMIFS(PERLINE!$U$2:$U$3001,PERLINE!$N$2:$N$3001,$A443,PERLINE!$AK$2:$AK$3001,1))</f>
        <v/>
      </c>
      <c r="I443" s="19" t="str">
        <f aca="false">IF($A443="","",H443*G443)</f>
        <v/>
      </c>
      <c r="J443" s="19" t="str">
        <f aca="false">IF($A443="","",F443+I443)</f>
        <v/>
      </c>
      <c r="K443" s="19" t="str">
        <f aca="false">IF($A443="","",H443+E443)</f>
        <v/>
      </c>
      <c r="L443" s="20" t="str">
        <f aca="false">IF($A443="","",K443-J443-N443)</f>
        <v/>
      </c>
      <c r="M443" s="15" t="str">
        <f aca="false">IF($A443="","",INDEX(PERLINE!$A$2:$A$3001,MATCH($A443,PERLINE!$N$2:$N$3001,0)))</f>
        <v/>
      </c>
      <c r="N443" s="21" t="str">
        <f aca="false">IF($A443="","",SUMIFS(PERLINE!$M$2:$M$3001,PERLINE!$N$2:$N$3001,$A443))</f>
        <v/>
      </c>
    </row>
    <row r="444" customFormat="false" ht="15" hidden="false" customHeight="false" outlineLevel="0" collapsed="false">
      <c r="A444" s="15" t="str">
        <f aca="false">IF(ROWS($A$2:$A444)&lt;=Check!$C$4,SMALL(PERLINE!$AL$2:$AL$3001,ROWS($A$2:$A444)),"")</f>
        <v/>
      </c>
      <c r="B444" s="15" t="str">
        <f aca="false">IF($A444="","",INDEX(PERLINE!$J$2:$J$3001,MATCH($A444,PERLINE!$N$2:$N$3001,0)))</f>
        <v/>
      </c>
      <c r="C444" s="16" t="str">
        <f aca="false">IF($A444="","",INDEX(PERLINE!$I$2:$I$3001,MATCH($A444,PERLINE!$N$2:$N$3001,0)))</f>
        <v/>
      </c>
      <c r="D444" s="17" t="str">
        <f aca="false">IF($A444="","",'كشف المطالبة'!$D$6)</f>
        <v/>
      </c>
      <c r="E444" s="18" t="str">
        <f aca="false">IF($A444="","",SUMIFS(PERLINE!$U$2:$U$3001,PERLINE!$N$2:$N$3001,$A444,PERLINE!$AK$2:$AK$3001,0))</f>
        <v/>
      </c>
      <c r="F444" s="19" t="str">
        <f aca="false">IF($A444="","",E444*D444)</f>
        <v/>
      </c>
      <c r="G444" s="17" t="str">
        <f aca="false">IF($A444="","",'كشف المطالبة'!$D$5)</f>
        <v/>
      </c>
      <c r="H444" s="18" t="str">
        <f aca="false">IF($A444="","",SUMIFS(PERLINE!$U$2:$U$3001,PERLINE!$N$2:$N$3001,$A444,PERLINE!$AK$2:$AK$3001,1))</f>
        <v/>
      </c>
      <c r="I444" s="19" t="str">
        <f aca="false">IF($A444="","",H444*G444)</f>
        <v/>
      </c>
      <c r="J444" s="19" t="str">
        <f aca="false">IF($A444="","",F444+I444)</f>
        <v/>
      </c>
      <c r="K444" s="19" t="str">
        <f aca="false">IF($A444="","",H444+E444)</f>
        <v/>
      </c>
      <c r="L444" s="20" t="str">
        <f aca="false">IF($A444="","",K444-J444-N444)</f>
        <v/>
      </c>
      <c r="M444" s="15" t="str">
        <f aca="false">IF($A444="","",INDEX(PERLINE!$A$2:$A$3001,MATCH($A444,PERLINE!$N$2:$N$3001,0)))</f>
        <v/>
      </c>
      <c r="N444" s="21" t="str">
        <f aca="false">IF($A444="","",SUMIFS(PERLINE!$M$2:$M$3001,PERLINE!$N$2:$N$3001,$A444))</f>
        <v/>
      </c>
    </row>
    <row r="445" customFormat="false" ht="15" hidden="false" customHeight="false" outlineLevel="0" collapsed="false">
      <c r="A445" s="15" t="str">
        <f aca="false">IF(ROWS($A$2:$A445)&lt;=Check!$C$4,SMALL(PERLINE!$AL$2:$AL$3001,ROWS($A$2:$A445)),"")</f>
        <v/>
      </c>
      <c r="B445" s="15" t="str">
        <f aca="false">IF($A445="","",INDEX(PERLINE!$J$2:$J$3001,MATCH($A445,PERLINE!$N$2:$N$3001,0)))</f>
        <v/>
      </c>
      <c r="C445" s="16" t="str">
        <f aca="false">IF($A445="","",INDEX(PERLINE!$I$2:$I$3001,MATCH($A445,PERLINE!$N$2:$N$3001,0)))</f>
        <v/>
      </c>
      <c r="D445" s="17" t="str">
        <f aca="false">IF($A445="","",'كشف المطالبة'!$D$6)</f>
        <v/>
      </c>
      <c r="E445" s="18" t="str">
        <f aca="false">IF($A445="","",SUMIFS(PERLINE!$U$2:$U$3001,PERLINE!$N$2:$N$3001,$A445,PERLINE!$AK$2:$AK$3001,0))</f>
        <v/>
      </c>
      <c r="F445" s="19" t="str">
        <f aca="false">IF($A445="","",E445*D445)</f>
        <v/>
      </c>
      <c r="G445" s="17" t="str">
        <f aca="false">IF($A445="","",'كشف المطالبة'!$D$5)</f>
        <v/>
      </c>
      <c r="H445" s="18" t="str">
        <f aca="false">IF($A445="","",SUMIFS(PERLINE!$U$2:$U$3001,PERLINE!$N$2:$N$3001,$A445,PERLINE!$AK$2:$AK$3001,1))</f>
        <v/>
      </c>
      <c r="I445" s="19" t="str">
        <f aca="false">IF($A445="","",H445*G445)</f>
        <v/>
      </c>
      <c r="J445" s="19" t="str">
        <f aca="false">IF($A445="","",F445+I445)</f>
        <v/>
      </c>
      <c r="K445" s="19" t="str">
        <f aca="false">IF($A445="","",H445+E445)</f>
        <v/>
      </c>
      <c r="L445" s="20" t="str">
        <f aca="false">IF($A445="","",K445-J445-N445)</f>
        <v/>
      </c>
      <c r="M445" s="15" t="str">
        <f aca="false">IF($A445="","",INDEX(PERLINE!$A$2:$A$3001,MATCH($A445,PERLINE!$N$2:$N$3001,0)))</f>
        <v/>
      </c>
      <c r="N445" s="21" t="str">
        <f aca="false">IF($A445="","",SUMIFS(PERLINE!$M$2:$M$3001,PERLINE!$N$2:$N$3001,$A445))</f>
        <v/>
      </c>
    </row>
    <row r="446" customFormat="false" ht="15" hidden="false" customHeight="false" outlineLevel="0" collapsed="false">
      <c r="A446" s="15" t="str">
        <f aca="false">IF(ROWS($A$2:$A446)&lt;=Check!$C$4,SMALL(PERLINE!$AL$2:$AL$3001,ROWS($A$2:$A446)),"")</f>
        <v/>
      </c>
      <c r="B446" s="15" t="str">
        <f aca="false">IF($A446="","",INDEX(PERLINE!$J$2:$J$3001,MATCH($A446,PERLINE!$N$2:$N$3001,0)))</f>
        <v/>
      </c>
      <c r="C446" s="16" t="str">
        <f aca="false">IF($A446="","",INDEX(PERLINE!$I$2:$I$3001,MATCH($A446,PERLINE!$N$2:$N$3001,0)))</f>
        <v/>
      </c>
      <c r="D446" s="17" t="str">
        <f aca="false">IF($A446="","",'كشف المطالبة'!$D$6)</f>
        <v/>
      </c>
      <c r="E446" s="18" t="str">
        <f aca="false">IF($A446="","",SUMIFS(PERLINE!$U$2:$U$3001,PERLINE!$N$2:$N$3001,$A446,PERLINE!$AK$2:$AK$3001,0))</f>
        <v/>
      </c>
      <c r="F446" s="19" t="str">
        <f aca="false">IF($A446="","",E446*D446)</f>
        <v/>
      </c>
      <c r="G446" s="17" t="str">
        <f aca="false">IF($A446="","",'كشف المطالبة'!$D$5)</f>
        <v/>
      </c>
      <c r="H446" s="18" t="str">
        <f aca="false">IF($A446="","",SUMIFS(PERLINE!$U$2:$U$3001,PERLINE!$N$2:$N$3001,$A446,PERLINE!$AK$2:$AK$3001,1))</f>
        <v/>
      </c>
      <c r="I446" s="19" t="str">
        <f aca="false">IF($A446="","",H446*G446)</f>
        <v/>
      </c>
      <c r="J446" s="19" t="str">
        <f aca="false">IF($A446="","",F446+I446)</f>
        <v/>
      </c>
      <c r="K446" s="19" t="str">
        <f aca="false">IF($A446="","",H446+E446)</f>
        <v/>
      </c>
      <c r="L446" s="20" t="str">
        <f aca="false">IF($A446="","",K446-J446-N446)</f>
        <v/>
      </c>
      <c r="M446" s="15" t="str">
        <f aca="false">IF($A446="","",INDEX(PERLINE!$A$2:$A$3001,MATCH($A446,PERLINE!$N$2:$N$3001,0)))</f>
        <v/>
      </c>
      <c r="N446" s="21" t="str">
        <f aca="false">IF($A446="","",SUMIFS(PERLINE!$M$2:$M$3001,PERLINE!$N$2:$N$3001,$A446))</f>
        <v/>
      </c>
    </row>
    <row r="447" customFormat="false" ht="15" hidden="false" customHeight="false" outlineLevel="0" collapsed="false">
      <c r="A447" s="15" t="str">
        <f aca="false">IF(ROWS($A$2:$A447)&lt;=Check!$C$4,SMALL(PERLINE!$AL$2:$AL$3001,ROWS($A$2:$A447)),"")</f>
        <v/>
      </c>
      <c r="B447" s="15" t="str">
        <f aca="false">IF($A447="","",INDEX(PERLINE!$J$2:$J$3001,MATCH($A447,PERLINE!$N$2:$N$3001,0)))</f>
        <v/>
      </c>
      <c r="C447" s="16" t="str">
        <f aca="false">IF($A447="","",INDEX(PERLINE!$I$2:$I$3001,MATCH($A447,PERLINE!$N$2:$N$3001,0)))</f>
        <v/>
      </c>
      <c r="D447" s="17" t="str">
        <f aca="false">IF($A447="","",'كشف المطالبة'!$D$6)</f>
        <v/>
      </c>
      <c r="E447" s="18" t="str">
        <f aca="false">IF($A447="","",SUMIFS(PERLINE!$U$2:$U$3001,PERLINE!$N$2:$N$3001,$A447,PERLINE!$AK$2:$AK$3001,0))</f>
        <v/>
      </c>
      <c r="F447" s="19" t="str">
        <f aca="false">IF($A447="","",E447*D447)</f>
        <v/>
      </c>
      <c r="G447" s="17" t="str">
        <f aca="false">IF($A447="","",'كشف المطالبة'!$D$5)</f>
        <v/>
      </c>
      <c r="H447" s="18" t="str">
        <f aca="false">IF($A447="","",SUMIFS(PERLINE!$U$2:$U$3001,PERLINE!$N$2:$N$3001,$A447,PERLINE!$AK$2:$AK$3001,1))</f>
        <v/>
      </c>
      <c r="I447" s="19" t="str">
        <f aca="false">IF($A447="","",H447*G447)</f>
        <v/>
      </c>
      <c r="J447" s="19" t="str">
        <f aca="false">IF($A447="","",F447+I447)</f>
        <v/>
      </c>
      <c r="K447" s="19" t="str">
        <f aca="false">IF($A447="","",H447+E447)</f>
        <v/>
      </c>
      <c r="L447" s="20" t="str">
        <f aca="false">IF($A447="","",K447-J447-N447)</f>
        <v/>
      </c>
      <c r="M447" s="15" t="str">
        <f aca="false">IF($A447="","",INDEX(PERLINE!$A$2:$A$3001,MATCH($A447,PERLINE!$N$2:$N$3001,0)))</f>
        <v/>
      </c>
      <c r="N447" s="21" t="str">
        <f aca="false">IF($A447="","",SUMIFS(PERLINE!$M$2:$M$3001,PERLINE!$N$2:$N$3001,$A447))</f>
        <v/>
      </c>
    </row>
    <row r="448" customFormat="false" ht="15" hidden="false" customHeight="false" outlineLevel="0" collapsed="false">
      <c r="A448" s="15" t="str">
        <f aca="false">IF(ROWS($A$2:$A448)&lt;=Check!$C$4,SMALL(PERLINE!$AL$2:$AL$3001,ROWS($A$2:$A448)),"")</f>
        <v/>
      </c>
      <c r="B448" s="15" t="str">
        <f aca="false">IF($A448="","",INDEX(PERLINE!$J$2:$J$3001,MATCH($A448,PERLINE!$N$2:$N$3001,0)))</f>
        <v/>
      </c>
      <c r="C448" s="16" t="str">
        <f aca="false">IF($A448="","",INDEX(PERLINE!$I$2:$I$3001,MATCH($A448,PERLINE!$N$2:$N$3001,0)))</f>
        <v/>
      </c>
      <c r="D448" s="17" t="str">
        <f aca="false">IF($A448="","",'كشف المطالبة'!$D$6)</f>
        <v/>
      </c>
      <c r="E448" s="18" t="str">
        <f aca="false">IF($A448="","",SUMIFS(PERLINE!$U$2:$U$3001,PERLINE!$N$2:$N$3001,$A448,PERLINE!$AK$2:$AK$3001,0))</f>
        <v/>
      </c>
      <c r="F448" s="19" t="str">
        <f aca="false">IF($A448="","",E448*D448)</f>
        <v/>
      </c>
      <c r="G448" s="17" t="str">
        <f aca="false">IF($A448="","",'كشف المطالبة'!$D$5)</f>
        <v/>
      </c>
      <c r="H448" s="18" t="str">
        <f aca="false">IF($A448="","",SUMIFS(PERLINE!$U$2:$U$3001,PERLINE!$N$2:$N$3001,$A448,PERLINE!$AK$2:$AK$3001,1))</f>
        <v/>
      </c>
      <c r="I448" s="19" t="str">
        <f aca="false">IF($A448="","",H448*G448)</f>
        <v/>
      </c>
      <c r="J448" s="19" t="str">
        <f aca="false">IF($A448="","",F448+I448)</f>
        <v/>
      </c>
      <c r="K448" s="19" t="str">
        <f aca="false">IF($A448="","",H448+E448)</f>
        <v/>
      </c>
      <c r="L448" s="20" t="str">
        <f aca="false">IF($A448="","",K448-J448-N448)</f>
        <v/>
      </c>
      <c r="M448" s="15" t="str">
        <f aca="false">IF($A448="","",INDEX(PERLINE!$A$2:$A$3001,MATCH($A448,PERLINE!$N$2:$N$3001,0)))</f>
        <v/>
      </c>
      <c r="N448" s="21" t="str">
        <f aca="false">IF($A448="","",SUMIFS(PERLINE!$M$2:$M$3001,PERLINE!$N$2:$N$3001,$A448))</f>
        <v/>
      </c>
    </row>
    <row r="449" customFormat="false" ht="15" hidden="false" customHeight="false" outlineLevel="0" collapsed="false">
      <c r="A449" s="15" t="str">
        <f aca="false">IF(ROWS($A$2:$A449)&lt;=Check!$C$4,SMALL(PERLINE!$AL$2:$AL$3001,ROWS($A$2:$A449)),"")</f>
        <v/>
      </c>
      <c r="B449" s="15" t="str">
        <f aca="false">IF($A449="","",INDEX(PERLINE!$J$2:$J$3001,MATCH($A449,PERLINE!$N$2:$N$3001,0)))</f>
        <v/>
      </c>
      <c r="C449" s="16" t="str">
        <f aca="false">IF($A449="","",INDEX(PERLINE!$I$2:$I$3001,MATCH($A449,PERLINE!$N$2:$N$3001,0)))</f>
        <v/>
      </c>
      <c r="D449" s="17" t="str">
        <f aca="false">IF($A449="","",'كشف المطالبة'!$D$6)</f>
        <v/>
      </c>
      <c r="E449" s="18" t="str">
        <f aca="false">IF($A449="","",SUMIFS(PERLINE!$U$2:$U$3001,PERLINE!$N$2:$N$3001,$A449,PERLINE!$AK$2:$AK$3001,0))</f>
        <v/>
      </c>
      <c r="F449" s="19" t="str">
        <f aca="false">IF($A449="","",E449*D449)</f>
        <v/>
      </c>
      <c r="G449" s="17" t="str">
        <f aca="false">IF($A449="","",'كشف المطالبة'!$D$5)</f>
        <v/>
      </c>
      <c r="H449" s="18" t="str">
        <f aca="false">IF($A449="","",SUMIFS(PERLINE!$U$2:$U$3001,PERLINE!$N$2:$N$3001,$A449,PERLINE!$AK$2:$AK$3001,1))</f>
        <v/>
      </c>
      <c r="I449" s="19" t="str">
        <f aca="false">IF($A449="","",H449*G449)</f>
        <v/>
      </c>
      <c r="J449" s="19" t="str">
        <f aca="false">IF($A449="","",F449+I449)</f>
        <v/>
      </c>
      <c r="K449" s="19" t="str">
        <f aca="false">IF($A449="","",H449+E449)</f>
        <v/>
      </c>
      <c r="L449" s="20" t="str">
        <f aca="false">IF($A449="","",K449-J449-N449)</f>
        <v/>
      </c>
      <c r="M449" s="15" t="str">
        <f aca="false">IF($A449="","",INDEX(PERLINE!$A$2:$A$3001,MATCH($A449,PERLINE!$N$2:$N$3001,0)))</f>
        <v/>
      </c>
      <c r="N449" s="21" t="str">
        <f aca="false">IF($A449="","",SUMIFS(PERLINE!$M$2:$M$3001,PERLINE!$N$2:$N$3001,$A449))</f>
        <v/>
      </c>
    </row>
    <row r="450" customFormat="false" ht="15" hidden="false" customHeight="false" outlineLevel="0" collapsed="false">
      <c r="A450" s="15" t="str">
        <f aca="false">IF(ROWS($A$2:$A450)&lt;=Check!$C$4,SMALL(PERLINE!$AL$2:$AL$3001,ROWS($A$2:$A450)),"")</f>
        <v/>
      </c>
      <c r="B450" s="15" t="str">
        <f aca="false">IF($A450="","",INDEX(PERLINE!$J$2:$J$3001,MATCH($A450,PERLINE!$N$2:$N$3001,0)))</f>
        <v/>
      </c>
      <c r="C450" s="16" t="str">
        <f aca="false">IF($A450="","",INDEX(PERLINE!$I$2:$I$3001,MATCH($A450,PERLINE!$N$2:$N$3001,0)))</f>
        <v/>
      </c>
      <c r="D450" s="17" t="str">
        <f aca="false">IF($A450="","",'كشف المطالبة'!$D$6)</f>
        <v/>
      </c>
      <c r="E450" s="18" t="str">
        <f aca="false">IF($A450="","",SUMIFS(PERLINE!$U$2:$U$3001,PERLINE!$N$2:$N$3001,$A450,PERLINE!$AK$2:$AK$3001,0))</f>
        <v/>
      </c>
      <c r="F450" s="19" t="str">
        <f aca="false">IF($A450="","",E450*D450)</f>
        <v/>
      </c>
      <c r="G450" s="17" t="str">
        <f aca="false">IF($A450="","",'كشف المطالبة'!$D$5)</f>
        <v/>
      </c>
      <c r="H450" s="18" t="str">
        <f aca="false">IF($A450="","",SUMIFS(PERLINE!$U$2:$U$3001,PERLINE!$N$2:$N$3001,$A450,PERLINE!$AK$2:$AK$3001,1))</f>
        <v/>
      </c>
      <c r="I450" s="19" t="str">
        <f aca="false">IF($A450="","",H450*G450)</f>
        <v/>
      </c>
      <c r="J450" s="19" t="str">
        <f aca="false">IF($A450="","",F450+I450)</f>
        <v/>
      </c>
      <c r="K450" s="19" t="str">
        <f aca="false">IF($A450="","",H450+E450)</f>
        <v/>
      </c>
      <c r="L450" s="20" t="str">
        <f aca="false">IF($A450="","",K450-J450-N450)</f>
        <v/>
      </c>
      <c r="M450" s="15" t="str">
        <f aca="false">IF($A450="","",INDEX(PERLINE!$A$2:$A$3001,MATCH($A450,PERLINE!$N$2:$N$3001,0)))</f>
        <v/>
      </c>
      <c r="N450" s="21" t="str">
        <f aca="false">IF($A450="","",SUMIFS(PERLINE!$M$2:$M$3001,PERLINE!$N$2:$N$3001,$A450))</f>
        <v/>
      </c>
    </row>
    <row r="451" customFormat="false" ht="15" hidden="false" customHeight="false" outlineLevel="0" collapsed="false">
      <c r="A451" s="15" t="str">
        <f aca="false">IF(ROWS($A$2:$A451)&lt;=Check!$C$4,SMALL(PERLINE!$AL$2:$AL$3001,ROWS($A$2:$A451)),"")</f>
        <v/>
      </c>
      <c r="B451" s="15" t="str">
        <f aca="false">IF($A451="","",INDEX(PERLINE!$J$2:$J$3001,MATCH($A451,PERLINE!$N$2:$N$3001,0)))</f>
        <v/>
      </c>
      <c r="C451" s="16" t="str">
        <f aca="false">IF($A451="","",INDEX(PERLINE!$I$2:$I$3001,MATCH($A451,PERLINE!$N$2:$N$3001,0)))</f>
        <v/>
      </c>
      <c r="D451" s="17" t="str">
        <f aca="false">IF($A451="","",'كشف المطالبة'!$D$6)</f>
        <v/>
      </c>
      <c r="E451" s="18" t="str">
        <f aca="false">IF($A451="","",SUMIFS(PERLINE!$U$2:$U$3001,PERLINE!$N$2:$N$3001,$A451,PERLINE!$AK$2:$AK$3001,0))</f>
        <v/>
      </c>
      <c r="F451" s="19" t="str">
        <f aca="false">IF($A451="","",E451*D451)</f>
        <v/>
      </c>
      <c r="G451" s="17" t="str">
        <f aca="false">IF($A451="","",'كشف المطالبة'!$D$5)</f>
        <v/>
      </c>
      <c r="H451" s="18" t="str">
        <f aca="false">IF($A451="","",SUMIFS(PERLINE!$U$2:$U$3001,PERLINE!$N$2:$N$3001,$A451,PERLINE!$AK$2:$AK$3001,1))</f>
        <v/>
      </c>
      <c r="I451" s="19" t="str">
        <f aca="false">IF($A451="","",H451*G451)</f>
        <v/>
      </c>
      <c r="J451" s="19" t="str">
        <f aca="false">IF($A451="","",F451+I451)</f>
        <v/>
      </c>
      <c r="K451" s="19" t="str">
        <f aca="false">IF($A451="","",H451+E451)</f>
        <v/>
      </c>
      <c r="L451" s="20" t="str">
        <f aca="false">IF($A451="","",K451-J451-N451)</f>
        <v/>
      </c>
      <c r="M451" s="15" t="str">
        <f aca="false">IF($A451="","",INDEX(PERLINE!$A$2:$A$3001,MATCH($A451,PERLINE!$N$2:$N$3001,0)))</f>
        <v/>
      </c>
      <c r="N451" s="21" t="str">
        <f aca="false">IF($A451="","",SUMIFS(PERLINE!$M$2:$M$3001,PERLINE!$N$2:$N$3001,$A451))</f>
        <v/>
      </c>
    </row>
    <row r="452" customFormat="false" ht="15" hidden="false" customHeight="false" outlineLevel="0" collapsed="false">
      <c r="A452" s="15" t="str">
        <f aca="false">IF(ROWS($A$2:$A452)&lt;=Check!$C$4,SMALL(PERLINE!$AL$2:$AL$3001,ROWS($A$2:$A452)),"")</f>
        <v/>
      </c>
      <c r="B452" s="15" t="str">
        <f aca="false">IF($A452="","",INDEX(PERLINE!$J$2:$J$3001,MATCH($A452,PERLINE!$N$2:$N$3001,0)))</f>
        <v/>
      </c>
      <c r="C452" s="16" t="str">
        <f aca="false">IF($A452="","",INDEX(PERLINE!$I$2:$I$3001,MATCH($A452,PERLINE!$N$2:$N$3001,0)))</f>
        <v/>
      </c>
      <c r="D452" s="17" t="str">
        <f aca="false">IF($A452="","",'كشف المطالبة'!$D$6)</f>
        <v/>
      </c>
      <c r="E452" s="18" t="str">
        <f aca="false">IF($A452="","",SUMIFS(PERLINE!$U$2:$U$3001,PERLINE!$N$2:$N$3001,$A452,PERLINE!$AK$2:$AK$3001,0))</f>
        <v/>
      </c>
      <c r="F452" s="19" t="str">
        <f aca="false">IF($A452="","",E452*D452)</f>
        <v/>
      </c>
      <c r="G452" s="17" t="str">
        <f aca="false">IF($A452="","",'كشف المطالبة'!$D$5)</f>
        <v/>
      </c>
      <c r="H452" s="18" t="str">
        <f aca="false">IF($A452="","",SUMIFS(PERLINE!$U$2:$U$3001,PERLINE!$N$2:$N$3001,$A452,PERLINE!$AK$2:$AK$3001,1))</f>
        <v/>
      </c>
      <c r="I452" s="19" t="str">
        <f aca="false">IF($A452="","",H452*G452)</f>
        <v/>
      </c>
      <c r="J452" s="19" t="str">
        <f aca="false">IF($A452="","",F452+I452)</f>
        <v/>
      </c>
      <c r="K452" s="19" t="str">
        <f aca="false">IF($A452="","",H452+E452)</f>
        <v/>
      </c>
      <c r="L452" s="20" t="str">
        <f aca="false">IF($A452="","",K452-J452-N452)</f>
        <v/>
      </c>
      <c r="M452" s="15" t="str">
        <f aca="false">IF($A452="","",INDEX(PERLINE!$A$2:$A$3001,MATCH($A452,PERLINE!$N$2:$N$3001,0)))</f>
        <v/>
      </c>
      <c r="N452" s="21" t="str">
        <f aca="false">IF($A452="","",SUMIFS(PERLINE!$M$2:$M$3001,PERLINE!$N$2:$N$3001,$A452))</f>
        <v/>
      </c>
    </row>
    <row r="453" customFormat="false" ht="15" hidden="false" customHeight="false" outlineLevel="0" collapsed="false">
      <c r="A453" s="15" t="str">
        <f aca="false">IF(ROWS($A$2:$A453)&lt;=Check!$C$4,SMALL(PERLINE!$AL$2:$AL$3001,ROWS($A$2:$A453)),"")</f>
        <v/>
      </c>
      <c r="B453" s="15" t="str">
        <f aca="false">IF($A453="","",INDEX(PERLINE!$J$2:$J$3001,MATCH($A453,PERLINE!$N$2:$N$3001,0)))</f>
        <v/>
      </c>
      <c r="C453" s="16" t="str">
        <f aca="false">IF($A453="","",INDEX(PERLINE!$I$2:$I$3001,MATCH($A453,PERLINE!$N$2:$N$3001,0)))</f>
        <v/>
      </c>
      <c r="D453" s="17" t="str">
        <f aca="false">IF($A453="","",'كشف المطالبة'!$D$6)</f>
        <v/>
      </c>
      <c r="E453" s="18" t="str">
        <f aca="false">IF($A453="","",SUMIFS(PERLINE!$U$2:$U$3001,PERLINE!$N$2:$N$3001,$A453,PERLINE!$AK$2:$AK$3001,0))</f>
        <v/>
      </c>
      <c r="F453" s="19" t="str">
        <f aca="false">IF($A453="","",E453*D453)</f>
        <v/>
      </c>
      <c r="G453" s="17" t="str">
        <f aca="false">IF($A453="","",'كشف المطالبة'!$D$5)</f>
        <v/>
      </c>
      <c r="H453" s="18" t="str">
        <f aca="false">IF($A453="","",SUMIFS(PERLINE!$U$2:$U$3001,PERLINE!$N$2:$N$3001,$A453,PERLINE!$AK$2:$AK$3001,1))</f>
        <v/>
      </c>
      <c r="I453" s="19" t="str">
        <f aca="false">IF($A453="","",H453*G453)</f>
        <v/>
      </c>
      <c r="J453" s="19" t="str">
        <f aca="false">IF($A453="","",F453+I453)</f>
        <v/>
      </c>
      <c r="K453" s="19" t="str">
        <f aca="false">IF($A453="","",H453+E453)</f>
        <v/>
      </c>
      <c r="L453" s="20" t="str">
        <f aca="false">IF($A453="","",K453-J453-N453)</f>
        <v/>
      </c>
      <c r="M453" s="15" t="str">
        <f aca="false">IF($A453="","",INDEX(PERLINE!$A$2:$A$3001,MATCH($A453,PERLINE!$N$2:$N$3001,0)))</f>
        <v/>
      </c>
      <c r="N453" s="21" t="str">
        <f aca="false">IF($A453="","",SUMIFS(PERLINE!$M$2:$M$3001,PERLINE!$N$2:$N$3001,$A453))</f>
        <v/>
      </c>
    </row>
    <row r="454" customFormat="false" ht="15" hidden="false" customHeight="false" outlineLevel="0" collapsed="false">
      <c r="A454" s="15" t="str">
        <f aca="false">IF(ROWS($A$2:$A454)&lt;=Check!$C$4,SMALL(PERLINE!$AL$2:$AL$3001,ROWS($A$2:$A454)),"")</f>
        <v/>
      </c>
      <c r="B454" s="15" t="str">
        <f aca="false">IF($A454="","",INDEX(PERLINE!$J$2:$J$3001,MATCH($A454,PERLINE!$N$2:$N$3001,0)))</f>
        <v/>
      </c>
      <c r="C454" s="16" t="str">
        <f aca="false">IF($A454="","",INDEX(PERLINE!$I$2:$I$3001,MATCH($A454,PERLINE!$N$2:$N$3001,0)))</f>
        <v/>
      </c>
      <c r="D454" s="17" t="str">
        <f aca="false">IF($A454="","",'كشف المطالبة'!$D$6)</f>
        <v/>
      </c>
      <c r="E454" s="18" t="str">
        <f aca="false">IF($A454="","",SUMIFS(PERLINE!$U$2:$U$3001,PERLINE!$N$2:$N$3001,$A454,PERLINE!$AK$2:$AK$3001,0))</f>
        <v/>
      </c>
      <c r="F454" s="19" t="str">
        <f aca="false">IF($A454="","",E454*D454)</f>
        <v/>
      </c>
      <c r="G454" s="17" t="str">
        <f aca="false">IF($A454="","",'كشف المطالبة'!$D$5)</f>
        <v/>
      </c>
      <c r="H454" s="18" t="str">
        <f aca="false">IF($A454="","",SUMIFS(PERLINE!$U$2:$U$3001,PERLINE!$N$2:$N$3001,$A454,PERLINE!$AK$2:$AK$3001,1))</f>
        <v/>
      </c>
      <c r="I454" s="19" t="str">
        <f aca="false">IF($A454="","",H454*G454)</f>
        <v/>
      </c>
      <c r="J454" s="19" t="str">
        <f aca="false">IF($A454="","",F454+I454)</f>
        <v/>
      </c>
      <c r="K454" s="19" t="str">
        <f aca="false">IF($A454="","",H454+E454)</f>
        <v/>
      </c>
      <c r="L454" s="20" t="str">
        <f aca="false">IF($A454="","",K454-J454-N454)</f>
        <v/>
      </c>
      <c r="M454" s="15" t="str">
        <f aca="false">IF($A454="","",INDEX(PERLINE!$A$2:$A$3001,MATCH($A454,PERLINE!$N$2:$N$3001,0)))</f>
        <v/>
      </c>
      <c r="N454" s="21" t="str">
        <f aca="false">IF($A454="","",SUMIFS(PERLINE!$M$2:$M$3001,PERLINE!$N$2:$N$3001,$A454))</f>
        <v/>
      </c>
    </row>
    <row r="455" customFormat="false" ht="15" hidden="false" customHeight="false" outlineLevel="0" collapsed="false">
      <c r="A455" s="15" t="str">
        <f aca="false">IF(ROWS($A$2:$A455)&lt;=Check!$C$4,SMALL(PERLINE!$AL$2:$AL$3001,ROWS($A$2:$A455)),"")</f>
        <v/>
      </c>
      <c r="B455" s="15" t="str">
        <f aca="false">IF($A455="","",INDEX(PERLINE!$J$2:$J$3001,MATCH($A455,PERLINE!$N$2:$N$3001,0)))</f>
        <v/>
      </c>
      <c r="C455" s="16" t="str">
        <f aca="false">IF($A455="","",INDEX(PERLINE!$I$2:$I$3001,MATCH($A455,PERLINE!$N$2:$N$3001,0)))</f>
        <v/>
      </c>
      <c r="D455" s="17" t="str">
        <f aca="false">IF($A455="","",'كشف المطالبة'!$D$6)</f>
        <v/>
      </c>
      <c r="E455" s="18" t="str">
        <f aca="false">IF($A455="","",SUMIFS(PERLINE!$U$2:$U$3001,PERLINE!$N$2:$N$3001,$A455,PERLINE!$AK$2:$AK$3001,0))</f>
        <v/>
      </c>
      <c r="F455" s="19" t="str">
        <f aca="false">IF($A455="","",E455*D455)</f>
        <v/>
      </c>
      <c r="G455" s="17" t="str">
        <f aca="false">IF($A455="","",'كشف المطالبة'!$D$5)</f>
        <v/>
      </c>
      <c r="H455" s="18" t="str">
        <f aca="false">IF($A455="","",SUMIFS(PERLINE!$U$2:$U$3001,PERLINE!$N$2:$N$3001,$A455,PERLINE!$AK$2:$AK$3001,1))</f>
        <v/>
      </c>
      <c r="I455" s="19" t="str">
        <f aca="false">IF($A455="","",H455*G455)</f>
        <v/>
      </c>
      <c r="J455" s="19" t="str">
        <f aca="false">IF($A455="","",F455+I455)</f>
        <v/>
      </c>
      <c r="K455" s="19" t="str">
        <f aca="false">IF($A455="","",H455+E455)</f>
        <v/>
      </c>
      <c r="L455" s="20" t="str">
        <f aca="false">IF($A455="","",K455-J455-N455)</f>
        <v/>
      </c>
      <c r="M455" s="15" t="str">
        <f aca="false">IF($A455="","",INDEX(PERLINE!$A$2:$A$3001,MATCH($A455,PERLINE!$N$2:$N$3001,0)))</f>
        <v/>
      </c>
      <c r="N455" s="21" t="str">
        <f aca="false">IF($A455="","",SUMIFS(PERLINE!$M$2:$M$3001,PERLINE!$N$2:$N$3001,$A455))</f>
        <v/>
      </c>
    </row>
    <row r="456" customFormat="false" ht="15" hidden="false" customHeight="false" outlineLevel="0" collapsed="false">
      <c r="A456" s="15" t="str">
        <f aca="false">IF(ROWS($A$2:$A456)&lt;=Check!$C$4,SMALL(PERLINE!$AL$2:$AL$3001,ROWS($A$2:$A456)),"")</f>
        <v/>
      </c>
      <c r="B456" s="15" t="str">
        <f aca="false">IF($A456="","",INDEX(PERLINE!$J$2:$J$3001,MATCH($A456,PERLINE!$N$2:$N$3001,0)))</f>
        <v/>
      </c>
      <c r="C456" s="16" t="str">
        <f aca="false">IF($A456="","",INDEX(PERLINE!$I$2:$I$3001,MATCH($A456,PERLINE!$N$2:$N$3001,0)))</f>
        <v/>
      </c>
      <c r="D456" s="17" t="str">
        <f aca="false">IF($A456="","",'كشف المطالبة'!$D$6)</f>
        <v/>
      </c>
      <c r="E456" s="18" t="str">
        <f aca="false">IF($A456="","",SUMIFS(PERLINE!$U$2:$U$3001,PERLINE!$N$2:$N$3001,$A456,PERLINE!$AK$2:$AK$3001,0))</f>
        <v/>
      </c>
      <c r="F456" s="19" t="str">
        <f aca="false">IF($A456="","",E456*D456)</f>
        <v/>
      </c>
      <c r="G456" s="17" t="str">
        <f aca="false">IF($A456="","",'كشف المطالبة'!$D$5)</f>
        <v/>
      </c>
      <c r="H456" s="18" t="str">
        <f aca="false">IF($A456="","",SUMIFS(PERLINE!$U$2:$U$3001,PERLINE!$N$2:$N$3001,$A456,PERLINE!$AK$2:$AK$3001,1))</f>
        <v/>
      </c>
      <c r="I456" s="19" t="str">
        <f aca="false">IF($A456="","",H456*G456)</f>
        <v/>
      </c>
      <c r="J456" s="19" t="str">
        <f aca="false">IF($A456="","",F456+I456)</f>
        <v/>
      </c>
      <c r="K456" s="19" t="str">
        <f aca="false">IF($A456="","",H456+E456)</f>
        <v/>
      </c>
      <c r="L456" s="20" t="str">
        <f aca="false">IF($A456="","",K456-J456-N456)</f>
        <v/>
      </c>
      <c r="M456" s="15" t="str">
        <f aca="false">IF($A456="","",INDEX(PERLINE!$A$2:$A$3001,MATCH($A456,PERLINE!$N$2:$N$3001,0)))</f>
        <v/>
      </c>
      <c r="N456" s="21" t="str">
        <f aca="false">IF($A456="","",SUMIFS(PERLINE!$M$2:$M$3001,PERLINE!$N$2:$N$3001,$A456))</f>
        <v/>
      </c>
    </row>
    <row r="457" customFormat="false" ht="15" hidden="false" customHeight="false" outlineLevel="0" collapsed="false">
      <c r="A457" s="15" t="str">
        <f aca="false">IF(ROWS($A$2:$A457)&lt;=Check!$C$4,SMALL(PERLINE!$AL$2:$AL$3001,ROWS($A$2:$A457)),"")</f>
        <v/>
      </c>
      <c r="B457" s="15" t="str">
        <f aca="false">IF($A457="","",INDEX(PERLINE!$J$2:$J$3001,MATCH($A457,PERLINE!$N$2:$N$3001,0)))</f>
        <v/>
      </c>
      <c r="C457" s="16" t="str">
        <f aca="false">IF($A457="","",INDEX(PERLINE!$I$2:$I$3001,MATCH($A457,PERLINE!$N$2:$N$3001,0)))</f>
        <v/>
      </c>
      <c r="D457" s="17" t="str">
        <f aca="false">IF($A457="","",'كشف المطالبة'!$D$6)</f>
        <v/>
      </c>
      <c r="E457" s="18" t="str">
        <f aca="false">IF($A457="","",SUMIFS(PERLINE!$U$2:$U$3001,PERLINE!$N$2:$N$3001,$A457,PERLINE!$AK$2:$AK$3001,0))</f>
        <v/>
      </c>
      <c r="F457" s="19" t="str">
        <f aca="false">IF($A457="","",E457*D457)</f>
        <v/>
      </c>
      <c r="G457" s="17" t="str">
        <f aca="false">IF($A457="","",'كشف المطالبة'!$D$5)</f>
        <v/>
      </c>
      <c r="H457" s="18" t="str">
        <f aca="false">IF($A457="","",SUMIFS(PERLINE!$U$2:$U$3001,PERLINE!$N$2:$N$3001,$A457,PERLINE!$AK$2:$AK$3001,1))</f>
        <v/>
      </c>
      <c r="I457" s="19" t="str">
        <f aca="false">IF($A457="","",H457*G457)</f>
        <v/>
      </c>
      <c r="J457" s="19" t="str">
        <f aca="false">IF($A457="","",F457+I457)</f>
        <v/>
      </c>
      <c r="K457" s="19" t="str">
        <f aca="false">IF($A457="","",H457+E457)</f>
        <v/>
      </c>
      <c r="L457" s="20" t="str">
        <f aca="false">IF($A457="","",K457-J457-N457)</f>
        <v/>
      </c>
      <c r="M457" s="15" t="str">
        <f aca="false">IF($A457="","",INDEX(PERLINE!$A$2:$A$3001,MATCH($A457,PERLINE!$N$2:$N$3001,0)))</f>
        <v/>
      </c>
      <c r="N457" s="21" t="str">
        <f aca="false">IF($A457="","",SUMIFS(PERLINE!$M$2:$M$3001,PERLINE!$N$2:$N$3001,$A457))</f>
        <v/>
      </c>
    </row>
    <row r="458" customFormat="false" ht="15" hidden="false" customHeight="false" outlineLevel="0" collapsed="false">
      <c r="A458" s="15" t="str">
        <f aca="false">IF(ROWS($A$2:$A458)&lt;=Check!$C$4,SMALL(PERLINE!$AL$2:$AL$3001,ROWS($A$2:$A458)),"")</f>
        <v/>
      </c>
      <c r="B458" s="15" t="str">
        <f aca="false">IF($A458="","",INDEX(PERLINE!$J$2:$J$3001,MATCH($A458,PERLINE!$N$2:$N$3001,0)))</f>
        <v/>
      </c>
      <c r="C458" s="16" t="str">
        <f aca="false">IF($A458="","",INDEX(PERLINE!$I$2:$I$3001,MATCH($A458,PERLINE!$N$2:$N$3001,0)))</f>
        <v/>
      </c>
      <c r="D458" s="17" t="str">
        <f aca="false">IF($A458="","",'كشف المطالبة'!$D$6)</f>
        <v/>
      </c>
      <c r="E458" s="18" t="str">
        <f aca="false">IF($A458="","",SUMIFS(PERLINE!$U$2:$U$3001,PERLINE!$N$2:$N$3001,$A458,PERLINE!$AK$2:$AK$3001,0))</f>
        <v/>
      </c>
      <c r="F458" s="19" t="str">
        <f aca="false">IF($A458="","",E458*D458)</f>
        <v/>
      </c>
      <c r="G458" s="17" t="str">
        <f aca="false">IF($A458="","",'كشف المطالبة'!$D$5)</f>
        <v/>
      </c>
      <c r="H458" s="18" t="str">
        <f aca="false">IF($A458="","",SUMIFS(PERLINE!$U$2:$U$3001,PERLINE!$N$2:$N$3001,$A458,PERLINE!$AK$2:$AK$3001,1))</f>
        <v/>
      </c>
      <c r="I458" s="19" t="str">
        <f aca="false">IF($A458="","",H458*G458)</f>
        <v/>
      </c>
      <c r="J458" s="19" t="str">
        <f aca="false">IF($A458="","",F458+I458)</f>
        <v/>
      </c>
      <c r="K458" s="19" t="str">
        <f aca="false">IF($A458="","",H458+E458)</f>
        <v/>
      </c>
      <c r="L458" s="20" t="str">
        <f aca="false">IF($A458="","",K458-J458-N458)</f>
        <v/>
      </c>
      <c r="M458" s="15" t="str">
        <f aca="false">IF($A458="","",INDEX(PERLINE!$A$2:$A$3001,MATCH($A458,PERLINE!$N$2:$N$3001,0)))</f>
        <v/>
      </c>
      <c r="N458" s="21" t="str">
        <f aca="false">IF($A458="","",SUMIFS(PERLINE!$M$2:$M$3001,PERLINE!$N$2:$N$3001,$A458))</f>
        <v/>
      </c>
    </row>
    <row r="459" customFormat="false" ht="15" hidden="false" customHeight="false" outlineLevel="0" collapsed="false">
      <c r="A459" s="15" t="str">
        <f aca="false">IF(ROWS($A$2:$A459)&lt;=Check!$C$4,SMALL(PERLINE!$AL$2:$AL$3001,ROWS($A$2:$A459)),"")</f>
        <v/>
      </c>
      <c r="B459" s="15" t="str">
        <f aca="false">IF($A459="","",INDEX(PERLINE!$J$2:$J$3001,MATCH($A459,PERLINE!$N$2:$N$3001,0)))</f>
        <v/>
      </c>
      <c r="C459" s="16" t="str">
        <f aca="false">IF($A459="","",INDEX(PERLINE!$I$2:$I$3001,MATCH($A459,PERLINE!$N$2:$N$3001,0)))</f>
        <v/>
      </c>
      <c r="D459" s="17" t="str">
        <f aca="false">IF($A459="","",'كشف المطالبة'!$D$6)</f>
        <v/>
      </c>
      <c r="E459" s="18" t="str">
        <f aca="false">IF($A459="","",SUMIFS(PERLINE!$U$2:$U$3001,PERLINE!$N$2:$N$3001,$A459,PERLINE!$AK$2:$AK$3001,0))</f>
        <v/>
      </c>
      <c r="F459" s="19" t="str">
        <f aca="false">IF($A459="","",E459*D459)</f>
        <v/>
      </c>
      <c r="G459" s="17" t="str">
        <f aca="false">IF($A459="","",'كشف المطالبة'!$D$5)</f>
        <v/>
      </c>
      <c r="H459" s="18" t="str">
        <f aca="false">IF($A459="","",SUMIFS(PERLINE!$U$2:$U$3001,PERLINE!$N$2:$N$3001,$A459,PERLINE!$AK$2:$AK$3001,1))</f>
        <v/>
      </c>
      <c r="I459" s="19" t="str">
        <f aca="false">IF($A459="","",H459*G459)</f>
        <v/>
      </c>
      <c r="J459" s="19" t="str">
        <f aca="false">IF($A459="","",F459+I459)</f>
        <v/>
      </c>
      <c r="K459" s="19" t="str">
        <f aca="false">IF($A459="","",H459+E459)</f>
        <v/>
      </c>
      <c r="L459" s="20" t="str">
        <f aca="false">IF($A459="","",K459-J459-N459)</f>
        <v/>
      </c>
      <c r="M459" s="15" t="str">
        <f aca="false">IF($A459="","",INDEX(PERLINE!$A$2:$A$3001,MATCH($A459,PERLINE!$N$2:$N$3001,0)))</f>
        <v/>
      </c>
      <c r="N459" s="21" t="str">
        <f aca="false">IF($A459="","",SUMIFS(PERLINE!$M$2:$M$3001,PERLINE!$N$2:$N$3001,$A459))</f>
        <v/>
      </c>
    </row>
    <row r="460" customFormat="false" ht="15" hidden="false" customHeight="false" outlineLevel="0" collapsed="false">
      <c r="A460" s="15" t="str">
        <f aca="false">IF(ROWS($A$2:$A460)&lt;=Check!$C$4,SMALL(PERLINE!$AL$2:$AL$3001,ROWS($A$2:$A460)),"")</f>
        <v/>
      </c>
      <c r="B460" s="15" t="str">
        <f aca="false">IF($A460="","",INDEX(PERLINE!$J$2:$J$3001,MATCH($A460,PERLINE!$N$2:$N$3001,0)))</f>
        <v/>
      </c>
      <c r="C460" s="16" t="str">
        <f aca="false">IF($A460="","",INDEX(PERLINE!$I$2:$I$3001,MATCH($A460,PERLINE!$N$2:$N$3001,0)))</f>
        <v/>
      </c>
      <c r="D460" s="17" t="str">
        <f aca="false">IF($A460="","",'كشف المطالبة'!$D$6)</f>
        <v/>
      </c>
      <c r="E460" s="18" t="str">
        <f aca="false">IF($A460="","",SUMIFS(PERLINE!$U$2:$U$3001,PERLINE!$N$2:$N$3001,$A460,PERLINE!$AK$2:$AK$3001,0))</f>
        <v/>
      </c>
      <c r="F460" s="19" t="str">
        <f aca="false">IF($A460="","",E460*D460)</f>
        <v/>
      </c>
      <c r="G460" s="17" t="str">
        <f aca="false">IF($A460="","",'كشف المطالبة'!$D$5)</f>
        <v/>
      </c>
      <c r="H460" s="18" t="str">
        <f aca="false">IF($A460="","",SUMIFS(PERLINE!$U$2:$U$3001,PERLINE!$N$2:$N$3001,$A460,PERLINE!$AK$2:$AK$3001,1))</f>
        <v/>
      </c>
      <c r="I460" s="19" t="str">
        <f aca="false">IF($A460="","",H460*G460)</f>
        <v/>
      </c>
      <c r="J460" s="19" t="str">
        <f aca="false">IF($A460="","",F460+I460)</f>
        <v/>
      </c>
      <c r="K460" s="19" t="str">
        <f aca="false">IF($A460="","",H460+E460)</f>
        <v/>
      </c>
      <c r="L460" s="20" t="str">
        <f aca="false">IF($A460="","",K460-J460-N460)</f>
        <v/>
      </c>
      <c r="M460" s="15" t="str">
        <f aca="false">IF($A460="","",INDEX(PERLINE!$A$2:$A$3001,MATCH($A460,PERLINE!$N$2:$N$3001,0)))</f>
        <v/>
      </c>
      <c r="N460" s="21" t="str">
        <f aca="false">IF($A460="","",SUMIFS(PERLINE!$M$2:$M$3001,PERLINE!$N$2:$N$3001,$A460))</f>
        <v/>
      </c>
    </row>
    <row r="461" customFormat="false" ht="15" hidden="false" customHeight="false" outlineLevel="0" collapsed="false">
      <c r="A461" s="15" t="str">
        <f aca="false">IF(ROWS($A$2:$A461)&lt;=Check!$C$4,SMALL(PERLINE!$AL$2:$AL$3001,ROWS($A$2:$A461)),"")</f>
        <v/>
      </c>
      <c r="B461" s="15" t="str">
        <f aca="false">IF($A461="","",INDEX(PERLINE!$J$2:$J$3001,MATCH($A461,PERLINE!$N$2:$N$3001,0)))</f>
        <v/>
      </c>
      <c r="C461" s="16" t="str">
        <f aca="false">IF($A461="","",INDEX(PERLINE!$I$2:$I$3001,MATCH($A461,PERLINE!$N$2:$N$3001,0)))</f>
        <v/>
      </c>
      <c r="D461" s="17" t="str">
        <f aca="false">IF($A461="","",'كشف المطالبة'!$D$6)</f>
        <v/>
      </c>
      <c r="E461" s="18" t="str">
        <f aca="false">IF($A461="","",SUMIFS(PERLINE!$U$2:$U$3001,PERLINE!$N$2:$N$3001,$A461,PERLINE!$AK$2:$AK$3001,0))</f>
        <v/>
      </c>
      <c r="F461" s="19" t="str">
        <f aca="false">IF($A461="","",E461*D461)</f>
        <v/>
      </c>
      <c r="G461" s="17" t="str">
        <f aca="false">IF($A461="","",'كشف المطالبة'!$D$5)</f>
        <v/>
      </c>
      <c r="H461" s="18" t="str">
        <f aca="false">IF($A461="","",SUMIFS(PERLINE!$U$2:$U$3001,PERLINE!$N$2:$N$3001,$A461,PERLINE!$AK$2:$AK$3001,1))</f>
        <v/>
      </c>
      <c r="I461" s="19" t="str">
        <f aca="false">IF($A461="","",H461*G461)</f>
        <v/>
      </c>
      <c r="J461" s="19" t="str">
        <f aca="false">IF($A461="","",F461+I461)</f>
        <v/>
      </c>
      <c r="K461" s="19" t="str">
        <f aca="false">IF($A461="","",H461+E461)</f>
        <v/>
      </c>
      <c r="L461" s="20" t="str">
        <f aca="false">IF($A461="","",K461-J461-N461)</f>
        <v/>
      </c>
      <c r="M461" s="15" t="str">
        <f aca="false">IF($A461="","",INDEX(PERLINE!$A$2:$A$3001,MATCH($A461,PERLINE!$N$2:$N$3001,0)))</f>
        <v/>
      </c>
      <c r="N461" s="21" t="str">
        <f aca="false">IF($A461="","",SUMIFS(PERLINE!$M$2:$M$3001,PERLINE!$N$2:$N$3001,$A461))</f>
        <v/>
      </c>
    </row>
    <row r="462" customFormat="false" ht="15" hidden="false" customHeight="false" outlineLevel="0" collapsed="false">
      <c r="A462" s="15" t="str">
        <f aca="false">IF(ROWS($A$2:$A462)&lt;=Check!$C$4,SMALL(PERLINE!$AL$2:$AL$3001,ROWS($A$2:$A462)),"")</f>
        <v/>
      </c>
      <c r="B462" s="15" t="str">
        <f aca="false">IF($A462="","",INDEX(PERLINE!$J$2:$J$3001,MATCH($A462,PERLINE!$N$2:$N$3001,0)))</f>
        <v/>
      </c>
      <c r="C462" s="16" t="str">
        <f aca="false">IF($A462="","",INDEX(PERLINE!$I$2:$I$3001,MATCH($A462,PERLINE!$N$2:$N$3001,0)))</f>
        <v/>
      </c>
      <c r="D462" s="17" t="str">
        <f aca="false">IF($A462="","",'كشف المطالبة'!$D$6)</f>
        <v/>
      </c>
      <c r="E462" s="18" t="str">
        <f aca="false">IF($A462="","",SUMIFS(PERLINE!$U$2:$U$3001,PERLINE!$N$2:$N$3001,$A462,PERLINE!$AK$2:$AK$3001,0))</f>
        <v/>
      </c>
      <c r="F462" s="19" t="str">
        <f aca="false">IF($A462="","",E462*D462)</f>
        <v/>
      </c>
      <c r="G462" s="17" t="str">
        <f aca="false">IF($A462="","",'كشف المطالبة'!$D$5)</f>
        <v/>
      </c>
      <c r="H462" s="18" t="str">
        <f aca="false">IF($A462="","",SUMIFS(PERLINE!$U$2:$U$3001,PERLINE!$N$2:$N$3001,$A462,PERLINE!$AK$2:$AK$3001,1))</f>
        <v/>
      </c>
      <c r="I462" s="19" t="str">
        <f aca="false">IF($A462="","",H462*G462)</f>
        <v/>
      </c>
      <c r="J462" s="19" t="str">
        <f aca="false">IF($A462="","",F462+I462)</f>
        <v/>
      </c>
      <c r="K462" s="19" t="str">
        <f aca="false">IF($A462="","",H462+E462)</f>
        <v/>
      </c>
      <c r="L462" s="20" t="str">
        <f aca="false">IF($A462="","",K462-J462-N462)</f>
        <v/>
      </c>
      <c r="M462" s="15" t="str">
        <f aca="false">IF($A462="","",INDEX(PERLINE!$A$2:$A$3001,MATCH($A462,PERLINE!$N$2:$N$3001,0)))</f>
        <v/>
      </c>
      <c r="N462" s="21" t="str">
        <f aca="false">IF($A462="","",SUMIFS(PERLINE!$M$2:$M$3001,PERLINE!$N$2:$N$3001,$A462))</f>
        <v/>
      </c>
    </row>
    <row r="463" customFormat="false" ht="15" hidden="false" customHeight="false" outlineLevel="0" collapsed="false">
      <c r="A463" s="15" t="str">
        <f aca="false">IF(ROWS($A$2:$A463)&lt;=Check!$C$4,SMALL(PERLINE!$AL$2:$AL$3001,ROWS($A$2:$A463)),"")</f>
        <v/>
      </c>
      <c r="B463" s="15" t="str">
        <f aca="false">IF($A463="","",INDEX(PERLINE!$J$2:$J$3001,MATCH($A463,PERLINE!$N$2:$N$3001,0)))</f>
        <v/>
      </c>
      <c r="C463" s="16" t="str">
        <f aca="false">IF($A463="","",INDEX(PERLINE!$I$2:$I$3001,MATCH($A463,PERLINE!$N$2:$N$3001,0)))</f>
        <v/>
      </c>
      <c r="D463" s="17" t="str">
        <f aca="false">IF($A463="","",'كشف المطالبة'!$D$6)</f>
        <v/>
      </c>
      <c r="E463" s="18" t="str">
        <f aca="false">IF($A463="","",SUMIFS(PERLINE!$U$2:$U$3001,PERLINE!$N$2:$N$3001,$A463,PERLINE!$AK$2:$AK$3001,0))</f>
        <v/>
      </c>
      <c r="F463" s="19" t="str">
        <f aca="false">IF($A463="","",E463*D463)</f>
        <v/>
      </c>
      <c r="G463" s="17" t="str">
        <f aca="false">IF($A463="","",'كشف المطالبة'!$D$5)</f>
        <v/>
      </c>
      <c r="H463" s="18" t="str">
        <f aca="false">IF($A463="","",SUMIFS(PERLINE!$U$2:$U$3001,PERLINE!$N$2:$N$3001,$A463,PERLINE!$AK$2:$AK$3001,1))</f>
        <v/>
      </c>
      <c r="I463" s="19" t="str">
        <f aca="false">IF($A463="","",H463*G463)</f>
        <v/>
      </c>
      <c r="J463" s="19" t="str">
        <f aca="false">IF($A463="","",F463+I463)</f>
        <v/>
      </c>
      <c r="K463" s="19" t="str">
        <f aca="false">IF($A463="","",H463+E463)</f>
        <v/>
      </c>
      <c r="L463" s="20" t="str">
        <f aca="false">IF($A463="","",K463-J463-N463)</f>
        <v/>
      </c>
      <c r="M463" s="15" t="str">
        <f aca="false">IF($A463="","",INDEX(PERLINE!$A$2:$A$3001,MATCH($A463,PERLINE!$N$2:$N$3001,0)))</f>
        <v/>
      </c>
      <c r="N463" s="21" t="str">
        <f aca="false">IF($A463="","",SUMIFS(PERLINE!$M$2:$M$3001,PERLINE!$N$2:$N$3001,$A463))</f>
        <v/>
      </c>
    </row>
    <row r="464" customFormat="false" ht="15" hidden="false" customHeight="false" outlineLevel="0" collapsed="false">
      <c r="A464" s="15" t="str">
        <f aca="false">IF(ROWS($A$2:$A464)&lt;=Check!$C$4,SMALL(PERLINE!$AL$2:$AL$3001,ROWS($A$2:$A464)),"")</f>
        <v/>
      </c>
      <c r="B464" s="15" t="str">
        <f aca="false">IF($A464="","",INDEX(PERLINE!$J$2:$J$3001,MATCH($A464,PERLINE!$N$2:$N$3001,0)))</f>
        <v/>
      </c>
      <c r="C464" s="16" t="str">
        <f aca="false">IF($A464="","",INDEX(PERLINE!$I$2:$I$3001,MATCH($A464,PERLINE!$N$2:$N$3001,0)))</f>
        <v/>
      </c>
      <c r="D464" s="17" t="str">
        <f aca="false">IF($A464="","",'كشف المطالبة'!$D$6)</f>
        <v/>
      </c>
      <c r="E464" s="18" t="str">
        <f aca="false">IF($A464="","",SUMIFS(PERLINE!$U$2:$U$3001,PERLINE!$N$2:$N$3001,$A464,PERLINE!$AK$2:$AK$3001,0))</f>
        <v/>
      </c>
      <c r="F464" s="19" t="str">
        <f aca="false">IF($A464="","",E464*D464)</f>
        <v/>
      </c>
      <c r="G464" s="17" t="str">
        <f aca="false">IF($A464="","",'كشف المطالبة'!$D$5)</f>
        <v/>
      </c>
      <c r="H464" s="18" t="str">
        <f aca="false">IF($A464="","",SUMIFS(PERLINE!$U$2:$U$3001,PERLINE!$N$2:$N$3001,$A464,PERLINE!$AK$2:$AK$3001,1))</f>
        <v/>
      </c>
      <c r="I464" s="19" t="str">
        <f aca="false">IF($A464="","",H464*G464)</f>
        <v/>
      </c>
      <c r="J464" s="19" t="str">
        <f aca="false">IF($A464="","",F464+I464)</f>
        <v/>
      </c>
      <c r="K464" s="19" t="str">
        <f aca="false">IF($A464="","",H464+E464)</f>
        <v/>
      </c>
      <c r="L464" s="20" t="str">
        <f aca="false">IF($A464="","",K464-J464-N464)</f>
        <v/>
      </c>
      <c r="M464" s="15" t="str">
        <f aca="false">IF($A464="","",INDEX(PERLINE!$A$2:$A$3001,MATCH($A464,PERLINE!$N$2:$N$3001,0)))</f>
        <v/>
      </c>
      <c r="N464" s="21" t="str">
        <f aca="false">IF($A464="","",SUMIFS(PERLINE!$M$2:$M$3001,PERLINE!$N$2:$N$3001,$A464))</f>
        <v/>
      </c>
    </row>
    <row r="465" customFormat="false" ht="15" hidden="false" customHeight="false" outlineLevel="0" collapsed="false">
      <c r="A465" s="15" t="str">
        <f aca="false">IF(ROWS($A$2:$A465)&lt;=Check!$C$4,SMALL(PERLINE!$AL$2:$AL$3001,ROWS($A$2:$A465)),"")</f>
        <v/>
      </c>
      <c r="B465" s="15" t="str">
        <f aca="false">IF($A465="","",INDEX(PERLINE!$J$2:$J$3001,MATCH($A465,PERLINE!$N$2:$N$3001,0)))</f>
        <v/>
      </c>
      <c r="C465" s="16" t="str">
        <f aca="false">IF($A465="","",INDEX(PERLINE!$I$2:$I$3001,MATCH($A465,PERLINE!$N$2:$N$3001,0)))</f>
        <v/>
      </c>
      <c r="D465" s="17" t="str">
        <f aca="false">IF($A465="","",'كشف المطالبة'!$D$6)</f>
        <v/>
      </c>
      <c r="E465" s="18" t="str">
        <f aca="false">IF($A465="","",SUMIFS(PERLINE!$U$2:$U$3001,PERLINE!$N$2:$N$3001,$A465,PERLINE!$AK$2:$AK$3001,0))</f>
        <v/>
      </c>
      <c r="F465" s="19" t="str">
        <f aca="false">IF($A465="","",E465*D465)</f>
        <v/>
      </c>
      <c r="G465" s="17" t="str">
        <f aca="false">IF($A465="","",'كشف المطالبة'!$D$5)</f>
        <v/>
      </c>
      <c r="H465" s="18" t="str">
        <f aca="false">IF($A465="","",SUMIFS(PERLINE!$U$2:$U$3001,PERLINE!$N$2:$N$3001,$A465,PERLINE!$AK$2:$AK$3001,1))</f>
        <v/>
      </c>
      <c r="I465" s="19" t="str">
        <f aca="false">IF($A465="","",H465*G465)</f>
        <v/>
      </c>
      <c r="J465" s="19" t="str">
        <f aca="false">IF($A465="","",F465+I465)</f>
        <v/>
      </c>
      <c r="K465" s="19" t="str">
        <f aca="false">IF($A465="","",H465+E465)</f>
        <v/>
      </c>
      <c r="L465" s="20" t="str">
        <f aca="false">IF($A465="","",K465-J465-N465)</f>
        <v/>
      </c>
      <c r="M465" s="15" t="str">
        <f aca="false">IF($A465="","",INDEX(PERLINE!$A$2:$A$3001,MATCH($A465,PERLINE!$N$2:$N$3001,0)))</f>
        <v/>
      </c>
      <c r="N465" s="21" t="str">
        <f aca="false">IF($A465="","",SUMIFS(PERLINE!$M$2:$M$3001,PERLINE!$N$2:$N$3001,$A465))</f>
        <v/>
      </c>
    </row>
    <row r="466" customFormat="false" ht="15" hidden="false" customHeight="false" outlineLevel="0" collapsed="false">
      <c r="A466" s="15" t="str">
        <f aca="false">IF(ROWS($A$2:$A466)&lt;=Check!$C$4,SMALL(PERLINE!$AL$2:$AL$3001,ROWS($A$2:$A466)),"")</f>
        <v/>
      </c>
      <c r="B466" s="15" t="str">
        <f aca="false">IF($A466="","",INDEX(PERLINE!$J$2:$J$3001,MATCH($A466,PERLINE!$N$2:$N$3001,0)))</f>
        <v/>
      </c>
      <c r="C466" s="16" t="str">
        <f aca="false">IF($A466="","",INDEX(PERLINE!$I$2:$I$3001,MATCH($A466,PERLINE!$N$2:$N$3001,0)))</f>
        <v/>
      </c>
      <c r="D466" s="17" t="str">
        <f aca="false">IF($A466="","",'كشف المطالبة'!$D$6)</f>
        <v/>
      </c>
      <c r="E466" s="18" t="str">
        <f aca="false">IF($A466="","",SUMIFS(PERLINE!$U$2:$U$3001,PERLINE!$N$2:$N$3001,$A466,PERLINE!$AK$2:$AK$3001,0))</f>
        <v/>
      </c>
      <c r="F466" s="19" t="str">
        <f aca="false">IF($A466="","",E466*D466)</f>
        <v/>
      </c>
      <c r="G466" s="17" t="str">
        <f aca="false">IF($A466="","",'كشف المطالبة'!$D$5)</f>
        <v/>
      </c>
      <c r="H466" s="18" t="str">
        <f aca="false">IF($A466="","",SUMIFS(PERLINE!$U$2:$U$3001,PERLINE!$N$2:$N$3001,$A466,PERLINE!$AK$2:$AK$3001,1))</f>
        <v/>
      </c>
      <c r="I466" s="19" t="str">
        <f aca="false">IF($A466="","",H466*G466)</f>
        <v/>
      </c>
      <c r="J466" s="19" t="str">
        <f aca="false">IF($A466="","",F466+I466)</f>
        <v/>
      </c>
      <c r="K466" s="19" t="str">
        <f aca="false">IF($A466="","",H466+E466)</f>
        <v/>
      </c>
      <c r="L466" s="20" t="str">
        <f aca="false">IF($A466="","",K466-J466-N466)</f>
        <v/>
      </c>
      <c r="M466" s="15" t="str">
        <f aca="false">IF($A466="","",INDEX(PERLINE!$A$2:$A$3001,MATCH($A466,PERLINE!$N$2:$N$3001,0)))</f>
        <v/>
      </c>
      <c r="N466" s="21" t="str">
        <f aca="false">IF($A466="","",SUMIFS(PERLINE!$M$2:$M$3001,PERLINE!$N$2:$N$3001,$A466))</f>
        <v/>
      </c>
    </row>
    <row r="467" customFormat="false" ht="15" hidden="false" customHeight="false" outlineLevel="0" collapsed="false">
      <c r="A467" s="15" t="str">
        <f aca="false">IF(ROWS($A$2:$A467)&lt;=Check!$C$4,SMALL(PERLINE!$AL$2:$AL$3001,ROWS($A$2:$A467)),"")</f>
        <v/>
      </c>
      <c r="B467" s="15" t="str">
        <f aca="false">IF($A467="","",INDEX(PERLINE!$J$2:$J$3001,MATCH($A467,PERLINE!$N$2:$N$3001,0)))</f>
        <v/>
      </c>
      <c r="C467" s="16" t="str">
        <f aca="false">IF($A467="","",INDEX(PERLINE!$I$2:$I$3001,MATCH($A467,PERLINE!$N$2:$N$3001,0)))</f>
        <v/>
      </c>
      <c r="D467" s="17" t="str">
        <f aca="false">IF($A467="","",'كشف المطالبة'!$D$6)</f>
        <v/>
      </c>
      <c r="E467" s="18" t="str">
        <f aca="false">IF($A467="","",SUMIFS(PERLINE!$U$2:$U$3001,PERLINE!$N$2:$N$3001,$A467,PERLINE!$AK$2:$AK$3001,0))</f>
        <v/>
      </c>
      <c r="F467" s="19" t="str">
        <f aca="false">IF($A467="","",E467*D467)</f>
        <v/>
      </c>
      <c r="G467" s="17" t="str">
        <f aca="false">IF($A467="","",'كشف المطالبة'!$D$5)</f>
        <v/>
      </c>
      <c r="H467" s="18" t="str">
        <f aca="false">IF($A467="","",SUMIFS(PERLINE!$U$2:$U$3001,PERLINE!$N$2:$N$3001,$A467,PERLINE!$AK$2:$AK$3001,1))</f>
        <v/>
      </c>
      <c r="I467" s="19" t="str">
        <f aca="false">IF($A467="","",H467*G467)</f>
        <v/>
      </c>
      <c r="J467" s="19" t="str">
        <f aca="false">IF($A467="","",F467+I467)</f>
        <v/>
      </c>
      <c r="K467" s="19" t="str">
        <f aca="false">IF($A467="","",H467+E467)</f>
        <v/>
      </c>
      <c r="L467" s="20" t="str">
        <f aca="false">IF($A467="","",K467-J467-N467)</f>
        <v/>
      </c>
      <c r="M467" s="15" t="str">
        <f aca="false">IF($A467="","",INDEX(PERLINE!$A$2:$A$3001,MATCH($A467,PERLINE!$N$2:$N$3001,0)))</f>
        <v/>
      </c>
      <c r="N467" s="21" t="str">
        <f aca="false">IF($A467="","",SUMIFS(PERLINE!$M$2:$M$3001,PERLINE!$N$2:$N$3001,$A467))</f>
        <v/>
      </c>
    </row>
    <row r="468" customFormat="false" ht="15" hidden="false" customHeight="false" outlineLevel="0" collapsed="false">
      <c r="A468" s="15" t="str">
        <f aca="false">IF(ROWS($A$2:$A468)&lt;=Check!$C$4,SMALL(PERLINE!$AL$2:$AL$3001,ROWS($A$2:$A468)),"")</f>
        <v/>
      </c>
      <c r="B468" s="15" t="str">
        <f aca="false">IF($A468="","",INDEX(PERLINE!$J$2:$J$3001,MATCH($A468,PERLINE!$N$2:$N$3001,0)))</f>
        <v/>
      </c>
      <c r="C468" s="16" t="str">
        <f aca="false">IF($A468="","",INDEX(PERLINE!$I$2:$I$3001,MATCH($A468,PERLINE!$N$2:$N$3001,0)))</f>
        <v/>
      </c>
      <c r="D468" s="17" t="str">
        <f aca="false">IF($A468="","",'كشف المطالبة'!$D$6)</f>
        <v/>
      </c>
      <c r="E468" s="18" t="str">
        <f aca="false">IF($A468="","",SUMIFS(PERLINE!$U$2:$U$3001,PERLINE!$N$2:$N$3001,$A468,PERLINE!$AK$2:$AK$3001,0))</f>
        <v/>
      </c>
      <c r="F468" s="19" t="str">
        <f aca="false">IF($A468="","",E468*D468)</f>
        <v/>
      </c>
      <c r="G468" s="17" t="str">
        <f aca="false">IF($A468="","",'كشف المطالبة'!$D$5)</f>
        <v/>
      </c>
      <c r="H468" s="18" t="str">
        <f aca="false">IF($A468="","",SUMIFS(PERLINE!$U$2:$U$3001,PERLINE!$N$2:$N$3001,$A468,PERLINE!$AK$2:$AK$3001,1))</f>
        <v/>
      </c>
      <c r="I468" s="19" t="str">
        <f aca="false">IF($A468="","",H468*G468)</f>
        <v/>
      </c>
      <c r="J468" s="19" t="str">
        <f aca="false">IF($A468="","",F468+I468)</f>
        <v/>
      </c>
      <c r="K468" s="19" t="str">
        <f aca="false">IF($A468="","",H468+E468)</f>
        <v/>
      </c>
      <c r="L468" s="20" t="str">
        <f aca="false">IF($A468="","",K468-J468-N468)</f>
        <v/>
      </c>
      <c r="M468" s="15" t="str">
        <f aca="false">IF($A468="","",INDEX(PERLINE!$A$2:$A$3001,MATCH($A468,PERLINE!$N$2:$N$3001,0)))</f>
        <v/>
      </c>
      <c r="N468" s="21" t="str">
        <f aca="false">IF($A468="","",SUMIFS(PERLINE!$M$2:$M$3001,PERLINE!$N$2:$N$3001,$A468))</f>
        <v/>
      </c>
    </row>
    <row r="469" customFormat="false" ht="15" hidden="false" customHeight="false" outlineLevel="0" collapsed="false">
      <c r="A469" s="15" t="str">
        <f aca="false">IF(ROWS($A$2:$A469)&lt;=Check!$C$4,SMALL(PERLINE!$AL$2:$AL$3001,ROWS($A$2:$A469)),"")</f>
        <v/>
      </c>
      <c r="B469" s="15" t="str">
        <f aca="false">IF($A469="","",INDEX(PERLINE!$J$2:$J$3001,MATCH($A469,PERLINE!$N$2:$N$3001,0)))</f>
        <v/>
      </c>
      <c r="C469" s="16" t="str">
        <f aca="false">IF($A469="","",INDEX(PERLINE!$I$2:$I$3001,MATCH($A469,PERLINE!$N$2:$N$3001,0)))</f>
        <v/>
      </c>
      <c r="D469" s="17" t="str">
        <f aca="false">IF($A469="","",'كشف المطالبة'!$D$6)</f>
        <v/>
      </c>
      <c r="E469" s="18" t="str">
        <f aca="false">IF($A469="","",SUMIFS(PERLINE!$U$2:$U$3001,PERLINE!$N$2:$N$3001,$A469,PERLINE!$AK$2:$AK$3001,0))</f>
        <v/>
      </c>
      <c r="F469" s="19" t="str">
        <f aca="false">IF($A469="","",E469*D469)</f>
        <v/>
      </c>
      <c r="G469" s="17" t="str">
        <f aca="false">IF($A469="","",'كشف المطالبة'!$D$5)</f>
        <v/>
      </c>
      <c r="H469" s="18" t="str">
        <f aca="false">IF($A469="","",SUMIFS(PERLINE!$U$2:$U$3001,PERLINE!$N$2:$N$3001,$A469,PERLINE!$AK$2:$AK$3001,1))</f>
        <v/>
      </c>
      <c r="I469" s="19" t="str">
        <f aca="false">IF($A469="","",H469*G469)</f>
        <v/>
      </c>
      <c r="J469" s="19" t="str">
        <f aca="false">IF($A469="","",F469+I469)</f>
        <v/>
      </c>
      <c r="K469" s="19" t="str">
        <f aca="false">IF($A469="","",H469+E469)</f>
        <v/>
      </c>
      <c r="L469" s="20" t="str">
        <f aca="false">IF($A469="","",K469-J469-N469)</f>
        <v/>
      </c>
      <c r="M469" s="15" t="str">
        <f aca="false">IF($A469="","",INDEX(PERLINE!$A$2:$A$3001,MATCH($A469,PERLINE!$N$2:$N$3001,0)))</f>
        <v/>
      </c>
      <c r="N469" s="21" t="str">
        <f aca="false">IF($A469="","",SUMIFS(PERLINE!$M$2:$M$3001,PERLINE!$N$2:$N$3001,$A469))</f>
        <v/>
      </c>
    </row>
    <row r="470" customFormat="false" ht="15" hidden="false" customHeight="false" outlineLevel="0" collapsed="false">
      <c r="A470" s="15" t="str">
        <f aca="false">IF(ROWS($A$2:$A470)&lt;=Check!$C$4,SMALL(PERLINE!$AL$2:$AL$3001,ROWS($A$2:$A470)),"")</f>
        <v/>
      </c>
      <c r="B470" s="15" t="str">
        <f aca="false">IF($A470="","",INDEX(PERLINE!$J$2:$J$3001,MATCH($A470,PERLINE!$N$2:$N$3001,0)))</f>
        <v/>
      </c>
      <c r="C470" s="16" t="str">
        <f aca="false">IF($A470="","",INDEX(PERLINE!$I$2:$I$3001,MATCH($A470,PERLINE!$N$2:$N$3001,0)))</f>
        <v/>
      </c>
      <c r="D470" s="17" t="str">
        <f aca="false">IF($A470="","",'كشف المطالبة'!$D$6)</f>
        <v/>
      </c>
      <c r="E470" s="18" t="str">
        <f aca="false">IF($A470="","",SUMIFS(PERLINE!$U$2:$U$3001,PERLINE!$N$2:$N$3001,$A470,PERLINE!$AK$2:$AK$3001,0))</f>
        <v/>
      </c>
      <c r="F470" s="19" t="str">
        <f aca="false">IF($A470="","",E470*D470)</f>
        <v/>
      </c>
      <c r="G470" s="17" t="str">
        <f aca="false">IF($A470="","",'كشف المطالبة'!$D$5)</f>
        <v/>
      </c>
      <c r="H470" s="18" t="str">
        <f aca="false">IF($A470="","",SUMIFS(PERLINE!$U$2:$U$3001,PERLINE!$N$2:$N$3001,$A470,PERLINE!$AK$2:$AK$3001,1))</f>
        <v/>
      </c>
      <c r="I470" s="19" t="str">
        <f aca="false">IF($A470="","",H470*G470)</f>
        <v/>
      </c>
      <c r="J470" s="19" t="str">
        <f aca="false">IF($A470="","",F470+I470)</f>
        <v/>
      </c>
      <c r="K470" s="19" t="str">
        <f aca="false">IF($A470="","",H470+E470)</f>
        <v/>
      </c>
      <c r="L470" s="20" t="str">
        <f aca="false">IF($A470="","",K470-J470-N470)</f>
        <v/>
      </c>
      <c r="M470" s="15" t="str">
        <f aca="false">IF($A470="","",INDEX(PERLINE!$A$2:$A$3001,MATCH($A470,PERLINE!$N$2:$N$3001,0)))</f>
        <v/>
      </c>
      <c r="N470" s="21" t="str">
        <f aca="false">IF($A470="","",SUMIFS(PERLINE!$M$2:$M$3001,PERLINE!$N$2:$N$3001,$A470))</f>
        <v/>
      </c>
    </row>
    <row r="471" customFormat="false" ht="15" hidden="false" customHeight="false" outlineLevel="0" collapsed="false">
      <c r="A471" s="15" t="str">
        <f aca="false">IF(ROWS($A$2:$A471)&lt;=Check!$C$4,SMALL(PERLINE!$AL$2:$AL$3001,ROWS($A$2:$A471)),"")</f>
        <v/>
      </c>
      <c r="B471" s="15" t="str">
        <f aca="false">IF($A471="","",INDEX(PERLINE!$J$2:$J$3001,MATCH($A471,PERLINE!$N$2:$N$3001,0)))</f>
        <v/>
      </c>
      <c r="C471" s="16" t="str">
        <f aca="false">IF($A471="","",INDEX(PERLINE!$I$2:$I$3001,MATCH($A471,PERLINE!$N$2:$N$3001,0)))</f>
        <v/>
      </c>
      <c r="D471" s="17" t="str">
        <f aca="false">IF($A471="","",'كشف المطالبة'!$D$6)</f>
        <v/>
      </c>
      <c r="E471" s="18" t="str">
        <f aca="false">IF($A471="","",SUMIFS(PERLINE!$U$2:$U$3001,PERLINE!$N$2:$N$3001,$A471,PERLINE!$AK$2:$AK$3001,0))</f>
        <v/>
      </c>
      <c r="F471" s="19" t="str">
        <f aca="false">IF($A471="","",E471*D471)</f>
        <v/>
      </c>
      <c r="G471" s="17" t="str">
        <f aca="false">IF($A471="","",'كشف المطالبة'!$D$5)</f>
        <v/>
      </c>
      <c r="H471" s="18" t="str">
        <f aca="false">IF($A471="","",SUMIFS(PERLINE!$U$2:$U$3001,PERLINE!$N$2:$N$3001,$A471,PERLINE!$AK$2:$AK$3001,1))</f>
        <v/>
      </c>
      <c r="I471" s="19" t="str">
        <f aca="false">IF($A471="","",H471*G471)</f>
        <v/>
      </c>
      <c r="J471" s="19" t="str">
        <f aca="false">IF($A471="","",F471+I471)</f>
        <v/>
      </c>
      <c r="K471" s="19" t="str">
        <f aca="false">IF($A471="","",H471+E471)</f>
        <v/>
      </c>
      <c r="L471" s="20" t="str">
        <f aca="false">IF($A471="","",K471-J471-N471)</f>
        <v/>
      </c>
      <c r="M471" s="15" t="str">
        <f aca="false">IF($A471="","",INDEX(PERLINE!$A$2:$A$3001,MATCH($A471,PERLINE!$N$2:$N$3001,0)))</f>
        <v/>
      </c>
      <c r="N471" s="21" t="str">
        <f aca="false">IF($A471="","",SUMIFS(PERLINE!$M$2:$M$3001,PERLINE!$N$2:$N$3001,$A471))</f>
        <v/>
      </c>
    </row>
    <row r="472" customFormat="false" ht="15" hidden="false" customHeight="false" outlineLevel="0" collapsed="false">
      <c r="A472" s="15" t="str">
        <f aca="false">IF(ROWS($A$2:$A472)&lt;=Check!$C$4,SMALL(PERLINE!$AL$2:$AL$3001,ROWS($A$2:$A472)),"")</f>
        <v/>
      </c>
      <c r="B472" s="15" t="str">
        <f aca="false">IF($A472="","",INDEX(PERLINE!$J$2:$J$3001,MATCH($A472,PERLINE!$N$2:$N$3001,0)))</f>
        <v/>
      </c>
      <c r="C472" s="16" t="str">
        <f aca="false">IF($A472="","",INDEX(PERLINE!$I$2:$I$3001,MATCH($A472,PERLINE!$N$2:$N$3001,0)))</f>
        <v/>
      </c>
      <c r="D472" s="17" t="str">
        <f aca="false">IF($A472="","",'كشف المطالبة'!$D$6)</f>
        <v/>
      </c>
      <c r="E472" s="18" t="str">
        <f aca="false">IF($A472="","",SUMIFS(PERLINE!$U$2:$U$3001,PERLINE!$N$2:$N$3001,$A472,PERLINE!$AK$2:$AK$3001,0))</f>
        <v/>
      </c>
      <c r="F472" s="19" t="str">
        <f aca="false">IF($A472="","",E472*D472)</f>
        <v/>
      </c>
      <c r="G472" s="17" t="str">
        <f aca="false">IF($A472="","",'كشف المطالبة'!$D$5)</f>
        <v/>
      </c>
      <c r="H472" s="18" t="str">
        <f aca="false">IF($A472="","",SUMIFS(PERLINE!$U$2:$U$3001,PERLINE!$N$2:$N$3001,$A472,PERLINE!$AK$2:$AK$3001,1))</f>
        <v/>
      </c>
      <c r="I472" s="19" t="str">
        <f aca="false">IF($A472="","",H472*G472)</f>
        <v/>
      </c>
      <c r="J472" s="19" t="str">
        <f aca="false">IF($A472="","",F472+I472)</f>
        <v/>
      </c>
      <c r="K472" s="19" t="str">
        <f aca="false">IF($A472="","",H472+E472)</f>
        <v/>
      </c>
      <c r="L472" s="20" t="str">
        <f aca="false">IF($A472="","",K472-J472-N472)</f>
        <v/>
      </c>
      <c r="M472" s="15" t="str">
        <f aca="false">IF($A472="","",INDEX(PERLINE!$A$2:$A$3001,MATCH($A472,PERLINE!$N$2:$N$3001,0)))</f>
        <v/>
      </c>
      <c r="N472" s="21" t="str">
        <f aca="false">IF($A472="","",SUMIFS(PERLINE!$M$2:$M$3001,PERLINE!$N$2:$N$3001,$A472))</f>
        <v/>
      </c>
    </row>
    <row r="473" customFormat="false" ht="15" hidden="false" customHeight="false" outlineLevel="0" collapsed="false">
      <c r="A473" s="15" t="str">
        <f aca="false">IF(ROWS($A$2:$A473)&lt;=Check!$C$4,SMALL(PERLINE!$AL$2:$AL$3001,ROWS($A$2:$A473)),"")</f>
        <v/>
      </c>
      <c r="B473" s="15" t="str">
        <f aca="false">IF($A473="","",INDEX(PERLINE!$J$2:$J$3001,MATCH($A473,PERLINE!$N$2:$N$3001,0)))</f>
        <v/>
      </c>
      <c r="C473" s="16" t="str">
        <f aca="false">IF($A473="","",INDEX(PERLINE!$I$2:$I$3001,MATCH($A473,PERLINE!$N$2:$N$3001,0)))</f>
        <v/>
      </c>
      <c r="D473" s="17" t="str">
        <f aca="false">IF($A473="","",'كشف المطالبة'!$D$6)</f>
        <v/>
      </c>
      <c r="E473" s="18" t="str">
        <f aca="false">IF($A473="","",SUMIFS(PERLINE!$U$2:$U$3001,PERLINE!$N$2:$N$3001,$A473,PERLINE!$AK$2:$AK$3001,0))</f>
        <v/>
      </c>
      <c r="F473" s="19" t="str">
        <f aca="false">IF($A473="","",E473*D473)</f>
        <v/>
      </c>
      <c r="G473" s="17" t="str">
        <f aca="false">IF($A473="","",'كشف المطالبة'!$D$5)</f>
        <v/>
      </c>
      <c r="H473" s="18" t="str">
        <f aca="false">IF($A473="","",SUMIFS(PERLINE!$U$2:$U$3001,PERLINE!$N$2:$N$3001,$A473,PERLINE!$AK$2:$AK$3001,1))</f>
        <v/>
      </c>
      <c r="I473" s="19" t="str">
        <f aca="false">IF($A473="","",H473*G473)</f>
        <v/>
      </c>
      <c r="J473" s="19" t="str">
        <f aca="false">IF($A473="","",F473+I473)</f>
        <v/>
      </c>
      <c r="K473" s="19" t="str">
        <f aca="false">IF($A473="","",H473+E473)</f>
        <v/>
      </c>
      <c r="L473" s="20" t="str">
        <f aca="false">IF($A473="","",K473-J473-N473)</f>
        <v/>
      </c>
      <c r="M473" s="15" t="str">
        <f aca="false">IF($A473="","",INDEX(PERLINE!$A$2:$A$3001,MATCH($A473,PERLINE!$N$2:$N$3001,0)))</f>
        <v/>
      </c>
      <c r="N473" s="21" t="str">
        <f aca="false">IF($A473="","",SUMIFS(PERLINE!$M$2:$M$3001,PERLINE!$N$2:$N$3001,$A473))</f>
        <v/>
      </c>
    </row>
    <row r="474" customFormat="false" ht="15" hidden="false" customHeight="false" outlineLevel="0" collapsed="false">
      <c r="A474" s="15" t="str">
        <f aca="false">IF(ROWS($A$2:$A474)&lt;=Check!$C$4,SMALL(PERLINE!$AL$2:$AL$3001,ROWS($A$2:$A474)),"")</f>
        <v/>
      </c>
      <c r="B474" s="15" t="str">
        <f aca="false">IF($A474="","",INDEX(PERLINE!$J$2:$J$3001,MATCH($A474,PERLINE!$N$2:$N$3001,0)))</f>
        <v/>
      </c>
      <c r="C474" s="16" t="str">
        <f aca="false">IF($A474="","",INDEX(PERLINE!$I$2:$I$3001,MATCH($A474,PERLINE!$N$2:$N$3001,0)))</f>
        <v/>
      </c>
      <c r="D474" s="17" t="str">
        <f aca="false">IF($A474="","",'كشف المطالبة'!$D$6)</f>
        <v/>
      </c>
      <c r="E474" s="18" t="str">
        <f aca="false">IF($A474="","",SUMIFS(PERLINE!$U$2:$U$3001,PERLINE!$N$2:$N$3001,$A474,PERLINE!$AK$2:$AK$3001,0))</f>
        <v/>
      </c>
      <c r="F474" s="19" t="str">
        <f aca="false">IF($A474="","",E474*D474)</f>
        <v/>
      </c>
      <c r="G474" s="17" t="str">
        <f aca="false">IF($A474="","",'كشف المطالبة'!$D$5)</f>
        <v/>
      </c>
      <c r="H474" s="18" t="str">
        <f aca="false">IF($A474="","",SUMIFS(PERLINE!$U$2:$U$3001,PERLINE!$N$2:$N$3001,$A474,PERLINE!$AK$2:$AK$3001,1))</f>
        <v/>
      </c>
      <c r="I474" s="19" t="str">
        <f aca="false">IF($A474="","",H474*G474)</f>
        <v/>
      </c>
      <c r="J474" s="19" t="str">
        <f aca="false">IF($A474="","",F474+I474)</f>
        <v/>
      </c>
      <c r="K474" s="19" t="str">
        <f aca="false">IF($A474="","",H474+E474)</f>
        <v/>
      </c>
      <c r="L474" s="20" t="str">
        <f aca="false">IF($A474="","",K474-J474-N474)</f>
        <v/>
      </c>
      <c r="M474" s="15" t="str">
        <f aca="false">IF($A474="","",INDEX(PERLINE!$A$2:$A$3001,MATCH($A474,PERLINE!$N$2:$N$3001,0)))</f>
        <v/>
      </c>
      <c r="N474" s="21" t="str">
        <f aca="false">IF($A474="","",SUMIFS(PERLINE!$M$2:$M$3001,PERLINE!$N$2:$N$3001,$A474))</f>
        <v/>
      </c>
    </row>
    <row r="475" customFormat="false" ht="15" hidden="false" customHeight="false" outlineLevel="0" collapsed="false">
      <c r="A475" s="15" t="str">
        <f aca="false">IF(ROWS($A$2:$A475)&lt;=Check!$C$4,SMALL(PERLINE!$AL$2:$AL$3001,ROWS($A$2:$A475)),"")</f>
        <v/>
      </c>
      <c r="B475" s="15" t="str">
        <f aca="false">IF($A475="","",INDEX(PERLINE!$J$2:$J$3001,MATCH($A475,PERLINE!$N$2:$N$3001,0)))</f>
        <v/>
      </c>
      <c r="C475" s="16" t="str">
        <f aca="false">IF($A475="","",INDEX(PERLINE!$I$2:$I$3001,MATCH($A475,PERLINE!$N$2:$N$3001,0)))</f>
        <v/>
      </c>
      <c r="D475" s="17" t="str">
        <f aca="false">IF($A475="","",'كشف المطالبة'!$D$6)</f>
        <v/>
      </c>
      <c r="E475" s="18" t="str">
        <f aca="false">IF($A475="","",SUMIFS(PERLINE!$U$2:$U$3001,PERLINE!$N$2:$N$3001,$A475,PERLINE!$AK$2:$AK$3001,0))</f>
        <v/>
      </c>
      <c r="F475" s="19" t="str">
        <f aca="false">IF($A475="","",E475*D475)</f>
        <v/>
      </c>
      <c r="G475" s="17" t="str">
        <f aca="false">IF($A475="","",'كشف المطالبة'!$D$5)</f>
        <v/>
      </c>
      <c r="H475" s="18" t="str">
        <f aca="false">IF($A475="","",SUMIFS(PERLINE!$U$2:$U$3001,PERLINE!$N$2:$N$3001,$A475,PERLINE!$AK$2:$AK$3001,1))</f>
        <v/>
      </c>
      <c r="I475" s="19" t="str">
        <f aca="false">IF($A475="","",H475*G475)</f>
        <v/>
      </c>
      <c r="J475" s="19" t="str">
        <f aca="false">IF($A475="","",F475+I475)</f>
        <v/>
      </c>
      <c r="K475" s="19" t="str">
        <f aca="false">IF($A475="","",H475+E475)</f>
        <v/>
      </c>
      <c r="L475" s="20" t="str">
        <f aca="false">IF($A475="","",K475-J475-N475)</f>
        <v/>
      </c>
      <c r="M475" s="15" t="str">
        <f aca="false">IF($A475="","",INDEX(PERLINE!$A$2:$A$3001,MATCH($A475,PERLINE!$N$2:$N$3001,0)))</f>
        <v/>
      </c>
      <c r="N475" s="21" t="str">
        <f aca="false">IF($A475="","",SUMIFS(PERLINE!$M$2:$M$3001,PERLINE!$N$2:$N$3001,$A475))</f>
        <v/>
      </c>
    </row>
    <row r="476" customFormat="false" ht="15" hidden="false" customHeight="false" outlineLevel="0" collapsed="false">
      <c r="A476" s="15" t="str">
        <f aca="false">IF(ROWS($A$2:$A476)&lt;=Check!$C$4,SMALL(PERLINE!$AL$2:$AL$3001,ROWS($A$2:$A476)),"")</f>
        <v/>
      </c>
      <c r="B476" s="15" t="str">
        <f aca="false">IF($A476="","",INDEX(PERLINE!$J$2:$J$3001,MATCH($A476,PERLINE!$N$2:$N$3001,0)))</f>
        <v/>
      </c>
      <c r="C476" s="16" t="str">
        <f aca="false">IF($A476="","",INDEX(PERLINE!$I$2:$I$3001,MATCH($A476,PERLINE!$N$2:$N$3001,0)))</f>
        <v/>
      </c>
      <c r="D476" s="17" t="str">
        <f aca="false">IF($A476="","",'كشف المطالبة'!$D$6)</f>
        <v/>
      </c>
      <c r="E476" s="18" t="str">
        <f aca="false">IF($A476="","",SUMIFS(PERLINE!$U$2:$U$3001,PERLINE!$N$2:$N$3001,$A476,PERLINE!$AK$2:$AK$3001,0))</f>
        <v/>
      </c>
      <c r="F476" s="19" t="str">
        <f aca="false">IF($A476="","",E476*D476)</f>
        <v/>
      </c>
      <c r="G476" s="17" t="str">
        <f aca="false">IF($A476="","",'كشف المطالبة'!$D$5)</f>
        <v/>
      </c>
      <c r="H476" s="18" t="str">
        <f aca="false">IF($A476="","",SUMIFS(PERLINE!$U$2:$U$3001,PERLINE!$N$2:$N$3001,$A476,PERLINE!$AK$2:$AK$3001,1))</f>
        <v/>
      </c>
      <c r="I476" s="19" t="str">
        <f aca="false">IF($A476="","",H476*G476)</f>
        <v/>
      </c>
      <c r="J476" s="19" t="str">
        <f aca="false">IF($A476="","",F476+I476)</f>
        <v/>
      </c>
      <c r="K476" s="19" t="str">
        <f aca="false">IF($A476="","",H476+E476)</f>
        <v/>
      </c>
      <c r="L476" s="20" t="str">
        <f aca="false">IF($A476="","",K476-J476-N476)</f>
        <v/>
      </c>
      <c r="M476" s="15" t="str">
        <f aca="false">IF($A476="","",INDEX(PERLINE!$A$2:$A$3001,MATCH($A476,PERLINE!$N$2:$N$3001,0)))</f>
        <v/>
      </c>
      <c r="N476" s="21" t="str">
        <f aca="false">IF($A476="","",SUMIFS(PERLINE!$M$2:$M$3001,PERLINE!$N$2:$N$3001,$A476))</f>
        <v/>
      </c>
    </row>
    <row r="477" customFormat="false" ht="15" hidden="false" customHeight="false" outlineLevel="0" collapsed="false">
      <c r="A477" s="15" t="str">
        <f aca="false">IF(ROWS($A$2:$A477)&lt;=Check!$C$4,SMALL(PERLINE!$AL$2:$AL$3001,ROWS($A$2:$A477)),"")</f>
        <v/>
      </c>
      <c r="B477" s="15" t="str">
        <f aca="false">IF($A477="","",INDEX(PERLINE!$J$2:$J$3001,MATCH($A477,PERLINE!$N$2:$N$3001,0)))</f>
        <v/>
      </c>
      <c r="C477" s="16" t="str">
        <f aca="false">IF($A477="","",INDEX(PERLINE!$I$2:$I$3001,MATCH($A477,PERLINE!$N$2:$N$3001,0)))</f>
        <v/>
      </c>
      <c r="D477" s="17" t="str">
        <f aca="false">IF($A477="","",'كشف المطالبة'!$D$6)</f>
        <v/>
      </c>
      <c r="E477" s="18" t="str">
        <f aca="false">IF($A477="","",SUMIFS(PERLINE!$U$2:$U$3001,PERLINE!$N$2:$N$3001,$A477,PERLINE!$AK$2:$AK$3001,0))</f>
        <v/>
      </c>
      <c r="F477" s="19" t="str">
        <f aca="false">IF($A477="","",E477*D477)</f>
        <v/>
      </c>
      <c r="G477" s="17" t="str">
        <f aca="false">IF($A477="","",'كشف المطالبة'!$D$5)</f>
        <v/>
      </c>
      <c r="H477" s="18" t="str">
        <f aca="false">IF($A477="","",SUMIFS(PERLINE!$U$2:$U$3001,PERLINE!$N$2:$N$3001,$A477,PERLINE!$AK$2:$AK$3001,1))</f>
        <v/>
      </c>
      <c r="I477" s="19" t="str">
        <f aca="false">IF($A477="","",H477*G477)</f>
        <v/>
      </c>
      <c r="J477" s="19" t="str">
        <f aca="false">IF($A477="","",F477+I477)</f>
        <v/>
      </c>
      <c r="K477" s="19" t="str">
        <f aca="false">IF($A477="","",H477+E477)</f>
        <v/>
      </c>
      <c r="L477" s="20" t="str">
        <f aca="false">IF($A477="","",K477-J477-N477)</f>
        <v/>
      </c>
      <c r="M477" s="15" t="str">
        <f aca="false">IF($A477="","",INDEX(PERLINE!$A$2:$A$3001,MATCH($A477,PERLINE!$N$2:$N$3001,0)))</f>
        <v/>
      </c>
      <c r="N477" s="21" t="str">
        <f aca="false">IF($A477="","",SUMIFS(PERLINE!$M$2:$M$3001,PERLINE!$N$2:$N$3001,$A477))</f>
        <v/>
      </c>
    </row>
    <row r="478" customFormat="false" ht="15" hidden="false" customHeight="false" outlineLevel="0" collapsed="false">
      <c r="A478" s="15" t="str">
        <f aca="false">IF(ROWS($A$2:$A478)&lt;=Check!$C$4,SMALL(PERLINE!$AL$2:$AL$3001,ROWS($A$2:$A478)),"")</f>
        <v/>
      </c>
      <c r="B478" s="15" t="str">
        <f aca="false">IF($A478="","",INDEX(PERLINE!$J$2:$J$3001,MATCH($A478,PERLINE!$N$2:$N$3001,0)))</f>
        <v/>
      </c>
      <c r="C478" s="16" t="str">
        <f aca="false">IF($A478="","",INDEX(PERLINE!$I$2:$I$3001,MATCH($A478,PERLINE!$N$2:$N$3001,0)))</f>
        <v/>
      </c>
      <c r="D478" s="17" t="str">
        <f aca="false">IF($A478="","",'كشف المطالبة'!$D$6)</f>
        <v/>
      </c>
      <c r="E478" s="18" t="str">
        <f aca="false">IF($A478="","",SUMIFS(PERLINE!$U$2:$U$3001,PERLINE!$N$2:$N$3001,$A478,PERLINE!$AK$2:$AK$3001,0))</f>
        <v/>
      </c>
      <c r="F478" s="19" t="str">
        <f aca="false">IF($A478="","",E478*D478)</f>
        <v/>
      </c>
      <c r="G478" s="17" t="str">
        <f aca="false">IF($A478="","",'كشف المطالبة'!$D$5)</f>
        <v/>
      </c>
      <c r="H478" s="18" t="str">
        <f aca="false">IF($A478="","",SUMIFS(PERLINE!$U$2:$U$3001,PERLINE!$N$2:$N$3001,$A478,PERLINE!$AK$2:$AK$3001,1))</f>
        <v/>
      </c>
      <c r="I478" s="19" t="str">
        <f aca="false">IF($A478="","",H478*G478)</f>
        <v/>
      </c>
      <c r="J478" s="19" t="str">
        <f aca="false">IF($A478="","",F478+I478)</f>
        <v/>
      </c>
      <c r="K478" s="19" t="str">
        <f aca="false">IF($A478="","",H478+E478)</f>
        <v/>
      </c>
      <c r="L478" s="20" t="str">
        <f aca="false">IF($A478="","",K478-J478-N478)</f>
        <v/>
      </c>
      <c r="M478" s="15" t="str">
        <f aca="false">IF($A478="","",INDEX(PERLINE!$A$2:$A$3001,MATCH($A478,PERLINE!$N$2:$N$3001,0)))</f>
        <v/>
      </c>
      <c r="N478" s="21" t="str">
        <f aca="false">IF($A478="","",SUMIFS(PERLINE!$M$2:$M$3001,PERLINE!$N$2:$N$3001,$A478))</f>
        <v/>
      </c>
    </row>
    <row r="479" customFormat="false" ht="15" hidden="false" customHeight="false" outlineLevel="0" collapsed="false">
      <c r="A479" s="15" t="str">
        <f aca="false">IF(ROWS($A$2:$A479)&lt;=Check!$C$4,SMALL(PERLINE!$AL$2:$AL$3001,ROWS($A$2:$A479)),"")</f>
        <v/>
      </c>
      <c r="B479" s="15" t="str">
        <f aca="false">IF($A479="","",INDEX(PERLINE!$J$2:$J$3001,MATCH($A479,PERLINE!$N$2:$N$3001,0)))</f>
        <v/>
      </c>
      <c r="C479" s="16" t="str">
        <f aca="false">IF($A479="","",INDEX(PERLINE!$I$2:$I$3001,MATCH($A479,PERLINE!$N$2:$N$3001,0)))</f>
        <v/>
      </c>
      <c r="D479" s="17" t="str">
        <f aca="false">IF($A479="","",'كشف المطالبة'!$D$6)</f>
        <v/>
      </c>
      <c r="E479" s="18" t="str">
        <f aca="false">IF($A479="","",SUMIFS(PERLINE!$U$2:$U$3001,PERLINE!$N$2:$N$3001,$A479,PERLINE!$AK$2:$AK$3001,0))</f>
        <v/>
      </c>
      <c r="F479" s="19" t="str">
        <f aca="false">IF($A479="","",E479*D479)</f>
        <v/>
      </c>
      <c r="G479" s="17" t="str">
        <f aca="false">IF($A479="","",'كشف المطالبة'!$D$5)</f>
        <v/>
      </c>
      <c r="H479" s="18" t="str">
        <f aca="false">IF($A479="","",SUMIFS(PERLINE!$U$2:$U$3001,PERLINE!$N$2:$N$3001,$A479,PERLINE!$AK$2:$AK$3001,1))</f>
        <v/>
      </c>
      <c r="I479" s="19" t="str">
        <f aca="false">IF($A479="","",H479*G479)</f>
        <v/>
      </c>
      <c r="J479" s="19" t="str">
        <f aca="false">IF($A479="","",F479+I479)</f>
        <v/>
      </c>
      <c r="K479" s="19" t="str">
        <f aca="false">IF($A479="","",H479+E479)</f>
        <v/>
      </c>
      <c r="L479" s="20" t="str">
        <f aca="false">IF($A479="","",K479-J479-N479)</f>
        <v/>
      </c>
      <c r="M479" s="15" t="str">
        <f aca="false">IF($A479="","",INDEX(PERLINE!$A$2:$A$3001,MATCH($A479,PERLINE!$N$2:$N$3001,0)))</f>
        <v/>
      </c>
      <c r="N479" s="21" t="str">
        <f aca="false">IF($A479="","",SUMIFS(PERLINE!$M$2:$M$3001,PERLINE!$N$2:$N$3001,$A479))</f>
        <v/>
      </c>
    </row>
    <row r="480" customFormat="false" ht="15" hidden="false" customHeight="false" outlineLevel="0" collapsed="false">
      <c r="A480" s="15" t="str">
        <f aca="false">IF(ROWS($A$2:$A480)&lt;=Check!$C$4,SMALL(PERLINE!$AL$2:$AL$3001,ROWS($A$2:$A480)),"")</f>
        <v/>
      </c>
      <c r="B480" s="15" t="str">
        <f aca="false">IF($A480="","",INDEX(PERLINE!$J$2:$J$3001,MATCH($A480,PERLINE!$N$2:$N$3001,0)))</f>
        <v/>
      </c>
      <c r="C480" s="16" t="str">
        <f aca="false">IF($A480="","",INDEX(PERLINE!$I$2:$I$3001,MATCH($A480,PERLINE!$N$2:$N$3001,0)))</f>
        <v/>
      </c>
      <c r="D480" s="17" t="str">
        <f aca="false">IF($A480="","",'كشف المطالبة'!$D$6)</f>
        <v/>
      </c>
      <c r="E480" s="18" t="str">
        <f aca="false">IF($A480="","",SUMIFS(PERLINE!$U$2:$U$3001,PERLINE!$N$2:$N$3001,$A480,PERLINE!$AK$2:$AK$3001,0))</f>
        <v/>
      </c>
      <c r="F480" s="19" t="str">
        <f aca="false">IF($A480="","",E480*D480)</f>
        <v/>
      </c>
      <c r="G480" s="17" t="str">
        <f aca="false">IF($A480="","",'كشف المطالبة'!$D$5)</f>
        <v/>
      </c>
      <c r="H480" s="18" t="str">
        <f aca="false">IF($A480="","",SUMIFS(PERLINE!$U$2:$U$3001,PERLINE!$N$2:$N$3001,$A480,PERLINE!$AK$2:$AK$3001,1))</f>
        <v/>
      </c>
      <c r="I480" s="19" t="str">
        <f aca="false">IF($A480="","",H480*G480)</f>
        <v/>
      </c>
      <c r="J480" s="19" t="str">
        <f aca="false">IF($A480="","",F480+I480)</f>
        <v/>
      </c>
      <c r="K480" s="19" t="str">
        <f aca="false">IF($A480="","",H480+E480)</f>
        <v/>
      </c>
      <c r="L480" s="20" t="str">
        <f aca="false">IF($A480="","",K480-J480-N480)</f>
        <v/>
      </c>
      <c r="M480" s="15" t="str">
        <f aca="false">IF($A480="","",INDEX(PERLINE!$A$2:$A$3001,MATCH($A480,PERLINE!$N$2:$N$3001,0)))</f>
        <v/>
      </c>
      <c r="N480" s="21" t="str">
        <f aca="false">IF($A480="","",SUMIFS(PERLINE!$M$2:$M$3001,PERLINE!$N$2:$N$3001,$A480))</f>
        <v/>
      </c>
    </row>
    <row r="481" customFormat="false" ht="15" hidden="false" customHeight="false" outlineLevel="0" collapsed="false">
      <c r="A481" s="15" t="str">
        <f aca="false">IF(ROWS($A$2:$A481)&lt;=Check!$C$4,SMALL(PERLINE!$AL$2:$AL$3001,ROWS($A$2:$A481)),"")</f>
        <v/>
      </c>
      <c r="B481" s="15" t="str">
        <f aca="false">IF($A481="","",INDEX(PERLINE!$J$2:$J$3001,MATCH($A481,PERLINE!$N$2:$N$3001,0)))</f>
        <v/>
      </c>
      <c r="C481" s="16" t="str">
        <f aca="false">IF($A481="","",INDEX(PERLINE!$I$2:$I$3001,MATCH($A481,PERLINE!$N$2:$N$3001,0)))</f>
        <v/>
      </c>
      <c r="D481" s="17" t="str">
        <f aca="false">IF($A481="","",'كشف المطالبة'!$D$6)</f>
        <v/>
      </c>
      <c r="E481" s="18" t="str">
        <f aca="false">IF($A481="","",SUMIFS(PERLINE!$U$2:$U$3001,PERLINE!$N$2:$N$3001,$A481,PERLINE!$AK$2:$AK$3001,0))</f>
        <v/>
      </c>
      <c r="F481" s="19" t="str">
        <f aca="false">IF($A481="","",E481*D481)</f>
        <v/>
      </c>
      <c r="G481" s="17" t="str">
        <f aca="false">IF($A481="","",'كشف المطالبة'!$D$5)</f>
        <v/>
      </c>
      <c r="H481" s="18" t="str">
        <f aca="false">IF($A481="","",SUMIFS(PERLINE!$U$2:$U$3001,PERLINE!$N$2:$N$3001,$A481,PERLINE!$AK$2:$AK$3001,1))</f>
        <v/>
      </c>
      <c r="I481" s="19" t="str">
        <f aca="false">IF($A481="","",H481*G481)</f>
        <v/>
      </c>
      <c r="J481" s="19" t="str">
        <f aca="false">IF($A481="","",F481+I481)</f>
        <v/>
      </c>
      <c r="K481" s="19" t="str">
        <f aca="false">IF($A481="","",H481+E481)</f>
        <v/>
      </c>
      <c r="L481" s="20" t="str">
        <f aca="false">IF($A481="","",K481-J481-N481)</f>
        <v/>
      </c>
      <c r="M481" s="15" t="str">
        <f aca="false">IF($A481="","",INDEX(PERLINE!$A$2:$A$3001,MATCH($A481,PERLINE!$N$2:$N$3001,0)))</f>
        <v/>
      </c>
      <c r="N481" s="21" t="str">
        <f aca="false">IF($A481="","",SUMIFS(PERLINE!$M$2:$M$3001,PERLINE!$N$2:$N$3001,$A481))</f>
        <v/>
      </c>
    </row>
    <row r="482" customFormat="false" ht="15" hidden="false" customHeight="false" outlineLevel="0" collapsed="false">
      <c r="A482" s="15" t="str">
        <f aca="false">IF(ROWS($A$2:$A482)&lt;=Check!$C$4,SMALL(PERLINE!$AL$2:$AL$3001,ROWS($A$2:$A482)),"")</f>
        <v/>
      </c>
      <c r="B482" s="15" t="str">
        <f aca="false">IF($A482="","",INDEX(PERLINE!$J$2:$J$3001,MATCH($A482,PERLINE!$N$2:$N$3001,0)))</f>
        <v/>
      </c>
      <c r="C482" s="16" t="str">
        <f aca="false">IF($A482="","",INDEX(PERLINE!$I$2:$I$3001,MATCH($A482,PERLINE!$N$2:$N$3001,0)))</f>
        <v/>
      </c>
      <c r="D482" s="17" t="str">
        <f aca="false">IF($A482="","",'كشف المطالبة'!$D$6)</f>
        <v/>
      </c>
      <c r="E482" s="18" t="str">
        <f aca="false">IF($A482="","",SUMIFS(PERLINE!$U$2:$U$3001,PERLINE!$N$2:$N$3001,$A482,PERLINE!$AK$2:$AK$3001,0))</f>
        <v/>
      </c>
      <c r="F482" s="19" t="str">
        <f aca="false">IF($A482="","",E482*D482)</f>
        <v/>
      </c>
      <c r="G482" s="17" t="str">
        <f aca="false">IF($A482="","",'كشف المطالبة'!$D$5)</f>
        <v/>
      </c>
      <c r="H482" s="18" t="str">
        <f aca="false">IF($A482="","",SUMIFS(PERLINE!$U$2:$U$3001,PERLINE!$N$2:$N$3001,$A482,PERLINE!$AK$2:$AK$3001,1))</f>
        <v/>
      </c>
      <c r="I482" s="19" t="str">
        <f aca="false">IF($A482="","",H482*G482)</f>
        <v/>
      </c>
      <c r="J482" s="19" t="str">
        <f aca="false">IF($A482="","",F482+I482)</f>
        <v/>
      </c>
      <c r="K482" s="19" t="str">
        <f aca="false">IF($A482="","",H482+E482)</f>
        <v/>
      </c>
      <c r="L482" s="20" t="str">
        <f aca="false">IF($A482="","",K482-J482-N482)</f>
        <v/>
      </c>
      <c r="M482" s="15" t="str">
        <f aca="false">IF($A482="","",INDEX(PERLINE!$A$2:$A$3001,MATCH($A482,PERLINE!$N$2:$N$3001,0)))</f>
        <v/>
      </c>
      <c r="N482" s="21" t="str">
        <f aca="false">IF($A482="","",SUMIFS(PERLINE!$M$2:$M$3001,PERLINE!$N$2:$N$3001,$A482))</f>
        <v/>
      </c>
    </row>
    <row r="483" customFormat="false" ht="15" hidden="false" customHeight="false" outlineLevel="0" collapsed="false">
      <c r="A483" s="15" t="str">
        <f aca="false">IF(ROWS($A$2:$A483)&lt;=Check!$C$4,SMALL(PERLINE!$AL$2:$AL$3001,ROWS($A$2:$A483)),"")</f>
        <v/>
      </c>
      <c r="B483" s="15" t="str">
        <f aca="false">IF($A483="","",INDEX(PERLINE!$J$2:$J$3001,MATCH($A483,PERLINE!$N$2:$N$3001,0)))</f>
        <v/>
      </c>
      <c r="C483" s="16" t="str">
        <f aca="false">IF($A483="","",INDEX(PERLINE!$I$2:$I$3001,MATCH($A483,PERLINE!$N$2:$N$3001,0)))</f>
        <v/>
      </c>
      <c r="D483" s="17" t="str">
        <f aca="false">IF($A483="","",'كشف المطالبة'!$D$6)</f>
        <v/>
      </c>
      <c r="E483" s="18" t="str">
        <f aca="false">IF($A483="","",SUMIFS(PERLINE!$U$2:$U$3001,PERLINE!$N$2:$N$3001,$A483,PERLINE!$AK$2:$AK$3001,0))</f>
        <v/>
      </c>
      <c r="F483" s="19" t="str">
        <f aca="false">IF($A483="","",E483*D483)</f>
        <v/>
      </c>
      <c r="G483" s="17" t="str">
        <f aca="false">IF($A483="","",'كشف المطالبة'!$D$5)</f>
        <v/>
      </c>
      <c r="H483" s="18" t="str">
        <f aca="false">IF($A483="","",SUMIFS(PERLINE!$U$2:$U$3001,PERLINE!$N$2:$N$3001,$A483,PERLINE!$AK$2:$AK$3001,1))</f>
        <v/>
      </c>
      <c r="I483" s="19" t="str">
        <f aca="false">IF($A483="","",H483*G483)</f>
        <v/>
      </c>
      <c r="J483" s="19" t="str">
        <f aca="false">IF($A483="","",F483+I483)</f>
        <v/>
      </c>
      <c r="K483" s="19" t="str">
        <f aca="false">IF($A483="","",H483+E483)</f>
        <v/>
      </c>
      <c r="L483" s="20" t="str">
        <f aca="false">IF($A483="","",K483-J483-N483)</f>
        <v/>
      </c>
      <c r="M483" s="15" t="str">
        <f aca="false">IF($A483="","",INDEX(PERLINE!$A$2:$A$3001,MATCH($A483,PERLINE!$N$2:$N$3001,0)))</f>
        <v/>
      </c>
      <c r="N483" s="21" t="str">
        <f aca="false">IF($A483="","",SUMIFS(PERLINE!$M$2:$M$3001,PERLINE!$N$2:$N$3001,$A483))</f>
        <v/>
      </c>
    </row>
    <row r="484" customFormat="false" ht="15" hidden="false" customHeight="false" outlineLevel="0" collapsed="false">
      <c r="A484" s="15" t="str">
        <f aca="false">IF(ROWS($A$2:$A484)&lt;=Check!$C$4,SMALL(PERLINE!$AL$2:$AL$3001,ROWS($A$2:$A484)),"")</f>
        <v/>
      </c>
      <c r="B484" s="15" t="str">
        <f aca="false">IF($A484="","",INDEX(PERLINE!$J$2:$J$3001,MATCH($A484,PERLINE!$N$2:$N$3001,0)))</f>
        <v/>
      </c>
      <c r="C484" s="16" t="str">
        <f aca="false">IF($A484="","",INDEX(PERLINE!$I$2:$I$3001,MATCH($A484,PERLINE!$N$2:$N$3001,0)))</f>
        <v/>
      </c>
      <c r="D484" s="17" t="str">
        <f aca="false">IF($A484="","",'كشف المطالبة'!$D$6)</f>
        <v/>
      </c>
      <c r="E484" s="18" t="str">
        <f aca="false">IF($A484="","",SUMIFS(PERLINE!$U$2:$U$3001,PERLINE!$N$2:$N$3001,$A484,PERLINE!$AK$2:$AK$3001,0))</f>
        <v/>
      </c>
      <c r="F484" s="19" t="str">
        <f aca="false">IF($A484="","",E484*D484)</f>
        <v/>
      </c>
      <c r="G484" s="17" t="str">
        <f aca="false">IF($A484="","",'كشف المطالبة'!$D$5)</f>
        <v/>
      </c>
      <c r="H484" s="18" t="str">
        <f aca="false">IF($A484="","",SUMIFS(PERLINE!$U$2:$U$3001,PERLINE!$N$2:$N$3001,$A484,PERLINE!$AK$2:$AK$3001,1))</f>
        <v/>
      </c>
      <c r="I484" s="19" t="str">
        <f aca="false">IF($A484="","",H484*G484)</f>
        <v/>
      </c>
      <c r="J484" s="19" t="str">
        <f aca="false">IF($A484="","",F484+I484)</f>
        <v/>
      </c>
      <c r="K484" s="19" t="str">
        <f aca="false">IF($A484="","",H484+E484)</f>
        <v/>
      </c>
      <c r="L484" s="20" t="str">
        <f aca="false">IF($A484="","",K484-J484-N484)</f>
        <v/>
      </c>
      <c r="M484" s="15" t="str">
        <f aca="false">IF($A484="","",INDEX(PERLINE!$A$2:$A$3001,MATCH($A484,PERLINE!$N$2:$N$3001,0)))</f>
        <v/>
      </c>
      <c r="N484" s="21" t="str">
        <f aca="false">IF($A484="","",SUMIFS(PERLINE!$M$2:$M$3001,PERLINE!$N$2:$N$3001,$A484))</f>
        <v/>
      </c>
    </row>
    <row r="485" customFormat="false" ht="15" hidden="false" customHeight="false" outlineLevel="0" collapsed="false">
      <c r="A485" s="15" t="str">
        <f aca="false">IF(ROWS($A$2:$A485)&lt;=Check!$C$4,SMALL(PERLINE!$AL$2:$AL$3001,ROWS($A$2:$A485)),"")</f>
        <v/>
      </c>
      <c r="B485" s="15" t="str">
        <f aca="false">IF($A485="","",INDEX(PERLINE!$J$2:$J$3001,MATCH($A485,PERLINE!$N$2:$N$3001,0)))</f>
        <v/>
      </c>
      <c r="C485" s="16" t="str">
        <f aca="false">IF($A485="","",INDEX(PERLINE!$I$2:$I$3001,MATCH($A485,PERLINE!$N$2:$N$3001,0)))</f>
        <v/>
      </c>
      <c r="D485" s="17" t="str">
        <f aca="false">IF($A485="","",'كشف المطالبة'!$D$6)</f>
        <v/>
      </c>
      <c r="E485" s="18" t="str">
        <f aca="false">IF($A485="","",SUMIFS(PERLINE!$U$2:$U$3001,PERLINE!$N$2:$N$3001,$A485,PERLINE!$AK$2:$AK$3001,0))</f>
        <v/>
      </c>
      <c r="F485" s="19" t="str">
        <f aca="false">IF($A485="","",E485*D485)</f>
        <v/>
      </c>
      <c r="G485" s="17" t="str">
        <f aca="false">IF($A485="","",'كشف المطالبة'!$D$5)</f>
        <v/>
      </c>
      <c r="H485" s="18" t="str">
        <f aca="false">IF($A485="","",SUMIFS(PERLINE!$U$2:$U$3001,PERLINE!$N$2:$N$3001,$A485,PERLINE!$AK$2:$AK$3001,1))</f>
        <v/>
      </c>
      <c r="I485" s="19" t="str">
        <f aca="false">IF($A485="","",H485*G485)</f>
        <v/>
      </c>
      <c r="J485" s="19" t="str">
        <f aca="false">IF($A485="","",F485+I485)</f>
        <v/>
      </c>
      <c r="K485" s="19" t="str">
        <f aca="false">IF($A485="","",H485+E485)</f>
        <v/>
      </c>
      <c r="L485" s="20" t="str">
        <f aca="false">IF($A485="","",K485-J485-N485)</f>
        <v/>
      </c>
      <c r="M485" s="15" t="str">
        <f aca="false">IF($A485="","",INDEX(PERLINE!$A$2:$A$3001,MATCH($A485,PERLINE!$N$2:$N$3001,0)))</f>
        <v/>
      </c>
      <c r="N485" s="21" t="str">
        <f aca="false">IF($A485="","",SUMIFS(PERLINE!$M$2:$M$3001,PERLINE!$N$2:$N$3001,$A485))</f>
        <v/>
      </c>
    </row>
    <row r="486" customFormat="false" ht="15" hidden="false" customHeight="false" outlineLevel="0" collapsed="false">
      <c r="A486" s="15" t="str">
        <f aca="false">IF(ROWS($A$2:$A486)&lt;=Check!$C$4,SMALL(PERLINE!$AL$2:$AL$3001,ROWS($A$2:$A486)),"")</f>
        <v/>
      </c>
      <c r="B486" s="15" t="str">
        <f aca="false">IF($A486="","",INDEX(PERLINE!$J$2:$J$3001,MATCH($A486,PERLINE!$N$2:$N$3001,0)))</f>
        <v/>
      </c>
      <c r="C486" s="16" t="str">
        <f aca="false">IF($A486="","",INDEX(PERLINE!$I$2:$I$3001,MATCH($A486,PERLINE!$N$2:$N$3001,0)))</f>
        <v/>
      </c>
      <c r="D486" s="17" t="str">
        <f aca="false">IF($A486="","",'كشف المطالبة'!$D$6)</f>
        <v/>
      </c>
      <c r="E486" s="18" t="str">
        <f aca="false">IF($A486="","",SUMIFS(PERLINE!$U$2:$U$3001,PERLINE!$N$2:$N$3001,$A486,PERLINE!$AK$2:$AK$3001,0))</f>
        <v/>
      </c>
      <c r="F486" s="19" t="str">
        <f aca="false">IF($A486="","",E486*D486)</f>
        <v/>
      </c>
      <c r="G486" s="17" t="str">
        <f aca="false">IF($A486="","",'كشف المطالبة'!$D$5)</f>
        <v/>
      </c>
      <c r="H486" s="18" t="str">
        <f aca="false">IF($A486="","",SUMIFS(PERLINE!$U$2:$U$3001,PERLINE!$N$2:$N$3001,$A486,PERLINE!$AK$2:$AK$3001,1))</f>
        <v/>
      </c>
      <c r="I486" s="19" t="str">
        <f aca="false">IF($A486="","",H486*G486)</f>
        <v/>
      </c>
      <c r="J486" s="19" t="str">
        <f aca="false">IF($A486="","",F486+I486)</f>
        <v/>
      </c>
      <c r="K486" s="19" t="str">
        <f aca="false">IF($A486="","",H486+E486)</f>
        <v/>
      </c>
      <c r="L486" s="20" t="str">
        <f aca="false">IF($A486="","",K486-J486-N486)</f>
        <v/>
      </c>
      <c r="M486" s="15" t="str">
        <f aca="false">IF($A486="","",INDEX(PERLINE!$A$2:$A$3001,MATCH($A486,PERLINE!$N$2:$N$3001,0)))</f>
        <v/>
      </c>
      <c r="N486" s="21" t="str">
        <f aca="false">IF($A486="","",SUMIFS(PERLINE!$M$2:$M$3001,PERLINE!$N$2:$N$3001,$A486))</f>
        <v/>
      </c>
    </row>
    <row r="487" customFormat="false" ht="15" hidden="false" customHeight="false" outlineLevel="0" collapsed="false">
      <c r="A487" s="15" t="str">
        <f aca="false">IF(ROWS($A$2:$A487)&lt;=Check!$C$4,SMALL(PERLINE!$AL$2:$AL$3001,ROWS($A$2:$A487)),"")</f>
        <v/>
      </c>
      <c r="B487" s="15" t="str">
        <f aca="false">IF($A487="","",INDEX(PERLINE!$J$2:$J$3001,MATCH($A487,PERLINE!$N$2:$N$3001,0)))</f>
        <v/>
      </c>
      <c r="C487" s="16" t="str">
        <f aca="false">IF($A487="","",INDEX(PERLINE!$I$2:$I$3001,MATCH($A487,PERLINE!$N$2:$N$3001,0)))</f>
        <v/>
      </c>
      <c r="D487" s="17" t="str">
        <f aca="false">IF($A487="","",'كشف المطالبة'!$D$6)</f>
        <v/>
      </c>
      <c r="E487" s="18" t="str">
        <f aca="false">IF($A487="","",SUMIFS(PERLINE!$U$2:$U$3001,PERLINE!$N$2:$N$3001,$A487,PERLINE!$AK$2:$AK$3001,0))</f>
        <v/>
      </c>
      <c r="F487" s="19" t="str">
        <f aca="false">IF($A487="","",E487*D487)</f>
        <v/>
      </c>
      <c r="G487" s="17" t="str">
        <f aca="false">IF($A487="","",'كشف المطالبة'!$D$5)</f>
        <v/>
      </c>
      <c r="H487" s="18" t="str">
        <f aca="false">IF($A487="","",SUMIFS(PERLINE!$U$2:$U$3001,PERLINE!$N$2:$N$3001,$A487,PERLINE!$AK$2:$AK$3001,1))</f>
        <v/>
      </c>
      <c r="I487" s="19" t="str">
        <f aca="false">IF($A487="","",H487*G487)</f>
        <v/>
      </c>
      <c r="J487" s="19" t="str">
        <f aca="false">IF($A487="","",F487+I487)</f>
        <v/>
      </c>
      <c r="K487" s="19" t="str">
        <f aca="false">IF($A487="","",H487+E487)</f>
        <v/>
      </c>
      <c r="L487" s="20" t="str">
        <f aca="false">IF($A487="","",K487-J487-N487)</f>
        <v/>
      </c>
      <c r="M487" s="15" t="str">
        <f aca="false">IF($A487="","",INDEX(PERLINE!$A$2:$A$3001,MATCH($A487,PERLINE!$N$2:$N$3001,0)))</f>
        <v/>
      </c>
      <c r="N487" s="21" t="str">
        <f aca="false">IF($A487="","",SUMIFS(PERLINE!$M$2:$M$3001,PERLINE!$N$2:$N$3001,$A487))</f>
        <v/>
      </c>
    </row>
    <row r="488" customFormat="false" ht="15" hidden="false" customHeight="false" outlineLevel="0" collapsed="false">
      <c r="A488" s="15" t="str">
        <f aca="false">IF(ROWS($A$2:$A488)&lt;=Check!$C$4,SMALL(PERLINE!$AL$2:$AL$3001,ROWS($A$2:$A488)),"")</f>
        <v/>
      </c>
      <c r="B488" s="15" t="str">
        <f aca="false">IF($A488="","",INDEX(PERLINE!$J$2:$J$3001,MATCH($A488,PERLINE!$N$2:$N$3001,0)))</f>
        <v/>
      </c>
      <c r="C488" s="16" t="str">
        <f aca="false">IF($A488="","",INDEX(PERLINE!$I$2:$I$3001,MATCH($A488,PERLINE!$N$2:$N$3001,0)))</f>
        <v/>
      </c>
      <c r="D488" s="17" t="str">
        <f aca="false">IF($A488="","",'كشف المطالبة'!$D$6)</f>
        <v/>
      </c>
      <c r="E488" s="18" t="str">
        <f aca="false">IF($A488="","",SUMIFS(PERLINE!$U$2:$U$3001,PERLINE!$N$2:$N$3001,$A488,PERLINE!$AK$2:$AK$3001,0))</f>
        <v/>
      </c>
      <c r="F488" s="19" t="str">
        <f aca="false">IF($A488="","",E488*D488)</f>
        <v/>
      </c>
      <c r="G488" s="17" t="str">
        <f aca="false">IF($A488="","",'كشف المطالبة'!$D$5)</f>
        <v/>
      </c>
      <c r="H488" s="18" t="str">
        <f aca="false">IF($A488="","",SUMIFS(PERLINE!$U$2:$U$3001,PERLINE!$N$2:$N$3001,$A488,PERLINE!$AK$2:$AK$3001,1))</f>
        <v/>
      </c>
      <c r="I488" s="19" t="str">
        <f aca="false">IF($A488="","",H488*G488)</f>
        <v/>
      </c>
      <c r="J488" s="19" t="str">
        <f aca="false">IF($A488="","",F488+I488)</f>
        <v/>
      </c>
      <c r="K488" s="19" t="str">
        <f aca="false">IF($A488="","",H488+E488)</f>
        <v/>
      </c>
      <c r="L488" s="20" t="str">
        <f aca="false">IF($A488="","",K488-J488-N488)</f>
        <v/>
      </c>
      <c r="M488" s="15" t="str">
        <f aca="false">IF($A488="","",INDEX(PERLINE!$A$2:$A$3001,MATCH($A488,PERLINE!$N$2:$N$3001,0)))</f>
        <v/>
      </c>
      <c r="N488" s="21" t="str">
        <f aca="false">IF($A488="","",SUMIFS(PERLINE!$M$2:$M$3001,PERLINE!$N$2:$N$3001,$A488))</f>
        <v/>
      </c>
    </row>
    <row r="489" customFormat="false" ht="15" hidden="false" customHeight="false" outlineLevel="0" collapsed="false">
      <c r="A489" s="15" t="str">
        <f aca="false">IF(ROWS($A$2:$A489)&lt;=Check!$C$4,SMALL(PERLINE!$AL$2:$AL$3001,ROWS($A$2:$A489)),"")</f>
        <v/>
      </c>
      <c r="B489" s="15" t="str">
        <f aca="false">IF($A489="","",INDEX(PERLINE!$J$2:$J$3001,MATCH($A489,PERLINE!$N$2:$N$3001,0)))</f>
        <v/>
      </c>
      <c r="C489" s="16" t="str">
        <f aca="false">IF($A489="","",INDEX(PERLINE!$I$2:$I$3001,MATCH($A489,PERLINE!$N$2:$N$3001,0)))</f>
        <v/>
      </c>
      <c r="D489" s="17" t="str">
        <f aca="false">IF($A489="","",'كشف المطالبة'!$D$6)</f>
        <v/>
      </c>
      <c r="E489" s="18" t="str">
        <f aca="false">IF($A489="","",SUMIFS(PERLINE!$U$2:$U$3001,PERLINE!$N$2:$N$3001,$A489,PERLINE!$AK$2:$AK$3001,0))</f>
        <v/>
      </c>
      <c r="F489" s="19" t="str">
        <f aca="false">IF($A489="","",E489*D489)</f>
        <v/>
      </c>
      <c r="G489" s="17" t="str">
        <f aca="false">IF($A489="","",'كشف المطالبة'!$D$5)</f>
        <v/>
      </c>
      <c r="H489" s="18" t="str">
        <f aca="false">IF($A489="","",SUMIFS(PERLINE!$U$2:$U$3001,PERLINE!$N$2:$N$3001,$A489,PERLINE!$AK$2:$AK$3001,1))</f>
        <v/>
      </c>
      <c r="I489" s="19" t="str">
        <f aca="false">IF($A489="","",H489*G489)</f>
        <v/>
      </c>
      <c r="J489" s="19" t="str">
        <f aca="false">IF($A489="","",F489+I489)</f>
        <v/>
      </c>
      <c r="K489" s="19" t="str">
        <f aca="false">IF($A489="","",H489+E489)</f>
        <v/>
      </c>
      <c r="L489" s="20" t="str">
        <f aca="false">IF($A489="","",K489-J489-N489)</f>
        <v/>
      </c>
      <c r="M489" s="15" t="str">
        <f aca="false">IF($A489="","",INDEX(PERLINE!$A$2:$A$3001,MATCH($A489,PERLINE!$N$2:$N$3001,0)))</f>
        <v/>
      </c>
      <c r="N489" s="21" t="str">
        <f aca="false">IF($A489="","",SUMIFS(PERLINE!$M$2:$M$3001,PERLINE!$N$2:$N$3001,$A489))</f>
        <v/>
      </c>
    </row>
    <row r="490" customFormat="false" ht="15" hidden="false" customHeight="false" outlineLevel="0" collapsed="false">
      <c r="A490" s="15" t="str">
        <f aca="false">IF(ROWS($A$2:$A490)&lt;=Check!$C$4,SMALL(PERLINE!$AL$2:$AL$3001,ROWS($A$2:$A490)),"")</f>
        <v/>
      </c>
      <c r="B490" s="15" t="str">
        <f aca="false">IF($A490="","",INDEX(PERLINE!$J$2:$J$3001,MATCH($A490,PERLINE!$N$2:$N$3001,0)))</f>
        <v/>
      </c>
      <c r="C490" s="16" t="str">
        <f aca="false">IF($A490="","",INDEX(PERLINE!$I$2:$I$3001,MATCH($A490,PERLINE!$N$2:$N$3001,0)))</f>
        <v/>
      </c>
      <c r="D490" s="17" t="str">
        <f aca="false">IF($A490="","",'كشف المطالبة'!$D$6)</f>
        <v/>
      </c>
      <c r="E490" s="18" t="str">
        <f aca="false">IF($A490="","",SUMIFS(PERLINE!$U$2:$U$3001,PERLINE!$N$2:$N$3001,$A490,PERLINE!$AK$2:$AK$3001,0))</f>
        <v/>
      </c>
      <c r="F490" s="19" t="str">
        <f aca="false">IF($A490="","",E490*D490)</f>
        <v/>
      </c>
      <c r="G490" s="17" t="str">
        <f aca="false">IF($A490="","",'كشف المطالبة'!$D$5)</f>
        <v/>
      </c>
      <c r="H490" s="18" t="str">
        <f aca="false">IF($A490="","",SUMIFS(PERLINE!$U$2:$U$3001,PERLINE!$N$2:$N$3001,$A490,PERLINE!$AK$2:$AK$3001,1))</f>
        <v/>
      </c>
      <c r="I490" s="19" t="str">
        <f aca="false">IF($A490="","",H490*G490)</f>
        <v/>
      </c>
      <c r="J490" s="19" t="str">
        <f aca="false">IF($A490="","",F490+I490)</f>
        <v/>
      </c>
      <c r="K490" s="19" t="str">
        <f aca="false">IF($A490="","",H490+E490)</f>
        <v/>
      </c>
      <c r="L490" s="20" t="str">
        <f aca="false">IF($A490="","",K490-J490-N490)</f>
        <v/>
      </c>
      <c r="M490" s="15" t="str">
        <f aca="false">IF($A490="","",INDEX(PERLINE!$A$2:$A$3001,MATCH($A490,PERLINE!$N$2:$N$3001,0)))</f>
        <v/>
      </c>
      <c r="N490" s="21" t="str">
        <f aca="false">IF($A490="","",SUMIFS(PERLINE!$M$2:$M$3001,PERLINE!$N$2:$N$3001,$A490))</f>
        <v/>
      </c>
    </row>
    <row r="491" customFormat="false" ht="15" hidden="false" customHeight="false" outlineLevel="0" collapsed="false">
      <c r="A491" s="15" t="str">
        <f aca="false">IF(ROWS($A$2:$A491)&lt;=Check!$C$4,SMALL(PERLINE!$AL$2:$AL$3001,ROWS($A$2:$A491)),"")</f>
        <v/>
      </c>
      <c r="B491" s="15" t="str">
        <f aca="false">IF($A491="","",INDEX(PERLINE!$J$2:$J$3001,MATCH($A491,PERLINE!$N$2:$N$3001,0)))</f>
        <v/>
      </c>
      <c r="C491" s="16" t="str">
        <f aca="false">IF($A491="","",INDEX(PERLINE!$I$2:$I$3001,MATCH($A491,PERLINE!$N$2:$N$3001,0)))</f>
        <v/>
      </c>
      <c r="D491" s="17" t="str">
        <f aca="false">IF($A491="","",'كشف المطالبة'!$D$6)</f>
        <v/>
      </c>
      <c r="E491" s="18" t="str">
        <f aca="false">IF($A491="","",SUMIFS(PERLINE!$U$2:$U$3001,PERLINE!$N$2:$N$3001,$A491,PERLINE!$AK$2:$AK$3001,0))</f>
        <v/>
      </c>
      <c r="F491" s="19" t="str">
        <f aca="false">IF($A491="","",E491*D491)</f>
        <v/>
      </c>
      <c r="G491" s="17" t="str">
        <f aca="false">IF($A491="","",'كشف المطالبة'!$D$5)</f>
        <v/>
      </c>
      <c r="H491" s="18" t="str">
        <f aca="false">IF($A491="","",SUMIFS(PERLINE!$U$2:$U$3001,PERLINE!$N$2:$N$3001,$A491,PERLINE!$AK$2:$AK$3001,1))</f>
        <v/>
      </c>
      <c r="I491" s="19" t="str">
        <f aca="false">IF($A491="","",H491*G491)</f>
        <v/>
      </c>
      <c r="J491" s="19" t="str">
        <f aca="false">IF($A491="","",F491+I491)</f>
        <v/>
      </c>
      <c r="K491" s="19" t="str">
        <f aca="false">IF($A491="","",H491+E491)</f>
        <v/>
      </c>
      <c r="L491" s="20" t="str">
        <f aca="false">IF($A491="","",K491-J491-N491)</f>
        <v/>
      </c>
      <c r="M491" s="15" t="str">
        <f aca="false">IF($A491="","",INDEX(PERLINE!$A$2:$A$3001,MATCH($A491,PERLINE!$N$2:$N$3001,0)))</f>
        <v/>
      </c>
      <c r="N491" s="21" t="str">
        <f aca="false">IF($A491="","",SUMIFS(PERLINE!$M$2:$M$3001,PERLINE!$N$2:$N$3001,$A491))</f>
        <v/>
      </c>
    </row>
    <row r="492" customFormat="false" ht="15" hidden="false" customHeight="false" outlineLevel="0" collapsed="false">
      <c r="A492" s="15" t="str">
        <f aca="false">IF(ROWS($A$2:$A492)&lt;=Check!$C$4,SMALL(PERLINE!$AL$2:$AL$3001,ROWS($A$2:$A492)),"")</f>
        <v/>
      </c>
      <c r="B492" s="15" t="str">
        <f aca="false">IF($A492="","",INDEX(PERLINE!$J$2:$J$3001,MATCH($A492,PERLINE!$N$2:$N$3001,0)))</f>
        <v/>
      </c>
      <c r="C492" s="16" t="str">
        <f aca="false">IF($A492="","",INDEX(PERLINE!$I$2:$I$3001,MATCH($A492,PERLINE!$N$2:$N$3001,0)))</f>
        <v/>
      </c>
      <c r="D492" s="17" t="str">
        <f aca="false">IF($A492="","",'كشف المطالبة'!$D$6)</f>
        <v/>
      </c>
      <c r="E492" s="18" t="str">
        <f aca="false">IF($A492="","",SUMIFS(PERLINE!$U$2:$U$3001,PERLINE!$N$2:$N$3001,$A492,PERLINE!$AK$2:$AK$3001,0))</f>
        <v/>
      </c>
      <c r="F492" s="19" t="str">
        <f aca="false">IF($A492="","",E492*D492)</f>
        <v/>
      </c>
      <c r="G492" s="17" t="str">
        <f aca="false">IF($A492="","",'كشف المطالبة'!$D$5)</f>
        <v/>
      </c>
      <c r="H492" s="18" t="str">
        <f aca="false">IF($A492="","",SUMIFS(PERLINE!$U$2:$U$3001,PERLINE!$N$2:$N$3001,$A492,PERLINE!$AK$2:$AK$3001,1))</f>
        <v/>
      </c>
      <c r="I492" s="19" t="str">
        <f aca="false">IF($A492="","",H492*G492)</f>
        <v/>
      </c>
      <c r="J492" s="19" t="str">
        <f aca="false">IF($A492="","",F492+I492)</f>
        <v/>
      </c>
      <c r="K492" s="19" t="str">
        <f aca="false">IF($A492="","",H492+E492)</f>
        <v/>
      </c>
      <c r="L492" s="20" t="str">
        <f aca="false">IF($A492="","",K492-J492-N492)</f>
        <v/>
      </c>
      <c r="M492" s="15" t="str">
        <f aca="false">IF($A492="","",INDEX(PERLINE!$A$2:$A$3001,MATCH($A492,PERLINE!$N$2:$N$3001,0)))</f>
        <v/>
      </c>
      <c r="N492" s="21" t="str">
        <f aca="false">IF($A492="","",SUMIFS(PERLINE!$M$2:$M$3001,PERLINE!$N$2:$N$3001,$A492))</f>
        <v/>
      </c>
    </row>
    <row r="493" customFormat="false" ht="15" hidden="false" customHeight="false" outlineLevel="0" collapsed="false">
      <c r="A493" s="15" t="str">
        <f aca="false">IF(ROWS($A$2:$A493)&lt;=Check!$C$4,SMALL(PERLINE!$AL$2:$AL$3001,ROWS($A$2:$A493)),"")</f>
        <v/>
      </c>
      <c r="B493" s="15" t="str">
        <f aca="false">IF($A493="","",INDEX(PERLINE!$J$2:$J$3001,MATCH($A493,PERLINE!$N$2:$N$3001,0)))</f>
        <v/>
      </c>
      <c r="C493" s="16" t="str">
        <f aca="false">IF($A493="","",INDEX(PERLINE!$I$2:$I$3001,MATCH($A493,PERLINE!$N$2:$N$3001,0)))</f>
        <v/>
      </c>
      <c r="D493" s="17" t="str">
        <f aca="false">IF($A493="","",'كشف المطالبة'!$D$6)</f>
        <v/>
      </c>
      <c r="E493" s="18" t="str">
        <f aca="false">IF($A493="","",SUMIFS(PERLINE!$U$2:$U$3001,PERLINE!$N$2:$N$3001,$A493,PERLINE!$AK$2:$AK$3001,0))</f>
        <v/>
      </c>
      <c r="F493" s="19" t="str">
        <f aca="false">IF($A493="","",E493*D493)</f>
        <v/>
      </c>
      <c r="G493" s="17" t="str">
        <f aca="false">IF($A493="","",'كشف المطالبة'!$D$5)</f>
        <v/>
      </c>
      <c r="H493" s="18" t="str">
        <f aca="false">IF($A493="","",SUMIFS(PERLINE!$U$2:$U$3001,PERLINE!$N$2:$N$3001,$A493,PERLINE!$AK$2:$AK$3001,1))</f>
        <v/>
      </c>
      <c r="I493" s="19" t="str">
        <f aca="false">IF($A493="","",H493*G493)</f>
        <v/>
      </c>
      <c r="J493" s="19" t="str">
        <f aca="false">IF($A493="","",F493+I493)</f>
        <v/>
      </c>
      <c r="K493" s="19" t="str">
        <f aca="false">IF($A493="","",H493+E493)</f>
        <v/>
      </c>
      <c r="L493" s="20" t="str">
        <f aca="false">IF($A493="","",K493-J493-N493)</f>
        <v/>
      </c>
      <c r="M493" s="15" t="str">
        <f aca="false">IF($A493="","",INDEX(PERLINE!$A$2:$A$3001,MATCH($A493,PERLINE!$N$2:$N$3001,0)))</f>
        <v/>
      </c>
      <c r="N493" s="21" t="str">
        <f aca="false">IF($A493="","",SUMIFS(PERLINE!$M$2:$M$3001,PERLINE!$N$2:$N$3001,$A493))</f>
        <v/>
      </c>
    </row>
    <row r="494" customFormat="false" ht="15" hidden="false" customHeight="false" outlineLevel="0" collapsed="false">
      <c r="A494" s="15" t="str">
        <f aca="false">IF(ROWS($A$2:$A494)&lt;=Check!$C$4,SMALL(PERLINE!$AL$2:$AL$3001,ROWS($A$2:$A494)),"")</f>
        <v/>
      </c>
      <c r="B494" s="15" t="str">
        <f aca="false">IF($A494="","",INDEX(PERLINE!$J$2:$J$3001,MATCH($A494,PERLINE!$N$2:$N$3001,0)))</f>
        <v/>
      </c>
      <c r="C494" s="16" t="str">
        <f aca="false">IF($A494="","",INDEX(PERLINE!$I$2:$I$3001,MATCH($A494,PERLINE!$N$2:$N$3001,0)))</f>
        <v/>
      </c>
      <c r="D494" s="17" t="str">
        <f aca="false">IF($A494="","",'كشف المطالبة'!$D$6)</f>
        <v/>
      </c>
      <c r="E494" s="18" t="str">
        <f aca="false">IF($A494="","",SUMIFS(PERLINE!$U$2:$U$3001,PERLINE!$N$2:$N$3001,$A494,PERLINE!$AK$2:$AK$3001,0))</f>
        <v/>
      </c>
      <c r="F494" s="19" t="str">
        <f aca="false">IF($A494="","",E494*D494)</f>
        <v/>
      </c>
      <c r="G494" s="17" t="str">
        <f aca="false">IF($A494="","",'كشف المطالبة'!$D$5)</f>
        <v/>
      </c>
      <c r="H494" s="18" t="str">
        <f aca="false">IF($A494="","",SUMIFS(PERLINE!$U$2:$U$3001,PERLINE!$N$2:$N$3001,$A494,PERLINE!$AK$2:$AK$3001,1))</f>
        <v/>
      </c>
      <c r="I494" s="19" t="str">
        <f aca="false">IF($A494="","",H494*G494)</f>
        <v/>
      </c>
      <c r="J494" s="19" t="str">
        <f aca="false">IF($A494="","",F494+I494)</f>
        <v/>
      </c>
      <c r="K494" s="19" t="str">
        <f aca="false">IF($A494="","",H494+E494)</f>
        <v/>
      </c>
      <c r="L494" s="20" t="str">
        <f aca="false">IF($A494="","",K494-J494-N494)</f>
        <v/>
      </c>
      <c r="M494" s="15" t="str">
        <f aca="false">IF($A494="","",INDEX(PERLINE!$A$2:$A$3001,MATCH($A494,PERLINE!$N$2:$N$3001,0)))</f>
        <v/>
      </c>
      <c r="N494" s="21" t="str">
        <f aca="false">IF($A494="","",SUMIFS(PERLINE!$M$2:$M$3001,PERLINE!$N$2:$N$3001,$A494))</f>
        <v/>
      </c>
    </row>
    <row r="495" customFormat="false" ht="15" hidden="false" customHeight="false" outlineLevel="0" collapsed="false">
      <c r="A495" s="15" t="str">
        <f aca="false">IF(ROWS($A$2:$A495)&lt;=Check!$C$4,SMALL(PERLINE!$AL$2:$AL$3001,ROWS($A$2:$A495)),"")</f>
        <v/>
      </c>
      <c r="B495" s="15" t="str">
        <f aca="false">IF($A495="","",INDEX(PERLINE!$J$2:$J$3001,MATCH($A495,PERLINE!$N$2:$N$3001,0)))</f>
        <v/>
      </c>
      <c r="C495" s="16" t="str">
        <f aca="false">IF($A495="","",INDEX(PERLINE!$I$2:$I$3001,MATCH($A495,PERLINE!$N$2:$N$3001,0)))</f>
        <v/>
      </c>
      <c r="D495" s="17" t="str">
        <f aca="false">IF($A495="","",'كشف المطالبة'!$D$6)</f>
        <v/>
      </c>
      <c r="E495" s="18" t="str">
        <f aca="false">IF($A495="","",SUMIFS(PERLINE!$U$2:$U$3001,PERLINE!$N$2:$N$3001,$A495,PERLINE!$AK$2:$AK$3001,0))</f>
        <v/>
      </c>
      <c r="F495" s="19" t="str">
        <f aca="false">IF($A495="","",E495*D495)</f>
        <v/>
      </c>
      <c r="G495" s="17" t="str">
        <f aca="false">IF($A495="","",'كشف المطالبة'!$D$5)</f>
        <v/>
      </c>
      <c r="H495" s="18" t="str">
        <f aca="false">IF($A495="","",SUMIFS(PERLINE!$U$2:$U$3001,PERLINE!$N$2:$N$3001,$A495,PERLINE!$AK$2:$AK$3001,1))</f>
        <v/>
      </c>
      <c r="I495" s="19" t="str">
        <f aca="false">IF($A495="","",H495*G495)</f>
        <v/>
      </c>
      <c r="J495" s="19" t="str">
        <f aca="false">IF($A495="","",F495+I495)</f>
        <v/>
      </c>
      <c r="K495" s="19" t="str">
        <f aca="false">IF($A495="","",H495+E495)</f>
        <v/>
      </c>
      <c r="L495" s="20" t="str">
        <f aca="false">IF($A495="","",K495-J495-N495)</f>
        <v/>
      </c>
      <c r="M495" s="15" t="str">
        <f aca="false">IF($A495="","",INDEX(PERLINE!$A$2:$A$3001,MATCH($A495,PERLINE!$N$2:$N$3001,0)))</f>
        <v/>
      </c>
      <c r="N495" s="21" t="str">
        <f aca="false">IF($A495="","",SUMIFS(PERLINE!$M$2:$M$3001,PERLINE!$N$2:$N$3001,$A495))</f>
        <v/>
      </c>
    </row>
    <row r="496" customFormat="false" ht="15" hidden="false" customHeight="false" outlineLevel="0" collapsed="false">
      <c r="A496" s="15" t="str">
        <f aca="false">IF(ROWS($A$2:$A496)&lt;=Check!$C$4,SMALL(PERLINE!$AL$2:$AL$3001,ROWS($A$2:$A496)),"")</f>
        <v/>
      </c>
      <c r="B496" s="15" t="str">
        <f aca="false">IF($A496="","",INDEX(PERLINE!$J$2:$J$3001,MATCH($A496,PERLINE!$N$2:$N$3001,0)))</f>
        <v/>
      </c>
      <c r="C496" s="16" t="str">
        <f aca="false">IF($A496="","",INDEX(PERLINE!$I$2:$I$3001,MATCH($A496,PERLINE!$N$2:$N$3001,0)))</f>
        <v/>
      </c>
      <c r="D496" s="17" t="str">
        <f aca="false">IF($A496="","",'كشف المطالبة'!$D$6)</f>
        <v/>
      </c>
      <c r="E496" s="18" t="str">
        <f aca="false">IF($A496="","",SUMIFS(PERLINE!$U$2:$U$3001,PERLINE!$N$2:$N$3001,$A496,PERLINE!$AK$2:$AK$3001,0))</f>
        <v/>
      </c>
      <c r="F496" s="19" t="str">
        <f aca="false">IF($A496="","",E496*D496)</f>
        <v/>
      </c>
      <c r="G496" s="17" t="str">
        <f aca="false">IF($A496="","",'كشف المطالبة'!$D$5)</f>
        <v/>
      </c>
      <c r="H496" s="18" t="str">
        <f aca="false">IF($A496="","",SUMIFS(PERLINE!$U$2:$U$3001,PERLINE!$N$2:$N$3001,$A496,PERLINE!$AK$2:$AK$3001,1))</f>
        <v/>
      </c>
      <c r="I496" s="19" t="str">
        <f aca="false">IF($A496="","",H496*G496)</f>
        <v/>
      </c>
      <c r="J496" s="19" t="str">
        <f aca="false">IF($A496="","",F496+I496)</f>
        <v/>
      </c>
      <c r="K496" s="19" t="str">
        <f aca="false">IF($A496="","",H496+E496)</f>
        <v/>
      </c>
      <c r="L496" s="20" t="str">
        <f aca="false">IF($A496="","",K496-J496-N496)</f>
        <v/>
      </c>
      <c r="M496" s="15" t="str">
        <f aca="false">IF($A496="","",INDEX(PERLINE!$A$2:$A$3001,MATCH($A496,PERLINE!$N$2:$N$3001,0)))</f>
        <v/>
      </c>
      <c r="N496" s="21" t="str">
        <f aca="false">IF($A496="","",SUMIFS(PERLINE!$M$2:$M$3001,PERLINE!$N$2:$N$3001,$A496))</f>
        <v/>
      </c>
    </row>
    <row r="497" customFormat="false" ht="15" hidden="false" customHeight="false" outlineLevel="0" collapsed="false">
      <c r="A497" s="15" t="str">
        <f aca="false">IF(ROWS($A$2:$A497)&lt;=Check!$C$4,SMALL(PERLINE!$AL$2:$AL$3001,ROWS($A$2:$A497)),"")</f>
        <v/>
      </c>
      <c r="B497" s="15" t="str">
        <f aca="false">IF($A497="","",INDEX(PERLINE!$J$2:$J$3001,MATCH($A497,PERLINE!$N$2:$N$3001,0)))</f>
        <v/>
      </c>
      <c r="C497" s="16" t="str">
        <f aca="false">IF($A497="","",INDEX(PERLINE!$I$2:$I$3001,MATCH($A497,PERLINE!$N$2:$N$3001,0)))</f>
        <v/>
      </c>
      <c r="D497" s="17" t="str">
        <f aca="false">IF($A497="","",'كشف المطالبة'!$D$6)</f>
        <v/>
      </c>
      <c r="E497" s="18" t="str">
        <f aca="false">IF($A497="","",SUMIFS(PERLINE!$U$2:$U$3001,PERLINE!$N$2:$N$3001,$A497,PERLINE!$AK$2:$AK$3001,0))</f>
        <v/>
      </c>
      <c r="F497" s="19" t="str">
        <f aca="false">IF($A497="","",E497*D497)</f>
        <v/>
      </c>
      <c r="G497" s="17" t="str">
        <f aca="false">IF($A497="","",'كشف المطالبة'!$D$5)</f>
        <v/>
      </c>
      <c r="H497" s="18" t="str">
        <f aca="false">IF($A497="","",SUMIFS(PERLINE!$U$2:$U$3001,PERLINE!$N$2:$N$3001,$A497,PERLINE!$AK$2:$AK$3001,1))</f>
        <v/>
      </c>
      <c r="I497" s="19" t="str">
        <f aca="false">IF($A497="","",H497*G497)</f>
        <v/>
      </c>
      <c r="J497" s="19" t="str">
        <f aca="false">IF($A497="","",F497+I497)</f>
        <v/>
      </c>
      <c r="K497" s="19" t="str">
        <f aca="false">IF($A497="","",H497+E497)</f>
        <v/>
      </c>
      <c r="L497" s="20" t="str">
        <f aca="false">IF($A497="","",K497-J497-N497)</f>
        <v/>
      </c>
      <c r="M497" s="15" t="str">
        <f aca="false">IF($A497="","",INDEX(PERLINE!$A$2:$A$3001,MATCH($A497,PERLINE!$N$2:$N$3001,0)))</f>
        <v/>
      </c>
      <c r="N497" s="21" t="str">
        <f aca="false">IF($A497="","",SUMIFS(PERLINE!$M$2:$M$3001,PERLINE!$N$2:$N$3001,$A497))</f>
        <v/>
      </c>
    </row>
    <row r="498" customFormat="false" ht="15" hidden="false" customHeight="false" outlineLevel="0" collapsed="false">
      <c r="A498" s="15" t="str">
        <f aca="false">IF(ROWS($A$2:$A498)&lt;=Check!$C$4,SMALL(PERLINE!$AL$2:$AL$3001,ROWS($A$2:$A498)),"")</f>
        <v/>
      </c>
      <c r="B498" s="15" t="str">
        <f aca="false">IF($A498="","",INDEX(PERLINE!$J$2:$J$3001,MATCH($A498,PERLINE!$N$2:$N$3001,0)))</f>
        <v/>
      </c>
      <c r="C498" s="16" t="str">
        <f aca="false">IF($A498="","",INDEX(PERLINE!$I$2:$I$3001,MATCH($A498,PERLINE!$N$2:$N$3001,0)))</f>
        <v/>
      </c>
      <c r="D498" s="17" t="str">
        <f aca="false">IF($A498="","",'كشف المطالبة'!$D$6)</f>
        <v/>
      </c>
      <c r="E498" s="18" t="str">
        <f aca="false">IF($A498="","",SUMIFS(PERLINE!$U$2:$U$3001,PERLINE!$N$2:$N$3001,$A498,PERLINE!$AK$2:$AK$3001,0))</f>
        <v/>
      </c>
      <c r="F498" s="19" t="str">
        <f aca="false">IF($A498="","",E498*D498)</f>
        <v/>
      </c>
      <c r="G498" s="17" t="str">
        <f aca="false">IF($A498="","",'كشف المطالبة'!$D$5)</f>
        <v/>
      </c>
      <c r="H498" s="18" t="str">
        <f aca="false">IF($A498="","",SUMIFS(PERLINE!$U$2:$U$3001,PERLINE!$N$2:$N$3001,$A498,PERLINE!$AK$2:$AK$3001,1))</f>
        <v/>
      </c>
      <c r="I498" s="19" t="str">
        <f aca="false">IF($A498="","",H498*G498)</f>
        <v/>
      </c>
      <c r="J498" s="19" t="str">
        <f aca="false">IF($A498="","",F498+I498)</f>
        <v/>
      </c>
      <c r="K498" s="19" t="str">
        <f aca="false">IF($A498="","",H498+E498)</f>
        <v/>
      </c>
      <c r="L498" s="20" t="str">
        <f aca="false">IF($A498="","",K498-J498-N498)</f>
        <v/>
      </c>
      <c r="M498" s="15" t="str">
        <f aca="false">IF($A498="","",INDEX(PERLINE!$A$2:$A$3001,MATCH($A498,PERLINE!$N$2:$N$3001,0)))</f>
        <v/>
      </c>
      <c r="N498" s="21" t="str">
        <f aca="false">IF($A498="","",SUMIFS(PERLINE!$M$2:$M$3001,PERLINE!$N$2:$N$3001,$A498))</f>
        <v/>
      </c>
    </row>
    <row r="499" customFormat="false" ht="15" hidden="false" customHeight="false" outlineLevel="0" collapsed="false">
      <c r="A499" s="15" t="str">
        <f aca="false">IF(ROWS($A$2:$A499)&lt;=Check!$C$4,SMALL(PERLINE!$AL$2:$AL$3001,ROWS($A$2:$A499)),"")</f>
        <v/>
      </c>
      <c r="B499" s="15" t="str">
        <f aca="false">IF($A499="","",INDEX(PERLINE!$J$2:$J$3001,MATCH($A499,PERLINE!$N$2:$N$3001,0)))</f>
        <v/>
      </c>
      <c r="C499" s="16" t="str">
        <f aca="false">IF($A499="","",INDEX(PERLINE!$I$2:$I$3001,MATCH($A499,PERLINE!$N$2:$N$3001,0)))</f>
        <v/>
      </c>
      <c r="D499" s="17" t="str">
        <f aca="false">IF($A499="","",'كشف المطالبة'!$D$6)</f>
        <v/>
      </c>
      <c r="E499" s="18" t="str">
        <f aca="false">IF($A499="","",SUMIFS(PERLINE!$U$2:$U$3001,PERLINE!$N$2:$N$3001,$A499,PERLINE!$AK$2:$AK$3001,0))</f>
        <v/>
      </c>
      <c r="F499" s="19" t="str">
        <f aca="false">IF($A499="","",E499*D499)</f>
        <v/>
      </c>
      <c r="G499" s="17" t="str">
        <f aca="false">IF($A499="","",'كشف المطالبة'!$D$5)</f>
        <v/>
      </c>
      <c r="H499" s="18" t="str">
        <f aca="false">IF($A499="","",SUMIFS(PERLINE!$U$2:$U$3001,PERLINE!$N$2:$N$3001,$A499,PERLINE!$AK$2:$AK$3001,1))</f>
        <v/>
      </c>
      <c r="I499" s="19" t="str">
        <f aca="false">IF($A499="","",H499*G499)</f>
        <v/>
      </c>
      <c r="J499" s="19" t="str">
        <f aca="false">IF($A499="","",F499+I499)</f>
        <v/>
      </c>
      <c r="K499" s="19" t="str">
        <f aca="false">IF($A499="","",H499+E499)</f>
        <v/>
      </c>
      <c r="L499" s="20" t="str">
        <f aca="false">IF($A499="","",K499-J499-N499)</f>
        <v/>
      </c>
      <c r="M499" s="15" t="str">
        <f aca="false">IF($A499="","",INDEX(PERLINE!$A$2:$A$3001,MATCH($A499,PERLINE!$N$2:$N$3001,0)))</f>
        <v/>
      </c>
      <c r="N499" s="21" t="str">
        <f aca="false">IF($A499="","",SUMIFS(PERLINE!$M$2:$M$3001,PERLINE!$N$2:$N$3001,$A499))</f>
        <v/>
      </c>
    </row>
    <row r="500" customFormat="false" ht="15" hidden="false" customHeight="false" outlineLevel="0" collapsed="false">
      <c r="A500" s="15" t="str">
        <f aca="false">IF(ROWS($A$2:$A500)&lt;=Check!$C$4,SMALL(PERLINE!$AL$2:$AL$3001,ROWS($A$2:$A500)),"")</f>
        <v/>
      </c>
      <c r="B500" s="15" t="str">
        <f aca="false">IF($A500="","",INDEX(PERLINE!$J$2:$J$3001,MATCH($A500,PERLINE!$N$2:$N$3001,0)))</f>
        <v/>
      </c>
      <c r="C500" s="16" t="str">
        <f aca="false">IF($A500="","",INDEX(PERLINE!$I$2:$I$3001,MATCH($A500,PERLINE!$N$2:$N$3001,0)))</f>
        <v/>
      </c>
      <c r="D500" s="17" t="str">
        <f aca="false">IF($A500="","",'كشف المطالبة'!$D$6)</f>
        <v/>
      </c>
      <c r="E500" s="18" t="str">
        <f aca="false">IF($A500="","",SUMIFS(PERLINE!$U$2:$U$3001,PERLINE!$N$2:$N$3001,$A500,PERLINE!$AK$2:$AK$3001,0))</f>
        <v/>
      </c>
      <c r="F500" s="19" t="str">
        <f aca="false">IF($A500="","",E500*D500)</f>
        <v/>
      </c>
      <c r="G500" s="17" t="str">
        <f aca="false">IF($A500="","",'كشف المطالبة'!$D$5)</f>
        <v/>
      </c>
      <c r="H500" s="18" t="str">
        <f aca="false">IF($A500="","",SUMIFS(PERLINE!$U$2:$U$3001,PERLINE!$N$2:$N$3001,$A500,PERLINE!$AK$2:$AK$3001,1))</f>
        <v/>
      </c>
      <c r="I500" s="19" t="str">
        <f aca="false">IF($A500="","",H500*G500)</f>
        <v/>
      </c>
      <c r="J500" s="19" t="str">
        <f aca="false">IF($A500="","",F500+I500)</f>
        <v/>
      </c>
      <c r="K500" s="19" t="str">
        <f aca="false">IF($A500="","",H500+E500)</f>
        <v/>
      </c>
      <c r="L500" s="20" t="str">
        <f aca="false">IF($A500="","",K500-J500-N500)</f>
        <v/>
      </c>
      <c r="M500" s="15" t="str">
        <f aca="false">IF($A500="","",INDEX(PERLINE!$A$2:$A$3001,MATCH($A500,PERLINE!$N$2:$N$3001,0)))</f>
        <v/>
      </c>
      <c r="N500" s="21" t="str">
        <f aca="false">IF($A500="","",SUMIFS(PERLINE!$M$2:$M$3001,PERLINE!$N$2:$N$3001,$A500))</f>
        <v/>
      </c>
    </row>
    <row r="501" customFormat="false" ht="15" hidden="false" customHeight="false" outlineLevel="0" collapsed="false">
      <c r="A501" s="15" t="str">
        <f aca="false">IF(ROWS($A$2:$A501)&lt;=Check!$C$4,SMALL(PERLINE!$AL$2:$AL$3001,ROWS($A$2:$A501)),"")</f>
        <v/>
      </c>
      <c r="B501" s="15" t="str">
        <f aca="false">IF($A501="","",INDEX(PERLINE!$J$2:$J$3001,MATCH($A501,PERLINE!$N$2:$N$3001,0)))</f>
        <v/>
      </c>
      <c r="C501" s="16" t="str">
        <f aca="false">IF($A501="","",INDEX(PERLINE!$I$2:$I$3001,MATCH($A501,PERLINE!$N$2:$N$3001,0)))</f>
        <v/>
      </c>
      <c r="D501" s="17" t="str">
        <f aca="false">IF($A501="","",'كشف المطالبة'!$D$6)</f>
        <v/>
      </c>
      <c r="E501" s="18" t="str">
        <f aca="false">IF($A501="","",SUMIFS(PERLINE!$U$2:$U$3001,PERLINE!$N$2:$N$3001,$A501,PERLINE!$AK$2:$AK$3001,0))</f>
        <v/>
      </c>
      <c r="F501" s="19" t="str">
        <f aca="false">IF($A501="","",E501*D501)</f>
        <v/>
      </c>
      <c r="G501" s="17" t="str">
        <f aca="false">IF($A501="","",'كشف المطالبة'!$D$5)</f>
        <v/>
      </c>
      <c r="H501" s="18" t="str">
        <f aca="false">IF($A501="","",SUMIFS(PERLINE!$U$2:$U$3001,PERLINE!$N$2:$N$3001,$A501,PERLINE!$AK$2:$AK$3001,1))</f>
        <v/>
      </c>
      <c r="I501" s="19" t="str">
        <f aca="false">IF($A501="","",H501*G501)</f>
        <v/>
      </c>
      <c r="J501" s="19" t="str">
        <f aca="false">IF($A501="","",F501+I501)</f>
        <v/>
      </c>
      <c r="K501" s="19" t="str">
        <f aca="false">IF($A501="","",H501+E501)</f>
        <v/>
      </c>
      <c r="L501" s="20" t="str">
        <f aca="false">IF($A501="","",K501-J501-N501)</f>
        <v/>
      </c>
      <c r="M501" s="15" t="str">
        <f aca="false">IF($A501="","",INDEX(PERLINE!$A$2:$A$3001,MATCH($A501,PERLINE!$N$2:$N$3001,0)))</f>
        <v/>
      </c>
      <c r="N501" s="21" t="str">
        <f aca="false">IF($A501="","",SUMIFS(PERLINE!$M$2:$M$3001,PERLINE!$N$2:$N$3001,$A501))</f>
        <v/>
      </c>
    </row>
    <row r="502" customFormat="false" ht="15" hidden="false" customHeight="false" outlineLevel="0" collapsed="false">
      <c r="A502" s="15" t="str">
        <f aca="false">IF(ROWS($A$2:$A502)&lt;=Check!$C$4,SMALL(PERLINE!$AL$2:$AL$3001,ROWS($A$2:$A502)),"")</f>
        <v/>
      </c>
      <c r="B502" s="15" t="str">
        <f aca="false">IF($A502="","",INDEX(PERLINE!$J$2:$J$3001,MATCH($A502,PERLINE!$N$2:$N$3001,0)))</f>
        <v/>
      </c>
      <c r="C502" s="16" t="str">
        <f aca="false">IF($A502="","",INDEX(PERLINE!$I$2:$I$3001,MATCH($A502,PERLINE!$N$2:$N$3001,0)))</f>
        <v/>
      </c>
      <c r="D502" s="17" t="str">
        <f aca="false">IF($A502="","",'كشف المطالبة'!$D$6)</f>
        <v/>
      </c>
      <c r="E502" s="18" t="str">
        <f aca="false">IF($A502="","",SUMIFS(PERLINE!$U$2:$U$3001,PERLINE!$N$2:$N$3001,$A502,PERLINE!$AK$2:$AK$3001,0))</f>
        <v/>
      </c>
      <c r="F502" s="19" t="str">
        <f aca="false">IF($A502="","",E502*D502)</f>
        <v/>
      </c>
      <c r="G502" s="17" t="str">
        <f aca="false">IF($A502="","",'كشف المطالبة'!$D$5)</f>
        <v/>
      </c>
      <c r="H502" s="18" t="str">
        <f aca="false">IF($A502="","",SUMIFS(PERLINE!$U$2:$U$3001,PERLINE!$N$2:$N$3001,$A502,PERLINE!$AK$2:$AK$3001,1))</f>
        <v/>
      </c>
      <c r="I502" s="19" t="str">
        <f aca="false">IF($A502="","",H502*G502)</f>
        <v/>
      </c>
      <c r="J502" s="19" t="str">
        <f aca="false">IF($A502="","",F502+I502)</f>
        <v/>
      </c>
      <c r="K502" s="19" t="str">
        <f aca="false">IF($A502="","",H502+E502)</f>
        <v/>
      </c>
      <c r="L502" s="20" t="str">
        <f aca="false">IF($A502="","",K502-J502-N502)</f>
        <v/>
      </c>
      <c r="M502" s="15" t="str">
        <f aca="false">IF($A502="","",INDEX(PERLINE!$A$2:$A$3001,MATCH($A502,PERLINE!$N$2:$N$3001,0)))</f>
        <v/>
      </c>
      <c r="N502" s="21" t="str">
        <f aca="false">IF($A502="","",SUMIFS(PERLINE!$M$2:$M$3001,PERLINE!$N$2:$N$3001,$A502))</f>
        <v/>
      </c>
    </row>
    <row r="503" customFormat="false" ht="15" hidden="false" customHeight="false" outlineLevel="0" collapsed="false">
      <c r="A503" s="15" t="str">
        <f aca="false">IF(ROWS($A$2:$A503)&lt;=Check!$C$4,SMALL(PERLINE!$AL$2:$AL$3001,ROWS($A$2:$A503)),"")</f>
        <v/>
      </c>
      <c r="B503" s="15" t="str">
        <f aca="false">IF($A503="","",INDEX(PERLINE!$J$2:$J$3001,MATCH($A503,PERLINE!$N$2:$N$3001,0)))</f>
        <v/>
      </c>
      <c r="C503" s="16" t="str">
        <f aca="false">IF($A503="","",INDEX(PERLINE!$I$2:$I$3001,MATCH($A503,PERLINE!$N$2:$N$3001,0)))</f>
        <v/>
      </c>
      <c r="D503" s="17" t="str">
        <f aca="false">IF($A503="","",'كشف المطالبة'!$D$6)</f>
        <v/>
      </c>
      <c r="E503" s="18" t="str">
        <f aca="false">IF($A503="","",SUMIFS(PERLINE!$U$2:$U$3001,PERLINE!$N$2:$N$3001,$A503,PERLINE!$AK$2:$AK$3001,0))</f>
        <v/>
      </c>
      <c r="F503" s="19" t="str">
        <f aca="false">IF($A503="","",E503*D503)</f>
        <v/>
      </c>
      <c r="G503" s="17" t="str">
        <f aca="false">IF($A503="","",'كشف المطالبة'!$D$5)</f>
        <v/>
      </c>
      <c r="H503" s="18" t="str">
        <f aca="false">IF($A503="","",SUMIFS(PERLINE!$U$2:$U$3001,PERLINE!$N$2:$N$3001,$A503,PERLINE!$AK$2:$AK$3001,1))</f>
        <v/>
      </c>
      <c r="I503" s="19" t="str">
        <f aca="false">IF($A503="","",H503*G503)</f>
        <v/>
      </c>
      <c r="J503" s="19" t="str">
        <f aca="false">IF($A503="","",F503+I503)</f>
        <v/>
      </c>
      <c r="K503" s="19" t="str">
        <f aca="false">IF($A503="","",H503+E503)</f>
        <v/>
      </c>
      <c r="L503" s="20" t="str">
        <f aca="false">IF($A503="","",K503-J503-N503)</f>
        <v/>
      </c>
      <c r="M503" s="15" t="str">
        <f aca="false">IF($A503="","",INDEX(PERLINE!$A$2:$A$3001,MATCH($A503,PERLINE!$N$2:$N$3001,0)))</f>
        <v/>
      </c>
      <c r="N503" s="21" t="str">
        <f aca="false">IF($A503="","",SUMIFS(PERLINE!$M$2:$M$3001,PERLINE!$N$2:$N$3001,$A503))</f>
        <v/>
      </c>
    </row>
    <row r="504" customFormat="false" ht="15" hidden="false" customHeight="false" outlineLevel="0" collapsed="false">
      <c r="A504" s="15" t="str">
        <f aca="false">IF(ROWS($A$2:$A504)&lt;=Check!$C$4,SMALL(PERLINE!$AL$2:$AL$3001,ROWS($A$2:$A504)),"")</f>
        <v/>
      </c>
      <c r="B504" s="15" t="str">
        <f aca="false">IF($A504="","",INDEX(PERLINE!$J$2:$J$3001,MATCH($A504,PERLINE!$N$2:$N$3001,0)))</f>
        <v/>
      </c>
      <c r="C504" s="16" t="str">
        <f aca="false">IF($A504="","",INDEX(PERLINE!$I$2:$I$3001,MATCH($A504,PERLINE!$N$2:$N$3001,0)))</f>
        <v/>
      </c>
      <c r="D504" s="17" t="str">
        <f aca="false">IF($A504="","",'كشف المطالبة'!$D$6)</f>
        <v/>
      </c>
      <c r="E504" s="18" t="str">
        <f aca="false">IF($A504="","",SUMIFS(PERLINE!$U$2:$U$3001,PERLINE!$N$2:$N$3001,$A504,PERLINE!$AK$2:$AK$3001,0))</f>
        <v/>
      </c>
      <c r="F504" s="19" t="str">
        <f aca="false">IF($A504="","",E504*D504)</f>
        <v/>
      </c>
      <c r="G504" s="17" t="str">
        <f aca="false">IF($A504="","",'كشف المطالبة'!$D$5)</f>
        <v/>
      </c>
      <c r="H504" s="18" t="str">
        <f aca="false">IF($A504="","",SUMIFS(PERLINE!$U$2:$U$3001,PERLINE!$N$2:$N$3001,$A504,PERLINE!$AK$2:$AK$3001,1))</f>
        <v/>
      </c>
      <c r="I504" s="19" t="str">
        <f aca="false">IF($A504="","",H504*G504)</f>
        <v/>
      </c>
      <c r="J504" s="19" t="str">
        <f aca="false">IF($A504="","",F504+I504)</f>
        <v/>
      </c>
      <c r="K504" s="19" t="str">
        <f aca="false">IF($A504="","",H504+E504)</f>
        <v/>
      </c>
      <c r="L504" s="20" t="str">
        <f aca="false">IF($A504="","",K504-J504-N504)</f>
        <v/>
      </c>
      <c r="M504" s="15" t="str">
        <f aca="false">IF($A504="","",INDEX(PERLINE!$A$2:$A$3001,MATCH($A504,PERLINE!$N$2:$N$3001,0)))</f>
        <v/>
      </c>
      <c r="N504" s="21" t="str">
        <f aca="false">IF($A504="","",SUMIFS(PERLINE!$M$2:$M$3001,PERLINE!$N$2:$N$3001,$A504))</f>
        <v/>
      </c>
    </row>
    <row r="505" customFormat="false" ht="15" hidden="false" customHeight="false" outlineLevel="0" collapsed="false">
      <c r="A505" s="15" t="str">
        <f aca="false">IF(ROWS($A$2:$A505)&lt;=Check!$C$4,SMALL(PERLINE!$AL$2:$AL$3001,ROWS($A$2:$A505)),"")</f>
        <v/>
      </c>
      <c r="B505" s="15" t="str">
        <f aca="false">IF($A505="","",INDEX(PERLINE!$J$2:$J$3001,MATCH($A505,PERLINE!$N$2:$N$3001,0)))</f>
        <v/>
      </c>
      <c r="C505" s="16" t="str">
        <f aca="false">IF($A505="","",INDEX(PERLINE!$I$2:$I$3001,MATCH($A505,PERLINE!$N$2:$N$3001,0)))</f>
        <v/>
      </c>
      <c r="D505" s="17" t="str">
        <f aca="false">IF($A505="","",'كشف المطالبة'!$D$6)</f>
        <v/>
      </c>
      <c r="E505" s="18" t="str">
        <f aca="false">IF($A505="","",SUMIFS(PERLINE!$U$2:$U$3001,PERLINE!$N$2:$N$3001,$A505,PERLINE!$AK$2:$AK$3001,0))</f>
        <v/>
      </c>
      <c r="F505" s="19" t="str">
        <f aca="false">IF($A505="","",E505*D505)</f>
        <v/>
      </c>
      <c r="G505" s="17" t="str">
        <f aca="false">IF($A505="","",'كشف المطالبة'!$D$5)</f>
        <v/>
      </c>
      <c r="H505" s="18" t="str">
        <f aca="false">IF($A505="","",SUMIFS(PERLINE!$U$2:$U$3001,PERLINE!$N$2:$N$3001,$A505,PERLINE!$AK$2:$AK$3001,1))</f>
        <v/>
      </c>
      <c r="I505" s="19" t="str">
        <f aca="false">IF($A505="","",H505*G505)</f>
        <v/>
      </c>
      <c r="J505" s="19" t="str">
        <f aca="false">IF($A505="","",F505+I505)</f>
        <v/>
      </c>
      <c r="K505" s="19" t="str">
        <f aca="false">IF($A505="","",H505+E505)</f>
        <v/>
      </c>
      <c r="L505" s="20" t="str">
        <f aca="false">IF($A505="","",K505-J505-N505)</f>
        <v/>
      </c>
      <c r="M505" s="15" t="str">
        <f aca="false">IF($A505="","",INDEX(PERLINE!$A$2:$A$3001,MATCH($A505,PERLINE!$N$2:$N$3001,0)))</f>
        <v/>
      </c>
      <c r="N505" s="21" t="str">
        <f aca="false">IF($A505="","",SUMIFS(PERLINE!$M$2:$M$3001,PERLINE!$N$2:$N$3001,$A505))</f>
        <v/>
      </c>
    </row>
    <row r="506" customFormat="false" ht="15" hidden="false" customHeight="false" outlineLevel="0" collapsed="false">
      <c r="A506" s="15" t="str">
        <f aca="false">IF(ROWS($A$2:$A506)&lt;=Check!$C$4,SMALL(PERLINE!$AL$2:$AL$3001,ROWS($A$2:$A506)),"")</f>
        <v/>
      </c>
      <c r="B506" s="15" t="str">
        <f aca="false">IF($A506="","",INDEX(PERLINE!$J$2:$J$3001,MATCH($A506,PERLINE!$N$2:$N$3001,0)))</f>
        <v/>
      </c>
      <c r="C506" s="16" t="str">
        <f aca="false">IF($A506="","",INDEX(PERLINE!$I$2:$I$3001,MATCH($A506,PERLINE!$N$2:$N$3001,0)))</f>
        <v/>
      </c>
      <c r="D506" s="17" t="str">
        <f aca="false">IF($A506="","",'كشف المطالبة'!$D$6)</f>
        <v/>
      </c>
      <c r="E506" s="18" t="str">
        <f aca="false">IF($A506="","",SUMIFS(PERLINE!$U$2:$U$3001,PERLINE!$N$2:$N$3001,$A506,PERLINE!$AK$2:$AK$3001,0))</f>
        <v/>
      </c>
      <c r="F506" s="19" t="str">
        <f aca="false">IF($A506="","",E506*D506)</f>
        <v/>
      </c>
      <c r="G506" s="17" t="str">
        <f aca="false">IF($A506="","",'كشف المطالبة'!$D$5)</f>
        <v/>
      </c>
      <c r="H506" s="18" t="str">
        <f aca="false">IF($A506="","",SUMIFS(PERLINE!$U$2:$U$3001,PERLINE!$N$2:$N$3001,$A506,PERLINE!$AK$2:$AK$3001,1))</f>
        <v/>
      </c>
      <c r="I506" s="19" t="str">
        <f aca="false">IF($A506="","",H506*G506)</f>
        <v/>
      </c>
      <c r="J506" s="19" t="str">
        <f aca="false">IF($A506="","",F506+I506)</f>
        <v/>
      </c>
      <c r="K506" s="19" t="str">
        <f aca="false">IF($A506="","",H506+E506)</f>
        <v/>
      </c>
      <c r="L506" s="20" t="str">
        <f aca="false">IF($A506="","",K506-J506-N506)</f>
        <v/>
      </c>
      <c r="M506" s="15" t="str">
        <f aca="false">IF($A506="","",INDEX(PERLINE!$A$2:$A$3001,MATCH($A506,PERLINE!$N$2:$N$3001,0)))</f>
        <v/>
      </c>
      <c r="N506" s="21" t="str">
        <f aca="false">IF($A506="","",SUMIFS(PERLINE!$M$2:$M$3001,PERLINE!$N$2:$N$3001,$A506))</f>
        <v/>
      </c>
    </row>
    <row r="507" customFormat="false" ht="15" hidden="false" customHeight="false" outlineLevel="0" collapsed="false">
      <c r="A507" s="15" t="str">
        <f aca="false">IF(ROWS($A$2:$A507)&lt;=Check!$C$4,SMALL(PERLINE!$AL$2:$AL$3001,ROWS($A$2:$A507)),"")</f>
        <v/>
      </c>
      <c r="B507" s="15" t="str">
        <f aca="false">IF($A507="","",INDEX(PERLINE!$J$2:$J$3001,MATCH($A507,PERLINE!$N$2:$N$3001,0)))</f>
        <v/>
      </c>
      <c r="C507" s="16" t="str">
        <f aca="false">IF($A507="","",INDEX(PERLINE!$I$2:$I$3001,MATCH($A507,PERLINE!$N$2:$N$3001,0)))</f>
        <v/>
      </c>
      <c r="D507" s="17" t="str">
        <f aca="false">IF($A507="","",'كشف المطالبة'!$D$6)</f>
        <v/>
      </c>
      <c r="E507" s="18" t="str">
        <f aca="false">IF($A507="","",SUMIFS(PERLINE!$U$2:$U$3001,PERLINE!$N$2:$N$3001,$A507,PERLINE!$AK$2:$AK$3001,0))</f>
        <v/>
      </c>
      <c r="F507" s="19" t="str">
        <f aca="false">IF($A507="","",E507*D507)</f>
        <v/>
      </c>
      <c r="G507" s="17" t="str">
        <f aca="false">IF($A507="","",'كشف المطالبة'!$D$5)</f>
        <v/>
      </c>
      <c r="H507" s="18" t="str">
        <f aca="false">IF($A507="","",SUMIFS(PERLINE!$U$2:$U$3001,PERLINE!$N$2:$N$3001,$A507,PERLINE!$AK$2:$AK$3001,1))</f>
        <v/>
      </c>
      <c r="I507" s="19" t="str">
        <f aca="false">IF($A507="","",H507*G507)</f>
        <v/>
      </c>
      <c r="J507" s="19" t="str">
        <f aca="false">IF($A507="","",F507+I507)</f>
        <v/>
      </c>
      <c r="K507" s="19" t="str">
        <f aca="false">IF($A507="","",H507+E507)</f>
        <v/>
      </c>
      <c r="L507" s="20" t="str">
        <f aca="false">IF($A507="","",K507-J507-N507)</f>
        <v/>
      </c>
      <c r="M507" s="15" t="str">
        <f aca="false">IF($A507="","",INDEX(PERLINE!$A$2:$A$3001,MATCH($A507,PERLINE!$N$2:$N$3001,0)))</f>
        <v/>
      </c>
      <c r="N507" s="21" t="str">
        <f aca="false">IF($A507="","",SUMIFS(PERLINE!$M$2:$M$3001,PERLINE!$N$2:$N$3001,$A507))</f>
        <v/>
      </c>
    </row>
    <row r="508" customFormat="false" ht="15" hidden="false" customHeight="false" outlineLevel="0" collapsed="false">
      <c r="A508" s="15" t="str">
        <f aca="false">IF(ROWS($A$2:$A508)&lt;=Check!$C$4,SMALL(PERLINE!$AL$2:$AL$3001,ROWS($A$2:$A508)),"")</f>
        <v/>
      </c>
      <c r="B508" s="15" t="str">
        <f aca="false">IF($A508="","",INDEX(PERLINE!$J$2:$J$3001,MATCH($A508,PERLINE!$N$2:$N$3001,0)))</f>
        <v/>
      </c>
      <c r="C508" s="16" t="str">
        <f aca="false">IF($A508="","",INDEX(PERLINE!$I$2:$I$3001,MATCH($A508,PERLINE!$N$2:$N$3001,0)))</f>
        <v/>
      </c>
      <c r="D508" s="17" t="str">
        <f aca="false">IF($A508="","",'كشف المطالبة'!$D$6)</f>
        <v/>
      </c>
      <c r="E508" s="18" t="str">
        <f aca="false">IF($A508="","",SUMIFS(PERLINE!$U$2:$U$3001,PERLINE!$N$2:$N$3001,$A508,PERLINE!$AK$2:$AK$3001,0))</f>
        <v/>
      </c>
      <c r="F508" s="19" t="str">
        <f aca="false">IF($A508="","",E508*D508)</f>
        <v/>
      </c>
      <c r="G508" s="17" t="str">
        <f aca="false">IF($A508="","",'كشف المطالبة'!$D$5)</f>
        <v/>
      </c>
      <c r="H508" s="18" t="str">
        <f aca="false">IF($A508="","",SUMIFS(PERLINE!$U$2:$U$3001,PERLINE!$N$2:$N$3001,$A508,PERLINE!$AK$2:$AK$3001,1))</f>
        <v/>
      </c>
      <c r="I508" s="19" t="str">
        <f aca="false">IF($A508="","",H508*G508)</f>
        <v/>
      </c>
      <c r="J508" s="19" t="str">
        <f aca="false">IF($A508="","",F508+I508)</f>
        <v/>
      </c>
      <c r="K508" s="19" t="str">
        <f aca="false">IF($A508="","",H508+E508)</f>
        <v/>
      </c>
      <c r="L508" s="20" t="str">
        <f aca="false">IF($A508="","",K508-J508-N508)</f>
        <v/>
      </c>
      <c r="M508" s="15" t="str">
        <f aca="false">IF($A508="","",INDEX(PERLINE!$A$2:$A$3001,MATCH($A508,PERLINE!$N$2:$N$3001,0)))</f>
        <v/>
      </c>
      <c r="N508" s="21" t="str">
        <f aca="false">IF($A508="","",SUMIFS(PERLINE!$M$2:$M$3001,PERLINE!$N$2:$N$3001,$A508))</f>
        <v/>
      </c>
    </row>
    <row r="509" customFormat="false" ht="15" hidden="false" customHeight="false" outlineLevel="0" collapsed="false">
      <c r="A509" s="15" t="str">
        <f aca="false">IF(ROWS($A$2:$A509)&lt;=Check!$C$4,SMALL(PERLINE!$AL$2:$AL$3001,ROWS($A$2:$A509)),"")</f>
        <v/>
      </c>
      <c r="B509" s="15" t="str">
        <f aca="false">IF($A509="","",INDEX(PERLINE!$J$2:$J$3001,MATCH($A509,PERLINE!$N$2:$N$3001,0)))</f>
        <v/>
      </c>
      <c r="C509" s="16" t="str">
        <f aca="false">IF($A509="","",INDEX(PERLINE!$I$2:$I$3001,MATCH($A509,PERLINE!$N$2:$N$3001,0)))</f>
        <v/>
      </c>
      <c r="D509" s="17" t="str">
        <f aca="false">IF($A509="","",'كشف المطالبة'!$D$6)</f>
        <v/>
      </c>
      <c r="E509" s="18" t="str">
        <f aca="false">IF($A509="","",SUMIFS(PERLINE!$U$2:$U$3001,PERLINE!$N$2:$N$3001,$A509,PERLINE!$AK$2:$AK$3001,0))</f>
        <v/>
      </c>
      <c r="F509" s="19" t="str">
        <f aca="false">IF($A509="","",E509*D509)</f>
        <v/>
      </c>
      <c r="G509" s="17" t="str">
        <f aca="false">IF($A509="","",'كشف المطالبة'!$D$5)</f>
        <v/>
      </c>
      <c r="H509" s="18" t="str">
        <f aca="false">IF($A509="","",SUMIFS(PERLINE!$U$2:$U$3001,PERLINE!$N$2:$N$3001,$A509,PERLINE!$AK$2:$AK$3001,1))</f>
        <v/>
      </c>
      <c r="I509" s="19" t="str">
        <f aca="false">IF($A509="","",H509*G509)</f>
        <v/>
      </c>
      <c r="J509" s="19" t="str">
        <f aca="false">IF($A509="","",F509+I509)</f>
        <v/>
      </c>
      <c r="K509" s="19" t="str">
        <f aca="false">IF($A509="","",H509+E509)</f>
        <v/>
      </c>
      <c r="L509" s="20" t="str">
        <f aca="false">IF($A509="","",K509-J509-N509)</f>
        <v/>
      </c>
      <c r="M509" s="15" t="str">
        <f aca="false">IF($A509="","",INDEX(PERLINE!$A$2:$A$3001,MATCH($A509,PERLINE!$N$2:$N$3001,0)))</f>
        <v/>
      </c>
      <c r="N509" s="21" t="str">
        <f aca="false">IF($A509="","",SUMIFS(PERLINE!$M$2:$M$3001,PERLINE!$N$2:$N$3001,$A509))</f>
        <v/>
      </c>
    </row>
    <row r="510" customFormat="false" ht="15" hidden="false" customHeight="false" outlineLevel="0" collapsed="false">
      <c r="A510" s="15" t="str">
        <f aca="false">IF(ROWS($A$2:$A510)&lt;=Check!$C$4,SMALL(PERLINE!$AL$2:$AL$3001,ROWS($A$2:$A510)),"")</f>
        <v/>
      </c>
      <c r="B510" s="15" t="str">
        <f aca="false">IF($A510="","",INDEX(PERLINE!$J$2:$J$3001,MATCH($A510,PERLINE!$N$2:$N$3001,0)))</f>
        <v/>
      </c>
      <c r="C510" s="16" t="str">
        <f aca="false">IF($A510="","",INDEX(PERLINE!$I$2:$I$3001,MATCH($A510,PERLINE!$N$2:$N$3001,0)))</f>
        <v/>
      </c>
      <c r="D510" s="17" t="str">
        <f aca="false">IF($A510="","",'كشف المطالبة'!$D$6)</f>
        <v/>
      </c>
      <c r="E510" s="18" t="str">
        <f aca="false">IF($A510="","",SUMIFS(PERLINE!$U$2:$U$3001,PERLINE!$N$2:$N$3001,$A510,PERLINE!$AK$2:$AK$3001,0))</f>
        <v/>
      </c>
      <c r="F510" s="19" t="str">
        <f aca="false">IF($A510="","",E510*D510)</f>
        <v/>
      </c>
      <c r="G510" s="17" t="str">
        <f aca="false">IF($A510="","",'كشف المطالبة'!$D$5)</f>
        <v/>
      </c>
      <c r="H510" s="18" t="str">
        <f aca="false">IF($A510="","",SUMIFS(PERLINE!$U$2:$U$3001,PERLINE!$N$2:$N$3001,$A510,PERLINE!$AK$2:$AK$3001,1))</f>
        <v/>
      </c>
      <c r="I510" s="19" t="str">
        <f aca="false">IF($A510="","",H510*G510)</f>
        <v/>
      </c>
      <c r="J510" s="19" t="str">
        <f aca="false">IF($A510="","",F510+I510)</f>
        <v/>
      </c>
      <c r="K510" s="19" t="str">
        <f aca="false">IF($A510="","",H510+E510)</f>
        <v/>
      </c>
      <c r="L510" s="20" t="str">
        <f aca="false">IF($A510="","",K510-J510-N510)</f>
        <v/>
      </c>
      <c r="M510" s="15" t="str">
        <f aca="false">IF($A510="","",INDEX(PERLINE!$A$2:$A$3001,MATCH($A510,PERLINE!$N$2:$N$3001,0)))</f>
        <v/>
      </c>
      <c r="N510" s="21" t="str">
        <f aca="false">IF($A510="","",SUMIFS(PERLINE!$M$2:$M$3001,PERLINE!$N$2:$N$3001,$A510))</f>
        <v/>
      </c>
    </row>
    <row r="511" customFormat="false" ht="15" hidden="false" customHeight="false" outlineLevel="0" collapsed="false">
      <c r="A511" s="15" t="str">
        <f aca="false">IF(ROWS($A$2:$A511)&lt;=Check!$C$4,SMALL(PERLINE!$AL$2:$AL$3001,ROWS($A$2:$A511)),"")</f>
        <v/>
      </c>
      <c r="B511" s="15" t="str">
        <f aca="false">IF($A511="","",INDEX(PERLINE!$J$2:$J$3001,MATCH($A511,PERLINE!$N$2:$N$3001,0)))</f>
        <v/>
      </c>
      <c r="C511" s="16" t="str">
        <f aca="false">IF($A511="","",INDEX(PERLINE!$I$2:$I$3001,MATCH($A511,PERLINE!$N$2:$N$3001,0)))</f>
        <v/>
      </c>
      <c r="D511" s="17" t="str">
        <f aca="false">IF($A511="","",'كشف المطالبة'!$D$6)</f>
        <v/>
      </c>
      <c r="E511" s="18" t="str">
        <f aca="false">IF($A511="","",SUMIFS(PERLINE!$U$2:$U$3001,PERLINE!$N$2:$N$3001,$A511,PERLINE!$AK$2:$AK$3001,0))</f>
        <v/>
      </c>
      <c r="F511" s="19" t="str">
        <f aca="false">IF($A511="","",E511*D511)</f>
        <v/>
      </c>
      <c r="G511" s="17" t="str">
        <f aca="false">IF($A511="","",'كشف المطالبة'!$D$5)</f>
        <v/>
      </c>
      <c r="H511" s="18" t="str">
        <f aca="false">IF($A511="","",SUMIFS(PERLINE!$U$2:$U$3001,PERLINE!$N$2:$N$3001,$A511,PERLINE!$AK$2:$AK$3001,1))</f>
        <v/>
      </c>
      <c r="I511" s="19" t="str">
        <f aca="false">IF($A511="","",H511*G511)</f>
        <v/>
      </c>
      <c r="J511" s="19" t="str">
        <f aca="false">IF($A511="","",F511+I511)</f>
        <v/>
      </c>
      <c r="K511" s="19" t="str">
        <f aca="false">IF($A511="","",H511+E511)</f>
        <v/>
      </c>
      <c r="L511" s="20" t="str">
        <f aca="false">IF($A511="","",K511-J511-N511)</f>
        <v/>
      </c>
      <c r="M511" s="15" t="str">
        <f aca="false">IF($A511="","",INDEX(PERLINE!$A$2:$A$3001,MATCH($A511,PERLINE!$N$2:$N$3001,0)))</f>
        <v/>
      </c>
      <c r="N511" s="21" t="str">
        <f aca="false">IF($A511="","",SUMIFS(PERLINE!$M$2:$M$3001,PERLINE!$N$2:$N$3001,$A511))</f>
        <v/>
      </c>
    </row>
    <row r="512" customFormat="false" ht="15" hidden="false" customHeight="false" outlineLevel="0" collapsed="false">
      <c r="A512" s="15" t="str">
        <f aca="false">IF(ROWS($A$2:$A512)&lt;=Check!$C$4,SMALL(PERLINE!$AL$2:$AL$3001,ROWS($A$2:$A512)),"")</f>
        <v/>
      </c>
      <c r="B512" s="15" t="str">
        <f aca="false">IF($A512="","",INDEX(PERLINE!$J$2:$J$3001,MATCH($A512,PERLINE!$N$2:$N$3001,0)))</f>
        <v/>
      </c>
      <c r="C512" s="16" t="str">
        <f aca="false">IF($A512="","",INDEX(PERLINE!$I$2:$I$3001,MATCH($A512,PERLINE!$N$2:$N$3001,0)))</f>
        <v/>
      </c>
      <c r="D512" s="17" t="str">
        <f aca="false">IF($A512="","",'كشف المطالبة'!$D$6)</f>
        <v/>
      </c>
      <c r="E512" s="18" t="str">
        <f aca="false">IF($A512="","",SUMIFS(PERLINE!$U$2:$U$3001,PERLINE!$N$2:$N$3001,$A512,PERLINE!$AK$2:$AK$3001,0))</f>
        <v/>
      </c>
      <c r="F512" s="19" t="str">
        <f aca="false">IF($A512="","",E512*D512)</f>
        <v/>
      </c>
      <c r="G512" s="17" t="str">
        <f aca="false">IF($A512="","",'كشف المطالبة'!$D$5)</f>
        <v/>
      </c>
      <c r="H512" s="18" t="str">
        <f aca="false">IF($A512="","",SUMIFS(PERLINE!$U$2:$U$3001,PERLINE!$N$2:$N$3001,$A512,PERLINE!$AK$2:$AK$3001,1))</f>
        <v/>
      </c>
      <c r="I512" s="19" t="str">
        <f aca="false">IF($A512="","",H512*G512)</f>
        <v/>
      </c>
      <c r="J512" s="19" t="str">
        <f aca="false">IF($A512="","",F512+I512)</f>
        <v/>
      </c>
      <c r="K512" s="19" t="str">
        <f aca="false">IF($A512="","",H512+E512)</f>
        <v/>
      </c>
      <c r="L512" s="20" t="str">
        <f aca="false">IF($A512="","",K512-J512-N512)</f>
        <v/>
      </c>
      <c r="M512" s="15" t="str">
        <f aca="false">IF($A512="","",INDEX(PERLINE!$A$2:$A$3001,MATCH($A512,PERLINE!$N$2:$N$3001,0)))</f>
        <v/>
      </c>
      <c r="N512" s="21" t="str">
        <f aca="false">IF($A512="","",SUMIFS(PERLINE!$M$2:$M$3001,PERLINE!$N$2:$N$3001,$A512))</f>
        <v/>
      </c>
    </row>
    <row r="513" customFormat="false" ht="15" hidden="false" customHeight="false" outlineLevel="0" collapsed="false">
      <c r="A513" s="15" t="str">
        <f aca="false">IF(ROWS($A$2:$A513)&lt;=Check!$C$4,SMALL(PERLINE!$AL$2:$AL$3001,ROWS($A$2:$A513)),"")</f>
        <v/>
      </c>
      <c r="B513" s="15" t="str">
        <f aca="false">IF($A513="","",INDEX(PERLINE!$J$2:$J$3001,MATCH($A513,PERLINE!$N$2:$N$3001,0)))</f>
        <v/>
      </c>
      <c r="C513" s="16" t="str">
        <f aca="false">IF($A513="","",INDEX(PERLINE!$I$2:$I$3001,MATCH($A513,PERLINE!$N$2:$N$3001,0)))</f>
        <v/>
      </c>
      <c r="D513" s="17" t="str">
        <f aca="false">IF($A513="","",'كشف المطالبة'!$D$6)</f>
        <v/>
      </c>
      <c r="E513" s="18" t="str">
        <f aca="false">IF($A513="","",SUMIFS(PERLINE!$U$2:$U$3001,PERLINE!$N$2:$N$3001,$A513,PERLINE!$AK$2:$AK$3001,0))</f>
        <v/>
      </c>
      <c r="F513" s="19" t="str">
        <f aca="false">IF($A513="","",E513*D513)</f>
        <v/>
      </c>
      <c r="G513" s="17" t="str">
        <f aca="false">IF($A513="","",'كشف المطالبة'!$D$5)</f>
        <v/>
      </c>
      <c r="H513" s="18" t="str">
        <f aca="false">IF($A513="","",SUMIFS(PERLINE!$U$2:$U$3001,PERLINE!$N$2:$N$3001,$A513,PERLINE!$AK$2:$AK$3001,1))</f>
        <v/>
      </c>
      <c r="I513" s="19" t="str">
        <f aca="false">IF($A513="","",H513*G513)</f>
        <v/>
      </c>
      <c r="J513" s="19" t="str">
        <f aca="false">IF($A513="","",F513+I513)</f>
        <v/>
      </c>
      <c r="K513" s="19" t="str">
        <f aca="false">IF($A513="","",H513+E513)</f>
        <v/>
      </c>
      <c r="L513" s="20" t="str">
        <f aca="false">IF($A513="","",K513-J513-N513)</f>
        <v/>
      </c>
      <c r="M513" s="15" t="str">
        <f aca="false">IF($A513="","",INDEX(PERLINE!$A$2:$A$3001,MATCH($A513,PERLINE!$N$2:$N$3001,0)))</f>
        <v/>
      </c>
      <c r="N513" s="21" t="str">
        <f aca="false">IF($A513="","",SUMIFS(PERLINE!$M$2:$M$3001,PERLINE!$N$2:$N$3001,$A513))</f>
        <v/>
      </c>
    </row>
    <row r="514" customFormat="false" ht="15" hidden="false" customHeight="false" outlineLevel="0" collapsed="false">
      <c r="A514" s="15" t="str">
        <f aca="false">IF(ROWS($A$2:$A514)&lt;=Check!$C$4,SMALL(PERLINE!$AL$2:$AL$3001,ROWS($A$2:$A514)),"")</f>
        <v/>
      </c>
      <c r="B514" s="15" t="str">
        <f aca="false">IF($A514="","",INDEX(PERLINE!$J$2:$J$3001,MATCH($A514,PERLINE!$N$2:$N$3001,0)))</f>
        <v/>
      </c>
      <c r="C514" s="16" t="str">
        <f aca="false">IF($A514="","",INDEX(PERLINE!$I$2:$I$3001,MATCH($A514,PERLINE!$N$2:$N$3001,0)))</f>
        <v/>
      </c>
      <c r="D514" s="17" t="str">
        <f aca="false">IF($A514="","",'كشف المطالبة'!$D$6)</f>
        <v/>
      </c>
      <c r="E514" s="18" t="str">
        <f aca="false">IF($A514="","",SUMIFS(PERLINE!$U$2:$U$3001,PERLINE!$N$2:$N$3001,$A514,PERLINE!$AK$2:$AK$3001,0))</f>
        <v/>
      </c>
      <c r="F514" s="19" t="str">
        <f aca="false">IF($A514="","",E514*D514)</f>
        <v/>
      </c>
      <c r="G514" s="17" t="str">
        <f aca="false">IF($A514="","",'كشف المطالبة'!$D$5)</f>
        <v/>
      </c>
      <c r="H514" s="18" t="str">
        <f aca="false">IF($A514="","",SUMIFS(PERLINE!$U$2:$U$3001,PERLINE!$N$2:$N$3001,$A514,PERLINE!$AK$2:$AK$3001,1))</f>
        <v/>
      </c>
      <c r="I514" s="19" t="str">
        <f aca="false">IF($A514="","",H514*G514)</f>
        <v/>
      </c>
      <c r="J514" s="19" t="str">
        <f aca="false">IF($A514="","",F514+I514)</f>
        <v/>
      </c>
      <c r="K514" s="19" t="str">
        <f aca="false">IF($A514="","",H514+E514)</f>
        <v/>
      </c>
      <c r="L514" s="20" t="str">
        <f aca="false">IF($A514="","",K514-J514-N514)</f>
        <v/>
      </c>
      <c r="M514" s="15" t="str">
        <f aca="false">IF($A514="","",INDEX(PERLINE!$A$2:$A$3001,MATCH($A514,PERLINE!$N$2:$N$3001,0)))</f>
        <v/>
      </c>
      <c r="N514" s="21" t="str">
        <f aca="false">IF($A514="","",SUMIFS(PERLINE!$M$2:$M$3001,PERLINE!$N$2:$N$3001,$A514))</f>
        <v/>
      </c>
    </row>
    <row r="515" customFormat="false" ht="15" hidden="false" customHeight="false" outlineLevel="0" collapsed="false">
      <c r="A515" s="15" t="str">
        <f aca="false">IF(ROWS($A$2:$A515)&lt;=Check!$C$4,SMALL(PERLINE!$AL$2:$AL$3001,ROWS($A$2:$A515)),"")</f>
        <v/>
      </c>
      <c r="B515" s="15" t="str">
        <f aca="false">IF($A515="","",INDEX(PERLINE!$J$2:$J$3001,MATCH($A515,PERLINE!$N$2:$N$3001,0)))</f>
        <v/>
      </c>
      <c r="C515" s="16" t="str">
        <f aca="false">IF($A515="","",INDEX(PERLINE!$I$2:$I$3001,MATCH($A515,PERLINE!$N$2:$N$3001,0)))</f>
        <v/>
      </c>
      <c r="D515" s="17" t="str">
        <f aca="false">IF($A515="","",'كشف المطالبة'!$D$6)</f>
        <v/>
      </c>
      <c r="E515" s="18" t="str">
        <f aca="false">IF($A515="","",SUMIFS(PERLINE!$U$2:$U$3001,PERLINE!$N$2:$N$3001,$A515,PERLINE!$AK$2:$AK$3001,0))</f>
        <v/>
      </c>
      <c r="F515" s="19" t="str">
        <f aca="false">IF($A515="","",E515*D515)</f>
        <v/>
      </c>
      <c r="G515" s="17" t="str">
        <f aca="false">IF($A515="","",'كشف المطالبة'!$D$5)</f>
        <v/>
      </c>
      <c r="H515" s="18" t="str">
        <f aca="false">IF($A515="","",SUMIFS(PERLINE!$U$2:$U$3001,PERLINE!$N$2:$N$3001,$A515,PERLINE!$AK$2:$AK$3001,1))</f>
        <v/>
      </c>
      <c r="I515" s="19" t="str">
        <f aca="false">IF($A515="","",H515*G515)</f>
        <v/>
      </c>
      <c r="J515" s="19" t="str">
        <f aca="false">IF($A515="","",F515+I515)</f>
        <v/>
      </c>
      <c r="K515" s="19" t="str">
        <f aca="false">IF($A515="","",H515+E515)</f>
        <v/>
      </c>
      <c r="L515" s="20" t="str">
        <f aca="false">IF($A515="","",K515-J515-N515)</f>
        <v/>
      </c>
      <c r="M515" s="15" t="str">
        <f aca="false">IF($A515="","",INDEX(PERLINE!$A$2:$A$3001,MATCH($A515,PERLINE!$N$2:$N$3001,0)))</f>
        <v/>
      </c>
      <c r="N515" s="21" t="str">
        <f aca="false">IF($A515="","",SUMIFS(PERLINE!$M$2:$M$3001,PERLINE!$N$2:$N$3001,$A515))</f>
        <v/>
      </c>
    </row>
    <row r="516" customFormat="false" ht="15" hidden="false" customHeight="false" outlineLevel="0" collapsed="false">
      <c r="A516" s="15" t="str">
        <f aca="false">IF(ROWS($A$2:$A516)&lt;=Check!$C$4,SMALL(PERLINE!$AL$2:$AL$3001,ROWS($A$2:$A516)),"")</f>
        <v/>
      </c>
      <c r="B516" s="15" t="str">
        <f aca="false">IF($A516="","",INDEX(PERLINE!$J$2:$J$3001,MATCH($A516,PERLINE!$N$2:$N$3001,0)))</f>
        <v/>
      </c>
      <c r="C516" s="16" t="str">
        <f aca="false">IF($A516="","",INDEX(PERLINE!$I$2:$I$3001,MATCH($A516,PERLINE!$N$2:$N$3001,0)))</f>
        <v/>
      </c>
      <c r="D516" s="17" t="str">
        <f aca="false">IF($A516="","",'كشف المطالبة'!$D$6)</f>
        <v/>
      </c>
      <c r="E516" s="18" t="str">
        <f aca="false">IF($A516="","",SUMIFS(PERLINE!$U$2:$U$3001,PERLINE!$N$2:$N$3001,$A516,PERLINE!$AK$2:$AK$3001,0))</f>
        <v/>
      </c>
      <c r="F516" s="19" t="str">
        <f aca="false">IF($A516="","",E516*D516)</f>
        <v/>
      </c>
      <c r="G516" s="17" t="str">
        <f aca="false">IF($A516="","",'كشف المطالبة'!$D$5)</f>
        <v/>
      </c>
      <c r="H516" s="18" t="str">
        <f aca="false">IF($A516="","",SUMIFS(PERLINE!$U$2:$U$3001,PERLINE!$N$2:$N$3001,$A516,PERLINE!$AK$2:$AK$3001,1))</f>
        <v/>
      </c>
      <c r="I516" s="19" t="str">
        <f aca="false">IF($A516="","",H516*G516)</f>
        <v/>
      </c>
      <c r="J516" s="19" t="str">
        <f aca="false">IF($A516="","",F516+I516)</f>
        <v/>
      </c>
      <c r="K516" s="19" t="str">
        <f aca="false">IF($A516="","",H516+E516)</f>
        <v/>
      </c>
      <c r="L516" s="20" t="str">
        <f aca="false">IF($A516="","",K516-J516-N516)</f>
        <v/>
      </c>
      <c r="M516" s="15" t="str">
        <f aca="false">IF($A516="","",INDEX(PERLINE!$A$2:$A$3001,MATCH($A516,PERLINE!$N$2:$N$3001,0)))</f>
        <v/>
      </c>
      <c r="N516" s="21" t="str">
        <f aca="false">IF($A516="","",SUMIFS(PERLINE!$M$2:$M$3001,PERLINE!$N$2:$N$3001,$A516))</f>
        <v/>
      </c>
    </row>
    <row r="517" customFormat="false" ht="15" hidden="false" customHeight="false" outlineLevel="0" collapsed="false">
      <c r="A517" s="15" t="str">
        <f aca="false">IF(ROWS($A$2:$A517)&lt;=Check!$C$4,SMALL(PERLINE!$AL$2:$AL$3001,ROWS($A$2:$A517)),"")</f>
        <v/>
      </c>
      <c r="B517" s="15" t="str">
        <f aca="false">IF($A517="","",INDEX(PERLINE!$J$2:$J$3001,MATCH($A517,PERLINE!$N$2:$N$3001,0)))</f>
        <v/>
      </c>
      <c r="C517" s="16" t="str">
        <f aca="false">IF($A517="","",INDEX(PERLINE!$I$2:$I$3001,MATCH($A517,PERLINE!$N$2:$N$3001,0)))</f>
        <v/>
      </c>
      <c r="D517" s="17" t="str">
        <f aca="false">IF($A517="","",'كشف المطالبة'!$D$6)</f>
        <v/>
      </c>
      <c r="E517" s="18" t="str">
        <f aca="false">IF($A517="","",SUMIFS(PERLINE!$U$2:$U$3001,PERLINE!$N$2:$N$3001,$A517,PERLINE!$AK$2:$AK$3001,0))</f>
        <v/>
      </c>
      <c r="F517" s="19" t="str">
        <f aca="false">IF($A517="","",E517*D517)</f>
        <v/>
      </c>
      <c r="G517" s="17" t="str">
        <f aca="false">IF($A517="","",'كشف المطالبة'!$D$5)</f>
        <v/>
      </c>
      <c r="H517" s="18" t="str">
        <f aca="false">IF($A517="","",SUMIFS(PERLINE!$U$2:$U$3001,PERLINE!$N$2:$N$3001,$A517,PERLINE!$AK$2:$AK$3001,1))</f>
        <v/>
      </c>
      <c r="I517" s="19" t="str">
        <f aca="false">IF($A517="","",H517*G517)</f>
        <v/>
      </c>
      <c r="J517" s="19" t="str">
        <f aca="false">IF($A517="","",F517+I517)</f>
        <v/>
      </c>
      <c r="K517" s="19" t="str">
        <f aca="false">IF($A517="","",H517+E517)</f>
        <v/>
      </c>
      <c r="L517" s="20" t="str">
        <f aca="false">IF($A517="","",K517-J517-N517)</f>
        <v/>
      </c>
      <c r="M517" s="15" t="str">
        <f aca="false">IF($A517="","",INDEX(PERLINE!$A$2:$A$3001,MATCH($A517,PERLINE!$N$2:$N$3001,0)))</f>
        <v/>
      </c>
      <c r="N517" s="21" t="str">
        <f aca="false">IF($A517="","",SUMIFS(PERLINE!$M$2:$M$3001,PERLINE!$N$2:$N$3001,$A517))</f>
        <v/>
      </c>
    </row>
    <row r="518" customFormat="false" ht="15" hidden="false" customHeight="false" outlineLevel="0" collapsed="false">
      <c r="A518" s="15" t="str">
        <f aca="false">IF(ROWS($A$2:$A518)&lt;=Check!$C$4,SMALL(PERLINE!$AL$2:$AL$3001,ROWS($A$2:$A518)),"")</f>
        <v/>
      </c>
      <c r="B518" s="15" t="str">
        <f aca="false">IF($A518="","",INDEX(PERLINE!$J$2:$J$3001,MATCH($A518,PERLINE!$N$2:$N$3001,0)))</f>
        <v/>
      </c>
      <c r="C518" s="16" t="str">
        <f aca="false">IF($A518="","",INDEX(PERLINE!$I$2:$I$3001,MATCH($A518,PERLINE!$N$2:$N$3001,0)))</f>
        <v/>
      </c>
      <c r="D518" s="17" t="str">
        <f aca="false">IF($A518="","",'كشف المطالبة'!$D$6)</f>
        <v/>
      </c>
      <c r="E518" s="18" t="str">
        <f aca="false">IF($A518="","",SUMIFS(PERLINE!$U$2:$U$3001,PERLINE!$N$2:$N$3001,$A518,PERLINE!$AK$2:$AK$3001,0))</f>
        <v/>
      </c>
      <c r="F518" s="19" t="str">
        <f aca="false">IF($A518="","",E518*D518)</f>
        <v/>
      </c>
      <c r="G518" s="17" t="str">
        <f aca="false">IF($A518="","",'كشف المطالبة'!$D$5)</f>
        <v/>
      </c>
      <c r="H518" s="18" t="str">
        <f aca="false">IF($A518="","",SUMIFS(PERLINE!$U$2:$U$3001,PERLINE!$N$2:$N$3001,$A518,PERLINE!$AK$2:$AK$3001,1))</f>
        <v/>
      </c>
      <c r="I518" s="19" t="str">
        <f aca="false">IF($A518="","",H518*G518)</f>
        <v/>
      </c>
      <c r="J518" s="19" t="str">
        <f aca="false">IF($A518="","",F518+I518)</f>
        <v/>
      </c>
      <c r="K518" s="19" t="str">
        <f aca="false">IF($A518="","",H518+E518)</f>
        <v/>
      </c>
      <c r="L518" s="20" t="str">
        <f aca="false">IF($A518="","",K518-J518-N518)</f>
        <v/>
      </c>
      <c r="M518" s="15" t="str">
        <f aca="false">IF($A518="","",INDEX(PERLINE!$A$2:$A$3001,MATCH($A518,PERLINE!$N$2:$N$3001,0)))</f>
        <v/>
      </c>
      <c r="N518" s="21" t="str">
        <f aca="false">IF($A518="","",SUMIFS(PERLINE!$M$2:$M$3001,PERLINE!$N$2:$N$3001,$A518))</f>
        <v/>
      </c>
    </row>
    <row r="519" customFormat="false" ht="15" hidden="false" customHeight="false" outlineLevel="0" collapsed="false">
      <c r="A519" s="15" t="str">
        <f aca="false">IF(ROWS($A$2:$A519)&lt;=Check!$C$4,SMALL(PERLINE!$AL$2:$AL$3001,ROWS($A$2:$A519)),"")</f>
        <v/>
      </c>
      <c r="B519" s="15" t="str">
        <f aca="false">IF($A519="","",INDEX(PERLINE!$J$2:$J$3001,MATCH($A519,PERLINE!$N$2:$N$3001,0)))</f>
        <v/>
      </c>
      <c r="C519" s="16" t="str">
        <f aca="false">IF($A519="","",INDEX(PERLINE!$I$2:$I$3001,MATCH($A519,PERLINE!$N$2:$N$3001,0)))</f>
        <v/>
      </c>
      <c r="D519" s="17" t="str">
        <f aca="false">IF($A519="","",'كشف المطالبة'!$D$6)</f>
        <v/>
      </c>
      <c r="E519" s="18" t="str">
        <f aca="false">IF($A519="","",SUMIFS(PERLINE!$U$2:$U$3001,PERLINE!$N$2:$N$3001,$A519,PERLINE!$AK$2:$AK$3001,0))</f>
        <v/>
      </c>
      <c r="F519" s="19" t="str">
        <f aca="false">IF($A519="","",E519*D519)</f>
        <v/>
      </c>
      <c r="G519" s="17" t="str">
        <f aca="false">IF($A519="","",'كشف المطالبة'!$D$5)</f>
        <v/>
      </c>
      <c r="H519" s="18" t="str">
        <f aca="false">IF($A519="","",SUMIFS(PERLINE!$U$2:$U$3001,PERLINE!$N$2:$N$3001,$A519,PERLINE!$AK$2:$AK$3001,1))</f>
        <v/>
      </c>
      <c r="I519" s="19" t="str">
        <f aca="false">IF($A519="","",H519*G519)</f>
        <v/>
      </c>
      <c r="J519" s="19" t="str">
        <f aca="false">IF($A519="","",F519+I519)</f>
        <v/>
      </c>
      <c r="K519" s="19" t="str">
        <f aca="false">IF($A519="","",H519+E519)</f>
        <v/>
      </c>
      <c r="L519" s="20" t="str">
        <f aca="false">IF($A519="","",K519-J519-N519)</f>
        <v/>
      </c>
      <c r="M519" s="15" t="str">
        <f aca="false">IF($A519="","",INDEX(PERLINE!$A$2:$A$3001,MATCH($A519,PERLINE!$N$2:$N$3001,0)))</f>
        <v/>
      </c>
      <c r="N519" s="21" t="str">
        <f aca="false">IF($A519="","",SUMIFS(PERLINE!$M$2:$M$3001,PERLINE!$N$2:$N$3001,$A519))</f>
        <v/>
      </c>
    </row>
    <row r="520" customFormat="false" ht="15" hidden="false" customHeight="false" outlineLevel="0" collapsed="false">
      <c r="A520" s="15" t="str">
        <f aca="false">IF(ROWS($A$2:$A520)&lt;=Check!$C$4,SMALL(PERLINE!$AL$2:$AL$3001,ROWS($A$2:$A520)),"")</f>
        <v/>
      </c>
      <c r="B520" s="15" t="str">
        <f aca="false">IF($A520="","",INDEX(PERLINE!$J$2:$J$3001,MATCH($A520,PERLINE!$N$2:$N$3001,0)))</f>
        <v/>
      </c>
      <c r="C520" s="16" t="str">
        <f aca="false">IF($A520="","",INDEX(PERLINE!$I$2:$I$3001,MATCH($A520,PERLINE!$N$2:$N$3001,0)))</f>
        <v/>
      </c>
      <c r="D520" s="17" t="str">
        <f aca="false">IF($A520="","",'كشف المطالبة'!$D$6)</f>
        <v/>
      </c>
      <c r="E520" s="18" t="str">
        <f aca="false">IF($A520="","",SUMIFS(PERLINE!$U$2:$U$3001,PERLINE!$N$2:$N$3001,$A520,PERLINE!$AK$2:$AK$3001,0))</f>
        <v/>
      </c>
      <c r="F520" s="19" t="str">
        <f aca="false">IF($A520="","",E520*D520)</f>
        <v/>
      </c>
      <c r="G520" s="17" t="str">
        <f aca="false">IF($A520="","",'كشف المطالبة'!$D$5)</f>
        <v/>
      </c>
      <c r="H520" s="18" t="str">
        <f aca="false">IF($A520="","",SUMIFS(PERLINE!$U$2:$U$3001,PERLINE!$N$2:$N$3001,$A520,PERLINE!$AK$2:$AK$3001,1))</f>
        <v/>
      </c>
      <c r="I520" s="19" t="str">
        <f aca="false">IF($A520="","",H520*G520)</f>
        <v/>
      </c>
      <c r="J520" s="19" t="str">
        <f aca="false">IF($A520="","",F520+I520)</f>
        <v/>
      </c>
      <c r="K520" s="19" t="str">
        <f aca="false">IF($A520="","",H520+E520)</f>
        <v/>
      </c>
      <c r="L520" s="20" t="str">
        <f aca="false">IF($A520="","",K520-J520-N520)</f>
        <v/>
      </c>
      <c r="M520" s="15" t="str">
        <f aca="false">IF($A520="","",INDEX(PERLINE!$A$2:$A$3001,MATCH($A520,PERLINE!$N$2:$N$3001,0)))</f>
        <v/>
      </c>
      <c r="N520" s="21" t="str">
        <f aca="false">IF($A520="","",SUMIFS(PERLINE!$M$2:$M$3001,PERLINE!$N$2:$N$3001,$A520))</f>
        <v/>
      </c>
    </row>
    <row r="521" customFormat="false" ht="15" hidden="false" customHeight="false" outlineLevel="0" collapsed="false">
      <c r="A521" s="15" t="str">
        <f aca="false">IF(ROWS($A$2:$A521)&lt;=Check!$C$4,SMALL(PERLINE!$AL$2:$AL$3001,ROWS($A$2:$A521)),"")</f>
        <v/>
      </c>
      <c r="B521" s="15" t="str">
        <f aca="false">IF($A521="","",INDEX(PERLINE!$J$2:$J$3001,MATCH($A521,PERLINE!$N$2:$N$3001,0)))</f>
        <v/>
      </c>
      <c r="C521" s="16" t="str">
        <f aca="false">IF($A521="","",INDEX(PERLINE!$I$2:$I$3001,MATCH($A521,PERLINE!$N$2:$N$3001,0)))</f>
        <v/>
      </c>
      <c r="D521" s="17" t="str">
        <f aca="false">IF($A521="","",'كشف المطالبة'!$D$6)</f>
        <v/>
      </c>
      <c r="E521" s="18" t="str">
        <f aca="false">IF($A521="","",SUMIFS(PERLINE!$U$2:$U$3001,PERLINE!$N$2:$N$3001,$A521,PERLINE!$AK$2:$AK$3001,0))</f>
        <v/>
      </c>
      <c r="F521" s="19" t="str">
        <f aca="false">IF($A521="","",E521*D521)</f>
        <v/>
      </c>
      <c r="G521" s="17" t="str">
        <f aca="false">IF($A521="","",'كشف المطالبة'!$D$5)</f>
        <v/>
      </c>
      <c r="H521" s="18" t="str">
        <f aca="false">IF($A521="","",SUMIFS(PERLINE!$U$2:$U$3001,PERLINE!$N$2:$N$3001,$A521,PERLINE!$AK$2:$AK$3001,1))</f>
        <v/>
      </c>
      <c r="I521" s="19" t="str">
        <f aca="false">IF($A521="","",H521*G521)</f>
        <v/>
      </c>
      <c r="J521" s="19" t="str">
        <f aca="false">IF($A521="","",F521+I521)</f>
        <v/>
      </c>
      <c r="K521" s="19" t="str">
        <f aca="false">IF($A521="","",H521+E521)</f>
        <v/>
      </c>
      <c r="L521" s="20" t="str">
        <f aca="false">IF($A521="","",K521-J521-N521)</f>
        <v/>
      </c>
      <c r="M521" s="15" t="str">
        <f aca="false">IF($A521="","",INDEX(PERLINE!$A$2:$A$3001,MATCH($A521,PERLINE!$N$2:$N$3001,0)))</f>
        <v/>
      </c>
      <c r="N521" s="21" t="str">
        <f aca="false">IF($A521="","",SUMIFS(PERLINE!$M$2:$M$3001,PERLINE!$N$2:$N$3001,$A521))</f>
        <v/>
      </c>
    </row>
    <row r="522" customFormat="false" ht="15" hidden="false" customHeight="false" outlineLevel="0" collapsed="false">
      <c r="A522" s="15" t="str">
        <f aca="false">IF(ROWS($A$2:$A522)&lt;=Check!$C$4,SMALL(PERLINE!$AL$2:$AL$3001,ROWS($A$2:$A522)),"")</f>
        <v/>
      </c>
      <c r="B522" s="15" t="str">
        <f aca="false">IF($A522="","",INDEX(PERLINE!$J$2:$J$3001,MATCH($A522,PERLINE!$N$2:$N$3001,0)))</f>
        <v/>
      </c>
      <c r="C522" s="16" t="str">
        <f aca="false">IF($A522="","",INDEX(PERLINE!$I$2:$I$3001,MATCH($A522,PERLINE!$N$2:$N$3001,0)))</f>
        <v/>
      </c>
      <c r="D522" s="17" t="str">
        <f aca="false">IF($A522="","",'كشف المطالبة'!$D$6)</f>
        <v/>
      </c>
      <c r="E522" s="18" t="str">
        <f aca="false">IF($A522="","",SUMIFS(PERLINE!$U$2:$U$3001,PERLINE!$N$2:$N$3001,$A522,PERLINE!$AK$2:$AK$3001,0))</f>
        <v/>
      </c>
      <c r="F522" s="19" t="str">
        <f aca="false">IF($A522="","",E522*D522)</f>
        <v/>
      </c>
      <c r="G522" s="17" t="str">
        <f aca="false">IF($A522="","",'كشف المطالبة'!$D$5)</f>
        <v/>
      </c>
      <c r="H522" s="18" t="str">
        <f aca="false">IF($A522="","",SUMIFS(PERLINE!$U$2:$U$3001,PERLINE!$N$2:$N$3001,$A522,PERLINE!$AK$2:$AK$3001,1))</f>
        <v/>
      </c>
      <c r="I522" s="19" t="str">
        <f aca="false">IF($A522="","",H522*G522)</f>
        <v/>
      </c>
      <c r="J522" s="19" t="str">
        <f aca="false">IF($A522="","",F522+I522)</f>
        <v/>
      </c>
      <c r="K522" s="19" t="str">
        <f aca="false">IF($A522="","",H522+E522)</f>
        <v/>
      </c>
      <c r="L522" s="20" t="str">
        <f aca="false">IF($A522="","",K522-J522-N522)</f>
        <v/>
      </c>
      <c r="M522" s="15" t="str">
        <f aca="false">IF($A522="","",INDEX(PERLINE!$A$2:$A$3001,MATCH($A522,PERLINE!$N$2:$N$3001,0)))</f>
        <v/>
      </c>
      <c r="N522" s="21" t="str">
        <f aca="false">IF($A522="","",SUMIFS(PERLINE!$M$2:$M$3001,PERLINE!$N$2:$N$3001,$A522))</f>
        <v/>
      </c>
    </row>
    <row r="523" customFormat="false" ht="15" hidden="false" customHeight="false" outlineLevel="0" collapsed="false">
      <c r="A523" s="15" t="str">
        <f aca="false">IF(ROWS($A$2:$A523)&lt;=Check!$C$4,SMALL(PERLINE!$AL$2:$AL$3001,ROWS($A$2:$A523)),"")</f>
        <v/>
      </c>
      <c r="B523" s="15" t="str">
        <f aca="false">IF($A523="","",INDEX(PERLINE!$J$2:$J$3001,MATCH($A523,PERLINE!$N$2:$N$3001,0)))</f>
        <v/>
      </c>
      <c r="C523" s="16" t="str">
        <f aca="false">IF($A523="","",INDEX(PERLINE!$I$2:$I$3001,MATCH($A523,PERLINE!$N$2:$N$3001,0)))</f>
        <v/>
      </c>
      <c r="D523" s="17" t="str">
        <f aca="false">IF($A523="","",'كشف المطالبة'!$D$6)</f>
        <v/>
      </c>
      <c r="E523" s="18" t="str">
        <f aca="false">IF($A523="","",SUMIFS(PERLINE!$U$2:$U$3001,PERLINE!$N$2:$N$3001,$A523,PERLINE!$AK$2:$AK$3001,0))</f>
        <v/>
      </c>
      <c r="F523" s="19" t="str">
        <f aca="false">IF($A523="","",E523*D523)</f>
        <v/>
      </c>
      <c r="G523" s="17" t="str">
        <f aca="false">IF($A523="","",'كشف المطالبة'!$D$5)</f>
        <v/>
      </c>
      <c r="H523" s="18" t="str">
        <f aca="false">IF($A523="","",SUMIFS(PERLINE!$U$2:$U$3001,PERLINE!$N$2:$N$3001,$A523,PERLINE!$AK$2:$AK$3001,1))</f>
        <v/>
      </c>
      <c r="I523" s="19" t="str">
        <f aca="false">IF($A523="","",H523*G523)</f>
        <v/>
      </c>
      <c r="J523" s="19" t="str">
        <f aca="false">IF($A523="","",F523+I523)</f>
        <v/>
      </c>
      <c r="K523" s="19" t="str">
        <f aca="false">IF($A523="","",H523+E523)</f>
        <v/>
      </c>
      <c r="L523" s="20" t="str">
        <f aca="false">IF($A523="","",K523-J523-N523)</f>
        <v/>
      </c>
      <c r="M523" s="15" t="str">
        <f aca="false">IF($A523="","",INDEX(PERLINE!$A$2:$A$3001,MATCH($A523,PERLINE!$N$2:$N$3001,0)))</f>
        <v/>
      </c>
      <c r="N523" s="21" t="str">
        <f aca="false">IF($A523="","",SUMIFS(PERLINE!$M$2:$M$3001,PERLINE!$N$2:$N$3001,$A523))</f>
        <v/>
      </c>
    </row>
    <row r="524" customFormat="false" ht="15" hidden="false" customHeight="false" outlineLevel="0" collapsed="false">
      <c r="A524" s="15" t="str">
        <f aca="false">IF(ROWS($A$2:$A524)&lt;=Check!$C$4,SMALL(PERLINE!$AL$2:$AL$3001,ROWS($A$2:$A524)),"")</f>
        <v/>
      </c>
      <c r="B524" s="15" t="str">
        <f aca="false">IF($A524="","",INDEX(PERLINE!$J$2:$J$3001,MATCH($A524,PERLINE!$N$2:$N$3001,0)))</f>
        <v/>
      </c>
      <c r="C524" s="16" t="str">
        <f aca="false">IF($A524="","",INDEX(PERLINE!$I$2:$I$3001,MATCH($A524,PERLINE!$N$2:$N$3001,0)))</f>
        <v/>
      </c>
      <c r="D524" s="17" t="str">
        <f aca="false">IF($A524="","",'كشف المطالبة'!$D$6)</f>
        <v/>
      </c>
      <c r="E524" s="18" t="str">
        <f aca="false">IF($A524="","",SUMIFS(PERLINE!$U$2:$U$3001,PERLINE!$N$2:$N$3001,$A524,PERLINE!$AK$2:$AK$3001,0))</f>
        <v/>
      </c>
      <c r="F524" s="19" t="str">
        <f aca="false">IF($A524="","",E524*D524)</f>
        <v/>
      </c>
      <c r="G524" s="17" t="str">
        <f aca="false">IF($A524="","",'كشف المطالبة'!$D$5)</f>
        <v/>
      </c>
      <c r="H524" s="18" t="str">
        <f aca="false">IF($A524="","",SUMIFS(PERLINE!$U$2:$U$3001,PERLINE!$N$2:$N$3001,$A524,PERLINE!$AK$2:$AK$3001,1))</f>
        <v/>
      </c>
      <c r="I524" s="19" t="str">
        <f aca="false">IF($A524="","",H524*G524)</f>
        <v/>
      </c>
      <c r="J524" s="19" t="str">
        <f aca="false">IF($A524="","",F524+I524)</f>
        <v/>
      </c>
      <c r="K524" s="19" t="str">
        <f aca="false">IF($A524="","",H524+E524)</f>
        <v/>
      </c>
      <c r="L524" s="20" t="str">
        <f aca="false">IF($A524="","",K524-J524-N524)</f>
        <v/>
      </c>
      <c r="M524" s="15" t="str">
        <f aca="false">IF($A524="","",INDEX(PERLINE!$A$2:$A$3001,MATCH($A524,PERLINE!$N$2:$N$3001,0)))</f>
        <v/>
      </c>
      <c r="N524" s="21" t="str">
        <f aca="false">IF($A524="","",SUMIFS(PERLINE!$M$2:$M$3001,PERLINE!$N$2:$N$3001,$A524))</f>
        <v/>
      </c>
    </row>
    <row r="525" customFormat="false" ht="15" hidden="false" customHeight="false" outlineLevel="0" collapsed="false">
      <c r="A525" s="15" t="str">
        <f aca="false">IF(ROWS($A$2:$A525)&lt;=Check!$C$4,SMALL(PERLINE!$AL$2:$AL$3001,ROWS($A$2:$A525)),"")</f>
        <v/>
      </c>
      <c r="B525" s="15" t="str">
        <f aca="false">IF($A525="","",INDEX(PERLINE!$J$2:$J$3001,MATCH($A525,PERLINE!$N$2:$N$3001,0)))</f>
        <v/>
      </c>
      <c r="C525" s="16" t="str">
        <f aca="false">IF($A525="","",INDEX(PERLINE!$I$2:$I$3001,MATCH($A525,PERLINE!$N$2:$N$3001,0)))</f>
        <v/>
      </c>
      <c r="D525" s="17" t="str">
        <f aca="false">IF($A525="","",'كشف المطالبة'!$D$6)</f>
        <v/>
      </c>
      <c r="E525" s="18" t="str">
        <f aca="false">IF($A525="","",SUMIFS(PERLINE!$U$2:$U$3001,PERLINE!$N$2:$N$3001,$A525,PERLINE!$AK$2:$AK$3001,0))</f>
        <v/>
      </c>
      <c r="F525" s="19" t="str">
        <f aca="false">IF($A525="","",E525*D525)</f>
        <v/>
      </c>
      <c r="G525" s="17" t="str">
        <f aca="false">IF($A525="","",'كشف المطالبة'!$D$5)</f>
        <v/>
      </c>
      <c r="H525" s="18" t="str">
        <f aca="false">IF($A525="","",SUMIFS(PERLINE!$U$2:$U$3001,PERLINE!$N$2:$N$3001,$A525,PERLINE!$AK$2:$AK$3001,1))</f>
        <v/>
      </c>
      <c r="I525" s="19" t="str">
        <f aca="false">IF($A525="","",H525*G525)</f>
        <v/>
      </c>
      <c r="J525" s="19" t="str">
        <f aca="false">IF($A525="","",F525+I525)</f>
        <v/>
      </c>
      <c r="K525" s="19" t="str">
        <f aca="false">IF($A525="","",H525+E525)</f>
        <v/>
      </c>
      <c r="L525" s="20" t="str">
        <f aca="false">IF($A525="","",K525-J525-N525)</f>
        <v/>
      </c>
      <c r="M525" s="15" t="str">
        <f aca="false">IF($A525="","",INDEX(PERLINE!$A$2:$A$3001,MATCH($A525,PERLINE!$N$2:$N$3001,0)))</f>
        <v/>
      </c>
      <c r="N525" s="21" t="str">
        <f aca="false">IF($A525="","",SUMIFS(PERLINE!$M$2:$M$3001,PERLINE!$N$2:$N$3001,$A525))</f>
        <v/>
      </c>
    </row>
    <row r="526" customFormat="false" ht="15" hidden="false" customHeight="false" outlineLevel="0" collapsed="false">
      <c r="A526" s="15" t="str">
        <f aca="false">IF(ROWS($A$2:$A526)&lt;=Check!$C$4,SMALL(PERLINE!$AL$2:$AL$3001,ROWS($A$2:$A526)),"")</f>
        <v/>
      </c>
      <c r="B526" s="15" t="str">
        <f aca="false">IF($A526="","",INDEX(PERLINE!$J$2:$J$3001,MATCH($A526,PERLINE!$N$2:$N$3001,0)))</f>
        <v/>
      </c>
      <c r="C526" s="16" t="str">
        <f aca="false">IF($A526="","",INDEX(PERLINE!$I$2:$I$3001,MATCH($A526,PERLINE!$N$2:$N$3001,0)))</f>
        <v/>
      </c>
      <c r="D526" s="17" t="str">
        <f aca="false">IF($A526="","",'كشف المطالبة'!$D$6)</f>
        <v/>
      </c>
      <c r="E526" s="18" t="str">
        <f aca="false">IF($A526="","",SUMIFS(PERLINE!$U$2:$U$3001,PERLINE!$N$2:$N$3001,$A526,PERLINE!$AK$2:$AK$3001,0))</f>
        <v/>
      </c>
      <c r="F526" s="19" t="str">
        <f aca="false">IF($A526="","",E526*D526)</f>
        <v/>
      </c>
      <c r="G526" s="17" t="str">
        <f aca="false">IF($A526="","",'كشف المطالبة'!$D$5)</f>
        <v/>
      </c>
      <c r="H526" s="18" t="str">
        <f aca="false">IF($A526="","",SUMIFS(PERLINE!$U$2:$U$3001,PERLINE!$N$2:$N$3001,$A526,PERLINE!$AK$2:$AK$3001,1))</f>
        <v/>
      </c>
      <c r="I526" s="19" t="str">
        <f aca="false">IF($A526="","",H526*G526)</f>
        <v/>
      </c>
      <c r="J526" s="19" t="str">
        <f aca="false">IF($A526="","",F526+I526)</f>
        <v/>
      </c>
      <c r="K526" s="19" t="str">
        <f aca="false">IF($A526="","",H526+E526)</f>
        <v/>
      </c>
      <c r="L526" s="20" t="str">
        <f aca="false">IF($A526="","",K526-J526-N526)</f>
        <v/>
      </c>
      <c r="M526" s="15" t="str">
        <f aca="false">IF($A526="","",INDEX(PERLINE!$A$2:$A$3001,MATCH($A526,PERLINE!$N$2:$N$3001,0)))</f>
        <v/>
      </c>
      <c r="N526" s="21" t="str">
        <f aca="false">IF($A526="","",SUMIFS(PERLINE!$M$2:$M$3001,PERLINE!$N$2:$N$3001,$A526))</f>
        <v/>
      </c>
    </row>
    <row r="527" customFormat="false" ht="15" hidden="false" customHeight="false" outlineLevel="0" collapsed="false">
      <c r="A527" s="15" t="str">
        <f aca="false">IF(ROWS($A$2:$A527)&lt;=Check!$C$4,SMALL(PERLINE!$AL$2:$AL$3001,ROWS($A$2:$A527)),"")</f>
        <v/>
      </c>
      <c r="B527" s="15" t="str">
        <f aca="false">IF($A527="","",INDEX(PERLINE!$J$2:$J$3001,MATCH($A527,PERLINE!$N$2:$N$3001,0)))</f>
        <v/>
      </c>
      <c r="C527" s="16" t="str">
        <f aca="false">IF($A527="","",INDEX(PERLINE!$I$2:$I$3001,MATCH($A527,PERLINE!$N$2:$N$3001,0)))</f>
        <v/>
      </c>
      <c r="D527" s="17" t="str">
        <f aca="false">IF($A527="","",'كشف المطالبة'!$D$6)</f>
        <v/>
      </c>
      <c r="E527" s="18" t="str">
        <f aca="false">IF($A527="","",SUMIFS(PERLINE!$U$2:$U$3001,PERLINE!$N$2:$N$3001,$A527,PERLINE!$AK$2:$AK$3001,0))</f>
        <v/>
      </c>
      <c r="F527" s="19" t="str">
        <f aca="false">IF($A527="","",E527*D527)</f>
        <v/>
      </c>
      <c r="G527" s="17" t="str">
        <f aca="false">IF($A527="","",'كشف المطالبة'!$D$5)</f>
        <v/>
      </c>
      <c r="H527" s="18" t="str">
        <f aca="false">IF($A527="","",SUMIFS(PERLINE!$U$2:$U$3001,PERLINE!$N$2:$N$3001,$A527,PERLINE!$AK$2:$AK$3001,1))</f>
        <v/>
      </c>
      <c r="I527" s="19" t="str">
        <f aca="false">IF($A527="","",H527*G527)</f>
        <v/>
      </c>
      <c r="J527" s="19" t="str">
        <f aca="false">IF($A527="","",F527+I527)</f>
        <v/>
      </c>
      <c r="K527" s="19" t="str">
        <f aca="false">IF($A527="","",H527+E527)</f>
        <v/>
      </c>
      <c r="L527" s="20" t="str">
        <f aca="false">IF($A527="","",K527-J527-N527)</f>
        <v/>
      </c>
      <c r="M527" s="15" t="str">
        <f aca="false">IF($A527="","",INDEX(PERLINE!$A$2:$A$3001,MATCH($A527,PERLINE!$N$2:$N$3001,0)))</f>
        <v/>
      </c>
      <c r="N527" s="21" t="str">
        <f aca="false">IF($A527="","",SUMIFS(PERLINE!$M$2:$M$3001,PERLINE!$N$2:$N$3001,$A527))</f>
        <v/>
      </c>
    </row>
    <row r="528" customFormat="false" ht="15" hidden="false" customHeight="false" outlineLevel="0" collapsed="false">
      <c r="A528" s="15" t="str">
        <f aca="false">IF(ROWS($A$2:$A528)&lt;=Check!$C$4,SMALL(PERLINE!$AL$2:$AL$3001,ROWS($A$2:$A528)),"")</f>
        <v/>
      </c>
      <c r="B528" s="15" t="str">
        <f aca="false">IF($A528="","",INDEX(PERLINE!$J$2:$J$3001,MATCH($A528,PERLINE!$N$2:$N$3001,0)))</f>
        <v/>
      </c>
      <c r="C528" s="16" t="str">
        <f aca="false">IF($A528="","",INDEX(PERLINE!$I$2:$I$3001,MATCH($A528,PERLINE!$N$2:$N$3001,0)))</f>
        <v/>
      </c>
      <c r="D528" s="17" t="str">
        <f aca="false">IF($A528="","",'كشف المطالبة'!$D$6)</f>
        <v/>
      </c>
      <c r="E528" s="18" t="str">
        <f aca="false">IF($A528="","",SUMIFS(PERLINE!$U$2:$U$3001,PERLINE!$N$2:$N$3001,$A528,PERLINE!$AK$2:$AK$3001,0))</f>
        <v/>
      </c>
      <c r="F528" s="19" t="str">
        <f aca="false">IF($A528="","",E528*D528)</f>
        <v/>
      </c>
      <c r="G528" s="17" t="str">
        <f aca="false">IF($A528="","",'كشف المطالبة'!$D$5)</f>
        <v/>
      </c>
      <c r="H528" s="18" t="str">
        <f aca="false">IF($A528="","",SUMIFS(PERLINE!$U$2:$U$3001,PERLINE!$N$2:$N$3001,$A528,PERLINE!$AK$2:$AK$3001,1))</f>
        <v/>
      </c>
      <c r="I528" s="19" t="str">
        <f aca="false">IF($A528="","",H528*G528)</f>
        <v/>
      </c>
      <c r="J528" s="19" t="str">
        <f aca="false">IF($A528="","",F528+I528)</f>
        <v/>
      </c>
      <c r="K528" s="19" t="str">
        <f aca="false">IF($A528="","",H528+E528)</f>
        <v/>
      </c>
      <c r="L528" s="20" t="str">
        <f aca="false">IF($A528="","",K528-J528-N528)</f>
        <v/>
      </c>
      <c r="M528" s="15" t="str">
        <f aca="false">IF($A528="","",INDEX(PERLINE!$A$2:$A$3001,MATCH($A528,PERLINE!$N$2:$N$3001,0)))</f>
        <v/>
      </c>
      <c r="N528" s="21" t="str">
        <f aca="false">IF($A528="","",SUMIFS(PERLINE!$M$2:$M$3001,PERLINE!$N$2:$N$3001,$A528))</f>
        <v/>
      </c>
    </row>
    <row r="529" customFormat="false" ht="15" hidden="false" customHeight="false" outlineLevel="0" collapsed="false">
      <c r="A529" s="15" t="str">
        <f aca="false">IF(ROWS($A$2:$A529)&lt;=Check!$C$4,SMALL(PERLINE!$AL$2:$AL$3001,ROWS($A$2:$A529)),"")</f>
        <v/>
      </c>
      <c r="B529" s="15" t="str">
        <f aca="false">IF($A529="","",INDEX(PERLINE!$J$2:$J$3001,MATCH($A529,PERLINE!$N$2:$N$3001,0)))</f>
        <v/>
      </c>
      <c r="C529" s="16" t="str">
        <f aca="false">IF($A529="","",INDEX(PERLINE!$I$2:$I$3001,MATCH($A529,PERLINE!$N$2:$N$3001,0)))</f>
        <v/>
      </c>
      <c r="D529" s="17" t="str">
        <f aca="false">IF($A529="","",'كشف المطالبة'!$D$6)</f>
        <v/>
      </c>
      <c r="E529" s="18" t="str">
        <f aca="false">IF($A529="","",SUMIFS(PERLINE!$U$2:$U$3001,PERLINE!$N$2:$N$3001,$A529,PERLINE!$AK$2:$AK$3001,0))</f>
        <v/>
      </c>
      <c r="F529" s="19" t="str">
        <f aca="false">IF($A529="","",E529*D529)</f>
        <v/>
      </c>
      <c r="G529" s="17" t="str">
        <f aca="false">IF($A529="","",'كشف المطالبة'!$D$5)</f>
        <v/>
      </c>
      <c r="H529" s="18" t="str">
        <f aca="false">IF($A529="","",SUMIFS(PERLINE!$U$2:$U$3001,PERLINE!$N$2:$N$3001,$A529,PERLINE!$AK$2:$AK$3001,1))</f>
        <v/>
      </c>
      <c r="I529" s="19" t="str">
        <f aca="false">IF($A529="","",H529*G529)</f>
        <v/>
      </c>
      <c r="J529" s="19" t="str">
        <f aca="false">IF($A529="","",F529+I529)</f>
        <v/>
      </c>
      <c r="K529" s="19" t="str">
        <f aca="false">IF($A529="","",H529+E529)</f>
        <v/>
      </c>
      <c r="L529" s="20" t="str">
        <f aca="false">IF($A529="","",K529-J529-N529)</f>
        <v/>
      </c>
      <c r="M529" s="15" t="str">
        <f aca="false">IF($A529="","",INDEX(PERLINE!$A$2:$A$3001,MATCH($A529,PERLINE!$N$2:$N$3001,0)))</f>
        <v/>
      </c>
      <c r="N529" s="21" t="str">
        <f aca="false">IF($A529="","",SUMIFS(PERLINE!$M$2:$M$3001,PERLINE!$N$2:$N$3001,$A529))</f>
        <v/>
      </c>
    </row>
    <row r="530" customFormat="false" ht="15" hidden="false" customHeight="false" outlineLevel="0" collapsed="false">
      <c r="A530" s="15" t="str">
        <f aca="false">IF(ROWS($A$2:$A530)&lt;=Check!$C$4,SMALL(PERLINE!$AL$2:$AL$3001,ROWS($A$2:$A530)),"")</f>
        <v/>
      </c>
      <c r="B530" s="15" t="str">
        <f aca="false">IF($A530="","",INDEX(PERLINE!$J$2:$J$3001,MATCH($A530,PERLINE!$N$2:$N$3001,0)))</f>
        <v/>
      </c>
      <c r="C530" s="16" t="str">
        <f aca="false">IF($A530="","",INDEX(PERLINE!$I$2:$I$3001,MATCH($A530,PERLINE!$N$2:$N$3001,0)))</f>
        <v/>
      </c>
      <c r="D530" s="17" t="str">
        <f aca="false">IF($A530="","",'كشف المطالبة'!$D$6)</f>
        <v/>
      </c>
      <c r="E530" s="18" t="str">
        <f aca="false">IF($A530="","",SUMIFS(PERLINE!$U$2:$U$3001,PERLINE!$N$2:$N$3001,$A530,PERLINE!$AK$2:$AK$3001,0))</f>
        <v/>
      </c>
      <c r="F530" s="19" t="str">
        <f aca="false">IF($A530="","",E530*D530)</f>
        <v/>
      </c>
      <c r="G530" s="17" t="str">
        <f aca="false">IF($A530="","",'كشف المطالبة'!$D$5)</f>
        <v/>
      </c>
      <c r="H530" s="18" t="str">
        <f aca="false">IF($A530="","",SUMIFS(PERLINE!$U$2:$U$3001,PERLINE!$N$2:$N$3001,$A530,PERLINE!$AK$2:$AK$3001,1))</f>
        <v/>
      </c>
      <c r="I530" s="19" t="str">
        <f aca="false">IF($A530="","",H530*G530)</f>
        <v/>
      </c>
      <c r="J530" s="19" t="str">
        <f aca="false">IF($A530="","",F530+I530)</f>
        <v/>
      </c>
      <c r="K530" s="19" t="str">
        <f aca="false">IF($A530="","",H530+E530)</f>
        <v/>
      </c>
      <c r="L530" s="20" t="str">
        <f aca="false">IF($A530="","",K530-J530-N530)</f>
        <v/>
      </c>
      <c r="M530" s="15" t="str">
        <f aca="false">IF($A530="","",INDEX(PERLINE!$A$2:$A$3001,MATCH($A530,PERLINE!$N$2:$N$3001,0)))</f>
        <v/>
      </c>
      <c r="N530" s="21" t="str">
        <f aca="false">IF($A530="","",SUMIFS(PERLINE!$M$2:$M$3001,PERLINE!$N$2:$N$3001,$A530))</f>
        <v/>
      </c>
    </row>
    <row r="531" customFormat="false" ht="15" hidden="false" customHeight="false" outlineLevel="0" collapsed="false">
      <c r="A531" s="15" t="str">
        <f aca="false">IF(ROWS($A$2:$A531)&lt;=Check!$C$4,SMALL(PERLINE!$AL$2:$AL$3001,ROWS($A$2:$A531)),"")</f>
        <v/>
      </c>
      <c r="B531" s="15" t="str">
        <f aca="false">IF($A531="","",INDEX(PERLINE!$J$2:$J$3001,MATCH($A531,PERLINE!$N$2:$N$3001,0)))</f>
        <v/>
      </c>
      <c r="C531" s="16" t="str">
        <f aca="false">IF($A531="","",INDEX(PERLINE!$I$2:$I$3001,MATCH($A531,PERLINE!$N$2:$N$3001,0)))</f>
        <v/>
      </c>
      <c r="D531" s="17" t="str">
        <f aca="false">IF($A531="","",'كشف المطالبة'!$D$6)</f>
        <v/>
      </c>
      <c r="E531" s="18" t="str">
        <f aca="false">IF($A531="","",SUMIFS(PERLINE!$U$2:$U$3001,PERLINE!$N$2:$N$3001,$A531,PERLINE!$AK$2:$AK$3001,0))</f>
        <v/>
      </c>
      <c r="F531" s="19" t="str">
        <f aca="false">IF($A531="","",E531*D531)</f>
        <v/>
      </c>
      <c r="G531" s="17" t="str">
        <f aca="false">IF($A531="","",'كشف المطالبة'!$D$5)</f>
        <v/>
      </c>
      <c r="H531" s="18" t="str">
        <f aca="false">IF($A531="","",SUMIFS(PERLINE!$U$2:$U$3001,PERLINE!$N$2:$N$3001,$A531,PERLINE!$AK$2:$AK$3001,1))</f>
        <v/>
      </c>
      <c r="I531" s="19" t="str">
        <f aca="false">IF($A531="","",H531*G531)</f>
        <v/>
      </c>
      <c r="J531" s="19" t="str">
        <f aca="false">IF($A531="","",F531+I531)</f>
        <v/>
      </c>
      <c r="K531" s="19" t="str">
        <f aca="false">IF($A531="","",H531+E531)</f>
        <v/>
      </c>
      <c r="L531" s="20" t="str">
        <f aca="false">IF($A531="","",K531-J531-N531)</f>
        <v/>
      </c>
      <c r="M531" s="15" t="str">
        <f aca="false">IF($A531="","",INDEX(PERLINE!$A$2:$A$3001,MATCH($A531,PERLINE!$N$2:$N$3001,0)))</f>
        <v/>
      </c>
      <c r="N531" s="21" t="str">
        <f aca="false">IF($A531="","",SUMIFS(PERLINE!$M$2:$M$3001,PERLINE!$N$2:$N$3001,$A531))</f>
        <v/>
      </c>
    </row>
    <row r="532" customFormat="false" ht="15" hidden="false" customHeight="false" outlineLevel="0" collapsed="false">
      <c r="A532" s="15" t="str">
        <f aca="false">IF(ROWS($A$2:$A532)&lt;=Check!$C$4,SMALL(PERLINE!$AL$2:$AL$3001,ROWS($A$2:$A532)),"")</f>
        <v/>
      </c>
      <c r="B532" s="15" t="str">
        <f aca="false">IF($A532="","",INDEX(PERLINE!$J$2:$J$3001,MATCH($A532,PERLINE!$N$2:$N$3001,0)))</f>
        <v/>
      </c>
      <c r="C532" s="16" t="str">
        <f aca="false">IF($A532="","",INDEX(PERLINE!$I$2:$I$3001,MATCH($A532,PERLINE!$N$2:$N$3001,0)))</f>
        <v/>
      </c>
      <c r="D532" s="17" t="str">
        <f aca="false">IF($A532="","",'كشف المطالبة'!$D$6)</f>
        <v/>
      </c>
      <c r="E532" s="18" t="str">
        <f aca="false">IF($A532="","",SUMIFS(PERLINE!$U$2:$U$3001,PERLINE!$N$2:$N$3001,$A532,PERLINE!$AK$2:$AK$3001,0))</f>
        <v/>
      </c>
      <c r="F532" s="19" t="str">
        <f aca="false">IF($A532="","",E532*D532)</f>
        <v/>
      </c>
      <c r="G532" s="17" t="str">
        <f aca="false">IF($A532="","",'كشف المطالبة'!$D$5)</f>
        <v/>
      </c>
      <c r="H532" s="18" t="str">
        <f aca="false">IF($A532="","",SUMIFS(PERLINE!$U$2:$U$3001,PERLINE!$N$2:$N$3001,$A532,PERLINE!$AK$2:$AK$3001,1))</f>
        <v/>
      </c>
      <c r="I532" s="19" t="str">
        <f aca="false">IF($A532="","",H532*G532)</f>
        <v/>
      </c>
      <c r="J532" s="19" t="str">
        <f aca="false">IF($A532="","",F532+I532)</f>
        <v/>
      </c>
      <c r="K532" s="19" t="str">
        <f aca="false">IF($A532="","",H532+E532)</f>
        <v/>
      </c>
      <c r="L532" s="20" t="str">
        <f aca="false">IF($A532="","",K532-J532-N532)</f>
        <v/>
      </c>
      <c r="M532" s="15" t="str">
        <f aca="false">IF($A532="","",INDEX(PERLINE!$A$2:$A$3001,MATCH($A532,PERLINE!$N$2:$N$3001,0)))</f>
        <v/>
      </c>
      <c r="N532" s="21" t="str">
        <f aca="false">IF($A532="","",SUMIFS(PERLINE!$M$2:$M$3001,PERLINE!$N$2:$N$3001,$A532))</f>
        <v/>
      </c>
    </row>
    <row r="533" customFormat="false" ht="15" hidden="false" customHeight="false" outlineLevel="0" collapsed="false">
      <c r="A533" s="15" t="str">
        <f aca="false">IF(ROWS($A$2:$A533)&lt;=Check!$C$4,SMALL(PERLINE!$AL$2:$AL$3001,ROWS($A$2:$A533)),"")</f>
        <v/>
      </c>
      <c r="B533" s="15" t="str">
        <f aca="false">IF($A533="","",INDEX(PERLINE!$J$2:$J$3001,MATCH($A533,PERLINE!$N$2:$N$3001,0)))</f>
        <v/>
      </c>
      <c r="C533" s="16" t="str">
        <f aca="false">IF($A533="","",INDEX(PERLINE!$I$2:$I$3001,MATCH($A533,PERLINE!$N$2:$N$3001,0)))</f>
        <v/>
      </c>
      <c r="D533" s="17" t="str">
        <f aca="false">IF($A533="","",'كشف المطالبة'!$D$6)</f>
        <v/>
      </c>
      <c r="E533" s="18" t="str">
        <f aca="false">IF($A533="","",SUMIFS(PERLINE!$U$2:$U$3001,PERLINE!$N$2:$N$3001,$A533,PERLINE!$AK$2:$AK$3001,0))</f>
        <v/>
      </c>
      <c r="F533" s="19" t="str">
        <f aca="false">IF($A533="","",E533*D533)</f>
        <v/>
      </c>
      <c r="G533" s="17" t="str">
        <f aca="false">IF($A533="","",'كشف المطالبة'!$D$5)</f>
        <v/>
      </c>
      <c r="H533" s="18" t="str">
        <f aca="false">IF($A533="","",SUMIFS(PERLINE!$U$2:$U$3001,PERLINE!$N$2:$N$3001,$A533,PERLINE!$AK$2:$AK$3001,1))</f>
        <v/>
      </c>
      <c r="I533" s="19" t="str">
        <f aca="false">IF($A533="","",H533*G533)</f>
        <v/>
      </c>
      <c r="J533" s="19" t="str">
        <f aca="false">IF($A533="","",F533+I533)</f>
        <v/>
      </c>
      <c r="K533" s="19" t="str">
        <f aca="false">IF($A533="","",H533+E533)</f>
        <v/>
      </c>
      <c r="L533" s="20" t="str">
        <f aca="false">IF($A533="","",K533-J533-N533)</f>
        <v/>
      </c>
      <c r="M533" s="15" t="str">
        <f aca="false">IF($A533="","",INDEX(PERLINE!$A$2:$A$3001,MATCH($A533,PERLINE!$N$2:$N$3001,0)))</f>
        <v/>
      </c>
      <c r="N533" s="21" t="str">
        <f aca="false">IF($A533="","",SUMIFS(PERLINE!$M$2:$M$3001,PERLINE!$N$2:$N$3001,$A533))</f>
        <v/>
      </c>
    </row>
    <row r="534" customFormat="false" ht="15" hidden="false" customHeight="false" outlineLevel="0" collapsed="false">
      <c r="A534" s="15" t="str">
        <f aca="false">IF(ROWS($A$2:$A534)&lt;=Check!$C$4,SMALL(PERLINE!$AL$2:$AL$3001,ROWS($A$2:$A534)),"")</f>
        <v/>
      </c>
      <c r="B534" s="15" t="str">
        <f aca="false">IF($A534="","",INDEX(PERLINE!$J$2:$J$3001,MATCH($A534,PERLINE!$N$2:$N$3001,0)))</f>
        <v/>
      </c>
      <c r="C534" s="16" t="str">
        <f aca="false">IF($A534="","",INDEX(PERLINE!$I$2:$I$3001,MATCH($A534,PERLINE!$N$2:$N$3001,0)))</f>
        <v/>
      </c>
      <c r="D534" s="17" t="str">
        <f aca="false">IF($A534="","",'كشف المطالبة'!$D$6)</f>
        <v/>
      </c>
      <c r="E534" s="18" t="str">
        <f aca="false">IF($A534="","",SUMIFS(PERLINE!$U$2:$U$3001,PERLINE!$N$2:$N$3001,$A534,PERLINE!$AK$2:$AK$3001,0))</f>
        <v/>
      </c>
      <c r="F534" s="19" t="str">
        <f aca="false">IF($A534="","",E534*D534)</f>
        <v/>
      </c>
      <c r="G534" s="17" t="str">
        <f aca="false">IF($A534="","",'كشف المطالبة'!$D$5)</f>
        <v/>
      </c>
      <c r="H534" s="18" t="str">
        <f aca="false">IF($A534="","",SUMIFS(PERLINE!$U$2:$U$3001,PERLINE!$N$2:$N$3001,$A534,PERLINE!$AK$2:$AK$3001,1))</f>
        <v/>
      </c>
      <c r="I534" s="19" t="str">
        <f aca="false">IF($A534="","",H534*G534)</f>
        <v/>
      </c>
      <c r="J534" s="19" t="str">
        <f aca="false">IF($A534="","",F534+I534)</f>
        <v/>
      </c>
      <c r="K534" s="19" t="str">
        <f aca="false">IF($A534="","",H534+E534)</f>
        <v/>
      </c>
      <c r="L534" s="20" t="str">
        <f aca="false">IF($A534="","",K534-J534-N534)</f>
        <v/>
      </c>
      <c r="M534" s="15" t="str">
        <f aca="false">IF($A534="","",INDEX(PERLINE!$A$2:$A$3001,MATCH($A534,PERLINE!$N$2:$N$3001,0)))</f>
        <v/>
      </c>
      <c r="N534" s="21" t="str">
        <f aca="false">IF($A534="","",SUMIFS(PERLINE!$M$2:$M$3001,PERLINE!$N$2:$N$3001,$A534))</f>
        <v/>
      </c>
    </row>
    <row r="535" customFormat="false" ht="15" hidden="false" customHeight="false" outlineLevel="0" collapsed="false">
      <c r="A535" s="15" t="str">
        <f aca="false">IF(ROWS($A$2:$A535)&lt;=Check!$C$4,SMALL(PERLINE!$AL$2:$AL$3001,ROWS($A$2:$A535)),"")</f>
        <v/>
      </c>
      <c r="B535" s="15" t="str">
        <f aca="false">IF($A535="","",INDEX(PERLINE!$J$2:$J$3001,MATCH($A535,PERLINE!$N$2:$N$3001,0)))</f>
        <v/>
      </c>
      <c r="C535" s="16" t="str">
        <f aca="false">IF($A535="","",INDEX(PERLINE!$I$2:$I$3001,MATCH($A535,PERLINE!$N$2:$N$3001,0)))</f>
        <v/>
      </c>
      <c r="D535" s="17" t="str">
        <f aca="false">IF($A535="","",'كشف المطالبة'!$D$6)</f>
        <v/>
      </c>
      <c r="E535" s="18" t="str">
        <f aca="false">IF($A535="","",SUMIFS(PERLINE!$U$2:$U$3001,PERLINE!$N$2:$N$3001,$A535,PERLINE!$AK$2:$AK$3001,0))</f>
        <v/>
      </c>
      <c r="F535" s="19" t="str">
        <f aca="false">IF($A535="","",E535*D535)</f>
        <v/>
      </c>
      <c r="G535" s="17" t="str">
        <f aca="false">IF($A535="","",'كشف المطالبة'!$D$5)</f>
        <v/>
      </c>
      <c r="H535" s="18" t="str">
        <f aca="false">IF($A535="","",SUMIFS(PERLINE!$U$2:$U$3001,PERLINE!$N$2:$N$3001,$A535,PERLINE!$AK$2:$AK$3001,1))</f>
        <v/>
      </c>
      <c r="I535" s="19" t="str">
        <f aca="false">IF($A535="","",H535*G535)</f>
        <v/>
      </c>
      <c r="J535" s="19" t="str">
        <f aca="false">IF($A535="","",F535+I535)</f>
        <v/>
      </c>
      <c r="K535" s="19" t="str">
        <f aca="false">IF($A535="","",H535+E535)</f>
        <v/>
      </c>
      <c r="L535" s="20" t="str">
        <f aca="false">IF($A535="","",K535-J535-N535)</f>
        <v/>
      </c>
      <c r="M535" s="15" t="str">
        <f aca="false">IF($A535="","",INDEX(PERLINE!$A$2:$A$3001,MATCH($A535,PERLINE!$N$2:$N$3001,0)))</f>
        <v/>
      </c>
      <c r="N535" s="21" t="str">
        <f aca="false">IF($A535="","",SUMIFS(PERLINE!$M$2:$M$3001,PERLINE!$N$2:$N$3001,$A535))</f>
        <v/>
      </c>
    </row>
    <row r="536" customFormat="false" ht="15" hidden="false" customHeight="false" outlineLevel="0" collapsed="false">
      <c r="A536" s="15" t="str">
        <f aca="false">IF(ROWS($A$2:$A536)&lt;=Check!$C$4,SMALL(PERLINE!$AL$2:$AL$3001,ROWS($A$2:$A536)),"")</f>
        <v/>
      </c>
      <c r="B536" s="15" t="str">
        <f aca="false">IF($A536="","",INDEX(PERLINE!$J$2:$J$3001,MATCH($A536,PERLINE!$N$2:$N$3001,0)))</f>
        <v/>
      </c>
      <c r="C536" s="16" t="str">
        <f aca="false">IF($A536="","",INDEX(PERLINE!$I$2:$I$3001,MATCH($A536,PERLINE!$N$2:$N$3001,0)))</f>
        <v/>
      </c>
      <c r="D536" s="17" t="str">
        <f aca="false">IF($A536="","",'كشف المطالبة'!$D$6)</f>
        <v/>
      </c>
      <c r="E536" s="18" t="str">
        <f aca="false">IF($A536="","",SUMIFS(PERLINE!$U$2:$U$3001,PERLINE!$N$2:$N$3001,$A536,PERLINE!$AK$2:$AK$3001,0))</f>
        <v/>
      </c>
      <c r="F536" s="19" t="str">
        <f aca="false">IF($A536="","",E536*D536)</f>
        <v/>
      </c>
      <c r="G536" s="17" t="str">
        <f aca="false">IF($A536="","",'كشف المطالبة'!$D$5)</f>
        <v/>
      </c>
      <c r="H536" s="18" t="str">
        <f aca="false">IF($A536="","",SUMIFS(PERLINE!$U$2:$U$3001,PERLINE!$N$2:$N$3001,$A536,PERLINE!$AK$2:$AK$3001,1))</f>
        <v/>
      </c>
      <c r="I536" s="19" t="str">
        <f aca="false">IF($A536="","",H536*G536)</f>
        <v/>
      </c>
      <c r="J536" s="19" t="str">
        <f aca="false">IF($A536="","",F536+I536)</f>
        <v/>
      </c>
      <c r="K536" s="19" t="str">
        <f aca="false">IF($A536="","",H536+E536)</f>
        <v/>
      </c>
      <c r="L536" s="20" t="str">
        <f aca="false">IF($A536="","",K536-J536-N536)</f>
        <v/>
      </c>
      <c r="M536" s="15" t="str">
        <f aca="false">IF($A536="","",INDEX(PERLINE!$A$2:$A$3001,MATCH($A536,PERLINE!$N$2:$N$3001,0)))</f>
        <v/>
      </c>
      <c r="N536" s="21" t="str">
        <f aca="false">IF($A536="","",SUMIFS(PERLINE!$M$2:$M$3001,PERLINE!$N$2:$N$3001,$A536))</f>
        <v/>
      </c>
    </row>
    <row r="537" customFormat="false" ht="15" hidden="false" customHeight="false" outlineLevel="0" collapsed="false">
      <c r="A537" s="15" t="str">
        <f aca="false">IF(ROWS($A$2:$A537)&lt;=Check!$C$4,SMALL(PERLINE!$AL$2:$AL$3001,ROWS($A$2:$A537)),"")</f>
        <v/>
      </c>
      <c r="B537" s="15" t="str">
        <f aca="false">IF($A537="","",INDEX(PERLINE!$J$2:$J$3001,MATCH($A537,PERLINE!$N$2:$N$3001,0)))</f>
        <v/>
      </c>
      <c r="C537" s="16" t="str">
        <f aca="false">IF($A537="","",INDEX(PERLINE!$I$2:$I$3001,MATCH($A537,PERLINE!$N$2:$N$3001,0)))</f>
        <v/>
      </c>
      <c r="D537" s="17" t="str">
        <f aca="false">IF($A537="","",'كشف المطالبة'!$D$6)</f>
        <v/>
      </c>
      <c r="E537" s="18" t="str">
        <f aca="false">IF($A537="","",SUMIFS(PERLINE!$U$2:$U$3001,PERLINE!$N$2:$N$3001,$A537,PERLINE!$AK$2:$AK$3001,0))</f>
        <v/>
      </c>
      <c r="F537" s="19" t="str">
        <f aca="false">IF($A537="","",E537*D537)</f>
        <v/>
      </c>
      <c r="G537" s="17" t="str">
        <f aca="false">IF($A537="","",'كشف المطالبة'!$D$5)</f>
        <v/>
      </c>
      <c r="H537" s="18" t="str">
        <f aca="false">IF($A537="","",SUMIFS(PERLINE!$U$2:$U$3001,PERLINE!$N$2:$N$3001,$A537,PERLINE!$AK$2:$AK$3001,1))</f>
        <v/>
      </c>
      <c r="I537" s="19" t="str">
        <f aca="false">IF($A537="","",H537*G537)</f>
        <v/>
      </c>
      <c r="J537" s="19" t="str">
        <f aca="false">IF($A537="","",F537+I537)</f>
        <v/>
      </c>
      <c r="K537" s="19" t="str">
        <f aca="false">IF($A537="","",H537+E537)</f>
        <v/>
      </c>
      <c r="L537" s="20" t="str">
        <f aca="false">IF($A537="","",K537-J537-N537)</f>
        <v/>
      </c>
      <c r="M537" s="15" t="str">
        <f aca="false">IF($A537="","",INDEX(PERLINE!$A$2:$A$3001,MATCH($A537,PERLINE!$N$2:$N$3001,0)))</f>
        <v/>
      </c>
      <c r="N537" s="21" t="str">
        <f aca="false">IF($A537="","",SUMIFS(PERLINE!$M$2:$M$3001,PERLINE!$N$2:$N$3001,$A537))</f>
        <v/>
      </c>
    </row>
    <row r="538" customFormat="false" ht="15" hidden="false" customHeight="false" outlineLevel="0" collapsed="false">
      <c r="A538" s="15" t="str">
        <f aca="false">IF(ROWS($A$2:$A538)&lt;=Check!$C$4,SMALL(PERLINE!$AL$2:$AL$3001,ROWS($A$2:$A538)),"")</f>
        <v/>
      </c>
      <c r="B538" s="15" t="str">
        <f aca="false">IF($A538="","",INDEX(PERLINE!$J$2:$J$3001,MATCH($A538,PERLINE!$N$2:$N$3001,0)))</f>
        <v/>
      </c>
      <c r="C538" s="16" t="str">
        <f aca="false">IF($A538="","",INDEX(PERLINE!$I$2:$I$3001,MATCH($A538,PERLINE!$N$2:$N$3001,0)))</f>
        <v/>
      </c>
      <c r="D538" s="17" t="str">
        <f aca="false">IF($A538="","",'كشف المطالبة'!$D$6)</f>
        <v/>
      </c>
      <c r="E538" s="18" t="str">
        <f aca="false">IF($A538="","",SUMIFS(PERLINE!$U$2:$U$3001,PERLINE!$N$2:$N$3001,$A538,PERLINE!$AK$2:$AK$3001,0))</f>
        <v/>
      </c>
      <c r="F538" s="19" t="str">
        <f aca="false">IF($A538="","",E538*D538)</f>
        <v/>
      </c>
      <c r="G538" s="17" t="str">
        <f aca="false">IF($A538="","",'كشف المطالبة'!$D$5)</f>
        <v/>
      </c>
      <c r="H538" s="18" t="str">
        <f aca="false">IF($A538="","",SUMIFS(PERLINE!$U$2:$U$3001,PERLINE!$N$2:$N$3001,$A538,PERLINE!$AK$2:$AK$3001,1))</f>
        <v/>
      </c>
      <c r="I538" s="19" t="str">
        <f aca="false">IF($A538="","",H538*G538)</f>
        <v/>
      </c>
      <c r="J538" s="19" t="str">
        <f aca="false">IF($A538="","",F538+I538)</f>
        <v/>
      </c>
      <c r="K538" s="19" t="str">
        <f aca="false">IF($A538="","",H538+E538)</f>
        <v/>
      </c>
      <c r="L538" s="20" t="str">
        <f aca="false">IF($A538="","",K538-J538-N538)</f>
        <v/>
      </c>
      <c r="M538" s="15" t="str">
        <f aca="false">IF($A538="","",INDEX(PERLINE!$A$2:$A$3001,MATCH($A538,PERLINE!$N$2:$N$3001,0)))</f>
        <v/>
      </c>
      <c r="N538" s="21" t="str">
        <f aca="false">IF($A538="","",SUMIFS(PERLINE!$M$2:$M$3001,PERLINE!$N$2:$N$3001,$A538))</f>
        <v/>
      </c>
    </row>
    <row r="539" customFormat="false" ht="15" hidden="false" customHeight="false" outlineLevel="0" collapsed="false">
      <c r="A539" s="15" t="str">
        <f aca="false">IF(ROWS($A$2:$A539)&lt;=Check!$C$4,SMALL(PERLINE!$AL$2:$AL$3001,ROWS($A$2:$A539)),"")</f>
        <v/>
      </c>
      <c r="B539" s="15" t="str">
        <f aca="false">IF($A539="","",INDEX(PERLINE!$J$2:$J$3001,MATCH($A539,PERLINE!$N$2:$N$3001,0)))</f>
        <v/>
      </c>
      <c r="C539" s="16" t="str">
        <f aca="false">IF($A539="","",INDEX(PERLINE!$I$2:$I$3001,MATCH($A539,PERLINE!$N$2:$N$3001,0)))</f>
        <v/>
      </c>
      <c r="D539" s="17" t="str">
        <f aca="false">IF($A539="","",'كشف المطالبة'!$D$6)</f>
        <v/>
      </c>
      <c r="E539" s="18" t="str">
        <f aca="false">IF($A539="","",SUMIFS(PERLINE!$U$2:$U$3001,PERLINE!$N$2:$N$3001,$A539,PERLINE!$AK$2:$AK$3001,0))</f>
        <v/>
      </c>
      <c r="F539" s="19" t="str">
        <f aca="false">IF($A539="","",E539*D539)</f>
        <v/>
      </c>
      <c r="G539" s="17" t="str">
        <f aca="false">IF($A539="","",'كشف المطالبة'!$D$5)</f>
        <v/>
      </c>
      <c r="H539" s="18" t="str">
        <f aca="false">IF($A539="","",SUMIFS(PERLINE!$U$2:$U$3001,PERLINE!$N$2:$N$3001,$A539,PERLINE!$AK$2:$AK$3001,1))</f>
        <v/>
      </c>
      <c r="I539" s="19" t="str">
        <f aca="false">IF($A539="","",H539*G539)</f>
        <v/>
      </c>
      <c r="J539" s="19" t="str">
        <f aca="false">IF($A539="","",F539+I539)</f>
        <v/>
      </c>
      <c r="K539" s="19" t="str">
        <f aca="false">IF($A539="","",H539+E539)</f>
        <v/>
      </c>
      <c r="L539" s="20" t="str">
        <f aca="false">IF($A539="","",K539-J539-N539)</f>
        <v/>
      </c>
      <c r="M539" s="15" t="str">
        <f aca="false">IF($A539="","",INDEX(PERLINE!$A$2:$A$3001,MATCH($A539,PERLINE!$N$2:$N$3001,0)))</f>
        <v/>
      </c>
      <c r="N539" s="21" t="str">
        <f aca="false">IF($A539="","",SUMIFS(PERLINE!$M$2:$M$3001,PERLINE!$N$2:$N$3001,$A539))</f>
        <v/>
      </c>
    </row>
    <row r="540" customFormat="false" ht="15" hidden="false" customHeight="false" outlineLevel="0" collapsed="false">
      <c r="A540" s="15" t="str">
        <f aca="false">IF(ROWS($A$2:$A540)&lt;=Check!$C$4,SMALL(PERLINE!$AL$2:$AL$3001,ROWS($A$2:$A540)),"")</f>
        <v/>
      </c>
      <c r="B540" s="15" t="str">
        <f aca="false">IF($A540="","",INDEX(PERLINE!$J$2:$J$3001,MATCH($A540,PERLINE!$N$2:$N$3001,0)))</f>
        <v/>
      </c>
      <c r="C540" s="16" t="str">
        <f aca="false">IF($A540="","",INDEX(PERLINE!$I$2:$I$3001,MATCH($A540,PERLINE!$N$2:$N$3001,0)))</f>
        <v/>
      </c>
      <c r="D540" s="17" t="str">
        <f aca="false">IF($A540="","",'كشف المطالبة'!$D$6)</f>
        <v/>
      </c>
      <c r="E540" s="18" t="str">
        <f aca="false">IF($A540="","",SUMIFS(PERLINE!$U$2:$U$3001,PERLINE!$N$2:$N$3001,$A540,PERLINE!$AK$2:$AK$3001,0))</f>
        <v/>
      </c>
      <c r="F540" s="19" t="str">
        <f aca="false">IF($A540="","",E540*D540)</f>
        <v/>
      </c>
      <c r="G540" s="17" t="str">
        <f aca="false">IF($A540="","",'كشف المطالبة'!$D$5)</f>
        <v/>
      </c>
      <c r="H540" s="18" t="str">
        <f aca="false">IF($A540="","",SUMIFS(PERLINE!$U$2:$U$3001,PERLINE!$N$2:$N$3001,$A540,PERLINE!$AK$2:$AK$3001,1))</f>
        <v/>
      </c>
      <c r="I540" s="19" t="str">
        <f aca="false">IF($A540="","",H540*G540)</f>
        <v/>
      </c>
      <c r="J540" s="19" t="str">
        <f aca="false">IF($A540="","",F540+I540)</f>
        <v/>
      </c>
      <c r="K540" s="19" t="str">
        <f aca="false">IF($A540="","",H540+E540)</f>
        <v/>
      </c>
      <c r="L540" s="20" t="str">
        <f aca="false">IF($A540="","",K540-J540-N540)</f>
        <v/>
      </c>
      <c r="M540" s="15" t="str">
        <f aca="false">IF($A540="","",INDEX(PERLINE!$A$2:$A$3001,MATCH($A540,PERLINE!$N$2:$N$3001,0)))</f>
        <v/>
      </c>
      <c r="N540" s="21" t="str">
        <f aca="false">IF($A540="","",SUMIFS(PERLINE!$M$2:$M$3001,PERLINE!$N$2:$N$3001,$A540))</f>
        <v/>
      </c>
    </row>
    <row r="541" customFormat="false" ht="15" hidden="false" customHeight="false" outlineLevel="0" collapsed="false">
      <c r="A541" s="15" t="str">
        <f aca="false">IF(ROWS($A$2:$A541)&lt;=Check!$C$4,SMALL(PERLINE!$AL$2:$AL$3001,ROWS($A$2:$A541)),"")</f>
        <v/>
      </c>
      <c r="B541" s="15" t="str">
        <f aca="false">IF($A541="","",INDEX(PERLINE!$J$2:$J$3001,MATCH($A541,PERLINE!$N$2:$N$3001,0)))</f>
        <v/>
      </c>
      <c r="C541" s="16" t="str">
        <f aca="false">IF($A541="","",INDEX(PERLINE!$I$2:$I$3001,MATCH($A541,PERLINE!$N$2:$N$3001,0)))</f>
        <v/>
      </c>
      <c r="D541" s="17" t="str">
        <f aca="false">IF($A541="","",'كشف المطالبة'!$D$6)</f>
        <v/>
      </c>
      <c r="E541" s="18" t="str">
        <f aca="false">IF($A541="","",SUMIFS(PERLINE!$U$2:$U$3001,PERLINE!$N$2:$N$3001,$A541,PERLINE!$AK$2:$AK$3001,0))</f>
        <v/>
      </c>
      <c r="F541" s="19" t="str">
        <f aca="false">IF($A541="","",E541*D541)</f>
        <v/>
      </c>
      <c r="G541" s="17" t="str">
        <f aca="false">IF($A541="","",'كشف المطالبة'!$D$5)</f>
        <v/>
      </c>
      <c r="H541" s="18" t="str">
        <f aca="false">IF($A541="","",SUMIFS(PERLINE!$U$2:$U$3001,PERLINE!$N$2:$N$3001,$A541,PERLINE!$AK$2:$AK$3001,1))</f>
        <v/>
      </c>
      <c r="I541" s="19" t="str">
        <f aca="false">IF($A541="","",H541*G541)</f>
        <v/>
      </c>
      <c r="J541" s="19" t="str">
        <f aca="false">IF($A541="","",F541+I541)</f>
        <v/>
      </c>
      <c r="K541" s="19" t="str">
        <f aca="false">IF($A541="","",H541+E541)</f>
        <v/>
      </c>
      <c r="L541" s="20" t="str">
        <f aca="false">IF($A541="","",K541-J541-N541)</f>
        <v/>
      </c>
      <c r="M541" s="15" t="str">
        <f aca="false">IF($A541="","",INDEX(PERLINE!$A$2:$A$3001,MATCH($A541,PERLINE!$N$2:$N$3001,0)))</f>
        <v/>
      </c>
      <c r="N541" s="21" t="str">
        <f aca="false">IF($A541="","",SUMIFS(PERLINE!$M$2:$M$3001,PERLINE!$N$2:$N$3001,$A541))</f>
        <v/>
      </c>
    </row>
    <row r="542" customFormat="false" ht="15" hidden="false" customHeight="false" outlineLevel="0" collapsed="false">
      <c r="A542" s="15" t="str">
        <f aca="false">IF(ROWS($A$2:$A542)&lt;=Check!$C$4,SMALL(PERLINE!$AL$2:$AL$3001,ROWS($A$2:$A542)),"")</f>
        <v/>
      </c>
      <c r="B542" s="15" t="str">
        <f aca="false">IF($A542="","",INDEX(PERLINE!$J$2:$J$3001,MATCH($A542,PERLINE!$N$2:$N$3001,0)))</f>
        <v/>
      </c>
      <c r="C542" s="16" t="str">
        <f aca="false">IF($A542="","",INDEX(PERLINE!$I$2:$I$3001,MATCH($A542,PERLINE!$N$2:$N$3001,0)))</f>
        <v/>
      </c>
      <c r="D542" s="17" t="str">
        <f aca="false">IF($A542="","",'كشف المطالبة'!$D$6)</f>
        <v/>
      </c>
      <c r="E542" s="18" t="str">
        <f aca="false">IF($A542="","",SUMIFS(PERLINE!$U$2:$U$3001,PERLINE!$N$2:$N$3001,$A542,PERLINE!$AK$2:$AK$3001,0))</f>
        <v/>
      </c>
      <c r="F542" s="19" t="str">
        <f aca="false">IF($A542="","",E542*D542)</f>
        <v/>
      </c>
      <c r="G542" s="17" t="str">
        <f aca="false">IF($A542="","",'كشف المطالبة'!$D$5)</f>
        <v/>
      </c>
      <c r="H542" s="18" t="str">
        <f aca="false">IF($A542="","",SUMIFS(PERLINE!$U$2:$U$3001,PERLINE!$N$2:$N$3001,$A542,PERLINE!$AK$2:$AK$3001,1))</f>
        <v/>
      </c>
      <c r="I542" s="19" t="str">
        <f aca="false">IF($A542="","",H542*G542)</f>
        <v/>
      </c>
      <c r="J542" s="19" t="str">
        <f aca="false">IF($A542="","",F542+I542)</f>
        <v/>
      </c>
      <c r="K542" s="19" t="str">
        <f aca="false">IF($A542="","",H542+E542)</f>
        <v/>
      </c>
      <c r="L542" s="20" t="str">
        <f aca="false">IF($A542="","",K542-J542-N542)</f>
        <v/>
      </c>
      <c r="M542" s="15" t="str">
        <f aca="false">IF($A542="","",INDEX(PERLINE!$A$2:$A$3001,MATCH($A542,PERLINE!$N$2:$N$3001,0)))</f>
        <v/>
      </c>
      <c r="N542" s="21" t="str">
        <f aca="false">IF($A542="","",SUMIFS(PERLINE!$M$2:$M$3001,PERLINE!$N$2:$N$3001,$A542))</f>
        <v/>
      </c>
    </row>
    <row r="543" customFormat="false" ht="15" hidden="false" customHeight="false" outlineLevel="0" collapsed="false">
      <c r="A543" s="15" t="str">
        <f aca="false">IF(ROWS($A$2:$A543)&lt;=Check!$C$4,SMALL(PERLINE!$AL$2:$AL$3001,ROWS($A$2:$A543)),"")</f>
        <v/>
      </c>
      <c r="B543" s="15" t="str">
        <f aca="false">IF($A543="","",INDEX(PERLINE!$J$2:$J$3001,MATCH($A543,PERLINE!$N$2:$N$3001,0)))</f>
        <v/>
      </c>
      <c r="C543" s="16" t="str">
        <f aca="false">IF($A543="","",INDEX(PERLINE!$I$2:$I$3001,MATCH($A543,PERLINE!$N$2:$N$3001,0)))</f>
        <v/>
      </c>
      <c r="D543" s="17" t="str">
        <f aca="false">IF($A543="","",'كشف المطالبة'!$D$6)</f>
        <v/>
      </c>
      <c r="E543" s="18" t="str">
        <f aca="false">IF($A543="","",SUMIFS(PERLINE!$U$2:$U$3001,PERLINE!$N$2:$N$3001,$A543,PERLINE!$AK$2:$AK$3001,0))</f>
        <v/>
      </c>
      <c r="F543" s="19" t="str">
        <f aca="false">IF($A543="","",E543*D543)</f>
        <v/>
      </c>
      <c r="G543" s="17" t="str">
        <f aca="false">IF($A543="","",'كشف المطالبة'!$D$5)</f>
        <v/>
      </c>
      <c r="H543" s="18" t="str">
        <f aca="false">IF($A543="","",SUMIFS(PERLINE!$U$2:$U$3001,PERLINE!$N$2:$N$3001,$A543,PERLINE!$AK$2:$AK$3001,1))</f>
        <v/>
      </c>
      <c r="I543" s="19" t="str">
        <f aca="false">IF($A543="","",H543*G543)</f>
        <v/>
      </c>
      <c r="J543" s="19" t="str">
        <f aca="false">IF($A543="","",F543+I543)</f>
        <v/>
      </c>
      <c r="K543" s="19" t="str">
        <f aca="false">IF($A543="","",H543+E543)</f>
        <v/>
      </c>
      <c r="L543" s="20" t="str">
        <f aca="false">IF($A543="","",K543-J543-N543)</f>
        <v/>
      </c>
      <c r="M543" s="15" t="str">
        <f aca="false">IF($A543="","",INDEX(PERLINE!$A$2:$A$3001,MATCH($A543,PERLINE!$N$2:$N$3001,0)))</f>
        <v/>
      </c>
      <c r="N543" s="21" t="str">
        <f aca="false">IF($A543="","",SUMIFS(PERLINE!$M$2:$M$3001,PERLINE!$N$2:$N$3001,$A543))</f>
        <v/>
      </c>
    </row>
    <row r="544" customFormat="false" ht="15" hidden="false" customHeight="false" outlineLevel="0" collapsed="false">
      <c r="A544" s="15" t="str">
        <f aca="false">IF(ROWS($A$2:$A544)&lt;=Check!$C$4,SMALL(PERLINE!$AL$2:$AL$3001,ROWS($A$2:$A544)),"")</f>
        <v/>
      </c>
      <c r="B544" s="15" t="str">
        <f aca="false">IF($A544="","",INDEX(PERLINE!$J$2:$J$3001,MATCH($A544,PERLINE!$N$2:$N$3001,0)))</f>
        <v/>
      </c>
      <c r="C544" s="16" t="str">
        <f aca="false">IF($A544="","",INDEX(PERLINE!$I$2:$I$3001,MATCH($A544,PERLINE!$N$2:$N$3001,0)))</f>
        <v/>
      </c>
      <c r="D544" s="17" t="str">
        <f aca="false">IF($A544="","",'كشف المطالبة'!$D$6)</f>
        <v/>
      </c>
      <c r="E544" s="18" t="str">
        <f aca="false">IF($A544="","",SUMIFS(PERLINE!$U$2:$U$3001,PERLINE!$N$2:$N$3001,$A544,PERLINE!$AK$2:$AK$3001,0))</f>
        <v/>
      </c>
      <c r="F544" s="19" t="str">
        <f aca="false">IF($A544="","",E544*D544)</f>
        <v/>
      </c>
      <c r="G544" s="17" t="str">
        <f aca="false">IF($A544="","",'كشف المطالبة'!$D$5)</f>
        <v/>
      </c>
      <c r="H544" s="18" t="str">
        <f aca="false">IF($A544="","",SUMIFS(PERLINE!$U$2:$U$3001,PERLINE!$N$2:$N$3001,$A544,PERLINE!$AK$2:$AK$3001,1))</f>
        <v/>
      </c>
      <c r="I544" s="19" t="str">
        <f aca="false">IF($A544="","",H544*G544)</f>
        <v/>
      </c>
      <c r="J544" s="19" t="str">
        <f aca="false">IF($A544="","",F544+I544)</f>
        <v/>
      </c>
      <c r="K544" s="19" t="str">
        <f aca="false">IF($A544="","",H544+E544)</f>
        <v/>
      </c>
      <c r="L544" s="20" t="str">
        <f aca="false">IF($A544="","",K544-J544-N544)</f>
        <v/>
      </c>
      <c r="M544" s="15" t="str">
        <f aca="false">IF($A544="","",INDEX(PERLINE!$A$2:$A$3001,MATCH($A544,PERLINE!$N$2:$N$3001,0)))</f>
        <v/>
      </c>
      <c r="N544" s="21" t="str">
        <f aca="false">IF($A544="","",SUMIFS(PERLINE!$M$2:$M$3001,PERLINE!$N$2:$N$3001,$A544))</f>
        <v/>
      </c>
    </row>
    <row r="545" customFormat="false" ht="15" hidden="false" customHeight="false" outlineLevel="0" collapsed="false">
      <c r="A545" s="15" t="str">
        <f aca="false">IF(ROWS($A$2:$A545)&lt;=Check!$C$4,SMALL(PERLINE!$AL$2:$AL$3001,ROWS($A$2:$A545)),"")</f>
        <v/>
      </c>
      <c r="B545" s="15" t="str">
        <f aca="false">IF($A545="","",INDEX(PERLINE!$J$2:$J$3001,MATCH($A545,PERLINE!$N$2:$N$3001,0)))</f>
        <v/>
      </c>
      <c r="C545" s="16" t="str">
        <f aca="false">IF($A545="","",INDEX(PERLINE!$I$2:$I$3001,MATCH($A545,PERLINE!$N$2:$N$3001,0)))</f>
        <v/>
      </c>
      <c r="D545" s="17" t="str">
        <f aca="false">IF($A545="","",'كشف المطالبة'!$D$6)</f>
        <v/>
      </c>
      <c r="E545" s="18" t="str">
        <f aca="false">IF($A545="","",SUMIFS(PERLINE!$U$2:$U$3001,PERLINE!$N$2:$N$3001,$A545,PERLINE!$AK$2:$AK$3001,0))</f>
        <v/>
      </c>
      <c r="F545" s="19" t="str">
        <f aca="false">IF($A545="","",E545*D545)</f>
        <v/>
      </c>
      <c r="G545" s="17" t="str">
        <f aca="false">IF($A545="","",'كشف المطالبة'!$D$5)</f>
        <v/>
      </c>
      <c r="H545" s="18" t="str">
        <f aca="false">IF($A545="","",SUMIFS(PERLINE!$U$2:$U$3001,PERLINE!$N$2:$N$3001,$A545,PERLINE!$AK$2:$AK$3001,1))</f>
        <v/>
      </c>
      <c r="I545" s="19" t="str">
        <f aca="false">IF($A545="","",H545*G545)</f>
        <v/>
      </c>
      <c r="J545" s="19" t="str">
        <f aca="false">IF($A545="","",F545+I545)</f>
        <v/>
      </c>
      <c r="K545" s="19" t="str">
        <f aca="false">IF($A545="","",H545+E545)</f>
        <v/>
      </c>
      <c r="L545" s="20" t="str">
        <f aca="false">IF($A545="","",K545-J545-N545)</f>
        <v/>
      </c>
      <c r="M545" s="15" t="str">
        <f aca="false">IF($A545="","",INDEX(PERLINE!$A$2:$A$3001,MATCH($A545,PERLINE!$N$2:$N$3001,0)))</f>
        <v/>
      </c>
      <c r="N545" s="21" t="str">
        <f aca="false">IF($A545="","",SUMIFS(PERLINE!$M$2:$M$3001,PERLINE!$N$2:$N$3001,$A545))</f>
        <v/>
      </c>
    </row>
    <row r="546" customFormat="false" ht="15" hidden="false" customHeight="false" outlineLevel="0" collapsed="false">
      <c r="A546" s="15" t="str">
        <f aca="false">IF(ROWS($A$2:$A546)&lt;=Check!$C$4,SMALL(PERLINE!$AL$2:$AL$3001,ROWS($A$2:$A546)),"")</f>
        <v/>
      </c>
      <c r="B546" s="15" t="str">
        <f aca="false">IF($A546="","",INDEX(PERLINE!$J$2:$J$3001,MATCH($A546,PERLINE!$N$2:$N$3001,0)))</f>
        <v/>
      </c>
      <c r="C546" s="16" t="str">
        <f aca="false">IF($A546="","",INDEX(PERLINE!$I$2:$I$3001,MATCH($A546,PERLINE!$N$2:$N$3001,0)))</f>
        <v/>
      </c>
      <c r="D546" s="17" t="str">
        <f aca="false">IF($A546="","",'كشف المطالبة'!$D$6)</f>
        <v/>
      </c>
      <c r="E546" s="18" t="str">
        <f aca="false">IF($A546="","",SUMIFS(PERLINE!$U$2:$U$3001,PERLINE!$N$2:$N$3001,$A546,PERLINE!$AK$2:$AK$3001,0))</f>
        <v/>
      </c>
      <c r="F546" s="19" t="str">
        <f aca="false">IF($A546="","",E546*D546)</f>
        <v/>
      </c>
      <c r="G546" s="17" t="str">
        <f aca="false">IF($A546="","",'كشف المطالبة'!$D$5)</f>
        <v/>
      </c>
      <c r="H546" s="18" t="str">
        <f aca="false">IF($A546="","",SUMIFS(PERLINE!$U$2:$U$3001,PERLINE!$N$2:$N$3001,$A546,PERLINE!$AK$2:$AK$3001,1))</f>
        <v/>
      </c>
      <c r="I546" s="19" t="str">
        <f aca="false">IF($A546="","",H546*G546)</f>
        <v/>
      </c>
      <c r="J546" s="19" t="str">
        <f aca="false">IF($A546="","",F546+I546)</f>
        <v/>
      </c>
      <c r="K546" s="19" t="str">
        <f aca="false">IF($A546="","",H546+E546)</f>
        <v/>
      </c>
      <c r="L546" s="20" t="str">
        <f aca="false">IF($A546="","",K546-J546-N546)</f>
        <v/>
      </c>
      <c r="M546" s="15" t="str">
        <f aca="false">IF($A546="","",INDEX(PERLINE!$A$2:$A$3001,MATCH($A546,PERLINE!$N$2:$N$3001,0)))</f>
        <v/>
      </c>
      <c r="N546" s="21" t="str">
        <f aca="false">IF($A546="","",SUMIFS(PERLINE!$M$2:$M$3001,PERLINE!$N$2:$N$3001,$A546))</f>
        <v/>
      </c>
    </row>
    <row r="547" customFormat="false" ht="15" hidden="false" customHeight="false" outlineLevel="0" collapsed="false">
      <c r="A547" s="15" t="str">
        <f aca="false">IF(ROWS($A$2:$A547)&lt;=Check!$C$4,SMALL(PERLINE!$AL$2:$AL$3001,ROWS($A$2:$A547)),"")</f>
        <v/>
      </c>
      <c r="B547" s="15" t="str">
        <f aca="false">IF($A547="","",INDEX(PERLINE!$J$2:$J$3001,MATCH($A547,PERLINE!$N$2:$N$3001,0)))</f>
        <v/>
      </c>
      <c r="C547" s="16" t="str">
        <f aca="false">IF($A547="","",INDEX(PERLINE!$I$2:$I$3001,MATCH($A547,PERLINE!$N$2:$N$3001,0)))</f>
        <v/>
      </c>
      <c r="D547" s="17" t="str">
        <f aca="false">IF($A547="","",'كشف المطالبة'!$D$6)</f>
        <v/>
      </c>
      <c r="E547" s="18" t="str">
        <f aca="false">IF($A547="","",SUMIFS(PERLINE!$U$2:$U$3001,PERLINE!$N$2:$N$3001,$A547,PERLINE!$AK$2:$AK$3001,0))</f>
        <v/>
      </c>
      <c r="F547" s="19" t="str">
        <f aca="false">IF($A547="","",E547*D547)</f>
        <v/>
      </c>
      <c r="G547" s="17" t="str">
        <f aca="false">IF($A547="","",'كشف المطالبة'!$D$5)</f>
        <v/>
      </c>
      <c r="H547" s="18" t="str">
        <f aca="false">IF($A547="","",SUMIFS(PERLINE!$U$2:$U$3001,PERLINE!$N$2:$N$3001,$A547,PERLINE!$AK$2:$AK$3001,1))</f>
        <v/>
      </c>
      <c r="I547" s="19" t="str">
        <f aca="false">IF($A547="","",H547*G547)</f>
        <v/>
      </c>
      <c r="J547" s="19" t="str">
        <f aca="false">IF($A547="","",F547+I547)</f>
        <v/>
      </c>
      <c r="K547" s="19" t="str">
        <f aca="false">IF($A547="","",H547+E547)</f>
        <v/>
      </c>
      <c r="L547" s="20" t="str">
        <f aca="false">IF($A547="","",K547-J547-N547)</f>
        <v/>
      </c>
      <c r="M547" s="15" t="str">
        <f aca="false">IF($A547="","",INDEX(PERLINE!$A$2:$A$3001,MATCH($A547,PERLINE!$N$2:$N$3001,0)))</f>
        <v/>
      </c>
      <c r="N547" s="21" t="str">
        <f aca="false">IF($A547="","",SUMIFS(PERLINE!$M$2:$M$3001,PERLINE!$N$2:$N$3001,$A547))</f>
        <v/>
      </c>
    </row>
    <row r="548" customFormat="false" ht="15" hidden="false" customHeight="false" outlineLevel="0" collapsed="false">
      <c r="A548" s="15" t="str">
        <f aca="false">IF(ROWS($A$2:$A548)&lt;=Check!$C$4,SMALL(PERLINE!$AL$2:$AL$3001,ROWS($A$2:$A548)),"")</f>
        <v/>
      </c>
      <c r="B548" s="15" t="str">
        <f aca="false">IF($A548="","",INDEX(PERLINE!$J$2:$J$3001,MATCH($A548,PERLINE!$N$2:$N$3001,0)))</f>
        <v/>
      </c>
      <c r="C548" s="16" t="str">
        <f aca="false">IF($A548="","",INDEX(PERLINE!$I$2:$I$3001,MATCH($A548,PERLINE!$N$2:$N$3001,0)))</f>
        <v/>
      </c>
      <c r="D548" s="17" t="str">
        <f aca="false">IF($A548="","",'كشف المطالبة'!$D$6)</f>
        <v/>
      </c>
      <c r="E548" s="18" t="str">
        <f aca="false">IF($A548="","",SUMIFS(PERLINE!$U$2:$U$3001,PERLINE!$N$2:$N$3001,$A548,PERLINE!$AK$2:$AK$3001,0))</f>
        <v/>
      </c>
      <c r="F548" s="19" t="str">
        <f aca="false">IF($A548="","",E548*D548)</f>
        <v/>
      </c>
      <c r="G548" s="17" t="str">
        <f aca="false">IF($A548="","",'كشف المطالبة'!$D$5)</f>
        <v/>
      </c>
      <c r="H548" s="18" t="str">
        <f aca="false">IF($A548="","",SUMIFS(PERLINE!$U$2:$U$3001,PERLINE!$N$2:$N$3001,$A548,PERLINE!$AK$2:$AK$3001,1))</f>
        <v/>
      </c>
      <c r="I548" s="19" t="str">
        <f aca="false">IF($A548="","",H548*G548)</f>
        <v/>
      </c>
      <c r="J548" s="19" t="str">
        <f aca="false">IF($A548="","",F548+I548)</f>
        <v/>
      </c>
      <c r="K548" s="19" t="str">
        <f aca="false">IF($A548="","",H548+E548)</f>
        <v/>
      </c>
      <c r="L548" s="20" t="str">
        <f aca="false">IF($A548="","",K548-J548-N548)</f>
        <v/>
      </c>
      <c r="M548" s="15" t="str">
        <f aca="false">IF($A548="","",INDEX(PERLINE!$A$2:$A$3001,MATCH($A548,PERLINE!$N$2:$N$3001,0)))</f>
        <v/>
      </c>
      <c r="N548" s="21" t="str">
        <f aca="false">IF($A548="","",SUMIFS(PERLINE!$M$2:$M$3001,PERLINE!$N$2:$N$3001,$A548))</f>
        <v/>
      </c>
    </row>
    <row r="549" customFormat="false" ht="15" hidden="false" customHeight="false" outlineLevel="0" collapsed="false">
      <c r="A549" s="15" t="str">
        <f aca="false">IF(ROWS($A$2:$A549)&lt;=Check!$C$4,SMALL(PERLINE!$AL$2:$AL$3001,ROWS($A$2:$A549)),"")</f>
        <v/>
      </c>
      <c r="B549" s="15" t="str">
        <f aca="false">IF($A549="","",INDEX(PERLINE!$J$2:$J$3001,MATCH($A549,PERLINE!$N$2:$N$3001,0)))</f>
        <v/>
      </c>
      <c r="C549" s="16" t="str">
        <f aca="false">IF($A549="","",INDEX(PERLINE!$I$2:$I$3001,MATCH($A549,PERLINE!$N$2:$N$3001,0)))</f>
        <v/>
      </c>
      <c r="D549" s="17" t="str">
        <f aca="false">IF($A549="","",'كشف المطالبة'!$D$6)</f>
        <v/>
      </c>
      <c r="E549" s="18" t="str">
        <f aca="false">IF($A549="","",SUMIFS(PERLINE!$U$2:$U$3001,PERLINE!$N$2:$N$3001,$A549,PERLINE!$AK$2:$AK$3001,0))</f>
        <v/>
      </c>
      <c r="F549" s="19" t="str">
        <f aca="false">IF($A549="","",E549*D549)</f>
        <v/>
      </c>
      <c r="G549" s="17" t="str">
        <f aca="false">IF($A549="","",'كشف المطالبة'!$D$5)</f>
        <v/>
      </c>
      <c r="H549" s="18" t="str">
        <f aca="false">IF($A549="","",SUMIFS(PERLINE!$U$2:$U$3001,PERLINE!$N$2:$N$3001,$A549,PERLINE!$AK$2:$AK$3001,1))</f>
        <v/>
      </c>
      <c r="I549" s="19" t="str">
        <f aca="false">IF($A549="","",H549*G549)</f>
        <v/>
      </c>
      <c r="J549" s="19" t="str">
        <f aca="false">IF($A549="","",F549+I549)</f>
        <v/>
      </c>
      <c r="K549" s="19" t="str">
        <f aca="false">IF($A549="","",H549+E549)</f>
        <v/>
      </c>
      <c r="L549" s="20" t="str">
        <f aca="false">IF($A549="","",K549-J549-N549)</f>
        <v/>
      </c>
      <c r="M549" s="15" t="str">
        <f aca="false">IF($A549="","",INDEX(PERLINE!$A$2:$A$3001,MATCH($A549,PERLINE!$N$2:$N$3001,0)))</f>
        <v/>
      </c>
      <c r="N549" s="21" t="str">
        <f aca="false">IF($A549="","",SUMIFS(PERLINE!$M$2:$M$3001,PERLINE!$N$2:$N$3001,$A549))</f>
        <v/>
      </c>
    </row>
    <row r="550" customFormat="false" ht="15" hidden="false" customHeight="false" outlineLevel="0" collapsed="false">
      <c r="A550" s="15" t="str">
        <f aca="false">IF(ROWS($A$2:$A550)&lt;=Check!$C$4,SMALL(PERLINE!$AL$2:$AL$3001,ROWS($A$2:$A550)),"")</f>
        <v/>
      </c>
      <c r="B550" s="15" t="str">
        <f aca="false">IF($A550="","",INDEX(PERLINE!$J$2:$J$3001,MATCH($A550,PERLINE!$N$2:$N$3001,0)))</f>
        <v/>
      </c>
      <c r="C550" s="16" t="str">
        <f aca="false">IF($A550="","",INDEX(PERLINE!$I$2:$I$3001,MATCH($A550,PERLINE!$N$2:$N$3001,0)))</f>
        <v/>
      </c>
      <c r="D550" s="17" t="str">
        <f aca="false">IF($A550="","",'كشف المطالبة'!$D$6)</f>
        <v/>
      </c>
      <c r="E550" s="18" t="str">
        <f aca="false">IF($A550="","",SUMIFS(PERLINE!$U$2:$U$3001,PERLINE!$N$2:$N$3001,$A550,PERLINE!$AK$2:$AK$3001,0))</f>
        <v/>
      </c>
      <c r="F550" s="19" t="str">
        <f aca="false">IF($A550="","",E550*D550)</f>
        <v/>
      </c>
      <c r="G550" s="17" t="str">
        <f aca="false">IF($A550="","",'كشف المطالبة'!$D$5)</f>
        <v/>
      </c>
      <c r="H550" s="18" t="str">
        <f aca="false">IF($A550="","",SUMIFS(PERLINE!$U$2:$U$3001,PERLINE!$N$2:$N$3001,$A550,PERLINE!$AK$2:$AK$3001,1))</f>
        <v/>
      </c>
      <c r="I550" s="19" t="str">
        <f aca="false">IF($A550="","",H550*G550)</f>
        <v/>
      </c>
      <c r="J550" s="19" t="str">
        <f aca="false">IF($A550="","",F550+I550)</f>
        <v/>
      </c>
      <c r="K550" s="19" t="str">
        <f aca="false">IF($A550="","",H550+E550)</f>
        <v/>
      </c>
      <c r="L550" s="20" t="str">
        <f aca="false">IF($A550="","",K550-J550-N550)</f>
        <v/>
      </c>
      <c r="M550" s="15" t="str">
        <f aca="false">IF($A550="","",INDEX(PERLINE!$A$2:$A$3001,MATCH($A550,PERLINE!$N$2:$N$3001,0)))</f>
        <v/>
      </c>
      <c r="N550" s="21" t="str">
        <f aca="false">IF($A550="","",SUMIFS(PERLINE!$M$2:$M$3001,PERLINE!$N$2:$N$3001,$A550))</f>
        <v/>
      </c>
    </row>
    <row r="551" customFormat="false" ht="15" hidden="false" customHeight="false" outlineLevel="0" collapsed="false">
      <c r="A551" s="15" t="str">
        <f aca="false">IF(ROWS($A$2:$A551)&lt;=Check!$C$4,SMALL(PERLINE!$AL$2:$AL$3001,ROWS($A$2:$A551)),"")</f>
        <v/>
      </c>
      <c r="B551" s="15" t="str">
        <f aca="false">IF($A551="","",INDEX(PERLINE!$J$2:$J$3001,MATCH($A551,PERLINE!$N$2:$N$3001,0)))</f>
        <v/>
      </c>
      <c r="C551" s="16" t="str">
        <f aca="false">IF($A551="","",INDEX(PERLINE!$I$2:$I$3001,MATCH($A551,PERLINE!$N$2:$N$3001,0)))</f>
        <v/>
      </c>
      <c r="D551" s="17" t="str">
        <f aca="false">IF($A551="","",'كشف المطالبة'!$D$6)</f>
        <v/>
      </c>
      <c r="E551" s="18" t="str">
        <f aca="false">IF($A551="","",SUMIFS(PERLINE!$U$2:$U$3001,PERLINE!$N$2:$N$3001,$A551,PERLINE!$AK$2:$AK$3001,0))</f>
        <v/>
      </c>
      <c r="F551" s="19" t="str">
        <f aca="false">IF($A551="","",E551*D551)</f>
        <v/>
      </c>
      <c r="G551" s="17" t="str">
        <f aca="false">IF($A551="","",'كشف المطالبة'!$D$5)</f>
        <v/>
      </c>
      <c r="H551" s="18" t="str">
        <f aca="false">IF($A551="","",SUMIFS(PERLINE!$U$2:$U$3001,PERLINE!$N$2:$N$3001,$A551,PERLINE!$AK$2:$AK$3001,1))</f>
        <v/>
      </c>
      <c r="I551" s="19" t="str">
        <f aca="false">IF($A551="","",H551*G551)</f>
        <v/>
      </c>
      <c r="J551" s="19" t="str">
        <f aca="false">IF($A551="","",F551+I551)</f>
        <v/>
      </c>
      <c r="K551" s="19" t="str">
        <f aca="false">IF($A551="","",H551+E551)</f>
        <v/>
      </c>
      <c r="L551" s="20" t="str">
        <f aca="false">IF($A551="","",K551-J551-N551)</f>
        <v/>
      </c>
      <c r="M551" s="15" t="str">
        <f aca="false">IF($A551="","",INDEX(PERLINE!$A$2:$A$3001,MATCH($A551,PERLINE!$N$2:$N$3001,0)))</f>
        <v/>
      </c>
      <c r="N551" s="21" t="str">
        <f aca="false">IF($A551="","",SUMIFS(PERLINE!$M$2:$M$3001,PERLINE!$N$2:$N$3001,$A551))</f>
        <v/>
      </c>
    </row>
    <row r="552" customFormat="false" ht="15" hidden="false" customHeight="false" outlineLevel="0" collapsed="false">
      <c r="A552" s="15" t="str">
        <f aca="false">IF(ROWS($A$2:$A552)&lt;=Check!$C$4,SMALL(PERLINE!$AL$2:$AL$3001,ROWS($A$2:$A552)),"")</f>
        <v/>
      </c>
      <c r="B552" s="15" t="str">
        <f aca="false">IF($A552="","",INDEX(PERLINE!$J$2:$J$3001,MATCH($A552,PERLINE!$N$2:$N$3001,0)))</f>
        <v/>
      </c>
      <c r="C552" s="16" t="str">
        <f aca="false">IF($A552="","",INDEX(PERLINE!$I$2:$I$3001,MATCH($A552,PERLINE!$N$2:$N$3001,0)))</f>
        <v/>
      </c>
      <c r="D552" s="17" t="str">
        <f aca="false">IF($A552="","",'كشف المطالبة'!$D$6)</f>
        <v/>
      </c>
      <c r="E552" s="18" t="str">
        <f aca="false">IF($A552="","",SUMIFS(PERLINE!$U$2:$U$3001,PERLINE!$N$2:$N$3001,$A552,PERLINE!$AK$2:$AK$3001,0))</f>
        <v/>
      </c>
      <c r="F552" s="19" t="str">
        <f aca="false">IF($A552="","",E552*D552)</f>
        <v/>
      </c>
      <c r="G552" s="17" t="str">
        <f aca="false">IF($A552="","",'كشف المطالبة'!$D$5)</f>
        <v/>
      </c>
      <c r="H552" s="18" t="str">
        <f aca="false">IF($A552="","",SUMIFS(PERLINE!$U$2:$U$3001,PERLINE!$N$2:$N$3001,$A552,PERLINE!$AK$2:$AK$3001,1))</f>
        <v/>
      </c>
      <c r="I552" s="19" t="str">
        <f aca="false">IF($A552="","",H552*G552)</f>
        <v/>
      </c>
      <c r="J552" s="19" t="str">
        <f aca="false">IF($A552="","",F552+I552)</f>
        <v/>
      </c>
      <c r="K552" s="19" t="str">
        <f aca="false">IF($A552="","",H552+E552)</f>
        <v/>
      </c>
      <c r="L552" s="20" t="str">
        <f aca="false">IF($A552="","",K552-J552-N552)</f>
        <v/>
      </c>
      <c r="M552" s="15" t="str">
        <f aca="false">IF($A552="","",INDEX(PERLINE!$A$2:$A$3001,MATCH($A552,PERLINE!$N$2:$N$3001,0)))</f>
        <v/>
      </c>
      <c r="N552" s="21" t="str">
        <f aca="false">IF($A552="","",SUMIFS(PERLINE!$M$2:$M$3001,PERLINE!$N$2:$N$3001,$A552))</f>
        <v/>
      </c>
    </row>
    <row r="553" customFormat="false" ht="15" hidden="false" customHeight="false" outlineLevel="0" collapsed="false">
      <c r="A553" s="15" t="str">
        <f aca="false">IF(ROWS($A$2:$A553)&lt;=Check!$C$4,SMALL(PERLINE!$AL$2:$AL$3001,ROWS($A$2:$A553)),"")</f>
        <v/>
      </c>
      <c r="B553" s="15" t="str">
        <f aca="false">IF($A553="","",INDEX(PERLINE!$J$2:$J$3001,MATCH($A553,PERLINE!$N$2:$N$3001,0)))</f>
        <v/>
      </c>
      <c r="C553" s="16" t="str">
        <f aca="false">IF($A553="","",INDEX(PERLINE!$I$2:$I$3001,MATCH($A553,PERLINE!$N$2:$N$3001,0)))</f>
        <v/>
      </c>
      <c r="D553" s="17" t="str">
        <f aca="false">IF($A553="","",'كشف المطالبة'!$D$6)</f>
        <v/>
      </c>
      <c r="E553" s="18" t="str">
        <f aca="false">IF($A553="","",SUMIFS(PERLINE!$U$2:$U$3001,PERLINE!$N$2:$N$3001,$A553,PERLINE!$AK$2:$AK$3001,0))</f>
        <v/>
      </c>
      <c r="F553" s="19" t="str">
        <f aca="false">IF($A553="","",E553*D553)</f>
        <v/>
      </c>
      <c r="G553" s="17" t="str">
        <f aca="false">IF($A553="","",'كشف المطالبة'!$D$5)</f>
        <v/>
      </c>
      <c r="H553" s="18" t="str">
        <f aca="false">IF($A553="","",SUMIFS(PERLINE!$U$2:$U$3001,PERLINE!$N$2:$N$3001,$A553,PERLINE!$AK$2:$AK$3001,1))</f>
        <v/>
      </c>
      <c r="I553" s="19" t="str">
        <f aca="false">IF($A553="","",H553*G553)</f>
        <v/>
      </c>
      <c r="J553" s="19" t="str">
        <f aca="false">IF($A553="","",F553+I553)</f>
        <v/>
      </c>
      <c r="K553" s="19" t="str">
        <f aca="false">IF($A553="","",H553+E553)</f>
        <v/>
      </c>
      <c r="L553" s="20" t="str">
        <f aca="false">IF($A553="","",K553-J553-N553)</f>
        <v/>
      </c>
      <c r="M553" s="15" t="str">
        <f aca="false">IF($A553="","",INDEX(PERLINE!$A$2:$A$3001,MATCH($A553,PERLINE!$N$2:$N$3001,0)))</f>
        <v/>
      </c>
      <c r="N553" s="21" t="str">
        <f aca="false">IF($A553="","",SUMIFS(PERLINE!$M$2:$M$3001,PERLINE!$N$2:$N$3001,$A553))</f>
        <v/>
      </c>
    </row>
    <row r="554" customFormat="false" ht="15" hidden="false" customHeight="false" outlineLevel="0" collapsed="false">
      <c r="A554" s="15" t="str">
        <f aca="false">IF(ROWS($A$2:$A554)&lt;=Check!$C$4,SMALL(PERLINE!$AL$2:$AL$3001,ROWS($A$2:$A554)),"")</f>
        <v/>
      </c>
      <c r="B554" s="15" t="str">
        <f aca="false">IF($A554="","",INDEX(PERLINE!$J$2:$J$3001,MATCH($A554,PERLINE!$N$2:$N$3001,0)))</f>
        <v/>
      </c>
      <c r="C554" s="16" t="str">
        <f aca="false">IF($A554="","",INDEX(PERLINE!$I$2:$I$3001,MATCH($A554,PERLINE!$N$2:$N$3001,0)))</f>
        <v/>
      </c>
      <c r="D554" s="17" t="str">
        <f aca="false">IF($A554="","",'كشف المطالبة'!$D$6)</f>
        <v/>
      </c>
      <c r="E554" s="18" t="str">
        <f aca="false">IF($A554="","",SUMIFS(PERLINE!$U$2:$U$3001,PERLINE!$N$2:$N$3001,$A554,PERLINE!$AK$2:$AK$3001,0))</f>
        <v/>
      </c>
      <c r="F554" s="19" t="str">
        <f aca="false">IF($A554="","",E554*D554)</f>
        <v/>
      </c>
      <c r="G554" s="17" t="str">
        <f aca="false">IF($A554="","",'كشف المطالبة'!$D$5)</f>
        <v/>
      </c>
      <c r="H554" s="18" t="str">
        <f aca="false">IF($A554="","",SUMIFS(PERLINE!$U$2:$U$3001,PERLINE!$N$2:$N$3001,$A554,PERLINE!$AK$2:$AK$3001,1))</f>
        <v/>
      </c>
      <c r="I554" s="19" t="str">
        <f aca="false">IF($A554="","",H554*G554)</f>
        <v/>
      </c>
      <c r="J554" s="19" t="str">
        <f aca="false">IF($A554="","",F554+I554)</f>
        <v/>
      </c>
      <c r="K554" s="19" t="str">
        <f aca="false">IF($A554="","",H554+E554)</f>
        <v/>
      </c>
      <c r="L554" s="20" t="str">
        <f aca="false">IF($A554="","",K554-J554-N554)</f>
        <v/>
      </c>
      <c r="M554" s="15" t="str">
        <f aca="false">IF($A554="","",INDEX(PERLINE!$A$2:$A$3001,MATCH($A554,PERLINE!$N$2:$N$3001,0)))</f>
        <v/>
      </c>
      <c r="N554" s="21" t="str">
        <f aca="false">IF($A554="","",SUMIFS(PERLINE!$M$2:$M$3001,PERLINE!$N$2:$N$3001,$A554))</f>
        <v/>
      </c>
    </row>
    <row r="555" customFormat="false" ht="15" hidden="false" customHeight="false" outlineLevel="0" collapsed="false">
      <c r="A555" s="15" t="str">
        <f aca="false">IF(ROWS($A$2:$A555)&lt;=Check!$C$4,SMALL(PERLINE!$AL$2:$AL$3001,ROWS($A$2:$A555)),"")</f>
        <v/>
      </c>
      <c r="B555" s="15" t="str">
        <f aca="false">IF($A555="","",INDEX(PERLINE!$J$2:$J$3001,MATCH($A555,PERLINE!$N$2:$N$3001,0)))</f>
        <v/>
      </c>
      <c r="C555" s="16" t="str">
        <f aca="false">IF($A555="","",INDEX(PERLINE!$I$2:$I$3001,MATCH($A555,PERLINE!$N$2:$N$3001,0)))</f>
        <v/>
      </c>
      <c r="D555" s="17" t="str">
        <f aca="false">IF($A555="","",'كشف المطالبة'!$D$6)</f>
        <v/>
      </c>
      <c r="E555" s="18" t="str">
        <f aca="false">IF($A555="","",SUMIFS(PERLINE!$U$2:$U$3001,PERLINE!$N$2:$N$3001,$A555,PERLINE!$AK$2:$AK$3001,0))</f>
        <v/>
      </c>
      <c r="F555" s="19" t="str">
        <f aca="false">IF($A555="","",E555*D555)</f>
        <v/>
      </c>
      <c r="G555" s="17" t="str">
        <f aca="false">IF($A555="","",'كشف المطالبة'!$D$5)</f>
        <v/>
      </c>
      <c r="H555" s="18" t="str">
        <f aca="false">IF($A555="","",SUMIFS(PERLINE!$U$2:$U$3001,PERLINE!$N$2:$N$3001,$A555,PERLINE!$AK$2:$AK$3001,1))</f>
        <v/>
      </c>
      <c r="I555" s="19" t="str">
        <f aca="false">IF($A555="","",H555*G555)</f>
        <v/>
      </c>
      <c r="J555" s="19" t="str">
        <f aca="false">IF($A555="","",F555+I555)</f>
        <v/>
      </c>
      <c r="K555" s="19" t="str">
        <f aca="false">IF($A555="","",H555+E555)</f>
        <v/>
      </c>
      <c r="L555" s="20" t="str">
        <f aca="false">IF($A555="","",K555-J555-N555)</f>
        <v/>
      </c>
      <c r="M555" s="15" t="str">
        <f aca="false">IF($A555="","",INDEX(PERLINE!$A$2:$A$3001,MATCH($A555,PERLINE!$N$2:$N$3001,0)))</f>
        <v/>
      </c>
      <c r="N555" s="21" t="str">
        <f aca="false">IF($A555="","",SUMIFS(PERLINE!$M$2:$M$3001,PERLINE!$N$2:$N$3001,$A555))</f>
        <v/>
      </c>
    </row>
    <row r="556" customFormat="false" ht="15" hidden="false" customHeight="false" outlineLevel="0" collapsed="false">
      <c r="A556" s="15" t="str">
        <f aca="false">IF(ROWS($A$2:$A556)&lt;=Check!$C$4,SMALL(PERLINE!$AL$2:$AL$3001,ROWS($A$2:$A556)),"")</f>
        <v/>
      </c>
      <c r="B556" s="15" t="str">
        <f aca="false">IF($A556="","",INDEX(PERLINE!$J$2:$J$3001,MATCH($A556,PERLINE!$N$2:$N$3001,0)))</f>
        <v/>
      </c>
      <c r="C556" s="16" t="str">
        <f aca="false">IF($A556="","",INDEX(PERLINE!$I$2:$I$3001,MATCH($A556,PERLINE!$N$2:$N$3001,0)))</f>
        <v/>
      </c>
      <c r="D556" s="17" t="str">
        <f aca="false">IF($A556="","",'كشف المطالبة'!$D$6)</f>
        <v/>
      </c>
      <c r="E556" s="18" t="str">
        <f aca="false">IF($A556="","",SUMIFS(PERLINE!$U$2:$U$3001,PERLINE!$N$2:$N$3001,$A556,PERLINE!$AK$2:$AK$3001,0))</f>
        <v/>
      </c>
      <c r="F556" s="19" t="str">
        <f aca="false">IF($A556="","",E556*D556)</f>
        <v/>
      </c>
      <c r="G556" s="17" t="str">
        <f aca="false">IF($A556="","",'كشف المطالبة'!$D$5)</f>
        <v/>
      </c>
      <c r="H556" s="18" t="str">
        <f aca="false">IF($A556="","",SUMIFS(PERLINE!$U$2:$U$3001,PERLINE!$N$2:$N$3001,$A556,PERLINE!$AK$2:$AK$3001,1))</f>
        <v/>
      </c>
      <c r="I556" s="19" t="str">
        <f aca="false">IF($A556="","",H556*G556)</f>
        <v/>
      </c>
      <c r="J556" s="19" t="str">
        <f aca="false">IF($A556="","",F556+I556)</f>
        <v/>
      </c>
      <c r="K556" s="19" t="str">
        <f aca="false">IF($A556="","",H556+E556)</f>
        <v/>
      </c>
      <c r="L556" s="20" t="str">
        <f aca="false">IF($A556="","",K556-J556-N556)</f>
        <v/>
      </c>
      <c r="M556" s="15" t="str">
        <f aca="false">IF($A556="","",INDEX(PERLINE!$A$2:$A$3001,MATCH($A556,PERLINE!$N$2:$N$3001,0)))</f>
        <v/>
      </c>
      <c r="N556" s="21" t="str">
        <f aca="false">IF($A556="","",SUMIFS(PERLINE!$M$2:$M$3001,PERLINE!$N$2:$N$3001,$A556))</f>
        <v/>
      </c>
    </row>
    <row r="557" customFormat="false" ht="15" hidden="false" customHeight="false" outlineLevel="0" collapsed="false">
      <c r="A557" s="15" t="str">
        <f aca="false">IF(ROWS($A$2:$A557)&lt;=Check!$C$4,SMALL(PERLINE!$AL$2:$AL$3001,ROWS($A$2:$A557)),"")</f>
        <v/>
      </c>
      <c r="B557" s="15" t="str">
        <f aca="false">IF($A557="","",INDEX(PERLINE!$J$2:$J$3001,MATCH($A557,PERLINE!$N$2:$N$3001,0)))</f>
        <v/>
      </c>
      <c r="C557" s="16" t="str">
        <f aca="false">IF($A557="","",INDEX(PERLINE!$I$2:$I$3001,MATCH($A557,PERLINE!$N$2:$N$3001,0)))</f>
        <v/>
      </c>
      <c r="D557" s="17" t="str">
        <f aca="false">IF($A557="","",'كشف المطالبة'!$D$6)</f>
        <v/>
      </c>
      <c r="E557" s="18" t="str">
        <f aca="false">IF($A557="","",SUMIFS(PERLINE!$U$2:$U$3001,PERLINE!$N$2:$N$3001,$A557,PERLINE!$AK$2:$AK$3001,0))</f>
        <v/>
      </c>
      <c r="F557" s="19" t="str">
        <f aca="false">IF($A557="","",E557*D557)</f>
        <v/>
      </c>
      <c r="G557" s="17" t="str">
        <f aca="false">IF($A557="","",'كشف المطالبة'!$D$5)</f>
        <v/>
      </c>
      <c r="H557" s="18" t="str">
        <f aca="false">IF($A557="","",SUMIFS(PERLINE!$U$2:$U$3001,PERLINE!$N$2:$N$3001,$A557,PERLINE!$AK$2:$AK$3001,1))</f>
        <v/>
      </c>
      <c r="I557" s="19" t="str">
        <f aca="false">IF($A557="","",H557*G557)</f>
        <v/>
      </c>
      <c r="J557" s="19" t="str">
        <f aca="false">IF($A557="","",F557+I557)</f>
        <v/>
      </c>
      <c r="K557" s="19" t="str">
        <f aca="false">IF($A557="","",H557+E557)</f>
        <v/>
      </c>
      <c r="L557" s="20" t="str">
        <f aca="false">IF($A557="","",K557-J557-N557)</f>
        <v/>
      </c>
      <c r="M557" s="15" t="str">
        <f aca="false">IF($A557="","",INDEX(PERLINE!$A$2:$A$3001,MATCH($A557,PERLINE!$N$2:$N$3001,0)))</f>
        <v/>
      </c>
      <c r="N557" s="21" t="str">
        <f aca="false">IF($A557="","",SUMIFS(PERLINE!$M$2:$M$3001,PERLINE!$N$2:$N$3001,$A557))</f>
        <v/>
      </c>
    </row>
    <row r="558" customFormat="false" ht="15" hidden="false" customHeight="false" outlineLevel="0" collapsed="false">
      <c r="A558" s="15" t="str">
        <f aca="false">IF(ROWS($A$2:$A558)&lt;=Check!$C$4,SMALL(PERLINE!$AL$2:$AL$3001,ROWS($A$2:$A558)),"")</f>
        <v/>
      </c>
      <c r="B558" s="15" t="str">
        <f aca="false">IF($A558="","",INDEX(PERLINE!$J$2:$J$3001,MATCH($A558,PERLINE!$N$2:$N$3001,0)))</f>
        <v/>
      </c>
      <c r="C558" s="16" t="str">
        <f aca="false">IF($A558="","",INDEX(PERLINE!$I$2:$I$3001,MATCH($A558,PERLINE!$N$2:$N$3001,0)))</f>
        <v/>
      </c>
      <c r="D558" s="17" t="str">
        <f aca="false">IF($A558="","",'كشف المطالبة'!$D$6)</f>
        <v/>
      </c>
      <c r="E558" s="18" t="str">
        <f aca="false">IF($A558="","",SUMIFS(PERLINE!$U$2:$U$3001,PERLINE!$N$2:$N$3001,$A558,PERLINE!$AK$2:$AK$3001,0))</f>
        <v/>
      </c>
      <c r="F558" s="19" t="str">
        <f aca="false">IF($A558="","",E558*D558)</f>
        <v/>
      </c>
      <c r="G558" s="17" t="str">
        <f aca="false">IF($A558="","",'كشف المطالبة'!$D$5)</f>
        <v/>
      </c>
      <c r="H558" s="18" t="str">
        <f aca="false">IF($A558="","",SUMIFS(PERLINE!$U$2:$U$3001,PERLINE!$N$2:$N$3001,$A558,PERLINE!$AK$2:$AK$3001,1))</f>
        <v/>
      </c>
      <c r="I558" s="19" t="str">
        <f aca="false">IF($A558="","",H558*G558)</f>
        <v/>
      </c>
      <c r="J558" s="19" t="str">
        <f aca="false">IF($A558="","",F558+I558)</f>
        <v/>
      </c>
      <c r="K558" s="19" t="str">
        <f aca="false">IF($A558="","",H558+E558)</f>
        <v/>
      </c>
      <c r="L558" s="20" t="str">
        <f aca="false">IF($A558="","",K558-J558-N558)</f>
        <v/>
      </c>
      <c r="M558" s="15" t="str">
        <f aca="false">IF($A558="","",INDEX(PERLINE!$A$2:$A$3001,MATCH($A558,PERLINE!$N$2:$N$3001,0)))</f>
        <v/>
      </c>
      <c r="N558" s="21" t="str">
        <f aca="false">IF($A558="","",SUMIFS(PERLINE!$M$2:$M$3001,PERLINE!$N$2:$N$3001,$A558))</f>
        <v/>
      </c>
    </row>
    <row r="559" customFormat="false" ht="15" hidden="false" customHeight="false" outlineLevel="0" collapsed="false">
      <c r="A559" s="15" t="str">
        <f aca="false">IF(ROWS($A$2:$A559)&lt;=Check!$C$4,SMALL(PERLINE!$AL$2:$AL$3001,ROWS($A$2:$A559)),"")</f>
        <v/>
      </c>
      <c r="B559" s="15" t="str">
        <f aca="false">IF($A559="","",INDEX(PERLINE!$J$2:$J$3001,MATCH($A559,PERLINE!$N$2:$N$3001,0)))</f>
        <v/>
      </c>
      <c r="C559" s="16" t="str">
        <f aca="false">IF($A559="","",INDEX(PERLINE!$I$2:$I$3001,MATCH($A559,PERLINE!$N$2:$N$3001,0)))</f>
        <v/>
      </c>
      <c r="D559" s="17" t="str">
        <f aca="false">IF($A559="","",'كشف المطالبة'!$D$6)</f>
        <v/>
      </c>
      <c r="E559" s="18" t="str">
        <f aca="false">IF($A559="","",SUMIFS(PERLINE!$U$2:$U$3001,PERLINE!$N$2:$N$3001,$A559,PERLINE!$AK$2:$AK$3001,0))</f>
        <v/>
      </c>
      <c r="F559" s="19" t="str">
        <f aca="false">IF($A559="","",E559*D559)</f>
        <v/>
      </c>
      <c r="G559" s="17" t="str">
        <f aca="false">IF($A559="","",'كشف المطالبة'!$D$5)</f>
        <v/>
      </c>
      <c r="H559" s="18" t="str">
        <f aca="false">IF($A559="","",SUMIFS(PERLINE!$U$2:$U$3001,PERLINE!$N$2:$N$3001,$A559,PERLINE!$AK$2:$AK$3001,1))</f>
        <v/>
      </c>
      <c r="I559" s="19" t="str">
        <f aca="false">IF($A559="","",H559*G559)</f>
        <v/>
      </c>
      <c r="J559" s="19" t="str">
        <f aca="false">IF($A559="","",F559+I559)</f>
        <v/>
      </c>
      <c r="K559" s="19" t="str">
        <f aca="false">IF($A559="","",H559+E559)</f>
        <v/>
      </c>
      <c r="L559" s="20" t="str">
        <f aca="false">IF($A559="","",K559-J559-N559)</f>
        <v/>
      </c>
      <c r="M559" s="15" t="str">
        <f aca="false">IF($A559="","",INDEX(PERLINE!$A$2:$A$3001,MATCH($A559,PERLINE!$N$2:$N$3001,0)))</f>
        <v/>
      </c>
      <c r="N559" s="21" t="str">
        <f aca="false">IF($A559="","",SUMIFS(PERLINE!$M$2:$M$3001,PERLINE!$N$2:$N$3001,$A559))</f>
        <v/>
      </c>
    </row>
    <row r="560" customFormat="false" ht="15" hidden="false" customHeight="false" outlineLevel="0" collapsed="false">
      <c r="A560" s="15" t="str">
        <f aca="false">IF(ROWS($A$2:$A560)&lt;=Check!$C$4,SMALL(PERLINE!$AL$2:$AL$3001,ROWS($A$2:$A560)),"")</f>
        <v/>
      </c>
      <c r="B560" s="15" t="str">
        <f aca="false">IF($A560="","",INDEX(PERLINE!$J$2:$J$3001,MATCH($A560,PERLINE!$N$2:$N$3001,0)))</f>
        <v/>
      </c>
      <c r="C560" s="16" t="str">
        <f aca="false">IF($A560="","",INDEX(PERLINE!$I$2:$I$3001,MATCH($A560,PERLINE!$N$2:$N$3001,0)))</f>
        <v/>
      </c>
      <c r="D560" s="17" t="str">
        <f aca="false">IF($A560="","",'كشف المطالبة'!$D$6)</f>
        <v/>
      </c>
      <c r="E560" s="18" t="str">
        <f aca="false">IF($A560="","",SUMIFS(PERLINE!$U$2:$U$3001,PERLINE!$N$2:$N$3001,$A560,PERLINE!$AK$2:$AK$3001,0))</f>
        <v/>
      </c>
      <c r="F560" s="19" t="str">
        <f aca="false">IF($A560="","",E560*D560)</f>
        <v/>
      </c>
      <c r="G560" s="17" t="str">
        <f aca="false">IF($A560="","",'كشف المطالبة'!$D$5)</f>
        <v/>
      </c>
      <c r="H560" s="18" t="str">
        <f aca="false">IF($A560="","",SUMIFS(PERLINE!$U$2:$U$3001,PERLINE!$N$2:$N$3001,$A560,PERLINE!$AK$2:$AK$3001,1))</f>
        <v/>
      </c>
      <c r="I560" s="19" t="str">
        <f aca="false">IF($A560="","",H560*G560)</f>
        <v/>
      </c>
      <c r="J560" s="19" t="str">
        <f aca="false">IF($A560="","",F560+I560)</f>
        <v/>
      </c>
      <c r="K560" s="19" t="str">
        <f aca="false">IF($A560="","",H560+E560)</f>
        <v/>
      </c>
      <c r="L560" s="20" t="str">
        <f aca="false">IF($A560="","",K560-J560-N560)</f>
        <v/>
      </c>
      <c r="M560" s="15" t="str">
        <f aca="false">IF($A560="","",INDEX(PERLINE!$A$2:$A$3001,MATCH($A560,PERLINE!$N$2:$N$3001,0)))</f>
        <v/>
      </c>
      <c r="N560" s="21" t="str">
        <f aca="false">IF($A560="","",SUMIFS(PERLINE!$M$2:$M$3001,PERLINE!$N$2:$N$3001,$A560))</f>
        <v/>
      </c>
    </row>
    <row r="561" customFormat="false" ht="15" hidden="false" customHeight="false" outlineLevel="0" collapsed="false">
      <c r="A561" s="15" t="str">
        <f aca="false">IF(ROWS($A$2:$A561)&lt;=Check!$C$4,SMALL(PERLINE!$AL$2:$AL$3001,ROWS($A$2:$A561)),"")</f>
        <v/>
      </c>
      <c r="B561" s="15" t="str">
        <f aca="false">IF($A561="","",INDEX(PERLINE!$J$2:$J$3001,MATCH($A561,PERLINE!$N$2:$N$3001,0)))</f>
        <v/>
      </c>
      <c r="C561" s="16" t="str">
        <f aca="false">IF($A561="","",INDEX(PERLINE!$I$2:$I$3001,MATCH($A561,PERLINE!$N$2:$N$3001,0)))</f>
        <v/>
      </c>
      <c r="D561" s="17" t="str">
        <f aca="false">IF($A561="","",'كشف المطالبة'!$D$6)</f>
        <v/>
      </c>
      <c r="E561" s="18" t="str">
        <f aca="false">IF($A561="","",SUMIFS(PERLINE!$U$2:$U$3001,PERLINE!$N$2:$N$3001,$A561,PERLINE!$AK$2:$AK$3001,0))</f>
        <v/>
      </c>
      <c r="F561" s="19" t="str">
        <f aca="false">IF($A561="","",E561*D561)</f>
        <v/>
      </c>
      <c r="G561" s="17" t="str">
        <f aca="false">IF($A561="","",'كشف المطالبة'!$D$5)</f>
        <v/>
      </c>
      <c r="H561" s="18" t="str">
        <f aca="false">IF($A561="","",SUMIFS(PERLINE!$U$2:$U$3001,PERLINE!$N$2:$N$3001,$A561,PERLINE!$AK$2:$AK$3001,1))</f>
        <v/>
      </c>
      <c r="I561" s="19" t="str">
        <f aca="false">IF($A561="","",H561*G561)</f>
        <v/>
      </c>
      <c r="J561" s="19" t="str">
        <f aca="false">IF($A561="","",F561+I561)</f>
        <v/>
      </c>
      <c r="K561" s="19" t="str">
        <f aca="false">IF($A561="","",H561+E561)</f>
        <v/>
      </c>
      <c r="L561" s="20" t="str">
        <f aca="false">IF($A561="","",K561-J561-N561)</f>
        <v/>
      </c>
      <c r="M561" s="15" t="str">
        <f aca="false">IF($A561="","",INDEX(PERLINE!$A$2:$A$3001,MATCH($A561,PERLINE!$N$2:$N$3001,0)))</f>
        <v/>
      </c>
      <c r="N561" s="21" t="str">
        <f aca="false">IF($A561="","",SUMIFS(PERLINE!$M$2:$M$3001,PERLINE!$N$2:$N$3001,$A561))</f>
        <v/>
      </c>
    </row>
    <row r="562" customFormat="false" ht="15" hidden="false" customHeight="false" outlineLevel="0" collapsed="false">
      <c r="A562" s="15" t="str">
        <f aca="false">IF(ROWS($A$2:$A562)&lt;=Check!$C$4,SMALL(PERLINE!$AL$2:$AL$3001,ROWS($A$2:$A562)),"")</f>
        <v/>
      </c>
      <c r="B562" s="15" t="str">
        <f aca="false">IF($A562="","",INDEX(PERLINE!$J$2:$J$3001,MATCH($A562,PERLINE!$N$2:$N$3001,0)))</f>
        <v/>
      </c>
      <c r="C562" s="16" t="str">
        <f aca="false">IF($A562="","",INDEX(PERLINE!$I$2:$I$3001,MATCH($A562,PERLINE!$N$2:$N$3001,0)))</f>
        <v/>
      </c>
      <c r="D562" s="17" t="str">
        <f aca="false">IF($A562="","",'كشف المطالبة'!$D$6)</f>
        <v/>
      </c>
      <c r="E562" s="18" t="str">
        <f aca="false">IF($A562="","",SUMIFS(PERLINE!$U$2:$U$3001,PERLINE!$N$2:$N$3001,$A562,PERLINE!$AK$2:$AK$3001,0))</f>
        <v/>
      </c>
      <c r="F562" s="19" t="str">
        <f aca="false">IF($A562="","",E562*D562)</f>
        <v/>
      </c>
      <c r="G562" s="17" t="str">
        <f aca="false">IF($A562="","",'كشف المطالبة'!$D$5)</f>
        <v/>
      </c>
      <c r="H562" s="18" t="str">
        <f aca="false">IF($A562="","",SUMIFS(PERLINE!$U$2:$U$3001,PERLINE!$N$2:$N$3001,$A562,PERLINE!$AK$2:$AK$3001,1))</f>
        <v/>
      </c>
      <c r="I562" s="19" t="str">
        <f aca="false">IF($A562="","",H562*G562)</f>
        <v/>
      </c>
      <c r="J562" s="19" t="str">
        <f aca="false">IF($A562="","",F562+I562)</f>
        <v/>
      </c>
      <c r="K562" s="19" t="str">
        <f aca="false">IF($A562="","",H562+E562)</f>
        <v/>
      </c>
      <c r="L562" s="20" t="str">
        <f aca="false">IF($A562="","",K562-J562-N562)</f>
        <v/>
      </c>
      <c r="M562" s="15" t="str">
        <f aca="false">IF($A562="","",INDEX(PERLINE!$A$2:$A$3001,MATCH($A562,PERLINE!$N$2:$N$3001,0)))</f>
        <v/>
      </c>
      <c r="N562" s="21" t="str">
        <f aca="false">IF($A562="","",SUMIFS(PERLINE!$M$2:$M$3001,PERLINE!$N$2:$N$3001,$A562))</f>
        <v/>
      </c>
    </row>
    <row r="563" customFormat="false" ht="15" hidden="false" customHeight="false" outlineLevel="0" collapsed="false">
      <c r="A563" s="15" t="str">
        <f aca="false">IF(ROWS($A$2:$A563)&lt;=Check!$C$4,SMALL(PERLINE!$AL$2:$AL$3001,ROWS($A$2:$A563)),"")</f>
        <v/>
      </c>
      <c r="B563" s="15" t="str">
        <f aca="false">IF($A563="","",INDEX(PERLINE!$J$2:$J$3001,MATCH($A563,PERLINE!$N$2:$N$3001,0)))</f>
        <v/>
      </c>
      <c r="C563" s="16" t="str">
        <f aca="false">IF($A563="","",INDEX(PERLINE!$I$2:$I$3001,MATCH($A563,PERLINE!$N$2:$N$3001,0)))</f>
        <v/>
      </c>
      <c r="D563" s="17" t="str">
        <f aca="false">IF($A563="","",'كشف المطالبة'!$D$6)</f>
        <v/>
      </c>
      <c r="E563" s="18" t="str">
        <f aca="false">IF($A563="","",SUMIFS(PERLINE!$U$2:$U$3001,PERLINE!$N$2:$N$3001,$A563,PERLINE!$AK$2:$AK$3001,0))</f>
        <v/>
      </c>
      <c r="F563" s="19" t="str">
        <f aca="false">IF($A563="","",E563*D563)</f>
        <v/>
      </c>
      <c r="G563" s="17" t="str">
        <f aca="false">IF($A563="","",'كشف المطالبة'!$D$5)</f>
        <v/>
      </c>
      <c r="H563" s="18" t="str">
        <f aca="false">IF($A563="","",SUMIFS(PERLINE!$U$2:$U$3001,PERLINE!$N$2:$N$3001,$A563,PERLINE!$AK$2:$AK$3001,1))</f>
        <v/>
      </c>
      <c r="I563" s="19" t="str">
        <f aca="false">IF($A563="","",H563*G563)</f>
        <v/>
      </c>
      <c r="J563" s="19" t="str">
        <f aca="false">IF($A563="","",F563+I563)</f>
        <v/>
      </c>
      <c r="K563" s="19" t="str">
        <f aca="false">IF($A563="","",H563+E563)</f>
        <v/>
      </c>
      <c r="L563" s="20" t="str">
        <f aca="false">IF($A563="","",K563-J563-N563)</f>
        <v/>
      </c>
      <c r="M563" s="15" t="str">
        <f aca="false">IF($A563="","",INDEX(PERLINE!$A$2:$A$3001,MATCH($A563,PERLINE!$N$2:$N$3001,0)))</f>
        <v/>
      </c>
      <c r="N563" s="21" t="str">
        <f aca="false">IF($A563="","",SUMIFS(PERLINE!$M$2:$M$3001,PERLINE!$N$2:$N$3001,$A563))</f>
        <v/>
      </c>
    </row>
    <row r="564" customFormat="false" ht="15" hidden="false" customHeight="false" outlineLevel="0" collapsed="false">
      <c r="A564" s="15" t="str">
        <f aca="false">IF(ROWS($A$2:$A564)&lt;=Check!$C$4,SMALL(PERLINE!$AL$2:$AL$3001,ROWS($A$2:$A564)),"")</f>
        <v/>
      </c>
      <c r="B564" s="15" t="str">
        <f aca="false">IF($A564="","",INDEX(PERLINE!$J$2:$J$3001,MATCH($A564,PERLINE!$N$2:$N$3001,0)))</f>
        <v/>
      </c>
      <c r="C564" s="16" t="str">
        <f aca="false">IF($A564="","",INDEX(PERLINE!$I$2:$I$3001,MATCH($A564,PERLINE!$N$2:$N$3001,0)))</f>
        <v/>
      </c>
      <c r="D564" s="17" t="str">
        <f aca="false">IF($A564="","",'كشف المطالبة'!$D$6)</f>
        <v/>
      </c>
      <c r="E564" s="18" t="str">
        <f aca="false">IF($A564="","",SUMIFS(PERLINE!$U$2:$U$3001,PERLINE!$N$2:$N$3001,$A564,PERLINE!$AK$2:$AK$3001,0))</f>
        <v/>
      </c>
      <c r="F564" s="19" t="str">
        <f aca="false">IF($A564="","",E564*D564)</f>
        <v/>
      </c>
      <c r="G564" s="17" t="str">
        <f aca="false">IF($A564="","",'كشف المطالبة'!$D$5)</f>
        <v/>
      </c>
      <c r="H564" s="18" t="str">
        <f aca="false">IF($A564="","",SUMIFS(PERLINE!$U$2:$U$3001,PERLINE!$N$2:$N$3001,$A564,PERLINE!$AK$2:$AK$3001,1))</f>
        <v/>
      </c>
      <c r="I564" s="19" t="str">
        <f aca="false">IF($A564="","",H564*G564)</f>
        <v/>
      </c>
      <c r="J564" s="19" t="str">
        <f aca="false">IF($A564="","",F564+I564)</f>
        <v/>
      </c>
      <c r="K564" s="19" t="str">
        <f aca="false">IF($A564="","",H564+E564)</f>
        <v/>
      </c>
      <c r="L564" s="20" t="str">
        <f aca="false">IF($A564="","",K564-J564-N564)</f>
        <v/>
      </c>
      <c r="M564" s="15" t="str">
        <f aca="false">IF($A564="","",INDEX(PERLINE!$A$2:$A$3001,MATCH($A564,PERLINE!$N$2:$N$3001,0)))</f>
        <v/>
      </c>
      <c r="N564" s="21" t="str">
        <f aca="false">IF($A564="","",SUMIFS(PERLINE!$M$2:$M$3001,PERLINE!$N$2:$N$3001,$A564))</f>
        <v/>
      </c>
    </row>
    <row r="565" customFormat="false" ht="15" hidden="false" customHeight="false" outlineLevel="0" collapsed="false">
      <c r="A565" s="15" t="str">
        <f aca="false">IF(ROWS($A$2:$A565)&lt;=Check!$C$4,SMALL(PERLINE!$AL$2:$AL$3001,ROWS($A$2:$A565)),"")</f>
        <v/>
      </c>
      <c r="B565" s="15" t="str">
        <f aca="false">IF($A565="","",INDEX(PERLINE!$J$2:$J$3001,MATCH($A565,PERLINE!$N$2:$N$3001,0)))</f>
        <v/>
      </c>
      <c r="C565" s="16" t="str">
        <f aca="false">IF($A565="","",INDEX(PERLINE!$I$2:$I$3001,MATCH($A565,PERLINE!$N$2:$N$3001,0)))</f>
        <v/>
      </c>
      <c r="D565" s="17" t="str">
        <f aca="false">IF($A565="","",'كشف المطالبة'!$D$6)</f>
        <v/>
      </c>
      <c r="E565" s="18" t="str">
        <f aca="false">IF($A565="","",SUMIFS(PERLINE!$U$2:$U$3001,PERLINE!$N$2:$N$3001,$A565,PERLINE!$AK$2:$AK$3001,0))</f>
        <v/>
      </c>
      <c r="F565" s="19" t="str">
        <f aca="false">IF($A565="","",E565*D565)</f>
        <v/>
      </c>
      <c r="G565" s="17" t="str">
        <f aca="false">IF($A565="","",'كشف المطالبة'!$D$5)</f>
        <v/>
      </c>
      <c r="H565" s="18" t="str">
        <f aca="false">IF($A565="","",SUMIFS(PERLINE!$U$2:$U$3001,PERLINE!$N$2:$N$3001,$A565,PERLINE!$AK$2:$AK$3001,1))</f>
        <v/>
      </c>
      <c r="I565" s="19" t="str">
        <f aca="false">IF($A565="","",H565*G565)</f>
        <v/>
      </c>
      <c r="J565" s="19" t="str">
        <f aca="false">IF($A565="","",F565+I565)</f>
        <v/>
      </c>
      <c r="K565" s="19" t="str">
        <f aca="false">IF($A565="","",H565+E565)</f>
        <v/>
      </c>
      <c r="L565" s="20" t="str">
        <f aca="false">IF($A565="","",K565-J565-N565)</f>
        <v/>
      </c>
      <c r="M565" s="15" t="str">
        <f aca="false">IF($A565="","",INDEX(PERLINE!$A$2:$A$3001,MATCH($A565,PERLINE!$N$2:$N$3001,0)))</f>
        <v/>
      </c>
      <c r="N565" s="21" t="str">
        <f aca="false">IF($A565="","",SUMIFS(PERLINE!$M$2:$M$3001,PERLINE!$N$2:$N$3001,$A565))</f>
        <v/>
      </c>
    </row>
    <row r="566" customFormat="false" ht="15" hidden="false" customHeight="false" outlineLevel="0" collapsed="false">
      <c r="A566" s="15" t="str">
        <f aca="false">IF(ROWS($A$2:$A566)&lt;=Check!$C$4,SMALL(PERLINE!$AL$2:$AL$3001,ROWS($A$2:$A566)),"")</f>
        <v/>
      </c>
      <c r="B566" s="15" t="str">
        <f aca="false">IF($A566="","",INDEX(PERLINE!$J$2:$J$3001,MATCH($A566,PERLINE!$N$2:$N$3001,0)))</f>
        <v/>
      </c>
      <c r="C566" s="16" t="str">
        <f aca="false">IF($A566="","",INDEX(PERLINE!$I$2:$I$3001,MATCH($A566,PERLINE!$N$2:$N$3001,0)))</f>
        <v/>
      </c>
      <c r="D566" s="17" t="str">
        <f aca="false">IF($A566="","",'كشف المطالبة'!$D$6)</f>
        <v/>
      </c>
      <c r="E566" s="18" t="str">
        <f aca="false">IF($A566="","",SUMIFS(PERLINE!$U$2:$U$3001,PERLINE!$N$2:$N$3001,$A566,PERLINE!$AK$2:$AK$3001,0))</f>
        <v/>
      </c>
      <c r="F566" s="19" t="str">
        <f aca="false">IF($A566="","",E566*D566)</f>
        <v/>
      </c>
      <c r="G566" s="17" t="str">
        <f aca="false">IF($A566="","",'كشف المطالبة'!$D$5)</f>
        <v/>
      </c>
      <c r="H566" s="18" t="str">
        <f aca="false">IF($A566="","",SUMIFS(PERLINE!$U$2:$U$3001,PERLINE!$N$2:$N$3001,$A566,PERLINE!$AK$2:$AK$3001,1))</f>
        <v/>
      </c>
      <c r="I566" s="19" t="str">
        <f aca="false">IF($A566="","",H566*G566)</f>
        <v/>
      </c>
      <c r="J566" s="19" t="str">
        <f aca="false">IF($A566="","",F566+I566)</f>
        <v/>
      </c>
      <c r="K566" s="19" t="str">
        <f aca="false">IF($A566="","",H566+E566)</f>
        <v/>
      </c>
      <c r="L566" s="20" t="str">
        <f aca="false">IF($A566="","",K566-J566-N566)</f>
        <v/>
      </c>
      <c r="M566" s="15" t="str">
        <f aca="false">IF($A566="","",INDEX(PERLINE!$A$2:$A$3001,MATCH($A566,PERLINE!$N$2:$N$3001,0)))</f>
        <v/>
      </c>
      <c r="N566" s="21" t="str">
        <f aca="false">IF($A566="","",SUMIFS(PERLINE!$M$2:$M$3001,PERLINE!$N$2:$N$3001,$A566))</f>
        <v/>
      </c>
    </row>
    <row r="567" customFormat="false" ht="15" hidden="false" customHeight="false" outlineLevel="0" collapsed="false">
      <c r="A567" s="15" t="str">
        <f aca="false">IF(ROWS($A$2:$A567)&lt;=Check!$C$4,SMALL(PERLINE!$AL$2:$AL$3001,ROWS($A$2:$A567)),"")</f>
        <v/>
      </c>
      <c r="B567" s="15" t="str">
        <f aca="false">IF($A567="","",INDEX(PERLINE!$J$2:$J$3001,MATCH($A567,PERLINE!$N$2:$N$3001,0)))</f>
        <v/>
      </c>
      <c r="C567" s="16" t="str">
        <f aca="false">IF($A567="","",INDEX(PERLINE!$I$2:$I$3001,MATCH($A567,PERLINE!$N$2:$N$3001,0)))</f>
        <v/>
      </c>
      <c r="D567" s="17" t="str">
        <f aca="false">IF($A567="","",'كشف المطالبة'!$D$6)</f>
        <v/>
      </c>
      <c r="E567" s="18" t="str">
        <f aca="false">IF($A567="","",SUMIFS(PERLINE!$U$2:$U$3001,PERLINE!$N$2:$N$3001,$A567,PERLINE!$AK$2:$AK$3001,0))</f>
        <v/>
      </c>
      <c r="F567" s="19" t="str">
        <f aca="false">IF($A567="","",E567*D567)</f>
        <v/>
      </c>
      <c r="G567" s="17" t="str">
        <f aca="false">IF($A567="","",'كشف المطالبة'!$D$5)</f>
        <v/>
      </c>
      <c r="H567" s="18" t="str">
        <f aca="false">IF($A567="","",SUMIFS(PERLINE!$U$2:$U$3001,PERLINE!$N$2:$N$3001,$A567,PERLINE!$AK$2:$AK$3001,1))</f>
        <v/>
      </c>
      <c r="I567" s="19" t="str">
        <f aca="false">IF($A567="","",H567*G567)</f>
        <v/>
      </c>
      <c r="J567" s="19" t="str">
        <f aca="false">IF($A567="","",F567+I567)</f>
        <v/>
      </c>
      <c r="K567" s="19" t="str">
        <f aca="false">IF($A567="","",H567+E567)</f>
        <v/>
      </c>
      <c r="L567" s="20" t="str">
        <f aca="false">IF($A567="","",K567-J567-N567)</f>
        <v/>
      </c>
      <c r="M567" s="15" t="str">
        <f aca="false">IF($A567="","",INDEX(PERLINE!$A$2:$A$3001,MATCH($A567,PERLINE!$N$2:$N$3001,0)))</f>
        <v/>
      </c>
      <c r="N567" s="21" t="str">
        <f aca="false">IF($A567="","",SUMIFS(PERLINE!$M$2:$M$3001,PERLINE!$N$2:$N$3001,$A567))</f>
        <v/>
      </c>
    </row>
    <row r="568" customFormat="false" ht="15" hidden="false" customHeight="false" outlineLevel="0" collapsed="false">
      <c r="A568" s="15" t="str">
        <f aca="false">IF(ROWS($A$2:$A568)&lt;=Check!$C$4,SMALL(PERLINE!$AL$2:$AL$3001,ROWS($A$2:$A568)),"")</f>
        <v/>
      </c>
      <c r="B568" s="15" t="str">
        <f aca="false">IF($A568="","",INDEX(PERLINE!$J$2:$J$3001,MATCH($A568,PERLINE!$N$2:$N$3001,0)))</f>
        <v/>
      </c>
      <c r="C568" s="16" t="str">
        <f aca="false">IF($A568="","",INDEX(PERLINE!$I$2:$I$3001,MATCH($A568,PERLINE!$N$2:$N$3001,0)))</f>
        <v/>
      </c>
      <c r="D568" s="17" t="str">
        <f aca="false">IF($A568="","",'كشف المطالبة'!$D$6)</f>
        <v/>
      </c>
      <c r="E568" s="18" t="str">
        <f aca="false">IF($A568="","",SUMIFS(PERLINE!$U$2:$U$3001,PERLINE!$N$2:$N$3001,$A568,PERLINE!$AK$2:$AK$3001,0))</f>
        <v/>
      </c>
      <c r="F568" s="19" t="str">
        <f aca="false">IF($A568="","",E568*D568)</f>
        <v/>
      </c>
      <c r="G568" s="17" t="str">
        <f aca="false">IF($A568="","",'كشف المطالبة'!$D$5)</f>
        <v/>
      </c>
      <c r="H568" s="18" t="str">
        <f aca="false">IF($A568="","",SUMIFS(PERLINE!$U$2:$U$3001,PERLINE!$N$2:$N$3001,$A568,PERLINE!$AK$2:$AK$3001,1))</f>
        <v/>
      </c>
      <c r="I568" s="19" t="str">
        <f aca="false">IF($A568="","",H568*G568)</f>
        <v/>
      </c>
      <c r="J568" s="19" t="str">
        <f aca="false">IF($A568="","",F568+I568)</f>
        <v/>
      </c>
      <c r="K568" s="19" t="str">
        <f aca="false">IF($A568="","",H568+E568)</f>
        <v/>
      </c>
      <c r="L568" s="20" t="str">
        <f aca="false">IF($A568="","",K568-J568-N568)</f>
        <v/>
      </c>
      <c r="M568" s="15" t="str">
        <f aca="false">IF($A568="","",INDEX(PERLINE!$A$2:$A$3001,MATCH($A568,PERLINE!$N$2:$N$3001,0)))</f>
        <v/>
      </c>
      <c r="N568" s="21" t="str">
        <f aca="false">IF($A568="","",SUMIFS(PERLINE!$M$2:$M$3001,PERLINE!$N$2:$N$3001,$A568))</f>
        <v/>
      </c>
    </row>
    <row r="569" customFormat="false" ht="15" hidden="false" customHeight="false" outlineLevel="0" collapsed="false">
      <c r="A569" s="15" t="str">
        <f aca="false">IF(ROWS($A$2:$A569)&lt;=Check!$C$4,SMALL(PERLINE!$AL$2:$AL$3001,ROWS($A$2:$A569)),"")</f>
        <v/>
      </c>
      <c r="B569" s="15" t="str">
        <f aca="false">IF($A569="","",INDEX(PERLINE!$J$2:$J$3001,MATCH($A569,PERLINE!$N$2:$N$3001,0)))</f>
        <v/>
      </c>
      <c r="C569" s="16" t="str">
        <f aca="false">IF($A569="","",INDEX(PERLINE!$I$2:$I$3001,MATCH($A569,PERLINE!$N$2:$N$3001,0)))</f>
        <v/>
      </c>
      <c r="D569" s="17" t="str">
        <f aca="false">IF($A569="","",'كشف المطالبة'!$D$6)</f>
        <v/>
      </c>
      <c r="E569" s="18" t="str">
        <f aca="false">IF($A569="","",SUMIFS(PERLINE!$U$2:$U$3001,PERLINE!$N$2:$N$3001,$A569,PERLINE!$AK$2:$AK$3001,0))</f>
        <v/>
      </c>
      <c r="F569" s="19" t="str">
        <f aca="false">IF($A569="","",E569*D569)</f>
        <v/>
      </c>
      <c r="G569" s="17" t="str">
        <f aca="false">IF($A569="","",'كشف المطالبة'!$D$5)</f>
        <v/>
      </c>
      <c r="H569" s="18" t="str">
        <f aca="false">IF($A569="","",SUMIFS(PERLINE!$U$2:$U$3001,PERLINE!$N$2:$N$3001,$A569,PERLINE!$AK$2:$AK$3001,1))</f>
        <v/>
      </c>
      <c r="I569" s="19" t="str">
        <f aca="false">IF($A569="","",H569*G569)</f>
        <v/>
      </c>
      <c r="J569" s="19" t="str">
        <f aca="false">IF($A569="","",F569+I569)</f>
        <v/>
      </c>
      <c r="K569" s="19" t="str">
        <f aca="false">IF($A569="","",H569+E569)</f>
        <v/>
      </c>
      <c r="L569" s="20" t="str">
        <f aca="false">IF($A569="","",K569-J569-N569)</f>
        <v/>
      </c>
      <c r="M569" s="15" t="str">
        <f aca="false">IF($A569="","",INDEX(PERLINE!$A$2:$A$3001,MATCH($A569,PERLINE!$N$2:$N$3001,0)))</f>
        <v/>
      </c>
      <c r="N569" s="21" t="str">
        <f aca="false">IF($A569="","",SUMIFS(PERLINE!$M$2:$M$3001,PERLINE!$N$2:$N$3001,$A569))</f>
        <v/>
      </c>
    </row>
    <row r="570" customFormat="false" ht="15" hidden="false" customHeight="false" outlineLevel="0" collapsed="false">
      <c r="A570" s="15" t="str">
        <f aca="false">IF(ROWS($A$2:$A570)&lt;=Check!$C$4,SMALL(PERLINE!$AL$2:$AL$3001,ROWS($A$2:$A570)),"")</f>
        <v/>
      </c>
      <c r="B570" s="15" t="str">
        <f aca="false">IF($A570="","",INDEX(PERLINE!$J$2:$J$3001,MATCH($A570,PERLINE!$N$2:$N$3001,0)))</f>
        <v/>
      </c>
      <c r="C570" s="16" t="str">
        <f aca="false">IF($A570="","",INDEX(PERLINE!$I$2:$I$3001,MATCH($A570,PERLINE!$N$2:$N$3001,0)))</f>
        <v/>
      </c>
      <c r="D570" s="17" t="str">
        <f aca="false">IF($A570="","",'كشف المطالبة'!$D$6)</f>
        <v/>
      </c>
      <c r="E570" s="18" t="str">
        <f aca="false">IF($A570="","",SUMIFS(PERLINE!$U$2:$U$3001,PERLINE!$N$2:$N$3001,$A570,PERLINE!$AK$2:$AK$3001,0))</f>
        <v/>
      </c>
      <c r="F570" s="19" t="str">
        <f aca="false">IF($A570="","",E570*D570)</f>
        <v/>
      </c>
      <c r="G570" s="17" t="str">
        <f aca="false">IF($A570="","",'كشف المطالبة'!$D$5)</f>
        <v/>
      </c>
      <c r="H570" s="18" t="str">
        <f aca="false">IF($A570="","",SUMIFS(PERLINE!$U$2:$U$3001,PERLINE!$N$2:$N$3001,$A570,PERLINE!$AK$2:$AK$3001,1))</f>
        <v/>
      </c>
      <c r="I570" s="19" t="str">
        <f aca="false">IF($A570="","",H570*G570)</f>
        <v/>
      </c>
      <c r="J570" s="19" t="str">
        <f aca="false">IF($A570="","",F570+I570)</f>
        <v/>
      </c>
      <c r="K570" s="19" t="str">
        <f aca="false">IF($A570="","",H570+E570)</f>
        <v/>
      </c>
      <c r="L570" s="20" t="str">
        <f aca="false">IF($A570="","",K570-J570-N570)</f>
        <v/>
      </c>
      <c r="M570" s="15" t="str">
        <f aca="false">IF($A570="","",INDEX(PERLINE!$A$2:$A$3001,MATCH($A570,PERLINE!$N$2:$N$3001,0)))</f>
        <v/>
      </c>
      <c r="N570" s="21" t="str">
        <f aca="false">IF($A570="","",SUMIFS(PERLINE!$M$2:$M$3001,PERLINE!$N$2:$N$3001,$A570))</f>
        <v/>
      </c>
    </row>
    <row r="571" customFormat="false" ht="15" hidden="false" customHeight="false" outlineLevel="0" collapsed="false">
      <c r="A571" s="15" t="str">
        <f aca="false">IF(ROWS($A$2:$A571)&lt;=Check!$C$4,SMALL(PERLINE!$AL$2:$AL$3001,ROWS($A$2:$A571)),"")</f>
        <v/>
      </c>
      <c r="B571" s="15" t="str">
        <f aca="false">IF($A571="","",INDEX(PERLINE!$J$2:$J$3001,MATCH($A571,PERLINE!$N$2:$N$3001,0)))</f>
        <v/>
      </c>
      <c r="C571" s="16" t="str">
        <f aca="false">IF($A571="","",INDEX(PERLINE!$I$2:$I$3001,MATCH($A571,PERLINE!$N$2:$N$3001,0)))</f>
        <v/>
      </c>
      <c r="D571" s="17" t="str">
        <f aca="false">IF($A571="","",'كشف المطالبة'!$D$6)</f>
        <v/>
      </c>
      <c r="E571" s="18" t="str">
        <f aca="false">IF($A571="","",SUMIFS(PERLINE!$U$2:$U$3001,PERLINE!$N$2:$N$3001,$A571,PERLINE!$AK$2:$AK$3001,0))</f>
        <v/>
      </c>
      <c r="F571" s="19" t="str">
        <f aca="false">IF($A571="","",E571*D571)</f>
        <v/>
      </c>
      <c r="G571" s="17" t="str">
        <f aca="false">IF($A571="","",'كشف المطالبة'!$D$5)</f>
        <v/>
      </c>
      <c r="H571" s="18" t="str">
        <f aca="false">IF($A571="","",SUMIFS(PERLINE!$U$2:$U$3001,PERLINE!$N$2:$N$3001,$A571,PERLINE!$AK$2:$AK$3001,1))</f>
        <v/>
      </c>
      <c r="I571" s="19" t="str">
        <f aca="false">IF($A571="","",H571*G571)</f>
        <v/>
      </c>
      <c r="J571" s="19" t="str">
        <f aca="false">IF($A571="","",F571+I571)</f>
        <v/>
      </c>
      <c r="K571" s="19" t="str">
        <f aca="false">IF($A571="","",H571+E571)</f>
        <v/>
      </c>
      <c r="L571" s="20" t="str">
        <f aca="false">IF($A571="","",K571-J571-N571)</f>
        <v/>
      </c>
      <c r="M571" s="15" t="str">
        <f aca="false">IF($A571="","",INDEX(PERLINE!$A$2:$A$3001,MATCH($A571,PERLINE!$N$2:$N$3001,0)))</f>
        <v/>
      </c>
      <c r="N571" s="21" t="str">
        <f aca="false">IF($A571="","",SUMIFS(PERLINE!$M$2:$M$3001,PERLINE!$N$2:$N$3001,$A571))</f>
        <v/>
      </c>
    </row>
    <row r="572" customFormat="false" ht="15" hidden="false" customHeight="false" outlineLevel="0" collapsed="false">
      <c r="A572" s="15" t="str">
        <f aca="false">IF(ROWS($A$2:$A572)&lt;=Check!$C$4,SMALL(PERLINE!$AL$2:$AL$3001,ROWS($A$2:$A572)),"")</f>
        <v/>
      </c>
      <c r="B572" s="15" t="str">
        <f aca="false">IF($A572="","",INDEX(PERLINE!$J$2:$J$3001,MATCH($A572,PERLINE!$N$2:$N$3001,0)))</f>
        <v/>
      </c>
      <c r="C572" s="16" t="str">
        <f aca="false">IF($A572="","",INDEX(PERLINE!$I$2:$I$3001,MATCH($A572,PERLINE!$N$2:$N$3001,0)))</f>
        <v/>
      </c>
      <c r="D572" s="17" t="str">
        <f aca="false">IF($A572="","",'كشف المطالبة'!$D$6)</f>
        <v/>
      </c>
      <c r="E572" s="18" t="str">
        <f aca="false">IF($A572="","",SUMIFS(PERLINE!$U$2:$U$3001,PERLINE!$N$2:$N$3001,$A572,PERLINE!$AK$2:$AK$3001,0))</f>
        <v/>
      </c>
      <c r="F572" s="19" t="str">
        <f aca="false">IF($A572="","",E572*D572)</f>
        <v/>
      </c>
      <c r="G572" s="17" t="str">
        <f aca="false">IF($A572="","",'كشف المطالبة'!$D$5)</f>
        <v/>
      </c>
      <c r="H572" s="18" t="str">
        <f aca="false">IF($A572="","",SUMIFS(PERLINE!$U$2:$U$3001,PERLINE!$N$2:$N$3001,$A572,PERLINE!$AK$2:$AK$3001,1))</f>
        <v/>
      </c>
      <c r="I572" s="19" t="str">
        <f aca="false">IF($A572="","",H572*G572)</f>
        <v/>
      </c>
      <c r="J572" s="19" t="str">
        <f aca="false">IF($A572="","",F572+I572)</f>
        <v/>
      </c>
      <c r="K572" s="19" t="str">
        <f aca="false">IF($A572="","",H572+E572)</f>
        <v/>
      </c>
      <c r="L572" s="20" t="str">
        <f aca="false">IF($A572="","",K572-J572-N572)</f>
        <v/>
      </c>
      <c r="M572" s="15" t="str">
        <f aca="false">IF($A572="","",INDEX(PERLINE!$A$2:$A$3001,MATCH($A572,PERLINE!$N$2:$N$3001,0)))</f>
        <v/>
      </c>
      <c r="N572" s="21" t="str">
        <f aca="false">IF($A572="","",SUMIFS(PERLINE!$M$2:$M$3001,PERLINE!$N$2:$N$3001,$A572))</f>
        <v/>
      </c>
    </row>
    <row r="573" customFormat="false" ht="15" hidden="false" customHeight="false" outlineLevel="0" collapsed="false">
      <c r="A573" s="15" t="str">
        <f aca="false">IF(ROWS($A$2:$A573)&lt;=Check!$C$4,SMALL(PERLINE!$AL$2:$AL$3001,ROWS($A$2:$A573)),"")</f>
        <v/>
      </c>
      <c r="B573" s="15" t="str">
        <f aca="false">IF($A573="","",INDEX(PERLINE!$J$2:$J$3001,MATCH($A573,PERLINE!$N$2:$N$3001,0)))</f>
        <v/>
      </c>
      <c r="C573" s="16" t="str">
        <f aca="false">IF($A573="","",INDEX(PERLINE!$I$2:$I$3001,MATCH($A573,PERLINE!$N$2:$N$3001,0)))</f>
        <v/>
      </c>
      <c r="D573" s="17" t="str">
        <f aca="false">IF($A573="","",'كشف المطالبة'!$D$6)</f>
        <v/>
      </c>
      <c r="E573" s="18" t="str">
        <f aca="false">IF($A573="","",SUMIFS(PERLINE!$U$2:$U$3001,PERLINE!$N$2:$N$3001,$A573,PERLINE!$AK$2:$AK$3001,0))</f>
        <v/>
      </c>
      <c r="F573" s="19" t="str">
        <f aca="false">IF($A573="","",E573*D573)</f>
        <v/>
      </c>
      <c r="G573" s="17" t="str">
        <f aca="false">IF($A573="","",'كشف المطالبة'!$D$5)</f>
        <v/>
      </c>
      <c r="H573" s="18" t="str">
        <f aca="false">IF($A573="","",SUMIFS(PERLINE!$U$2:$U$3001,PERLINE!$N$2:$N$3001,$A573,PERLINE!$AK$2:$AK$3001,1))</f>
        <v/>
      </c>
      <c r="I573" s="19" t="str">
        <f aca="false">IF($A573="","",H573*G573)</f>
        <v/>
      </c>
      <c r="J573" s="19" t="str">
        <f aca="false">IF($A573="","",F573+I573)</f>
        <v/>
      </c>
      <c r="K573" s="19" t="str">
        <f aca="false">IF($A573="","",H573+E573)</f>
        <v/>
      </c>
      <c r="L573" s="20" t="str">
        <f aca="false">IF($A573="","",K573-J573-N573)</f>
        <v/>
      </c>
      <c r="M573" s="15" t="str">
        <f aca="false">IF($A573="","",INDEX(PERLINE!$A$2:$A$3001,MATCH($A573,PERLINE!$N$2:$N$3001,0)))</f>
        <v/>
      </c>
      <c r="N573" s="21" t="str">
        <f aca="false">IF($A573="","",SUMIFS(PERLINE!$M$2:$M$3001,PERLINE!$N$2:$N$3001,$A573))</f>
        <v/>
      </c>
    </row>
    <row r="574" customFormat="false" ht="15" hidden="false" customHeight="false" outlineLevel="0" collapsed="false">
      <c r="A574" s="15" t="str">
        <f aca="false">IF(ROWS($A$2:$A574)&lt;=Check!$C$4,SMALL(PERLINE!$AL$2:$AL$3001,ROWS($A$2:$A574)),"")</f>
        <v/>
      </c>
      <c r="B574" s="15" t="str">
        <f aca="false">IF($A574="","",INDEX(PERLINE!$J$2:$J$3001,MATCH($A574,PERLINE!$N$2:$N$3001,0)))</f>
        <v/>
      </c>
      <c r="C574" s="16" t="str">
        <f aca="false">IF($A574="","",INDEX(PERLINE!$I$2:$I$3001,MATCH($A574,PERLINE!$N$2:$N$3001,0)))</f>
        <v/>
      </c>
      <c r="D574" s="17" t="str">
        <f aca="false">IF($A574="","",'كشف المطالبة'!$D$6)</f>
        <v/>
      </c>
      <c r="E574" s="18" t="str">
        <f aca="false">IF($A574="","",SUMIFS(PERLINE!$U$2:$U$3001,PERLINE!$N$2:$N$3001,$A574,PERLINE!$AK$2:$AK$3001,0))</f>
        <v/>
      </c>
      <c r="F574" s="19" t="str">
        <f aca="false">IF($A574="","",E574*D574)</f>
        <v/>
      </c>
      <c r="G574" s="17" t="str">
        <f aca="false">IF($A574="","",'كشف المطالبة'!$D$5)</f>
        <v/>
      </c>
      <c r="H574" s="18" t="str">
        <f aca="false">IF($A574="","",SUMIFS(PERLINE!$U$2:$U$3001,PERLINE!$N$2:$N$3001,$A574,PERLINE!$AK$2:$AK$3001,1))</f>
        <v/>
      </c>
      <c r="I574" s="19" t="str">
        <f aca="false">IF($A574="","",H574*G574)</f>
        <v/>
      </c>
      <c r="J574" s="19" t="str">
        <f aca="false">IF($A574="","",F574+I574)</f>
        <v/>
      </c>
      <c r="K574" s="19" t="str">
        <f aca="false">IF($A574="","",H574+E574)</f>
        <v/>
      </c>
      <c r="L574" s="20" t="str">
        <f aca="false">IF($A574="","",K574-J574-N574)</f>
        <v/>
      </c>
      <c r="M574" s="15" t="str">
        <f aca="false">IF($A574="","",INDEX(PERLINE!$A$2:$A$3001,MATCH($A574,PERLINE!$N$2:$N$3001,0)))</f>
        <v/>
      </c>
      <c r="N574" s="21" t="str">
        <f aca="false">IF($A574="","",SUMIFS(PERLINE!$M$2:$M$3001,PERLINE!$N$2:$N$3001,$A574))</f>
        <v/>
      </c>
    </row>
    <row r="575" customFormat="false" ht="15" hidden="false" customHeight="false" outlineLevel="0" collapsed="false">
      <c r="A575" s="15" t="str">
        <f aca="false">IF(ROWS($A$2:$A575)&lt;=Check!$C$4,SMALL(PERLINE!$AL$2:$AL$3001,ROWS($A$2:$A575)),"")</f>
        <v/>
      </c>
      <c r="B575" s="15" t="str">
        <f aca="false">IF($A575="","",INDEX(PERLINE!$J$2:$J$3001,MATCH($A575,PERLINE!$N$2:$N$3001,0)))</f>
        <v/>
      </c>
      <c r="C575" s="16" t="str">
        <f aca="false">IF($A575="","",INDEX(PERLINE!$I$2:$I$3001,MATCH($A575,PERLINE!$N$2:$N$3001,0)))</f>
        <v/>
      </c>
      <c r="D575" s="17" t="str">
        <f aca="false">IF($A575="","",'كشف المطالبة'!$D$6)</f>
        <v/>
      </c>
      <c r="E575" s="18" t="str">
        <f aca="false">IF($A575="","",SUMIFS(PERLINE!$U$2:$U$3001,PERLINE!$N$2:$N$3001,$A575,PERLINE!$AK$2:$AK$3001,0))</f>
        <v/>
      </c>
      <c r="F575" s="19" t="str">
        <f aca="false">IF($A575="","",E575*D575)</f>
        <v/>
      </c>
      <c r="G575" s="17" t="str">
        <f aca="false">IF($A575="","",'كشف المطالبة'!$D$5)</f>
        <v/>
      </c>
      <c r="H575" s="18" t="str">
        <f aca="false">IF($A575="","",SUMIFS(PERLINE!$U$2:$U$3001,PERLINE!$N$2:$N$3001,$A575,PERLINE!$AK$2:$AK$3001,1))</f>
        <v/>
      </c>
      <c r="I575" s="19" t="str">
        <f aca="false">IF($A575="","",H575*G575)</f>
        <v/>
      </c>
      <c r="J575" s="19" t="str">
        <f aca="false">IF($A575="","",F575+I575)</f>
        <v/>
      </c>
      <c r="K575" s="19" t="str">
        <f aca="false">IF($A575="","",H575+E575)</f>
        <v/>
      </c>
      <c r="L575" s="20" t="str">
        <f aca="false">IF($A575="","",K575-J575-N575)</f>
        <v/>
      </c>
      <c r="M575" s="15" t="str">
        <f aca="false">IF($A575="","",INDEX(PERLINE!$A$2:$A$3001,MATCH($A575,PERLINE!$N$2:$N$3001,0)))</f>
        <v/>
      </c>
      <c r="N575" s="21" t="str">
        <f aca="false">IF($A575="","",SUMIFS(PERLINE!$M$2:$M$3001,PERLINE!$N$2:$N$3001,$A575))</f>
        <v/>
      </c>
    </row>
    <row r="576" customFormat="false" ht="15" hidden="false" customHeight="false" outlineLevel="0" collapsed="false">
      <c r="A576" s="15" t="str">
        <f aca="false">IF(ROWS($A$2:$A576)&lt;=Check!$C$4,SMALL(PERLINE!$AL$2:$AL$3001,ROWS($A$2:$A576)),"")</f>
        <v/>
      </c>
      <c r="B576" s="15" t="str">
        <f aca="false">IF($A576="","",INDEX(PERLINE!$J$2:$J$3001,MATCH($A576,PERLINE!$N$2:$N$3001,0)))</f>
        <v/>
      </c>
      <c r="C576" s="16" t="str">
        <f aca="false">IF($A576="","",INDEX(PERLINE!$I$2:$I$3001,MATCH($A576,PERLINE!$N$2:$N$3001,0)))</f>
        <v/>
      </c>
      <c r="D576" s="17" t="str">
        <f aca="false">IF($A576="","",'كشف المطالبة'!$D$6)</f>
        <v/>
      </c>
      <c r="E576" s="18" t="str">
        <f aca="false">IF($A576="","",SUMIFS(PERLINE!$U$2:$U$3001,PERLINE!$N$2:$N$3001,$A576,PERLINE!$AK$2:$AK$3001,0))</f>
        <v/>
      </c>
      <c r="F576" s="19" t="str">
        <f aca="false">IF($A576="","",E576*D576)</f>
        <v/>
      </c>
      <c r="G576" s="17" t="str">
        <f aca="false">IF($A576="","",'كشف المطالبة'!$D$5)</f>
        <v/>
      </c>
      <c r="H576" s="18" t="str">
        <f aca="false">IF($A576="","",SUMIFS(PERLINE!$U$2:$U$3001,PERLINE!$N$2:$N$3001,$A576,PERLINE!$AK$2:$AK$3001,1))</f>
        <v/>
      </c>
      <c r="I576" s="19" t="str">
        <f aca="false">IF($A576="","",H576*G576)</f>
        <v/>
      </c>
      <c r="J576" s="19" t="str">
        <f aca="false">IF($A576="","",F576+I576)</f>
        <v/>
      </c>
      <c r="K576" s="19" t="str">
        <f aca="false">IF($A576="","",H576+E576)</f>
        <v/>
      </c>
      <c r="L576" s="20" t="str">
        <f aca="false">IF($A576="","",K576-J576-N576)</f>
        <v/>
      </c>
      <c r="M576" s="15" t="str">
        <f aca="false">IF($A576="","",INDEX(PERLINE!$A$2:$A$3001,MATCH($A576,PERLINE!$N$2:$N$3001,0)))</f>
        <v/>
      </c>
      <c r="N576" s="21" t="str">
        <f aca="false">IF($A576="","",SUMIFS(PERLINE!$M$2:$M$3001,PERLINE!$N$2:$N$3001,$A576))</f>
        <v/>
      </c>
    </row>
    <row r="577" customFormat="false" ht="15" hidden="false" customHeight="false" outlineLevel="0" collapsed="false">
      <c r="A577" s="15" t="str">
        <f aca="false">IF(ROWS($A$2:$A577)&lt;=Check!$C$4,SMALL(PERLINE!$AL$2:$AL$3001,ROWS($A$2:$A577)),"")</f>
        <v/>
      </c>
      <c r="B577" s="15" t="str">
        <f aca="false">IF($A577="","",INDEX(PERLINE!$J$2:$J$3001,MATCH($A577,PERLINE!$N$2:$N$3001,0)))</f>
        <v/>
      </c>
      <c r="C577" s="16" t="str">
        <f aca="false">IF($A577="","",INDEX(PERLINE!$I$2:$I$3001,MATCH($A577,PERLINE!$N$2:$N$3001,0)))</f>
        <v/>
      </c>
      <c r="D577" s="17" t="str">
        <f aca="false">IF($A577="","",'كشف المطالبة'!$D$6)</f>
        <v/>
      </c>
      <c r="E577" s="18" t="str">
        <f aca="false">IF($A577="","",SUMIFS(PERLINE!$U$2:$U$3001,PERLINE!$N$2:$N$3001,$A577,PERLINE!$AK$2:$AK$3001,0))</f>
        <v/>
      </c>
      <c r="F577" s="19" t="str">
        <f aca="false">IF($A577="","",E577*D577)</f>
        <v/>
      </c>
      <c r="G577" s="17" t="str">
        <f aca="false">IF($A577="","",'كشف المطالبة'!$D$5)</f>
        <v/>
      </c>
      <c r="H577" s="18" t="str">
        <f aca="false">IF($A577="","",SUMIFS(PERLINE!$U$2:$U$3001,PERLINE!$N$2:$N$3001,$A577,PERLINE!$AK$2:$AK$3001,1))</f>
        <v/>
      </c>
      <c r="I577" s="19" t="str">
        <f aca="false">IF($A577="","",H577*G577)</f>
        <v/>
      </c>
      <c r="J577" s="19" t="str">
        <f aca="false">IF($A577="","",F577+I577)</f>
        <v/>
      </c>
      <c r="K577" s="19" t="str">
        <f aca="false">IF($A577="","",H577+E577)</f>
        <v/>
      </c>
      <c r="L577" s="20" t="str">
        <f aca="false">IF($A577="","",K577-J577-N577)</f>
        <v/>
      </c>
      <c r="M577" s="15" t="str">
        <f aca="false">IF($A577="","",INDEX(PERLINE!$A$2:$A$3001,MATCH($A577,PERLINE!$N$2:$N$3001,0)))</f>
        <v/>
      </c>
      <c r="N577" s="21" t="str">
        <f aca="false">IF($A577="","",SUMIFS(PERLINE!$M$2:$M$3001,PERLINE!$N$2:$N$3001,$A577))</f>
        <v/>
      </c>
    </row>
    <row r="578" customFormat="false" ht="15" hidden="false" customHeight="false" outlineLevel="0" collapsed="false">
      <c r="A578" s="15" t="str">
        <f aca="false">IF(ROWS($A$2:$A578)&lt;=Check!$C$4,SMALL(PERLINE!$AL$2:$AL$3001,ROWS($A$2:$A578)),"")</f>
        <v/>
      </c>
      <c r="B578" s="15" t="str">
        <f aca="false">IF($A578="","",INDEX(PERLINE!$J$2:$J$3001,MATCH($A578,PERLINE!$N$2:$N$3001,0)))</f>
        <v/>
      </c>
      <c r="C578" s="16" t="str">
        <f aca="false">IF($A578="","",INDEX(PERLINE!$I$2:$I$3001,MATCH($A578,PERLINE!$N$2:$N$3001,0)))</f>
        <v/>
      </c>
      <c r="D578" s="17" t="str">
        <f aca="false">IF($A578="","",'كشف المطالبة'!$D$6)</f>
        <v/>
      </c>
      <c r="E578" s="18" t="str">
        <f aca="false">IF($A578="","",SUMIFS(PERLINE!$U$2:$U$3001,PERLINE!$N$2:$N$3001,$A578,PERLINE!$AK$2:$AK$3001,0))</f>
        <v/>
      </c>
      <c r="F578" s="19" t="str">
        <f aca="false">IF($A578="","",E578*D578)</f>
        <v/>
      </c>
      <c r="G578" s="17" t="str">
        <f aca="false">IF($A578="","",'كشف المطالبة'!$D$5)</f>
        <v/>
      </c>
      <c r="H578" s="18" t="str">
        <f aca="false">IF($A578="","",SUMIFS(PERLINE!$U$2:$U$3001,PERLINE!$N$2:$N$3001,$A578,PERLINE!$AK$2:$AK$3001,1))</f>
        <v/>
      </c>
      <c r="I578" s="19" t="str">
        <f aca="false">IF($A578="","",H578*G578)</f>
        <v/>
      </c>
      <c r="J578" s="19" t="str">
        <f aca="false">IF($A578="","",F578+I578)</f>
        <v/>
      </c>
      <c r="K578" s="19" t="str">
        <f aca="false">IF($A578="","",H578+E578)</f>
        <v/>
      </c>
      <c r="L578" s="20" t="str">
        <f aca="false">IF($A578="","",K578-J578-N578)</f>
        <v/>
      </c>
      <c r="M578" s="15" t="str">
        <f aca="false">IF($A578="","",INDEX(PERLINE!$A$2:$A$3001,MATCH($A578,PERLINE!$N$2:$N$3001,0)))</f>
        <v/>
      </c>
      <c r="N578" s="21" t="str">
        <f aca="false">IF($A578="","",SUMIFS(PERLINE!$M$2:$M$3001,PERLINE!$N$2:$N$3001,$A578))</f>
        <v/>
      </c>
    </row>
    <row r="579" customFormat="false" ht="15" hidden="false" customHeight="false" outlineLevel="0" collapsed="false">
      <c r="A579" s="15" t="str">
        <f aca="false">IF(ROWS($A$2:$A579)&lt;=Check!$C$4,SMALL(PERLINE!$AL$2:$AL$3001,ROWS($A$2:$A579)),"")</f>
        <v/>
      </c>
      <c r="B579" s="15" t="str">
        <f aca="false">IF($A579="","",INDEX(PERLINE!$J$2:$J$3001,MATCH($A579,PERLINE!$N$2:$N$3001,0)))</f>
        <v/>
      </c>
      <c r="C579" s="16" t="str">
        <f aca="false">IF($A579="","",INDEX(PERLINE!$I$2:$I$3001,MATCH($A579,PERLINE!$N$2:$N$3001,0)))</f>
        <v/>
      </c>
      <c r="D579" s="17" t="str">
        <f aca="false">IF($A579="","",'كشف المطالبة'!$D$6)</f>
        <v/>
      </c>
      <c r="E579" s="18" t="str">
        <f aca="false">IF($A579="","",SUMIFS(PERLINE!$U$2:$U$3001,PERLINE!$N$2:$N$3001,$A579,PERLINE!$AK$2:$AK$3001,0))</f>
        <v/>
      </c>
      <c r="F579" s="19" t="str">
        <f aca="false">IF($A579="","",E579*D579)</f>
        <v/>
      </c>
      <c r="G579" s="17" t="str">
        <f aca="false">IF($A579="","",'كشف المطالبة'!$D$5)</f>
        <v/>
      </c>
      <c r="H579" s="18" t="str">
        <f aca="false">IF($A579="","",SUMIFS(PERLINE!$U$2:$U$3001,PERLINE!$N$2:$N$3001,$A579,PERLINE!$AK$2:$AK$3001,1))</f>
        <v/>
      </c>
      <c r="I579" s="19" t="str">
        <f aca="false">IF($A579="","",H579*G579)</f>
        <v/>
      </c>
      <c r="J579" s="19" t="str">
        <f aca="false">IF($A579="","",F579+I579)</f>
        <v/>
      </c>
      <c r="K579" s="19" t="str">
        <f aca="false">IF($A579="","",H579+E579)</f>
        <v/>
      </c>
      <c r="L579" s="20" t="str">
        <f aca="false">IF($A579="","",K579-J579-N579)</f>
        <v/>
      </c>
      <c r="M579" s="15" t="str">
        <f aca="false">IF($A579="","",INDEX(PERLINE!$A$2:$A$3001,MATCH($A579,PERLINE!$N$2:$N$3001,0)))</f>
        <v/>
      </c>
      <c r="N579" s="21" t="str">
        <f aca="false">IF($A579="","",SUMIFS(PERLINE!$M$2:$M$3001,PERLINE!$N$2:$N$3001,$A579))</f>
        <v/>
      </c>
    </row>
    <row r="580" customFormat="false" ht="15" hidden="false" customHeight="false" outlineLevel="0" collapsed="false">
      <c r="A580" s="15" t="str">
        <f aca="false">IF(ROWS($A$2:$A580)&lt;=Check!$C$4,SMALL(PERLINE!$AL$2:$AL$3001,ROWS($A$2:$A580)),"")</f>
        <v/>
      </c>
      <c r="B580" s="15" t="str">
        <f aca="false">IF($A580="","",INDEX(PERLINE!$J$2:$J$3001,MATCH($A580,PERLINE!$N$2:$N$3001,0)))</f>
        <v/>
      </c>
      <c r="C580" s="16" t="str">
        <f aca="false">IF($A580="","",INDEX(PERLINE!$I$2:$I$3001,MATCH($A580,PERLINE!$N$2:$N$3001,0)))</f>
        <v/>
      </c>
      <c r="D580" s="17" t="str">
        <f aca="false">IF($A580="","",'كشف المطالبة'!$D$6)</f>
        <v/>
      </c>
      <c r="E580" s="18" t="str">
        <f aca="false">IF($A580="","",SUMIFS(PERLINE!$U$2:$U$3001,PERLINE!$N$2:$N$3001,$A580,PERLINE!$AK$2:$AK$3001,0))</f>
        <v/>
      </c>
      <c r="F580" s="19" t="str">
        <f aca="false">IF($A580="","",E580*D580)</f>
        <v/>
      </c>
      <c r="G580" s="17" t="str">
        <f aca="false">IF($A580="","",'كشف المطالبة'!$D$5)</f>
        <v/>
      </c>
      <c r="H580" s="18" t="str">
        <f aca="false">IF($A580="","",SUMIFS(PERLINE!$U$2:$U$3001,PERLINE!$N$2:$N$3001,$A580,PERLINE!$AK$2:$AK$3001,1))</f>
        <v/>
      </c>
      <c r="I580" s="19" t="str">
        <f aca="false">IF($A580="","",H580*G580)</f>
        <v/>
      </c>
      <c r="J580" s="19" t="str">
        <f aca="false">IF($A580="","",F580+I580)</f>
        <v/>
      </c>
      <c r="K580" s="19" t="str">
        <f aca="false">IF($A580="","",H580+E580)</f>
        <v/>
      </c>
      <c r="L580" s="20" t="str">
        <f aca="false">IF($A580="","",K580-J580-N580)</f>
        <v/>
      </c>
      <c r="M580" s="15" t="str">
        <f aca="false">IF($A580="","",INDEX(PERLINE!$A$2:$A$3001,MATCH($A580,PERLINE!$N$2:$N$3001,0)))</f>
        <v/>
      </c>
      <c r="N580" s="21" t="str">
        <f aca="false">IF($A580="","",SUMIFS(PERLINE!$M$2:$M$3001,PERLINE!$N$2:$N$3001,$A580))</f>
        <v/>
      </c>
    </row>
    <row r="581" customFormat="false" ht="15" hidden="false" customHeight="false" outlineLevel="0" collapsed="false">
      <c r="A581" s="15" t="str">
        <f aca="false">IF(ROWS($A$2:$A581)&lt;=Check!$C$4,SMALL(PERLINE!$AL$2:$AL$3001,ROWS($A$2:$A581)),"")</f>
        <v/>
      </c>
      <c r="B581" s="15" t="str">
        <f aca="false">IF($A581="","",INDEX(PERLINE!$J$2:$J$3001,MATCH($A581,PERLINE!$N$2:$N$3001,0)))</f>
        <v/>
      </c>
      <c r="C581" s="16" t="str">
        <f aca="false">IF($A581="","",INDEX(PERLINE!$I$2:$I$3001,MATCH($A581,PERLINE!$N$2:$N$3001,0)))</f>
        <v/>
      </c>
      <c r="D581" s="17" t="str">
        <f aca="false">IF($A581="","",'كشف المطالبة'!$D$6)</f>
        <v/>
      </c>
      <c r="E581" s="18" t="str">
        <f aca="false">IF($A581="","",SUMIFS(PERLINE!$U$2:$U$3001,PERLINE!$N$2:$N$3001,$A581,PERLINE!$AK$2:$AK$3001,0))</f>
        <v/>
      </c>
      <c r="F581" s="19" t="str">
        <f aca="false">IF($A581="","",E581*D581)</f>
        <v/>
      </c>
      <c r="G581" s="17" t="str">
        <f aca="false">IF($A581="","",'كشف المطالبة'!$D$5)</f>
        <v/>
      </c>
      <c r="H581" s="18" t="str">
        <f aca="false">IF($A581="","",SUMIFS(PERLINE!$U$2:$U$3001,PERLINE!$N$2:$N$3001,$A581,PERLINE!$AK$2:$AK$3001,1))</f>
        <v/>
      </c>
      <c r="I581" s="19" t="str">
        <f aca="false">IF($A581="","",H581*G581)</f>
        <v/>
      </c>
      <c r="J581" s="19" t="str">
        <f aca="false">IF($A581="","",F581+I581)</f>
        <v/>
      </c>
      <c r="K581" s="19" t="str">
        <f aca="false">IF($A581="","",H581+E581)</f>
        <v/>
      </c>
      <c r="L581" s="20" t="str">
        <f aca="false">IF($A581="","",K581-J581-N581)</f>
        <v/>
      </c>
      <c r="M581" s="15" t="str">
        <f aca="false">IF($A581="","",INDEX(PERLINE!$A$2:$A$3001,MATCH($A581,PERLINE!$N$2:$N$3001,0)))</f>
        <v/>
      </c>
      <c r="N581" s="21" t="str">
        <f aca="false">IF($A581="","",SUMIFS(PERLINE!$M$2:$M$3001,PERLINE!$N$2:$N$3001,$A581))</f>
        <v/>
      </c>
    </row>
    <row r="582" customFormat="false" ht="15" hidden="false" customHeight="false" outlineLevel="0" collapsed="false">
      <c r="A582" s="15" t="str">
        <f aca="false">IF(ROWS($A$2:$A582)&lt;=Check!$C$4,SMALL(PERLINE!$AL$2:$AL$3001,ROWS($A$2:$A582)),"")</f>
        <v/>
      </c>
      <c r="B582" s="15" t="str">
        <f aca="false">IF($A582="","",INDEX(PERLINE!$J$2:$J$3001,MATCH($A582,PERLINE!$N$2:$N$3001,0)))</f>
        <v/>
      </c>
      <c r="C582" s="16" t="str">
        <f aca="false">IF($A582="","",INDEX(PERLINE!$I$2:$I$3001,MATCH($A582,PERLINE!$N$2:$N$3001,0)))</f>
        <v/>
      </c>
      <c r="D582" s="17" t="str">
        <f aca="false">IF($A582="","",'كشف المطالبة'!$D$6)</f>
        <v/>
      </c>
      <c r="E582" s="18" t="str">
        <f aca="false">IF($A582="","",SUMIFS(PERLINE!$U$2:$U$3001,PERLINE!$N$2:$N$3001,$A582,PERLINE!$AK$2:$AK$3001,0))</f>
        <v/>
      </c>
      <c r="F582" s="19" t="str">
        <f aca="false">IF($A582="","",E582*D582)</f>
        <v/>
      </c>
      <c r="G582" s="17" t="str">
        <f aca="false">IF($A582="","",'كشف المطالبة'!$D$5)</f>
        <v/>
      </c>
      <c r="H582" s="18" t="str">
        <f aca="false">IF($A582="","",SUMIFS(PERLINE!$U$2:$U$3001,PERLINE!$N$2:$N$3001,$A582,PERLINE!$AK$2:$AK$3001,1))</f>
        <v/>
      </c>
      <c r="I582" s="19" t="str">
        <f aca="false">IF($A582="","",H582*G582)</f>
        <v/>
      </c>
      <c r="J582" s="19" t="str">
        <f aca="false">IF($A582="","",F582+I582)</f>
        <v/>
      </c>
      <c r="K582" s="19" t="str">
        <f aca="false">IF($A582="","",H582+E582)</f>
        <v/>
      </c>
      <c r="L582" s="20" t="str">
        <f aca="false">IF($A582="","",K582-J582-N582)</f>
        <v/>
      </c>
      <c r="M582" s="15" t="str">
        <f aca="false">IF($A582="","",INDEX(PERLINE!$A$2:$A$3001,MATCH($A582,PERLINE!$N$2:$N$3001,0)))</f>
        <v/>
      </c>
      <c r="N582" s="21" t="str">
        <f aca="false">IF($A582="","",SUMIFS(PERLINE!$M$2:$M$3001,PERLINE!$N$2:$N$3001,$A582))</f>
        <v/>
      </c>
    </row>
    <row r="583" customFormat="false" ht="15" hidden="false" customHeight="false" outlineLevel="0" collapsed="false">
      <c r="A583" s="15" t="str">
        <f aca="false">IF(ROWS($A$2:$A583)&lt;=Check!$C$4,SMALL(PERLINE!$AL$2:$AL$3001,ROWS($A$2:$A583)),"")</f>
        <v/>
      </c>
      <c r="B583" s="15" t="str">
        <f aca="false">IF($A583="","",INDEX(PERLINE!$J$2:$J$3001,MATCH($A583,PERLINE!$N$2:$N$3001,0)))</f>
        <v/>
      </c>
      <c r="C583" s="16" t="str">
        <f aca="false">IF($A583="","",INDEX(PERLINE!$I$2:$I$3001,MATCH($A583,PERLINE!$N$2:$N$3001,0)))</f>
        <v/>
      </c>
      <c r="D583" s="17" t="str">
        <f aca="false">IF($A583="","",'كشف المطالبة'!$D$6)</f>
        <v/>
      </c>
      <c r="E583" s="18" t="str">
        <f aca="false">IF($A583="","",SUMIFS(PERLINE!$U$2:$U$3001,PERLINE!$N$2:$N$3001,$A583,PERLINE!$AK$2:$AK$3001,0))</f>
        <v/>
      </c>
      <c r="F583" s="19" t="str">
        <f aca="false">IF($A583="","",E583*D583)</f>
        <v/>
      </c>
      <c r="G583" s="17" t="str">
        <f aca="false">IF($A583="","",'كشف المطالبة'!$D$5)</f>
        <v/>
      </c>
      <c r="H583" s="18" t="str">
        <f aca="false">IF($A583="","",SUMIFS(PERLINE!$U$2:$U$3001,PERLINE!$N$2:$N$3001,$A583,PERLINE!$AK$2:$AK$3001,1))</f>
        <v/>
      </c>
      <c r="I583" s="19" t="str">
        <f aca="false">IF($A583="","",H583*G583)</f>
        <v/>
      </c>
      <c r="J583" s="19" t="str">
        <f aca="false">IF($A583="","",F583+I583)</f>
        <v/>
      </c>
      <c r="K583" s="19" t="str">
        <f aca="false">IF($A583="","",H583+E583)</f>
        <v/>
      </c>
      <c r="L583" s="20" t="str">
        <f aca="false">IF($A583="","",K583-J583-N583)</f>
        <v/>
      </c>
      <c r="M583" s="15" t="str">
        <f aca="false">IF($A583="","",INDEX(PERLINE!$A$2:$A$3001,MATCH($A583,PERLINE!$N$2:$N$3001,0)))</f>
        <v/>
      </c>
      <c r="N583" s="21" t="str">
        <f aca="false">IF($A583="","",SUMIFS(PERLINE!$M$2:$M$3001,PERLINE!$N$2:$N$3001,$A583))</f>
        <v/>
      </c>
    </row>
    <row r="584" customFormat="false" ht="15" hidden="false" customHeight="false" outlineLevel="0" collapsed="false">
      <c r="A584" s="15" t="str">
        <f aca="false">IF(ROWS($A$2:$A584)&lt;=Check!$C$4,SMALL(PERLINE!$AL$2:$AL$3001,ROWS($A$2:$A584)),"")</f>
        <v/>
      </c>
      <c r="B584" s="15" t="str">
        <f aca="false">IF($A584="","",INDEX(PERLINE!$J$2:$J$3001,MATCH($A584,PERLINE!$N$2:$N$3001,0)))</f>
        <v/>
      </c>
      <c r="C584" s="16" t="str">
        <f aca="false">IF($A584="","",INDEX(PERLINE!$I$2:$I$3001,MATCH($A584,PERLINE!$N$2:$N$3001,0)))</f>
        <v/>
      </c>
      <c r="D584" s="17" t="str">
        <f aca="false">IF($A584="","",'كشف المطالبة'!$D$6)</f>
        <v/>
      </c>
      <c r="E584" s="18" t="str">
        <f aca="false">IF($A584="","",SUMIFS(PERLINE!$U$2:$U$3001,PERLINE!$N$2:$N$3001,$A584,PERLINE!$AK$2:$AK$3001,0))</f>
        <v/>
      </c>
      <c r="F584" s="19" t="str">
        <f aca="false">IF($A584="","",E584*D584)</f>
        <v/>
      </c>
      <c r="G584" s="17" t="str">
        <f aca="false">IF($A584="","",'كشف المطالبة'!$D$5)</f>
        <v/>
      </c>
      <c r="H584" s="18" t="str">
        <f aca="false">IF($A584="","",SUMIFS(PERLINE!$U$2:$U$3001,PERLINE!$N$2:$N$3001,$A584,PERLINE!$AK$2:$AK$3001,1))</f>
        <v/>
      </c>
      <c r="I584" s="19" t="str">
        <f aca="false">IF($A584="","",H584*G584)</f>
        <v/>
      </c>
      <c r="J584" s="19" t="str">
        <f aca="false">IF($A584="","",F584+I584)</f>
        <v/>
      </c>
      <c r="K584" s="19" t="str">
        <f aca="false">IF($A584="","",H584+E584)</f>
        <v/>
      </c>
      <c r="L584" s="20" t="str">
        <f aca="false">IF($A584="","",K584-J584-N584)</f>
        <v/>
      </c>
      <c r="M584" s="15" t="str">
        <f aca="false">IF($A584="","",INDEX(PERLINE!$A$2:$A$3001,MATCH($A584,PERLINE!$N$2:$N$3001,0)))</f>
        <v/>
      </c>
      <c r="N584" s="21" t="str">
        <f aca="false">IF($A584="","",SUMIFS(PERLINE!$M$2:$M$3001,PERLINE!$N$2:$N$3001,$A584))</f>
        <v/>
      </c>
    </row>
    <row r="585" customFormat="false" ht="15" hidden="false" customHeight="false" outlineLevel="0" collapsed="false">
      <c r="A585" s="15" t="str">
        <f aca="false">IF(ROWS($A$2:$A585)&lt;=Check!$C$4,SMALL(PERLINE!$AL$2:$AL$3001,ROWS($A$2:$A585)),"")</f>
        <v/>
      </c>
      <c r="B585" s="15" t="str">
        <f aca="false">IF($A585="","",INDEX(PERLINE!$J$2:$J$3001,MATCH($A585,PERLINE!$N$2:$N$3001,0)))</f>
        <v/>
      </c>
      <c r="C585" s="16" t="str">
        <f aca="false">IF($A585="","",INDEX(PERLINE!$I$2:$I$3001,MATCH($A585,PERLINE!$N$2:$N$3001,0)))</f>
        <v/>
      </c>
      <c r="D585" s="17" t="str">
        <f aca="false">IF($A585="","",'كشف المطالبة'!$D$6)</f>
        <v/>
      </c>
      <c r="E585" s="18" t="str">
        <f aca="false">IF($A585="","",SUMIFS(PERLINE!$U$2:$U$3001,PERLINE!$N$2:$N$3001,$A585,PERLINE!$AK$2:$AK$3001,0))</f>
        <v/>
      </c>
      <c r="F585" s="19" t="str">
        <f aca="false">IF($A585="","",E585*D585)</f>
        <v/>
      </c>
      <c r="G585" s="17" t="str">
        <f aca="false">IF($A585="","",'كشف المطالبة'!$D$5)</f>
        <v/>
      </c>
      <c r="H585" s="18" t="str">
        <f aca="false">IF($A585="","",SUMIFS(PERLINE!$U$2:$U$3001,PERLINE!$N$2:$N$3001,$A585,PERLINE!$AK$2:$AK$3001,1))</f>
        <v/>
      </c>
      <c r="I585" s="19" t="str">
        <f aca="false">IF($A585="","",H585*G585)</f>
        <v/>
      </c>
      <c r="J585" s="19" t="str">
        <f aca="false">IF($A585="","",F585+I585)</f>
        <v/>
      </c>
      <c r="K585" s="19" t="str">
        <f aca="false">IF($A585="","",H585+E585)</f>
        <v/>
      </c>
      <c r="L585" s="20" t="str">
        <f aca="false">IF($A585="","",K585-J585-N585)</f>
        <v/>
      </c>
      <c r="M585" s="15" t="str">
        <f aca="false">IF($A585="","",INDEX(PERLINE!$A$2:$A$3001,MATCH($A585,PERLINE!$N$2:$N$3001,0)))</f>
        <v/>
      </c>
      <c r="N585" s="21" t="str">
        <f aca="false">IF($A585="","",SUMIFS(PERLINE!$M$2:$M$3001,PERLINE!$N$2:$N$3001,$A585))</f>
        <v/>
      </c>
    </row>
    <row r="586" customFormat="false" ht="15" hidden="false" customHeight="false" outlineLevel="0" collapsed="false">
      <c r="A586" s="15" t="str">
        <f aca="false">IF(ROWS($A$2:$A586)&lt;=Check!$C$4,SMALL(PERLINE!$AL$2:$AL$3001,ROWS($A$2:$A586)),"")</f>
        <v/>
      </c>
      <c r="B586" s="15" t="str">
        <f aca="false">IF($A586="","",INDEX(PERLINE!$J$2:$J$3001,MATCH($A586,PERLINE!$N$2:$N$3001,0)))</f>
        <v/>
      </c>
      <c r="C586" s="16" t="str">
        <f aca="false">IF($A586="","",INDEX(PERLINE!$I$2:$I$3001,MATCH($A586,PERLINE!$N$2:$N$3001,0)))</f>
        <v/>
      </c>
      <c r="D586" s="17" t="str">
        <f aca="false">IF($A586="","",'كشف المطالبة'!$D$6)</f>
        <v/>
      </c>
      <c r="E586" s="18" t="str">
        <f aca="false">IF($A586="","",SUMIFS(PERLINE!$U$2:$U$3001,PERLINE!$N$2:$N$3001,$A586,PERLINE!$AK$2:$AK$3001,0))</f>
        <v/>
      </c>
      <c r="F586" s="19" t="str">
        <f aca="false">IF($A586="","",E586*D586)</f>
        <v/>
      </c>
      <c r="G586" s="17" t="str">
        <f aca="false">IF($A586="","",'كشف المطالبة'!$D$5)</f>
        <v/>
      </c>
      <c r="H586" s="18" t="str">
        <f aca="false">IF($A586="","",SUMIFS(PERLINE!$U$2:$U$3001,PERLINE!$N$2:$N$3001,$A586,PERLINE!$AK$2:$AK$3001,1))</f>
        <v/>
      </c>
      <c r="I586" s="19" t="str">
        <f aca="false">IF($A586="","",H586*G586)</f>
        <v/>
      </c>
      <c r="J586" s="19" t="str">
        <f aca="false">IF($A586="","",F586+I586)</f>
        <v/>
      </c>
      <c r="K586" s="19" t="str">
        <f aca="false">IF($A586="","",H586+E586)</f>
        <v/>
      </c>
      <c r="L586" s="20" t="str">
        <f aca="false">IF($A586="","",K586-J586-N586)</f>
        <v/>
      </c>
      <c r="M586" s="15" t="str">
        <f aca="false">IF($A586="","",INDEX(PERLINE!$A$2:$A$3001,MATCH($A586,PERLINE!$N$2:$N$3001,0)))</f>
        <v/>
      </c>
      <c r="N586" s="21" t="str">
        <f aca="false">IF($A586="","",SUMIFS(PERLINE!$M$2:$M$3001,PERLINE!$N$2:$N$3001,$A586))</f>
        <v/>
      </c>
    </row>
    <row r="587" customFormat="false" ht="15" hidden="false" customHeight="false" outlineLevel="0" collapsed="false">
      <c r="A587" s="15" t="str">
        <f aca="false">IF(ROWS($A$2:$A587)&lt;=Check!$C$4,SMALL(PERLINE!$AL$2:$AL$3001,ROWS($A$2:$A587)),"")</f>
        <v/>
      </c>
      <c r="B587" s="15" t="str">
        <f aca="false">IF($A587="","",INDEX(PERLINE!$J$2:$J$3001,MATCH($A587,PERLINE!$N$2:$N$3001,0)))</f>
        <v/>
      </c>
      <c r="C587" s="16" t="str">
        <f aca="false">IF($A587="","",INDEX(PERLINE!$I$2:$I$3001,MATCH($A587,PERLINE!$N$2:$N$3001,0)))</f>
        <v/>
      </c>
      <c r="D587" s="17" t="str">
        <f aca="false">IF($A587="","",'كشف المطالبة'!$D$6)</f>
        <v/>
      </c>
      <c r="E587" s="18" t="str">
        <f aca="false">IF($A587="","",SUMIFS(PERLINE!$U$2:$U$3001,PERLINE!$N$2:$N$3001,$A587,PERLINE!$AK$2:$AK$3001,0))</f>
        <v/>
      </c>
      <c r="F587" s="19" t="str">
        <f aca="false">IF($A587="","",E587*D587)</f>
        <v/>
      </c>
      <c r="G587" s="17" t="str">
        <f aca="false">IF($A587="","",'كشف المطالبة'!$D$5)</f>
        <v/>
      </c>
      <c r="H587" s="18" t="str">
        <f aca="false">IF($A587="","",SUMIFS(PERLINE!$U$2:$U$3001,PERLINE!$N$2:$N$3001,$A587,PERLINE!$AK$2:$AK$3001,1))</f>
        <v/>
      </c>
      <c r="I587" s="19" t="str">
        <f aca="false">IF($A587="","",H587*G587)</f>
        <v/>
      </c>
      <c r="J587" s="19" t="str">
        <f aca="false">IF($A587="","",F587+I587)</f>
        <v/>
      </c>
      <c r="K587" s="19" t="str">
        <f aca="false">IF($A587="","",H587+E587)</f>
        <v/>
      </c>
      <c r="L587" s="20" t="str">
        <f aca="false">IF($A587="","",K587-J587-N587)</f>
        <v/>
      </c>
      <c r="M587" s="15" t="str">
        <f aca="false">IF($A587="","",INDEX(PERLINE!$A$2:$A$3001,MATCH($A587,PERLINE!$N$2:$N$3001,0)))</f>
        <v/>
      </c>
      <c r="N587" s="21" t="str">
        <f aca="false">IF($A587="","",SUMIFS(PERLINE!$M$2:$M$3001,PERLINE!$N$2:$N$3001,$A587))</f>
        <v/>
      </c>
    </row>
    <row r="588" customFormat="false" ht="15" hidden="false" customHeight="false" outlineLevel="0" collapsed="false">
      <c r="A588" s="15" t="str">
        <f aca="false">IF(ROWS($A$2:$A588)&lt;=Check!$C$4,SMALL(PERLINE!$AL$2:$AL$3001,ROWS($A$2:$A588)),"")</f>
        <v/>
      </c>
      <c r="B588" s="15" t="str">
        <f aca="false">IF($A588="","",INDEX(PERLINE!$J$2:$J$3001,MATCH($A588,PERLINE!$N$2:$N$3001,0)))</f>
        <v/>
      </c>
      <c r="C588" s="16" t="str">
        <f aca="false">IF($A588="","",INDEX(PERLINE!$I$2:$I$3001,MATCH($A588,PERLINE!$N$2:$N$3001,0)))</f>
        <v/>
      </c>
      <c r="D588" s="17" t="str">
        <f aca="false">IF($A588="","",'كشف المطالبة'!$D$6)</f>
        <v/>
      </c>
      <c r="E588" s="18" t="str">
        <f aca="false">IF($A588="","",SUMIFS(PERLINE!$U$2:$U$3001,PERLINE!$N$2:$N$3001,$A588,PERLINE!$AK$2:$AK$3001,0))</f>
        <v/>
      </c>
      <c r="F588" s="19" t="str">
        <f aca="false">IF($A588="","",E588*D588)</f>
        <v/>
      </c>
      <c r="G588" s="17" t="str">
        <f aca="false">IF($A588="","",'كشف المطالبة'!$D$5)</f>
        <v/>
      </c>
      <c r="H588" s="18" t="str">
        <f aca="false">IF($A588="","",SUMIFS(PERLINE!$U$2:$U$3001,PERLINE!$N$2:$N$3001,$A588,PERLINE!$AK$2:$AK$3001,1))</f>
        <v/>
      </c>
      <c r="I588" s="19" t="str">
        <f aca="false">IF($A588="","",H588*G588)</f>
        <v/>
      </c>
      <c r="J588" s="19" t="str">
        <f aca="false">IF($A588="","",F588+I588)</f>
        <v/>
      </c>
      <c r="K588" s="19" t="str">
        <f aca="false">IF($A588="","",H588+E588)</f>
        <v/>
      </c>
      <c r="L588" s="20" t="str">
        <f aca="false">IF($A588="","",K588-J588-N588)</f>
        <v/>
      </c>
      <c r="M588" s="15" t="str">
        <f aca="false">IF($A588="","",INDEX(PERLINE!$A$2:$A$3001,MATCH($A588,PERLINE!$N$2:$N$3001,0)))</f>
        <v/>
      </c>
      <c r="N588" s="21" t="str">
        <f aca="false">IF($A588="","",SUMIFS(PERLINE!$M$2:$M$3001,PERLINE!$N$2:$N$3001,$A588))</f>
        <v/>
      </c>
    </row>
    <row r="589" customFormat="false" ht="15" hidden="false" customHeight="false" outlineLevel="0" collapsed="false">
      <c r="A589" s="15" t="str">
        <f aca="false">IF(ROWS($A$2:$A589)&lt;=Check!$C$4,SMALL(PERLINE!$AL$2:$AL$3001,ROWS($A$2:$A589)),"")</f>
        <v/>
      </c>
      <c r="B589" s="15" t="str">
        <f aca="false">IF($A589="","",INDEX(PERLINE!$J$2:$J$3001,MATCH($A589,PERLINE!$N$2:$N$3001,0)))</f>
        <v/>
      </c>
      <c r="C589" s="16" t="str">
        <f aca="false">IF($A589="","",INDEX(PERLINE!$I$2:$I$3001,MATCH($A589,PERLINE!$N$2:$N$3001,0)))</f>
        <v/>
      </c>
      <c r="D589" s="17" t="str">
        <f aca="false">IF($A589="","",'كشف المطالبة'!$D$6)</f>
        <v/>
      </c>
      <c r="E589" s="18" t="str">
        <f aca="false">IF($A589="","",SUMIFS(PERLINE!$U$2:$U$3001,PERLINE!$N$2:$N$3001,$A589,PERLINE!$AK$2:$AK$3001,0))</f>
        <v/>
      </c>
      <c r="F589" s="19" t="str">
        <f aca="false">IF($A589="","",E589*D589)</f>
        <v/>
      </c>
      <c r="G589" s="17" t="str">
        <f aca="false">IF($A589="","",'كشف المطالبة'!$D$5)</f>
        <v/>
      </c>
      <c r="H589" s="18" t="str">
        <f aca="false">IF($A589="","",SUMIFS(PERLINE!$U$2:$U$3001,PERLINE!$N$2:$N$3001,$A589,PERLINE!$AK$2:$AK$3001,1))</f>
        <v/>
      </c>
      <c r="I589" s="19" t="str">
        <f aca="false">IF($A589="","",H589*G589)</f>
        <v/>
      </c>
      <c r="J589" s="19" t="str">
        <f aca="false">IF($A589="","",F589+I589)</f>
        <v/>
      </c>
      <c r="K589" s="19" t="str">
        <f aca="false">IF($A589="","",H589+E589)</f>
        <v/>
      </c>
      <c r="L589" s="20" t="str">
        <f aca="false">IF($A589="","",K589-J589-N589)</f>
        <v/>
      </c>
      <c r="M589" s="15" t="str">
        <f aca="false">IF($A589="","",INDEX(PERLINE!$A$2:$A$3001,MATCH($A589,PERLINE!$N$2:$N$3001,0)))</f>
        <v/>
      </c>
      <c r="N589" s="21" t="str">
        <f aca="false">IF($A589="","",SUMIFS(PERLINE!$M$2:$M$3001,PERLINE!$N$2:$N$3001,$A589))</f>
        <v/>
      </c>
    </row>
    <row r="590" customFormat="false" ht="15" hidden="false" customHeight="false" outlineLevel="0" collapsed="false">
      <c r="A590" s="15" t="str">
        <f aca="false">IF(ROWS($A$2:$A590)&lt;=Check!$C$4,SMALL(PERLINE!$AL$2:$AL$3001,ROWS($A$2:$A590)),"")</f>
        <v/>
      </c>
      <c r="B590" s="15" t="str">
        <f aca="false">IF($A590="","",INDEX(PERLINE!$J$2:$J$3001,MATCH($A590,PERLINE!$N$2:$N$3001,0)))</f>
        <v/>
      </c>
      <c r="C590" s="16" t="str">
        <f aca="false">IF($A590="","",INDEX(PERLINE!$I$2:$I$3001,MATCH($A590,PERLINE!$N$2:$N$3001,0)))</f>
        <v/>
      </c>
      <c r="D590" s="17" t="str">
        <f aca="false">IF($A590="","",'كشف المطالبة'!$D$6)</f>
        <v/>
      </c>
      <c r="E590" s="18" t="str">
        <f aca="false">IF($A590="","",SUMIFS(PERLINE!$U$2:$U$3001,PERLINE!$N$2:$N$3001,$A590,PERLINE!$AK$2:$AK$3001,0))</f>
        <v/>
      </c>
      <c r="F590" s="19" t="str">
        <f aca="false">IF($A590="","",E590*D590)</f>
        <v/>
      </c>
      <c r="G590" s="17" t="str">
        <f aca="false">IF($A590="","",'كشف المطالبة'!$D$5)</f>
        <v/>
      </c>
      <c r="H590" s="18" t="str">
        <f aca="false">IF($A590="","",SUMIFS(PERLINE!$U$2:$U$3001,PERLINE!$N$2:$N$3001,$A590,PERLINE!$AK$2:$AK$3001,1))</f>
        <v/>
      </c>
      <c r="I590" s="19" t="str">
        <f aca="false">IF($A590="","",H590*G590)</f>
        <v/>
      </c>
      <c r="J590" s="19" t="str">
        <f aca="false">IF($A590="","",F590+I590)</f>
        <v/>
      </c>
      <c r="K590" s="19" t="str">
        <f aca="false">IF($A590="","",H590+E590)</f>
        <v/>
      </c>
      <c r="L590" s="20" t="str">
        <f aca="false">IF($A590="","",K590-J590-N590)</f>
        <v/>
      </c>
      <c r="M590" s="15" t="str">
        <f aca="false">IF($A590="","",INDEX(PERLINE!$A$2:$A$3001,MATCH($A590,PERLINE!$N$2:$N$3001,0)))</f>
        <v/>
      </c>
      <c r="N590" s="21" t="str">
        <f aca="false">IF($A590="","",SUMIFS(PERLINE!$M$2:$M$3001,PERLINE!$N$2:$N$3001,$A590))</f>
        <v/>
      </c>
    </row>
    <row r="591" customFormat="false" ht="15" hidden="false" customHeight="false" outlineLevel="0" collapsed="false">
      <c r="A591" s="15" t="str">
        <f aca="false">IF(ROWS($A$2:$A591)&lt;=Check!$C$4,SMALL(PERLINE!$AL$2:$AL$3001,ROWS($A$2:$A591)),"")</f>
        <v/>
      </c>
      <c r="B591" s="15" t="str">
        <f aca="false">IF($A591="","",INDEX(PERLINE!$J$2:$J$3001,MATCH($A591,PERLINE!$N$2:$N$3001,0)))</f>
        <v/>
      </c>
      <c r="C591" s="16" t="str">
        <f aca="false">IF($A591="","",INDEX(PERLINE!$I$2:$I$3001,MATCH($A591,PERLINE!$N$2:$N$3001,0)))</f>
        <v/>
      </c>
      <c r="D591" s="17" t="str">
        <f aca="false">IF($A591="","",'كشف المطالبة'!$D$6)</f>
        <v/>
      </c>
      <c r="E591" s="18" t="str">
        <f aca="false">IF($A591="","",SUMIFS(PERLINE!$U$2:$U$3001,PERLINE!$N$2:$N$3001,$A591,PERLINE!$AK$2:$AK$3001,0))</f>
        <v/>
      </c>
      <c r="F591" s="19" t="str">
        <f aca="false">IF($A591="","",E591*D591)</f>
        <v/>
      </c>
      <c r="G591" s="17" t="str">
        <f aca="false">IF($A591="","",'كشف المطالبة'!$D$5)</f>
        <v/>
      </c>
      <c r="H591" s="18" t="str">
        <f aca="false">IF($A591="","",SUMIFS(PERLINE!$U$2:$U$3001,PERLINE!$N$2:$N$3001,$A591,PERLINE!$AK$2:$AK$3001,1))</f>
        <v/>
      </c>
      <c r="I591" s="19" t="str">
        <f aca="false">IF($A591="","",H591*G591)</f>
        <v/>
      </c>
      <c r="J591" s="19" t="str">
        <f aca="false">IF($A591="","",F591+I591)</f>
        <v/>
      </c>
      <c r="K591" s="19" t="str">
        <f aca="false">IF($A591="","",H591+E591)</f>
        <v/>
      </c>
      <c r="L591" s="20" t="str">
        <f aca="false">IF($A591="","",K591-J591-N591)</f>
        <v/>
      </c>
      <c r="M591" s="15" t="str">
        <f aca="false">IF($A591="","",INDEX(PERLINE!$A$2:$A$3001,MATCH($A591,PERLINE!$N$2:$N$3001,0)))</f>
        <v/>
      </c>
      <c r="N591" s="21" t="str">
        <f aca="false">IF($A591="","",SUMIFS(PERLINE!$M$2:$M$3001,PERLINE!$N$2:$N$3001,$A591))</f>
        <v/>
      </c>
    </row>
    <row r="592" customFormat="false" ht="15" hidden="false" customHeight="false" outlineLevel="0" collapsed="false">
      <c r="A592" s="15" t="str">
        <f aca="false">IF(ROWS($A$2:$A592)&lt;=Check!$C$4,SMALL(PERLINE!$AL$2:$AL$3001,ROWS($A$2:$A592)),"")</f>
        <v/>
      </c>
      <c r="B592" s="15" t="str">
        <f aca="false">IF($A592="","",INDEX(PERLINE!$J$2:$J$3001,MATCH($A592,PERLINE!$N$2:$N$3001,0)))</f>
        <v/>
      </c>
      <c r="C592" s="16" t="str">
        <f aca="false">IF($A592="","",INDEX(PERLINE!$I$2:$I$3001,MATCH($A592,PERLINE!$N$2:$N$3001,0)))</f>
        <v/>
      </c>
      <c r="D592" s="17" t="str">
        <f aca="false">IF($A592="","",'كشف المطالبة'!$D$6)</f>
        <v/>
      </c>
      <c r="E592" s="18" t="str">
        <f aca="false">IF($A592="","",SUMIFS(PERLINE!$U$2:$U$3001,PERLINE!$N$2:$N$3001,$A592,PERLINE!$AK$2:$AK$3001,0))</f>
        <v/>
      </c>
      <c r="F592" s="19" t="str">
        <f aca="false">IF($A592="","",E592*D592)</f>
        <v/>
      </c>
      <c r="G592" s="17" t="str">
        <f aca="false">IF($A592="","",'كشف المطالبة'!$D$5)</f>
        <v/>
      </c>
      <c r="H592" s="18" t="str">
        <f aca="false">IF($A592="","",SUMIFS(PERLINE!$U$2:$U$3001,PERLINE!$N$2:$N$3001,$A592,PERLINE!$AK$2:$AK$3001,1))</f>
        <v/>
      </c>
      <c r="I592" s="19" t="str">
        <f aca="false">IF($A592="","",H592*G592)</f>
        <v/>
      </c>
      <c r="J592" s="19" t="str">
        <f aca="false">IF($A592="","",F592+I592)</f>
        <v/>
      </c>
      <c r="K592" s="19" t="str">
        <f aca="false">IF($A592="","",H592+E592)</f>
        <v/>
      </c>
      <c r="L592" s="20" t="str">
        <f aca="false">IF($A592="","",K592-J592-N592)</f>
        <v/>
      </c>
      <c r="M592" s="15" t="str">
        <f aca="false">IF($A592="","",INDEX(PERLINE!$A$2:$A$3001,MATCH($A592,PERLINE!$N$2:$N$3001,0)))</f>
        <v/>
      </c>
      <c r="N592" s="21" t="str">
        <f aca="false">IF($A592="","",SUMIFS(PERLINE!$M$2:$M$3001,PERLINE!$N$2:$N$3001,$A592))</f>
        <v/>
      </c>
    </row>
    <row r="593" customFormat="false" ht="15" hidden="false" customHeight="false" outlineLevel="0" collapsed="false">
      <c r="A593" s="15" t="str">
        <f aca="false">IF(ROWS($A$2:$A593)&lt;=Check!$C$4,SMALL(PERLINE!$AL$2:$AL$3001,ROWS($A$2:$A593)),"")</f>
        <v/>
      </c>
      <c r="B593" s="15" t="str">
        <f aca="false">IF($A593="","",INDEX(PERLINE!$J$2:$J$3001,MATCH($A593,PERLINE!$N$2:$N$3001,0)))</f>
        <v/>
      </c>
      <c r="C593" s="16" t="str">
        <f aca="false">IF($A593="","",INDEX(PERLINE!$I$2:$I$3001,MATCH($A593,PERLINE!$N$2:$N$3001,0)))</f>
        <v/>
      </c>
      <c r="D593" s="17" t="str">
        <f aca="false">IF($A593="","",'كشف المطالبة'!$D$6)</f>
        <v/>
      </c>
      <c r="E593" s="18" t="str">
        <f aca="false">IF($A593="","",SUMIFS(PERLINE!$U$2:$U$3001,PERLINE!$N$2:$N$3001,$A593,PERLINE!$AK$2:$AK$3001,0))</f>
        <v/>
      </c>
      <c r="F593" s="19" t="str">
        <f aca="false">IF($A593="","",E593*D593)</f>
        <v/>
      </c>
      <c r="G593" s="17" t="str">
        <f aca="false">IF($A593="","",'كشف المطالبة'!$D$5)</f>
        <v/>
      </c>
      <c r="H593" s="18" t="str">
        <f aca="false">IF($A593="","",SUMIFS(PERLINE!$U$2:$U$3001,PERLINE!$N$2:$N$3001,$A593,PERLINE!$AK$2:$AK$3001,1))</f>
        <v/>
      </c>
      <c r="I593" s="19" t="str">
        <f aca="false">IF($A593="","",H593*G593)</f>
        <v/>
      </c>
      <c r="J593" s="19" t="str">
        <f aca="false">IF($A593="","",F593+I593)</f>
        <v/>
      </c>
      <c r="K593" s="19" t="str">
        <f aca="false">IF($A593="","",H593+E593)</f>
        <v/>
      </c>
      <c r="L593" s="20" t="str">
        <f aca="false">IF($A593="","",K593-J593-N593)</f>
        <v/>
      </c>
      <c r="M593" s="15" t="str">
        <f aca="false">IF($A593="","",INDEX(PERLINE!$A$2:$A$3001,MATCH($A593,PERLINE!$N$2:$N$3001,0)))</f>
        <v/>
      </c>
      <c r="N593" s="21" t="str">
        <f aca="false">IF($A593="","",SUMIFS(PERLINE!$M$2:$M$3001,PERLINE!$N$2:$N$3001,$A593))</f>
        <v/>
      </c>
    </row>
    <row r="594" customFormat="false" ht="15" hidden="false" customHeight="false" outlineLevel="0" collapsed="false">
      <c r="A594" s="15" t="str">
        <f aca="false">IF(ROWS($A$2:$A594)&lt;=Check!$C$4,SMALL(PERLINE!$AL$2:$AL$3001,ROWS($A$2:$A594)),"")</f>
        <v/>
      </c>
      <c r="B594" s="15" t="str">
        <f aca="false">IF($A594="","",INDEX(PERLINE!$J$2:$J$3001,MATCH($A594,PERLINE!$N$2:$N$3001,0)))</f>
        <v/>
      </c>
      <c r="C594" s="16" t="str">
        <f aca="false">IF($A594="","",INDEX(PERLINE!$I$2:$I$3001,MATCH($A594,PERLINE!$N$2:$N$3001,0)))</f>
        <v/>
      </c>
      <c r="D594" s="17" t="str">
        <f aca="false">IF($A594="","",'كشف المطالبة'!$D$6)</f>
        <v/>
      </c>
      <c r="E594" s="18" t="str">
        <f aca="false">IF($A594="","",SUMIFS(PERLINE!$U$2:$U$3001,PERLINE!$N$2:$N$3001,$A594,PERLINE!$AK$2:$AK$3001,0))</f>
        <v/>
      </c>
      <c r="F594" s="19" t="str">
        <f aca="false">IF($A594="","",E594*D594)</f>
        <v/>
      </c>
      <c r="G594" s="17" t="str">
        <f aca="false">IF($A594="","",'كشف المطالبة'!$D$5)</f>
        <v/>
      </c>
      <c r="H594" s="18" t="str">
        <f aca="false">IF($A594="","",SUMIFS(PERLINE!$U$2:$U$3001,PERLINE!$N$2:$N$3001,$A594,PERLINE!$AK$2:$AK$3001,1))</f>
        <v/>
      </c>
      <c r="I594" s="19" t="str">
        <f aca="false">IF($A594="","",H594*G594)</f>
        <v/>
      </c>
      <c r="J594" s="19" t="str">
        <f aca="false">IF($A594="","",F594+I594)</f>
        <v/>
      </c>
      <c r="K594" s="19" t="str">
        <f aca="false">IF($A594="","",H594+E594)</f>
        <v/>
      </c>
      <c r="L594" s="20" t="str">
        <f aca="false">IF($A594="","",K594-J594-N594)</f>
        <v/>
      </c>
      <c r="M594" s="15" t="str">
        <f aca="false">IF($A594="","",INDEX(PERLINE!$A$2:$A$3001,MATCH($A594,PERLINE!$N$2:$N$3001,0)))</f>
        <v/>
      </c>
      <c r="N594" s="21" t="str">
        <f aca="false">IF($A594="","",SUMIFS(PERLINE!$M$2:$M$3001,PERLINE!$N$2:$N$3001,$A594))</f>
        <v/>
      </c>
    </row>
    <row r="595" customFormat="false" ht="15" hidden="false" customHeight="false" outlineLevel="0" collapsed="false">
      <c r="A595" s="15" t="str">
        <f aca="false">IF(ROWS($A$2:$A595)&lt;=Check!$C$4,SMALL(PERLINE!$AL$2:$AL$3001,ROWS($A$2:$A595)),"")</f>
        <v/>
      </c>
      <c r="B595" s="15" t="str">
        <f aca="false">IF($A595="","",INDEX(PERLINE!$J$2:$J$3001,MATCH($A595,PERLINE!$N$2:$N$3001,0)))</f>
        <v/>
      </c>
      <c r="C595" s="16" t="str">
        <f aca="false">IF($A595="","",INDEX(PERLINE!$I$2:$I$3001,MATCH($A595,PERLINE!$N$2:$N$3001,0)))</f>
        <v/>
      </c>
      <c r="D595" s="17" t="str">
        <f aca="false">IF($A595="","",'كشف المطالبة'!$D$6)</f>
        <v/>
      </c>
      <c r="E595" s="18" t="str">
        <f aca="false">IF($A595="","",SUMIFS(PERLINE!$U$2:$U$3001,PERLINE!$N$2:$N$3001,$A595,PERLINE!$AK$2:$AK$3001,0))</f>
        <v/>
      </c>
      <c r="F595" s="19" t="str">
        <f aca="false">IF($A595="","",E595*D595)</f>
        <v/>
      </c>
      <c r="G595" s="17" t="str">
        <f aca="false">IF($A595="","",'كشف المطالبة'!$D$5)</f>
        <v/>
      </c>
      <c r="H595" s="18" t="str">
        <f aca="false">IF($A595="","",SUMIFS(PERLINE!$U$2:$U$3001,PERLINE!$N$2:$N$3001,$A595,PERLINE!$AK$2:$AK$3001,1))</f>
        <v/>
      </c>
      <c r="I595" s="19" t="str">
        <f aca="false">IF($A595="","",H595*G595)</f>
        <v/>
      </c>
      <c r="J595" s="19" t="str">
        <f aca="false">IF($A595="","",F595+I595)</f>
        <v/>
      </c>
      <c r="K595" s="19" t="str">
        <f aca="false">IF($A595="","",H595+E595)</f>
        <v/>
      </c>
      <c r="L595" s="20" t="str">
        <f aca="false">IF($A595="","",K595-J595-N595)</f>
        <v/>
      </c>
      <c r="M595" s="15" t="str">
        <f aca="false">IF($A595="","",INDEX(PERLINE!$A$2:$A$3001,MATCH($A595,PERLINE!$N$2:$N$3001,0)))</f>
        <v/>
      </c>
      <c r="N595" s="21" t="str">
        <f aca="false">IF($A595="","",SUMIFS(PERLINE!$M$2:$M$3001,PERLINE!$N$2:$N$3001,$A595))</f>
        <v/>
      </c>
    </row>
    <row r="596" customFormat="false" ht="15" hidden="false" customHeight="false" outlineLevel="0" collapsed="false">
      <c r="A596" s="15" t="str">
        <f aca="false">IF(ROWS($A$2:$A596)&lt;=Check!$C$4,SMALL(PERLINE!$AL$2:$AL$3001,ROWS($A$2:$A596)),"")</f>
        <v/>
      </c>
      <c r="B596" s="15" t="str">
        <f aca="false">IF($A596="","",INDEX(PERLINE!$J$2:$J$3001,MATCH($A596,PERLINE!$N$2:$N$3001,0)))</f>
        <v/>
      </c>
      <c r="C596" s="16" t="str">
        <f aca="false">IF($A596="","",INDEX(PERLINE!$I$2:$I$3001,MATCH($A596,PERLINE!$N$2:$N$3001,0)))</f>
        <v/>
      </c>
      <c r="D596" s="17" t="str">
        <f aca="false">IF($A596="","",'كشف المطالبة'!$D$6)</f>
        <v/>
      </c>
      <c r="E596" s="18" t="str">
        <f aca="false">IF($A596="","",SUMIFS(PERLINE!$U$2:$U$3001,PERLINE!$N$2:$N$3001,$A596,PERLINE!$AK$2:$AK$3001,0))</f>
        <v/>
      </c>
      <c r="F596" s="19" t="str">
        <f aca="false">IF($A596="","",E596*D596)</f>
        <v/>
      </c>
      <c r="G596" s="17" t="str">
        <f aca="false">IF($A596="","",'كشف المطالبة'!$D$5)</f>
        <v/>
      </c>
      <c r="H596" s="18" t="str">
        <f aca="false">IF($A596="","",SUMIFS(PERLINE!$U$2:$U$3001,PERLINE!$N$2:$N$3001,$A596,PERLINE!$AK$2:$AK$3001,1))</f>
        <v/>
      </c>
      <c r="I596" s="19" t="str">
        <f aca="false">IF($A596="","",H596*G596)</f>
        <v/>
      </c>
      <c r="J596" s="19" t="str">
        <f aca="false">IF($A596="","",F596+I596)</f>
        <v/>
      </c>
      <c r="K596" s="19" t="str">
        <f aca="false">IF($A596="","",H596+E596)</f>
        <v/>
      </c>
      <c r="L596" s="20" t="str">
        <f aca="false">IF($A596="","",K596-J596-N596)</f>
        <v/>
      </c>
      <c r="M596" s="15" t="str">
        <f aca="false">IF($A596="","",INDEX(PERLINE!$A$2:$A$3001,MATCH($A596,PERLINE!$N$2:$N$3001,0)))</f>
        <v/>
      </c>
      <c r="N596" s="21" t="str">
        <f aca="false">IF($A596="","",SUMIFS(PERLINE!$M$2:$M$3001,PERLINE!$N$2:$N$3001,$A596))</f>
        <v/>
      </c>
    </row>
    <row r="597" customFormat="false" ht="15" hidden="false" customHeight="false" outlineLevel="0" collapsed="false">
      <c r="A597" s="15" t="str">
        <f aca="false">IF(ROWS($A$2:$A597)&lt;=Check!$C$4,SMALL(PERLINE!$AL$2:$AL$3001,ROWS($A$2:$A597)),"")</f>
        <v/>
      </c>
      <c r="B597" s="15" t="str">
        <f aca="false">IF($A597="","",INDEX(PERLINE!$J$2:$J$3001,MATCH($A597,PERLINE!$N$2:$N$3001,0)))</f>
        <v/>
      </c>
      <c r="C597" s="16" t="str">
        <f aca="false">IF($A597="","",INDEX(PERLINE!$I$2:$I$3001,MATCH($A597,PERLINE!$N$2:$N$3001,0)))</f>
        <v/>
      </c>
      <c r="D597" s="17" t="str">
        <f aca="false">IF($A597="","",'كشف المطالبة'!$D$6)</f>
        <v/>
      </c>
      <c r="E597" s="18" t="str">
        <f aca="false">IF($A597="","",SUMIFS(PERLINE!$U$2:$U$3001,PERLINE!$N$2:$N$3001,$A597,PERLINE!$AK$2:$AK$3001,0))</f>
        <v/>
      </c>
      <c r="F597" s="19" t="str">
        <f aca="false">IF($A597="","",E597*D597)</f>
        <v/>
      </c>
      <c r="G597" s="17" t="str">
        <f aca="false">IF($A597="","",'كشف المطالبة'!$D$5)</f>
        <v/>
      </c>
      <c r="H597" s="18" t="str">
        <f aca="false">IF($A597="","",SUMIFS(PERLINE!$U$2:$U$3001,PERLINE!$N$2:$N$3001,$A597,PERLINE!$AK$2:$AK$3001,1))</f>
        <v/>
      </c>
      <c r="I597" s="19" t="str">
        <f aca="false">IF($A597="","",H597*G597)</f>
        <v/>
      </c>
      <c r="J597" s="19" t="str">
        <f aca="false">IF($A597="","",F597+I597)</f>
        <v/>
      </c>
      <c r="K597" s="19" t="str">
        <f aca="false">IF($A597="","",H597+E597)</f>
        <v/>
      </c>
      <c r="L597" s="20" t="str">
        <f aca="false">IF($A597="","",K597-J597-N597)</f>
        <v/>
      </c>
      <c r="M597" s="15" t="str">
        <f aca="false">IF($A597="","",INDEX(PERLINE!$A$2:$A$3001,MATCH($A597,PERLINE!$N$2:$N$3001,0)))</f>
        <v/>
      </c>
      <c r="N597" s="21" t="str">
        <f aca="false">IF($A597="","",SUMIFS(PERLINE!$M$2:$M$3001,PERLINE!$N$2:$N$3001,$A597))</f>
        <v/>
      </c>
    </row>
    <row r="598" customFormat="false" ht="15" hidden="false" customHeight="false" outlineLevel="0" collapsed="false">
      <c r="A598" s="15" t="str">
        <f aca="false">IF(ROWS($A$2:$A598)&lt;=Check!$C$4,SMALL(PERLINE!$AL$2:$AL$3001,ROWS($A$2:$A598)),"")</f>
        <v/>
      </c>
      <c r="B598" s="15" t="str">
        <f aca="false">IF($A598="","",INDEX(PERLINE!$J$2:$J$3001,MATCH($A598,PERLINE!$N$2:$N$3001,0)))</f>
        <v/>
      </c>
      <c r="C598" s="16" t="str">
        <f aca="false">IF($A598="","",INDEX(PERLINE!$I$2:$I$3001,MATCH($A598,PERLINE!$N$2:$N$3001,0)))</f>
        <v/>
      </c>
      <c r="D598" s="17" t="str">
        <f aca="false">IF($A598="","",'كشف المطالبة'!$D$6)</f>
        <v/>
      </c>
      <c r="E598" s="18" t="str">
        <f aca="false">IF($A598="","",SUMIFS(PERLINE!$U$2:$U$3001,PERLINE!$N$2:$N$3001,$A598,PERLINE!$AK$2:$AK$3001,0))</f>
        <v/>
      </c>
      <c r="F598" s="19" t="str">
        <f aca="false">IF($A598="","",E598*D598)</f>
        <v/>
      </c>
      <c r="G598" s="17" t="str">
        <f aca="false">IF($A598="","",'كشف المطالبة'!$D$5)</f>
        <v/>
      </c>
      <c r="H598" s="18" t="str">
        <f aca="false">IF($A598="","",SUMIFS(PERLINE!$U$2:$U$3001,PERLINE!$N$2:$N$3001,$A598,PERLINE!$AK$2:$AK$3001,1))</f>
        <v/>
      </c>
      <c r="I598" s="19" t="str">
        <f aca="false">IF($A598="","",H598*G598)</f>
        <v/>
      </c>
      <c r="J598" s="19" t="str">
        <f aca="false">IF($A598="","",F598+I598)</f>
        <v/>
      </c>
      <c r="K598" s="19" t="str">
        <f aca="false">IF($A598="","",H598+E598)</f>
        <v/>
      </c>
      <c r="L598" s="20" t="str">
        <f aca="false">IF($A598="","",K598-J598-N598)</f>
        <v/>
      </c>
      <c r="M598" s="15" t="str">
        <f aca="false">IF($A598="","",INDEX(PERLINE!$A$2:$A$3001,MATCH($A598,PERLINE!$N$2:$N$3001,0)))</f>
        <v/>
      </c>
      <c r="N598" s="21" t="str">
        <f aca="false">IF($A598="","",SUMIFS(PERLINE!$M$2:$M$3001,PERLINE!$N$2:$N$3001,$A598))</f>
        <v/>
      </c>
    </row>
    <row r="599" customFormat="false" ht="15" hidden="false" customHeight="false" outlineLevel="0" collapsed="false">
      <c r="A599" s="15" t="str">
        <f aca="false">IF(ROWS($A$2:$A599)&lt;=Check!$C$4,SMALL(PERLINE!$AL$2:$AL$3001,ROWS($A$2:$A599)),"")</f>
        <v/>
      </c>
      <c r="B599" s="15" t="str">
        <f aca="false">IF($A599="","",INDEX(PERLINE!$J$2:$J$3001,MATCH($A599,PERLINE!$N$2:$N$3001,0)))</f>
        <v/>
      </c>
      <c r="C599" s="16" t="str">
        <f aca="false">IF($A599="","",INDEX(PERLINE!$I$2:$I$3001,MATCH($A599,PERLINE!$N$2:$N$3001,0)))</f>
        <v/>
      </c>
      <c r="D599" s="17" t="str">
        <f aca="false">IF($A599="","",'كشف المطالبة'!$D$6)</f>
        <v/>
      </c>
      <c r="E599" s="18" t="str">
        <f aca="false">IF($A599="","",SUMIFS(PERLINE!$U$2:$U$3001,PERLINE!$N$2:$N$3001,$A599,PERLINE!$AK$2:$AK$3001,0))</f>
        <v/>
      </c>
      <c r="F599" s="19" t="str">
        <f aca="false">IF($A599="","",E599*D599)</f>
        <v/>
      </c>
      <c r="G599" s="17" t="str">
        <f aca="false">IF($A599="","",'كشف المطالبة'!$D$5)</f>
        <v/>
      </c>
      <c r="H599" s="18" t="str">
        <f aca="false">IF($A599="","",SUMIFS(PERLINE!$U$2:$U$3001,PERLINE!$N$2:$N$3001,$A599,PERLINE!$AK$2:$AK$3001,1))</f>
        <v/>
      </c>
      <c r="I599" s="19" t="str">
        <f aca="false">IF($A599="","",H599*G599)</f>
        <v/>
      </c>
      <c r="J599" s="19" t="str">
        <f aca="false">IF($A599="","",F599+I599)</f>
        <v/>
      </c>
      <c r="K599" s="19" t="str">
        <f aca="false">IF($A599="","",H599+E599)</f>
        <v/>
      </c>
      <c r="L599" s="20" t="str">
        <f aca="false">IF($A599="","",K599-J599-N599)</f>
        <v/>
      </c>
      <c r="M599" s="15" t="str">
        <f aca="false">IF($A599="","",INDEX(PERLINE!$A$2:$A$3001,MATCH($A599,PERLINE!$N$2:$N$3001,0)))</f>
        <v/>
      </c>
      <c r="N599" s="21" t="str">
        <f aca="false">IF($A599="","",SUMIFS(PERLINE!$M$2:$M$3001,PERLINE!$N$2:$N$3001,$A599))</f>
        <v/>
      </c>
    </row>
    <row r="600" customFormat="false" ht="15" hidden="false" customHeight="false" outlineLevel="0" collapsed="false">
      <c r="A600" s="15" t="str">
        <f aca="false">IF(ROWS($A$2:$A600)&lt;=Check!$C$4,SMALL(PERLINE!$AL$2:$AL$3001,ROWS($A$2:$A600)),"")</f>
        <v/>
      </c>
      <c r="B600" s="15" t="str">
        <f aca="false">IF($A600="","",INDEX(PERLINE!$J$2:$J$3001,MATCH($A600,PERLINE!$N$2:$N$3001,0)))</f>
        <v/>
      </c>
      <c r="C600" s="16" t="str">
        <f aca="false">IF($A600="","",INDEX(PERLINE!$I$2:$I$3001,MATCH($A600,PERLINE!$N$2:$N$3001,0)))</f>
        <v/>
      </c>
      <c r="D600" s="17" t="str">
        <f aca="false">IF($A600="","",'كشف المطالبة'!$D$6)</f>
        <v/>
      </c>
      <c r="E600" s="18" t="str">
        <f aca="false">IF($A600="","",SUMIFS(PERLINE!$U$2:$U$3001,PERLINE!$N$2:$N$3001,$A600,PERLINE!$AK$2:$AK$3001,0))</f>
        <v/>
      </c>
      <c r="F600" s="19" t="str">
        <f aca="false">IF($A600="","",E600*D600)</f>
        <v/>
      </c>
      <c r="G600" s="17" t="str">
        <f aca="false">IF($A600="","",'كشف المطالبة'!$D$5)</f>
        <v/>
      </c>
      <c r="H600" s="18" t="str">
        <f aca="false">IF($A600="","",SUMIFS(PERLINE!$U$2:$U$3001,PERLINE!$N$2:$N$3001,$A600,PERLINE!$AK$2:$AK$3001,1))</f>
        <v/>
      </c>
      <c r="I600" s="19" t="str">
        <f aca="false">IF($A600="","",H600*G600)</f>
        <v/>
      </c>
      <c r="J600" s="19" t="str">
        <f aca="false">IF($A600="","",F600+I600)</f>
        <v/>
      </c>
      <c r="K600" s="19" t="str">
        <f aca="false">IF($A600="","",H600+E600)</f>
        <v/>
      </c>
      <c r="L600" s="20" t="str">
        <f aca="false">IF($A600="","",K600-J600-N600)</f>
        <v/>
      </c>
      <c r="M600" s="15" t="str">
        <f aca="false">IF($A600="","",INDEX(PERLINE!$A$2:$A$3001,MATCH($A600,PERLINE!$N$2:$N$3001,0)))</f>
        <v/>
      </c>
      <c r="N600" s="21" t="str">
        <f aca="false">IF($A600="","",SUMIFS(PERLINE!$M$2:$M$3001,PERLINE!$N$2:$N$3001,$A600))</f>
        <v/>
      </c>
    </row>
    <row r="601" customFormat="false" ht="15" hidden="false" customHeight="false" outlineLevel="0" collapsed="false">
      <c r="A601" s="15" t="str">
        <f aca="false">IF(ROWS($A$2:$A601)&lt;=Check!$C$4,SMALL(PERLINE!$AL$2:$AL$3001,ROWS($A$2:$A601)),"")</f>
        <v/>
      </c>
      <c r="B601" s="15" t="str">
        <f aca="false">IF($A601="","",INDEX(PERLINE!$J$2:$J$3001,MATCH($A601,PERLINE!$N$2:$N$3001,0)))</f>
        <v/>
      </c>
      <c r="C601" s="16" t="str">
        <f aca="false">IF($A601="","",INDEX(PERLINE!$I$2:$I$3001,MATCH($A601,PERLINE!$N$2:$N$3001,0)))</f>
        <v/>
      </c>
      <c r="D601" s="17" t="str">
        <f aca="false">IF($A601="","",'كشف المطالبة'!$D$6)</f>
        <v/>
      </c>
      <c r="E601" s="18" t="str">
        <f aca="false">IF($A601="","",SUMIFS(PERLINE!$U$2:$U$3001,PERLINE!$N$2:$N$3001,$A601,PERLINE!$AK$2:$AK$3001,0))</f>
        <v/>
      </c>
      <c r="F601" s="19" t="str">
        <f aca="false">IF($A601="","",E601*D601)</f>
        <v/>
      </c>
      <c r="G601" s="17" t="str">
        <f aca="false">IF($A601="","",'كشف المطالبة'!$D$5)</f>
        <v/>
      </c>
      <c r="H601" s="18" t="str">
        <f aca="false">IF($A601="","",SUMIFS(PERLINE!$U$2:$U$3001,PERLINE!$N$2:$N$3001,$A601,PERLINE!$AK$2:$AK$3001,1))</f>
        <v/>
      </c>
      <c r="I601" s="19" t="str">
        <f aca="false">IF($A601="","",H601*G601)</f>
        <v/>
      </c>
      <c r="J601" s="19" t="str">
        <f aca="false">IF($A601="","",F601+I601)</f>
        <v/>
      </c>
      <c r="K601" s="19" t="str">
        <f aca="false">IF($A601="","",H601+E601)</f>
        <v/>
      </c>
      <c r="L601" s="20" t="str">
        <f aca="false">IF($A601="","",K601-J601-N601)</f>
        <v/>
      </c>
      <c r="M601" s="15" t="str">
        <f aca="false">IF($A601="","",INDEX(PERLINE!$A$2:$A$3001,MATCH($A601,PERLINE!$N$2:$N$3001,0)))</f>
        <v/>
      </c>
      <c r="N601" s="21" t="str">
        <f aca="false">IF($A601="","",SUMIFS(PERLINE!$M$2:$M$3001,PERLINE!$N$2:$N$3001,$A601))</f>
        <v/>
      </c>
    </row>
    <row r="602" customFormat="false" ht="15" hidden="false" customHeight="false" outlineLevel="0" collapsed="false">
      <c r="A602" s="15" t="str">
        <f aca="false">IF(ROWS($A$2:$A602)&lt;=Check!$C$4,SMALL(PERLINE!$AL$2:$AL$3001,ROWS($A$2:$A602)),"")</f>
        <v/>
      </c>
      <c r="B602" s="15" t="str">
        <f aca="false">IF($A602="","",INDEX(PERLINE!$J$2:$J$3001,MATCH($A602,PERLINE!$N$2:$N$3001,0)))</f>
        <v/>
      </c>
      <c r="C602" s="16" t="str">
        <f aca="false">IF($A602="","",INDEX(PERLINE!$I$2:$I$3001,MATCH($A602,PERLINE!$N$2:$N$3001,0)))</f>
        <v/>
      </c>
      <c r="D602" s="17" t="str">
        <f aca="false">IF($A602="","",'كشف المطالبة'!$D$6)</f>
        <v/>
      </c>
      <c r="E602" s="18" t="str">
        <f aca="false">IF($A602="","",SUMIFS(PERLINE!$U$2:$U$3001,PERLINE!$N$2:$N$3001,$A602,PERLINE!$AK$2:$AK$3001,0))</f>
        <v/>
      </c>
      <c r="F602" s="19" t="str">
        <f aca="false">IF($A602="","",E602*D602)</f>
        <v/>
      </c>
      <c r="G602" s="17" t="str">
        <f aca="false">IF($A602="","",'كشف المطالبة'!$D$5)</f>
        <v/>
      </c>
      <c r="H602" s="18" t="str">
        <f aca="false">IF($A602="","",SUMIFS(PERLINE!$U$2:$U$3001,PERLINE!$N$2:$N$3001,$A602,PERLINE!$AK$2:$AK$3001,1))</f>
        <v/>
      </c>
      <c r="I602" s="19" t="str">
        <f aca="false">IF($A602="","",H602*G602)</f>
        <v/>
      </c>
      <c r="J602" s="19" t="str">
        <f aca="false">IF($A602="","",F602+I602)</f>
        <v/>
      </c>
      <c r="K602" s="19" t="str">
        <f aca="false">IF($A602="","",H602+E602)</f>
        <v/>
      </c>
      <c r="L602" s="20" t="str">
        <f aca="false">IF($A602="","",K602-J602-N602)</f>
        <v/>
      </c>
      <c r="M602" s="15" t="str">
        <f aca="false">IF($A602="","",INDEX(PERLINE!$A$2:$A$3001,MATCH($A602,PERLINE!$N$2:$N$3001,0)))</f>
        <v/>
      </c>
      <c r="N602" s="21" t="str">
        <f aca="false">IF($A602="","",SUMIFS(PERLINE!$M$2:$M$3001,PERLINE!$N$2:$N$3001,$A602))</f>
        <v/>
      </c>
    </row>
    <row r="603" customFormat="false" ht="15" hidden="false" customHeight="false" outlineLevel="0" collapsed="false">
      <c r="A603" s="15" t="str">
        <f aca="false">IF(ROWS($A$2:$A603)&lt;=Check!$C$4,SMALL(PERLINE!$AL$2:$AL$3001,ROWS($A$2:$A603)),"")</f>
        <v/>
      </c>
      <c r="B603" s="15" t="str">
        <f aca="false">IF($A603="","",INDEX(PERLINE!$J$2:$J$3001,MATCH($A603,PERLINE!$N$2:$N$3001,0)))</f>
        <v/>
      </c>
      <c r="C603" s="16" t="str">
        <f aca="false">IF($A603="","",INDEX(PERLINE!$I$2:$I$3001,MATCH($A603,PERLINE!$N$2:$N$3001,0)))</f>
        <v/>
      </c>
      <c r="D603" s="17" t="str">
        <f aca="false">IF($A603="","",'كشف المطالبة'!$D$6)</f>
        <v/>
      </c>
      <c r="E603" s="18" t="str">
        <f aca="false">IF($A603="","",SUMIFS(PERLINE!$U$2:$U$3001,PERLINE!$N$2:$N$3001,$A603,PERLINE!$AK$2:$AK$3001,0))</f>
        <v/>
      </c>
      <c r="F603" s="19" t="str">
        <f aca="false">IF($A603="","",E603*D603)</f>
        <v/>
      </c>
      <c r="G603" s="17" t="str">
        <f aca="false">IF($A603="","",'كشف المطالبة'!$D$5)</f>
        <v/>
      </c>
      <c r="H603" s="18" t="str">
        <f aca="false">IF($A603="","",SUMIFS(PERLINE!$U$2:$U$3001,PERLINE!$N$2:$N$3001,$A603,PERLINE!$AK$2:$AK$3001,1))</f>
        <v/>
      </c>
      <c r="I603" s="19" t="str">
        <f aca="false">IF($A603="","",H603*G603)</f>
        <v/>
      </c>
      <c r="J603" s="19" t="str">
        <f aca="false">IF($A603="","",F603+I603)</f>
        <v/>
      </c>
      <c r="K603" s="19" t="str">
        <f aca="false">IF($A603="","",H603+E603)</f>
        <v/>
      </c>
      <c r="L603" s="20" t="str">
        <f aca="false">IF($A603="","",K603-J603-N603)</f>
        <v/>
      </c>
      <c r="M603" s="15" t="str">
        <f aca="false">IF($A603="","",INDEX(PERLINE!$A$2:$A$3001,MATCH($A603,PERLINE!$N$2:$N$3001,0)))</f>
        <v/>
      </c>
      <c r="N603" s="21" t="str">
        <f aca="false">IF($A603="","",SUMIFS(PERLINE!$M$2:$M$3001,PERLINE!$N$2:$N$3001,$A603))</f>
        <v/>
      </c>
    </row>
    <row r="604" customFormat="false" ht="15" hidden="false" customHeight="false" outlineLevel="0" collapsed="false">
      <c r="A604" s="15" t="str">
        <f aca="false">IF(ROWS($A$2:$A604)&lt;=Check!$C$4,SMALL(PERLINE!$AL$2:$AL$3001,ROWS($A$2:$A604)),"")</f>
        <v/>
      </c>
      <c r="B604" s="15" t="str">
        <f aca="false">IF($A604="","",INDEX(PERLINE!$J$2:$J$3001,MATCH($A604,PERLINE!$N$2:$N$3001,0)))</f>
        <v/>
      </c>
      <c r="C604" s="16" t="str">
        <f aca="false">IF($A604="","",INDEX(PERLINE!$I$2:$I$3001,MATCH($A604,PERLINE!$N$2:$N$3001,0)))</f>
        <v/>
      </c>
      <c r="D604" s="17" t="str">
        <f aca="false">IF($A604="","",'كشف المطالبة'!$D$6)</f>
        <v/>
      </c>
      <c r="E604" s="18" t="str">
        <f aca="false">IF($A604="","",SUMIFS(PERLINE!$U$2:$U$3001,PERLINE!$N$2:$N$3001,$A604,PERLINE!$AK$2:$AK$3001,0))</f>
        <v/>
      </c>
      <c r="F604" s="19" t="str">
        <f aca="false">IF($A604="","",E604*D604)</f>
        <v/>
      </c>
      <c r="G604" s="17" t="str">
        <f aca="false">IF($A604="","",'كشف المطالبة'!$D$5)</f>
        <v/>
      </c>
      <c r="H604" s="18" t="str">
        <f aca="false">IF($A604="","",SUMIFS(PERLINE!$U$2:$U$3001,PERLINE!$N$2:$N$3001,$A604,PERLINE!$AK$2:$AK$3001,1))</f>
        <v/>
      </c>
      <c r="I604" s="19" t="str">
        <f aca="false">IF($A604="","",H604*G604)</f>
        <v/>
      </c>
      <c r="J604" s="19" t="str">
        <f aca="false">IF($A604="","",F604+I604)</f>
        <v/>
      </c>
      <c r="K604" s="19" t="str">
        <f aca="false">IF($A604="","",H604+E604)</f>
        <v/>
      </c>
      <c r="L604" s="20" t="str">
        <f aca="false">IF($A604="","",K604-J604-N604)</f>
        <v/>
      </c>
      <c r="M604" s="15" t="str">
        <f aca="false">IF($A604="","",INDEX(PERLINE!$A$2:$A$3001,MATCH($A604,PERLINE!$N$2:$N$3001,0)))</f>
        <v/>
      </c>
      <c r="N604" s="21" t="str">
        <f aca="false">IF($A604="","",SUMIFS(PERLINE!$M$2:$M$3001,PERLINE!$N$2:$N$3001,$A604))</f>
        <v/>
      </c>
    </row>
    <row r="605" customFormat="false" ht="15" hidden="false" customHeight="false" outlineLevel="0" collapsed="false">
      <c r="A605" s="15" t="str">
        <f aca="false">IF(ROWS($A$2:$A605)&lt;=Check!$C$4,SMALL(PERLINE!$AL$2:$AL$3001,ROWS($A$2:$A605)),"")</f>
        <v/>
      </c>
      <c r="B605" s="15" t="str">
        <f aca="false">IF($A605="","",INDEX(PERLINE!$J$2:$J$3001,MATCH($A605,PERLINE!$N$2:$N$3001,0)))</f>
        <v/>
      </c>
      <c r="C605" s="16" t="str">
        <f aca="false">IF($A605="","",INDEX(PERLINE!$I$2:$I$3001,MATCH($A605,PERLINE!$N$2:$N$3001,0)))</f>
        <v/>
      </c>
      <c r="D605" s="17" t="str">
        <f aca="false">IF($A605="","",'كشف المطالبة'!$D$6)</f>
        <v/>
      </c>
      <c r="E605" s="18" t="str">
        <f aca="false">IF($A605="","",SUMIFS(PERLINE!$U$2:$U$3001,PERLINE!$N$2:$N$3001,$A605,PERLINE!$AK$2:$AK$3001,0))</f>
        <v/>
      </c>
      <c r="F605" s="19" t="str">
        <f aca="false">IF($A605="","",E605*D605)</f>
        <v/>
      </c>
      <c r="G605" s="17" t="str">
        <f aca="false">IF($A605="","",'كشف المطالبة'!$D$5)</f>
        <v/>
      </c>
      <c r="H605" s="18" t="str">
        <f aca="false">IF($A605="","",SUMIFS(PERLINE!$U$2:$U$3001,PERLINE!$N$2:$N$3001,$A605,PERLINE!$AK$2:$AK$3001,1))</f>
        <v/>
      </c>
      <c r="I605" s="19" t="str">
        <f aca="false">IF($A605="","",H605*G605)</f>
        <v/>
      </c>
      <c r="J605" s="19" t="str">
        <f aca="false">IF($A605="","",F605+I605)</f>
        <v/>
      </c>
      <c r="K605" s="19" t="str">
        <f aca="false">IF($A605="","",H605+E605)</f>
        <v/>
      </c>
      <c r="L605" s="20" t="str">
        <f aca="false">IF($A605="","",K605-J605-N605)</f>
        <v/>
      </c>
      <c r="M605" s="15" t="str">
        <f aca="false">IF($A605="","",INDEX(PERLINE!$A$2:$A$3001,MATCH($A605,PERLINE!$N$2:$N$3001,0)))</f>
        <v/>
      </c>
      <c r="N605" s="21" t="str">
        <f aca="false">IF($A605="","",SUMIFS(PERLINE!$M$2:$M$3001,PERLINE!$N$2:$N$3001,$A605))</f>
        <v/>
      </c>
    </row>
    <row r="606" customFormat="false" ht="15" hidden="false" customHeight="false" outlineLevel="0" collapsed="false">
      <c r="A606" s="15" t="str">
        <f aca="false">IF(ROWS($A$2:$A606)&lt;=Check!$C$4,SMALL(PERLINE!$AL$2:$AL$3001,ROWS($A$2:$A606)),"")</f>
        <v/>
      </c>
      <c r="B606" s="15" t="str">
        <f aca="false">IF($A606="","",INDEX(PERLINE!$J$2:$J$3001,MATCH($A606,PERLINE!$N$2:$N$3001,0)))</f>
        <v/>
      </c>
      <c r="C606" s="16" t="str">
        <f aca="false">IF($A606="","",INDEX(PERLINE!$I$2:$I$3001,MATCH($A606,PERLINE!$N$2:$N$3001,0)))</f>
        <v/>
      </c>
      <c r="D606" s="17" t="str">
        <f aca="false">IF($A606="","",'كشف المطالبة'!$D$6)</f>
        <v/>
      </c>
      <c r="E606" s="18" t="str">
        <f aca="false">IF($A606="","",SUMIFS(PERLINE!$U$2:$U$3001,PERLINE!$N$2:$N$3001,$A606,PERLINE!$AK$2:$AK$3001,0))</f>
        <v/>
      </c>
      <c r="F606" s="19" t="str">
        <f aca="false">IF($A606="","",E606*D606)</f>
        <v/>
      </c>
      <c r="G606" s="17" t="str">
        <f aca="false">IF($A606="","",'كشف المطالبة'!$D$5)</f>
        <v/>
      </c>
      <c r="H606" s="18" t="str">
        <f aca="false">IF($A606="","",SUMIFS(PERLINE!$U$2:$U$3001,PERLINE!$N$2:$N$3001,$A606,PERLINE!$AK$2:$AK$3001,1))</f>
        <v/>
      </c>
      <c r="I606" s="19" t="str">
        <f aca="false">IF($A606="","",H606*G606)</f>
        <v/>
      </c>
      <c r="J606" s="19" t="str">
        <f aca="false">IF($A606="","",F606+I606)</f>
        <v/>
      </c>
      <c r="K606" s="19" t="str">
        <f aca="false">IF($A606="","",H606+E606)</f>
        <v/>
      </c>
      <c r="L606" s="20" t="str">
        <f aca="false">IF($A606="","",K606-J606-N606)</f>
        <v/>
      </c>
      <c r="M606" s="15" t="str">
        <f aca="false">IF($A606="","",INDEX(PERLINE!$A$2:$A$3001,MATCH($A606,PERLINE!$N$2:$N$3001,0)))</f>
        <v/>
      </c>
      <c r="N606" s="21" t="str">
        <f aca="false">IF($A606="","",SUMIFS(PERLINE!$M$2:$M$3001,PERLINE!$N$2:$N$3001,$A606))</f>
        <v/>
      </c>
    </row>
    <row r="607" customFormat="false" ht="15" hidden="false" customHeight="false" outlineLevel="0" collapsed="false">
      <c r="A607" s="15" t="str">
        <f aca="false">IF(ROWS($A$2:$A607)&lt;=Check!$C$4,SMALL(PERLINE!$AL$2:$AL$3001,ROWS($A$2:$A607)),"")</f>
        <v/>
      </c>
      <c r="B607" s="15" t="str">
        <f aca="false">IF($A607="","",INDEX(PERLINE!$J$2:$J$3001,MATCH($A607,PERLINE!$N$2:$N$3001,0)))</f>
        <v/>
      </c>
      <c r="C607" s="16" t="str">
        <f aca="false">IF($A607="","",INDEX(PERLINE!$I$2:$I$3001,MATCH($A607,PERLINE!$N$2:$N$3001,0)))</f>
        <v/>
      </c>
      <c r="D607" s="17" t="str">
        <f aca="false">IF($A607="","",'كشف المطالبة'!$D$6)</f>
        <v/>
      </c>
      <c r="E607" s="18" t="str">
        <f aca="false">IF($A607="","",SUMIFS(PERLINE!$U$2:$U$3001,PERLINE!$N$2:$N$3001,$A607,PERLINE!$AK$2:$AK$3001,0))</f>
        <v/>
      </c>
      <c r="F607" s="19" t="str">
        <f aca="false">IF($A607="","",E607*D607)</f>
        <v/>
      </c>
      <c r="G607" s="17" t="str">
        <f aca="false">IF($A607="","",'كشف المطالبة'!$D$5)</f>
        <v/>
      </c>
      <c r="H607" s="18" t="str">
        <f aca="false">IF($A607="","",SUMIFS(PERLINE!$U$2:$U$3001,PERLINE!$N$2:$N$3001,$A607,PERLINE!$AK$2:$AK$3001,1))</f>
        <v/>
      </c>
      <c r="I607" s="19" t="str">
        <f aca="false">IF($A607="","",H607*G607)</f>
        <v/>
      </c>
      <c r="J607" s="19" t="str">
        <f aca="false">IF($A607="","",F607+I607)</f>
        <v/>
      </c>
      <c r="K607" s="19" t="str">
        <f aca="false">IF($A607="","",H607+E607)</f>
        <v/>
      </c>
      <c r="L607" s="20" t="str">
        <f aca="false">IF($A607="","",K607-J607-N607)</f>
        <v/>
      </c>
      <c r="M607" s="15" t="str">
        <f aca="false">IF($A607="","",INDEX(PERLINE!$A$2:$A$3001,MATCH($A607,PERLINE!$N$2:$N$3001,0)))</f>
        <v/>
      </c>
      <c r="N607" s="21" t="str">
        <f aca="false">IF($A607="","",SUMIFS(PERLINE!$M$2:$M$3001,PERLINE!$N$2:$N$3001,$A607))</f>
        <v/>
      </c>
    </row>
    <row r="608" customFormat="false" ht="15" hidden="false" customHeight="false" outlineLevel="0" collapsed="false">
      <c r="A608" s="15" t="str">
        <f aca="false">IF(ROWS($A$2:$A608)&lt;=Check!$C$4,SMALL(PERLINE!$AL$2:$AL$3001,ROWS($A$2:$A608)),"")</f>
        <v/>
      </c>
      <c r="B608" s="15" t="str">
        <f aca="false">IF($A608="","",INDEX(PERLINE!$J$2:$J$3001,MATCH($A608,PERLINE!$N$2:$N$3001,0)))</f>
        <v/>
      </c>
      <c r="C608" s="16" t="str">
        <f aca="false">IF($A608="","",INDEX(PERLINE!$I$2:$I$3001,MATCH($A608,PERLINE!$N$2:$N$3001,0)))</f>
        <v/>
      </c>
      <c r="D608" s="17" t="str">
        <f aca="false">IF($A608="","",'كشف المطالبة'!$D$6)</f>
        <v/>
      </c>
      <c r="E608" s="18" t="str">
        <f aca="false">IF($A608="","",SUMIFS(PERLINE!$U$2:$U$3001,PERLINE!$N$2:$N$3001,$A608,PERLINE!$AK$2:$AK$3001,0))</f>
        <v/>
      </c>
      <c r="F608" s="19" t="str">
        <f aca="false">IF($A608="","",E608*D608)</f>
        <v/>
      </c>
      <c r="G608" s="17" t="str">
        <f aca="false">IF($A608="","",'كشف المطالبة'!$D$5)</f>
        <v/>
      </c>
      <c r="H608" s="18" t="str">
        <f aca="false">IF($A608="","",SUMIFS(PERLINE!$U$2:$U$3001,PERLINE!$N$2:$N$3001,$A608,PERLINE!$AK$2:$AK$3001,1))</f>
        <v/>
      </c>
      <c r="I608" s="19" t="str">
        <f aca="false">IF($A608="","",H608*G608)</f>
        <v/>
      </c>
      <c r="J608" s="19" t="str">
        <f aca="false">IF($A608="","",F608+I608)</f>
        <v/>
      </c>
      <c r="K608" s="19" t="str">
        <f aca="false">IF($A608="","",H608+E608)</f>
        <v/>
      </c>
      <c r="L608" s="20" t="str">
        <f aca="false">IF($A608="","",K608-J608-N608)</f>
        <v/>
      </c>
      <c r="M608" s="15" t="str">
        <f aca="false">IF($A608="","",INDEX(PERLINE!$A$2:$A$3001,MATCH($A608,PERLINE!$N$2:$N$3001,0)))</f>
        <v/>
      </c>
      <c r="N608" s="21" t="str">
        <f aca="false">IF($A608="","",SUMIFS(PERLINE!$M$2:$M$3001,PERLINE!$N$2:$N$3001,$A608))</f>
        <v/>
      </c>
    </row>
    <row r="609" customFormat="false" ht="15" hidden="false" customHeight="false" outlineLevel="0" collapsed="false">
      <c r="A609" s="15" t="str">
        <f aca="false">IF(ROWS($A$2:$A609)&lt;=Check!$C$4,SMALL(PERLINE!$AL$2:$AL$3001,ROWS($A$2:$A609)),"")</f>
        <v/>
      </c>
      <c r="B609" s="15" t="str">
        <f aca="false">IF($A609="","",INDEX(PERLINE!$J$2:$J$3001,MATCH($A609,PERLINE!$N$2:$N$3001,0)))</f>
        <v/>
      </c>
      <c r="C609" s="16" t="str">
        <f aca="false">IF($A609="","",INDEX(PERLINE!$I$2:$I$3001,MATCH($A609,PERLINE!$N$2:$N$3001,0)))</f>
        <v/>
      </c>
      <c r="D609" s="17" t="str">
        <f aca="false">IF($A609="","",'كشف المطالبة'!$D$6)</f>
        <v/>
      </c>
      <c r="E609" s="18" t="str">
        <f aca="false">IF($A609="","",SUMIFS(PERLINE!$U$2:$U$3001,PERLINE!$N$2:$N$3001,$A609,PERLINE!$AK$2:$AK$3001,0))</f>
        <v/>
      </c>
      <c r="F609" s="19" t="str">
        <f aca="false">IF($A609="","",E609*D609)</f>
        <v/>
      </c>
      <c r="G609" s="17" t="str">
        <f aca="false">IF($A609="","",'كشف المطالبة'!$D$5)</f>
        <v/>
      </c>
      <c r="H609" s="18" t="str">
        <f aca="false">IF($A609="","",SUMIFS(PERLINE!$U$2:$U$3001,PERLINE!$N$2:$N$3001,$A609,PERLINE!$AK$2:$AK$3001,1))</f>
        <v/>
      </c>
      <c r="I609" s="19" t="str">
        <f aca="false">IF($A609="","",H609*G609)</f>
        <v/>
      </c>
      <c r="J609" s="19" t="str">
        <f aca="false">IF($A609="","",F609+I609)</f>
        <v/>
      </c>
      <c r="K609" s="19" t="str">
        <f aca="false">IF($A609="","",H609+E609)</f>
        <v/>
      </c>
      <c r="L609" s="20" t="str">
        <f aca="false">IF($A609="","",K609-J609-N609)</f>
        <v/>
      </c>
      <c r="M609" s="15" t="str">
        <f aca="false">IF($A609="","",INDEX(PERLINE!$A$2:$A$3001,MATCH($A609,PERLINE!$N$2:$N$3001,0)))</f>
        <v/>
      </c>
      <c r="N609" s="21" t="str">
        <f aca="false">IF($A609="","",SUMIFS(PERLINE!$M$2:$M$3001,PERLINE!$N$2:$N$3001,$A609))</f>
        <v/>
      </c>
    </row>
    <row r="610" customFormat="false" ht="15" hidden="false" customHeight="false" outlineLevel="0" collapsed="false">
      <c r="A610" s="15" t="str">
        <f aca="false">IF(ROWS($A$2:$A610)&lt;=Check!$C$4,SMALL(PERLINE!$AL$2:$AL$3001,ROWS($A$2:$A610)),"")</f>
        <v/>
      </c>
      <c r="B610" s="15" t="str">
        <f aca="false">IF($A610="","",INDEX(PERLINE!$J$2:$J$3001,MATCH($A610,PERLINE!$N$2:$N$3001,0)))</f>
        <v/>
      </c>
      <c r="C610" s="16" t="str">
        <f aca="false">IF($A610="","",INDEX(PERLINE!$I$2:$I$3001,MATCH($A610,PERLINE!$N$2:$N$3001,0)))</f>
        <v/>
      </c>
      <c r="D610" s="17" t="str">
        <f aca="false">IF($A610="","",'كشف المطالبة'!$D$6)</f>
        <v/>
      </c>
      <c r="E610" s="18" t="str">
        <f aca="false">IF($A610="","",SUMIFS(PERLINE!$U$2:$U$3001,PERLINE!$N$2:$N$3001,$A610,PERLINE!$AK$2:$AK$3001,0))</f>
        <v/>
      </c>
      <c r="F610" s="19" t="str">
        <f aca="false">IF($A610="","",E610*D610)</f>
        <v/>
      </c>
      <c r="G610" s="17" t="str">
        <f aca="false">IF($A610="","",'كشف المطالبة'!$D$5)</f>
        <v/>
      </c>
      <c r="H610" s="18" t="str">
        <f aca="false">IF($A610="","",SUMIFS(PERLINE!$U$2:$U$3001,PERLINE!$N$2:$N$3001,$A610,PERLINE!$AK$2:$AK$3001,1))</f>
        <v/>
      </c>
      <c r="I610" s="19" t="str">
        <f aca="false">IF($A610="","",H610*G610)</f>
        <v/>
      </c>
      <c r="J610" s="19" t="str">
        <f aca="false">IF($A610="","",F610+I610)</f>
        <v/>
      </c>
      <c r="K610" s="19" t="str">
        <f aca="false">IF($A610="","",H610+E610)</f>
        <v/>
      </c>
      <c r="L610" s="20" t="str">
        <f aca="false">IF($A610="","",K610-J610-N610)</f>
        <v/>
      </c>
      <c r="M610" s="15" t="str">
        <f aca="false">IF($A610="","",INDEX(PERLINE!$A$2:$A$3001,MATCH($A610,PERLINE!$N$2:$N$3001,0)))</f>
        <v/>
      </c>
      <c r="N610" s="21" t="str">
        <f aca="false">IF($A610="","",SUMIFS(PERLINE!$M$2:$M$3001,PERLINE!$N$2:$N$3001,$A610))</f>
        <v/>
      </c>
    </row>
    <row r="611" customFormat="false" ht="15" hidden="false" customHeight="false" outlineLevel="0" collapsed="false">
      <c r="A611" s="15" t="str">
        <f aca="false">IF(ROWS($A$2:$A611)&lt;=Check!$C$4,SMALL(PERLINE!$AL$2:$AL$3001,ROWS($A$2:$A611)),"")</f>
        <v/>
      </c>
      <c r="B611" s="15" t="str">
        <f aca="false">IF($A611="","",INDEX(PERLINE!$J$2:$J$3001,MATCH($A611,PERLINE!$N$2:$N$3001,0)))</f>
        <v/>
      </c>
      <c r="C611" s="16" t="str">
        <f aca="false">IF($A611="","",INDEX(PERLINE!$I$2:$I$3001,MATCH($A611,PERLINE!$N$2:$N$3001,0)))</f>
        <v/>
      </c>
      <c r="D611" s="17" t="str">
        <f aca="false">IF($A611="","",'كشف المطالبة'!$D$6)</f>
        <v/>
      </c>
      <c r="E611" s="18" t="str">
        <f aca="false">IF($A611="","",SUMIFS(PERLINE!$U$2:$U$3001,PERLINE!$N$2:$N$3001,$A611,PERLINE!$AK$2:$AK$3001,0))</f>
        <v/>
      </c>
      <c r="F611" s="19" t="str">
        <f aca="false">IF($A611="","",E611*D611)</f>
        <v/>
      </c>
      <c r="G611" s="17" t="str">
        <f aca="false">IF($A611="","",'كشف المطالبة'!$D$5)</f>
        <v/>
      </c>
      <c r="H611" s="18" t="str">
        <f aca="false">IF($A611="","",SUMIFS(PERLINE!$U$2:$U$3001,PERLINE!$N$2:$N$3001,$A611,PERLINE!$AK$2:$AK$3001,1))</f>
        <v/>
      </c>
      <c r="I611" s="19" t="str">
        <f aca="false">IF($A611="","",H611*G611)</f>
        <v/>
      </c>
      <c r="J611" s="19" t="str">
        <f aca="false">IF($A611="","",F611+I611)</f>
        <v/>
      </c>
      <c r="K611" s="19" t="str">
        <f aca="false">IF($A611="","",H611+E611)</f>
        <v/>
      </c>
      <c r="L611" s="20" t="str">
        <f aca="false">IF($A611="","",K611-J611-N611)</f>
        <v/>
      </c>
      <c r="M611" s="15" t="str">
        <f aca="false">IF($A611="","",INDEX(PERLINE!$A$2:$A$3001,MATCH($A611,PERLINE!$N$2:$N$3001,0)))</f>
        <v/>
      </c>
      <c r="N611" s="21" t="str">
        <f aca="false">IF($A611="","",SUMIFS(PERLINE!$M$2:$M$3001,PERLINE!$N$2:$N$3001,$A611))</f>
        <v/>
      </c>
    </row>
    <row r="612" customFormat="false" ht="15" hidden="false" customHeight="false" outlineLevel="0" collapsed="false">
      <c r="A612" s="15" t="str">
        <f aca="false">IF(ROWS($A$2:$A612)&lt;=Check!$C$4,SMALL(PERLINE!$AL$2:$AL$3001,ROWS($A$2:$A612)),"")</f>
        <v/>
      </c>
      <c r="B612" s="15" t="str">
        <f aca="false">IF($A612="","",INDEX(PERLINE!$J$2:$J$3001,MATCH($A612,PERLINE!$N$2:$N$3001,0)))</f>
        <v/>
      </c>
      <c r="C612" s="16" t="str">
        <f aca="false">IF($A612="","",INDEX(PERLINE!$I$2:$I$3001,MATCH($A612,PERLINE!$N$2:$N$3001,0)))</f>
        <v/>
      </c>
      <c r="D612" s="17" t="str">
        <f aca="false">IF($A612="","",'كشف المطالبة'!$D$6)</f>
        <v/>
      </c>
      <c r="E612" s="18" t="str">
        <f aca="false">IF($A612="","",SUMIFS(PERLINE!$U$2:$U$3001,PERLINE!$N$2:$N$3001,$A612,PERLINE!$AK$2:$AK$3001,0))</f>
        <v/>
      </c>
      <c r="F612" s="19" t="str">
        <f aca="false">IF($A612="","",E612*D612)</f>
        <v/>
      </c>
      <c r="G612" s="17" t="str">
        <f aca="false">IF($A612="","",'كشف المطالبة'!$D$5)</f>
        <v/>
      </c>
      <c r="H612" s="18" t="str">
        <f aca="false">IF($A612="","",SUMIFS(PERLINE!$U$2:$U$3001,PERLINE!$N$2:$N$3001,$A612,PERLINE!$AK$2:$AK$3001,1))</f>
        <v/>
      </c>
      <c r="I612" s="19" t="str">
        <f aca="false">IF($A612="","",H612*G612)</f>
        <v/>
      </c>
      <c r="J612" s="19" t="str">
        <f aca="false">IF($A612="","",F612+I612)</f>
        <v/>
      </c>
      <c r="K612" s="19" t="str">
        <f aca="false">IF($A612="","",H612+E612)</f>
        <v/>
      </c>
      <c r="L612" s="20" t="str">
        <f aca="false">IF($A612="","",K612-J612-N612)</f>
        <v/>
      </c>
      <c r="M612" s="15" t="str">
        <f aca="false">IF($A612="","",INDEX(PERLINE!$A$2:$A$3001,MATCH($A612,PERLINE!$N$2:$N$3001,0)))</f>
        <v/>
      </c>
      <c r="N612" s="21" t="str">
        <f aca="false">IF($A612="","",SUMIFS(PERLINE!$M$2:$M$3001,PERLINE!$N$2:$N$3001,$A612))</f>
        <v/>
      </c>
    </row>
    <row r="613" customFormat="false" ht="15" hidden="false" customHeight="false" outlineLevel="0" collapsed="false">
      <c r="A613" s="15" t="str">
        <f aca="false">IF(ROWS($A$2:$A613)&lt;=Check!$C$4,SMALL(PERLINE!$AL$2:$AL$3001,ROWS($A$2:$A613)),"")</f>
        <v/>
      </c>
      <c r="B613" s="15" t="str">
        <f aca="false">IF($A613="","",INDEX(PERLINE!$J$2:$J$3001,MATCH($A613,PERLINE!$N$2:$N$3001,0)))</f>
        <v/>
      </c>
      <c r="C613" s="16" t="str">
        <f aca="false">IF($A613="","",INDEX(PERLINE!$I$2:$I$3001,MATCH($A613,PERLINE!$N$2:$N$3001,0)))</f>
        <v/>
      </c>
      <c r="D613" s="17" t="str">
        <f aca="false">IF($A613="","",'كشف المطالبة'!$D$6)</f>
        <v/>
      </c>
      <c r="E613" s="18" t="str">
        <f aca="false">IF($A613="","",SUMIFS(PERLINE!$U$2:$U$3001,PERLINE!$N$2:$N$3001,$A613,PERLINE!$AK$2:$AK$3001,0))</f>
        <v/>
      </c>
      <c r="F613" s="19" t="str">
        <f aca="false">IF($A613="","",E613*D613)</f>
        <v/>
      </c>
      <c r="G613" s="17" t="str">
        <f aca="false">IF($A613="","",'كشف المطالبة'!$D$5)</f>
        <v/>
      </c>
      <c r="H613" s="18" t="str">
        <f aca="false">IF($A613="","",SUMIFS(PERLINE!$U$2:$U$3001,PERLINE!$N$2:$N$3001,$A613,PERLINE!$AK$2:$AK$3001,1))</f>
        <v/>
      </c>
      <c r="I613" s="19" t="str">
        <f aca="false">IF($A613="","",H613*G613)</f>
        <v/>
      </c>
      <c r="J613" s="19" t="str">
        <f aca="false">IF($A613="","",F613+I613)</f>
        <v/>
      </c>
      <c r="K613" s="19" t="str">
        <f aca="false">IF($A613="","",H613+E613)</f>
        <v/>
      </c>
      <c r="L613" s="20" t="str">
        <f aca="false">IF($A613="","",K613-J613-N613)</f>
        <v/>
      </c>
      <c r="M613" s="15" t="str">
        <f aca="false">IF($A613="","",INDEX(PERLINE!$A$2:$A$3001,MATCH($A613,PERLINE!$N$2:$N$3001,0)))</f>
        <v/>
      </c>
      <c r="N613" s="21" t="str">
        <f aca="false">IF($A613="","",SUMIFS(PERLINE!$M$2:$M$3001,PERLINE!$N$2:$N$3001,$A613))</f>
        <v/>
      </c>
    </row>
    <row r="614" customFormat="false" ht="15" hidden="false" customHeight="false" outlineLevel="0" collapsed="false">
      <c r="A614" s="15" t="str">
        <f aca="false">IF(ROWS($A$2:$A614)&lt;=Check!$C$4,SMALL(PERLINE!$AL$2:$AL$3001,ROWS($A$2:$A614)),"")</f>
        <v/>
      </c>
      <c r="B614" s="15" t="str">
        <f aca="false">IF($A614="","",INDEX(PERLINE!$J$2:$J$3001,MATCH($A614,PERLINE!$N$2:$N$3001,0)))</f>
        <v/>
      </c>
      <c r="C614" s="16" t="str">
        <f aca="false">IF($A614="","",INDEX(PERLINE!$I$2:$I$3001,MATCH($A614,PERLINE!$N$2:$N$3001,0)))</f>
        <v/>
      </c>
      <c r="D614" s="17" t="str">
        <f aca="false">IF($A614="","",'كشف المطالبة'!$D$6)</f>
        <v/>
      </c>
      <c r="E614" s="18" t="str">
        <f aca="false">IF($A614="","",SUMIFS(PERLINE!$U$2:$U$3001,PERLINE!$N$2:$N$3001,$A614,PERLINE!$AK$2:$AK$3001,0))</f>
        <v/>
      </c>
      <c r="F614" s="19" t="str">
        <f aca="false">IF($A614="","",E614*D614)</f>
        <v/>
      </c>
      <c r="G614" s="17" t="str">
        <f aca="false">IF($A614="","",'كشف المطالبة'!$D$5)</f>
        <v/>
      </c>
      <c r="H614" s="18" t="str">
        <f aca="false">IF($A614="","",SUMIFS(PERLINE!$U$2:$U$3001,PERLINE!$N$2:$N$3001,$A614,PERLINE!$AK$2:$AK$3001,1))</f>
        <v/>
      </c>
      <c r="I614" s="19" t="str">
        <f aca="false">IF($A614="","",H614*G614)</f>
        <v/>
      </c>
      <c r="J614" s="19" t="str">
        <f aca="false">IF($A614="","",F614+I614)</f>
        <v/>
      </c>
      <c r="K614" s="19" t="str">
        <f aca="false">IF($A614="","",H614+E614)</f>
        <v/>
      </c>
      <c r="L614" s="20" t="str">
        <f aca="false">IF($A614="","",K614-J614-N614)</f>
        <v/>
      </c>
      <c r="M614" s="15" t="str">
        <f aca="false">IF($A614="","",INDEX(PERLINE!$A$2:$A$3001,MATCH($A614,PERLINE!$N$2:$N$3001,0)))</f>
        <v/>
      </c>
      <c r="N614" s="21" t="str">
        <f aca="false">IF($A614="","",SUMIFS(PERLINE!$M$2:$M$3001,PERLINE!$N$2:$N$3001,$A614))</f>
        <v/>
      </c>
    </row>
    <row r="615" customFormat="false" ht="15" hidden="false" customHeight="false" outlineLevel="0" collapsed="false">
      <c r="A615" s="15" t="str">
        <f aca="false">IF(ROWS($A$2:$A615)&lt;=Check!$C$4,SMALL(PERLINE!$AL$2:$AL$3001,ROWS($A$2:$A615)),"")</f>
        <v/>
      </c>
      <c r="B615" s="15" t="str">
        <f aca="false">IF($A615="","",INDEX(PERLINE!$J$2:$J$3001,MATCH($A615,PERLINE!$N$2:$N$3001,0)))</f>
        <v/>
      </c>
      <c r="C615" s="16" t="str">
        <f aca="false">IF($A615="","",INDEX(PERLINE!$I$2:$I$3001,MATCH($A615,PERLINE!$N$2:$N$3001,0)))</f>
        <v/>
      </c>
      <c r="D615" s="17" t="str">
        <f aca="false">IF($A615="","",'كشف المطالبة'!$D$6)</f>
        <v/>
      </c>
      <c r="E615" s="18" t="str">
        <f aca="false">IF($A615="","",SUMIFS(PERLINE!$U$2:$U$3001,PERLINE!$N$2:$N$3001,$A615,PERLINE!$AK$2:$AK$3001,0))</f>
        <v/>
      </c>
      <c r="F615" s="19" t="str">
        <f aca="false">IF($A615="","",E615*D615)</f>
        <v/>
      </c>
      <c r="G615" s="17" t="str">
        <f aca="false">IF($A615="","",'كشف المطالبة'!$D$5)</f>
        <v/>
      </c>
      <c r="H615" s="18" t="str">
        <f aca="false">IF($A615="","",SUMIFS(PERLINE!$U$2:$U$3001,PERLINE!$N$2:$N$3001,$A615,PERLINE!$AK$2:$AK$3001,1))</f>
        <v/>
      </c>
      <c r="I615" s="19" t="str">
        <f aca="false">IF($A615="","",H615*G615)</f>
        <v/>
      </c>
      <c r="J615" s="19" t="str">
        <f aca="false">IF($A615="","",F615+I615)</f>
        <v/>
      </c>
      <c r="K615" s="19" t="str">
        <f aca="false">IF($A615="","",H615+E615)</f>
        <v/>
      </c>
      <c r="L615" s="20" t="str">
        <f aca="false">IF($A615="","",K615-J615-N615)</f>
        <v/>
      </c>
      <c r="M615" s="15" t="str">
        <f aca="false">IF($A615="","",INDEX(PERLINE!$A$2:$A$3001,MATCH($A615,PERLINE!$N$2:$N$3001,0)))</f>
        <v/>
      </c>
      <c r="N615" s="21" t="str">
        <f aca="false">IF($A615="","",SUMIFS(PERLINE!$M$2:$M$3001,PERLINE!$N$2:$N$3001,$A615))</f>
        <v/>
      </c>
    </row>
    <row r="616" customFormat="false" ht="15" hidden="false" customHeight="false" outlineLevel="0" collapsed="false">
      <c r="A616" s="15" t="str">
        <f aca="false">IF(ROWS($A$2:$A616)&lt;=Check!$C$4,SMALL(PERLINE!$AL$2:$AL$3001,ROWS($A$2:$A616)),"")</f>
        <v/>
      </c>
      <c r="B616" s="15" t="str">
        <f aca="false">IF($A616="","",INDEX(PERLINE!$J$2:$J$3001,MATCH($A616,PERLINE!$N$2:$N$3001,0)))</f>
        <v/>
      </c>
      <c r="C616" s="16" t="str">
        <f aca="false">IF($A616="","",INDEX(PERLINE!$I$2:$I$3001,MATCH($A616,PERLINE!$N$2:$N$3001,0)))</f>
        <v/>
      </c>
      <c r="D616" s="17" t="str">
        <f aca="false">IF($A616="","",'كشف المطالبة'!$D$6)</f>
        <v/>
      </c>
      <c r="E616" s="18" t="str">
        <f aca="false">IF($A616="","",SUMIFS(PERLINE!$U$2:$U$3001,PERLINE!$N$2:$N$3001,$A616,PERLINE!$AK$2:$AK$3001,0))</f>
        <v/>
      </c>
      <c r="F616" s="19" t="str">
        <f aca="false">IF($A616="","",E616*D616)</f>
        <v/>
      </c>
      <c r="G616" s="17" t="str">
        <f aca="false">IF($A616="","",'كشف المطالبة'!$D$5)</f>
        <v/>
      </c>
      <c r="H616" s="18" t="str">
        <f aca="false">IF($A616="","",SUMIFS(PERLINE!$U$2:$U$3001,PERLINE!$N$2:$N$3001,$A616,PERLINE!$AK$2:$AK$3001,1))</f>
        <v/>
      </c>
      <c r="I616" s="19" t="str">
        <f aca="false">IF($A616="","",H616*G616)</f>
        <v/>
      </c>
      <c r="J616" s="19" t="str">
        <f aca="false">IF($A616="","",F616+I616)</f>
        <v/>
      </c>
      <c r="K616" s="19" t="str">
        <f aca="false">IF($A616="","",H616+E616)</f>
        <v/>
      </c>
      <c r="L616" s="20" t="str">
        <f aca="false">IF($A616="","",K616-J616-N616)</f>
        <v/>
      </c>
      <c r="M616" s="15" t="str">
        <f aca="false">IF($A616="","",INDEX(PERLINE!$A$2:$A$3001,MATCH($A616,PERLINE!$N$2:$N$3001,0)))</f>
        <v/>
      </c>
      <c r="N616" s="21" t="str">
        <f aca="false">IF($A616="","",SUMIFS(PERLINE!$M$2:$M$3001,PERLINE!$N$2:$N$3001,$A616))</f>
        <v/>
      </c>
    </row>
    <row r="617" customFormat="false" ht="15" hidden="false" customHeight="false" outlineLevel="0" collapsed="false">
      <c r="A617" s="15" t="str">
        <f aca="false">IF(ROWS($A$2:$A617)&lt;=Check!$C$4,SMALL(PERLINE!$AL$2:$AL$3001,ROWS($A$2:$A617)),"")</f>
        <v/>
      </c>
      <c r="B617" s="15" t="str">
        <f aca="false">IF($A617="","",INDEX(PERLINE!$J$2:$J$3001,MATCH($A617,PERLINE!$N$2:$N$3001,0)))</f>
        <v/>
      </c>
      <c r="C617" s="16" t="str">
        <f aca="false">IF($A617="","",INDEX(PERLINE!$I$2:$I$3001,MATCH($A617,PERLINE!$N$2:$N$3001,0)))</f>
        <v/>
      </c>
      <c r="D617" s="17" t="str">
        <f aca="false">IF($A617="","",'كشف المطالبة'!$D$6)</f>
        <v/>
      </c>
      <c r="E617" s="18" t="str">
        <f aca="false">IF($A617="","",SUMIFS(PERLINE!$U$2:$U$3001,PERLINE!$N$2:$N$3001,$A617,PERLINE!$AK$2:$AK$3001,0))</f>
        <v/>
      </c>
      <c r="F617" s="19" t="str">
        <f aca="false">IF($A617="","",E617*D617)</f>
        <v/>
      </c>
      <c r="G617" s="17" t="str">
        <f aca="false">IF($A617="","",'كشف المطالبة'!$D$5)</f>
        <v/>
      </c>
      <c r="H617" s="18" t="str">
        <f aca="false">IF($A617="","",SUMIFS(PERLINE!$U$2:$U$3001,PERLINE!$N$2:$N$3001,$A617,PERLINE!$AK$2:$AK$3001,1))</f>
        <v/>
      </c>
      <c r="I617" s="19" t="str">
        <f aca="false">IF($A617="","",H617*G617)</f>
        <v/>
      </c>
      <c r="J617" s="19" t="str">
        <f aca="false">IF($A617="","",F617+I617)</f>
        <v/>
      </c>
      <c r="K617" s="19" t="str">
        <f aca="false">IF($A617="","",H617+E617)</f>
        <v/>
      </c>
      <c r="L617" s="20" t="str">
        <f aca="false">IF($A617="","",K617-J617-N617)</f>
        <v/>
      </c>
      <c r="M617" s="15" t="str">
        <f aca="false">IF($A617="","",INDEX(PERLINE!$A$2:$A$3001,MATCH($A617,PERLINE!$N$2:$N$3001,0)))</f>
        <v/>
      </c>
      <c r="N617" s="21" t="str">
        <f aca="false">IF($A617="","",SUMIFS(PERLINE!$M$2:$M$3001,PERLINE!$N$2:$N$3001,$A617))</f>
        <v/>
      </c>
    </row>
    <row r="618" customFormat="false" ht="15" hidden="false" customHeight="false" outlineLevel="0" collapsed="false">
      <c r="A618" s="15" t="str">
        <f aca="false">IF(ROWS($A$2:$A618)&lt;=Check!$C$4,SMALL(PERLINE!$AL$2:$AL$3001,ROWS($A$2:$A618)),"")</f>
        <v/>
      </c>
      <c r="B618" s="15" t="str">
        <f aca="false">IF($A618="","",INDEX(PERLINE!$J$2:$J$3001,MATCH($A618,PERLINE!$N$2:$N$3001,0)))</f>
        <v/>
      </c>
      <c r="C618" s="16" t="str">
        <f aca="false">IF($A618="","",INDEX(PERLINE!$I$2:$I$3001,MATCH($A618,PERLINE!$N$2:$N$3001,0)))</f>
        <v/>
      </c>
      <c r="D618" s="17" t="str">
        <f aca="false">IF($A618="","",'كشف المطالبة'!$D$6)</f>
        <v/>
      </c>
      <c r="E618" s="18" t="str">
        <f aca="false">IF($A618="","",SUMIFS(PERLINE!$U$2:$U$3001,PERLINE!$N$2:$N$3001,$A618,PERLINE!$AK$2:$AK$3001,0))</f>
        <v/>
      </c>
      <c r="F618" s="19" t="str">
        <f aca="false">IF($A618="","",E618*D618)</f>
        <v/>
      </c>
      <c r="G618" s="17" t="str">
        <f aca="false">IF($A618="","",'كشف المطالبة'!$D$5)</f>
        <v/>
      </c>
      <c r="H618" s="18" t="str">
        <f aca="false">IF($A618="","",SUMIFS(PERLINE!$U$2:$U$3001,PERLINE!$N$2:$N$3001,$A618,PERLINE!$AK$2:$AK$3001,1))</f>
        <v/>
      </c>
      <c r="I618" s="19" t="str">
        <f aca="false">IF($A618="","",H618*G618)</f>
        <v/>
      </c>
      <c r="J618" s="19" t="str">
        <f aca="false">IF($A618="","",F618+I618)</f>
        <v/>
      </c>
      <c r="K618" s="19" t="str">
        <f aca="false">IF($A618="","",H618+E618)</f>
        <v/>
      </c>
      <c r="L618" s="20" t="str">
        <f aca="false">IF($A618="","",K618-J618-N618)</f>
        <v/>
      </c>
      <c r="M618" s="15" t="str">
        <f aca="false">IF($A618="","",INDEX(PERLINE!$A$2:$A$3001,MATCH($A618,PERLINE!$N$2:$N$3001,0)))</f>
        <v/>
      </c>
      <c r="N618" s="21" t="str">
        <f aca="false">IF($A618="","",SUMIFS(PERLINE!$M$2:$M$3001,PERLINE!$N$2:$N$3001,$A618))</f>
        <v/>
      </c>
    </row>
    <row r="619" customFormat="false" ht="15" hidden="false" customHeight="false" outlineLevel="0" collapsed="false">
      <c r="A619" s="15" t="str">
        <f aca="false">IF(ROWS($A$2:$A619)&lt;=Check!$C$4,SMALL(PERLINE!$AL$2:$AL$3001,ROWS($A$2:$A619)),"")</f>
        <v/>
      </c>
      <c r="B619" s="15" t="str">
        <f aca="false">IF($A619="","",INDEX(PERLINE!$J$2:$J$3001,MATCH($A619,PERLINE!$N$2:$N$3001,0)))</f>
        <v/>
      </c>
      <c r="C619" s="16" t="str">
        <f aca="false">IF($A619="","",INDEX(PERLINE!$I$2:$I$3001,MATCH($A619,PERLINE!$N$2:$N$3001,0)))</f>
        <v/>
      </c>
      <c r="D619" s="17" t="str">
        <f aca="false">IF($A619="","",'كشف المطالبة'!$D$6)</f>
        <v/>
      </c>
      <c r="E619" s="18" t="str">
        <f aca="false">IF($A619="","",SUMIFS(PERLINE!$U$2:$U$3001,PERLINE!$N$2:$N$3001,$A619,PERLINE!$AK$2:$AK$3001,0))</f>
        <v/>
      </c>
      <c r="F619" s="19" t="str">
        <f aca="false">IF($A619="","",E619*D619)</f>
        <v/>
      </c>
      <c r="G619" s="17" t="str">
        <f aca="false">IF($A619="","",'كشف المطالبة'!$D$5)</f>
        <v/>
      </c>
      <c r="H619" s="18" t="str">
        <f aca="false">IF($A619="","",SUMIFS(PERLINE!$U$2:$U$3001,PERLINE!$N$2:$N$3001,$A619,PERLINE!$AK$2:$AK$3001,1))</f>
        <v/>
      </c>
      <c r="I619" s="19" t="str">
        <f aca="false">IF($A619="","",H619*G619)</f>
        <v/>
      </c>
      <c r="J619" s="19" t="str">
        <f aca="false">IF($A619="","",F619+I619)</f>
        <v/>
      </c>
      <c r="K619" s="19" t="str">
        <f aca="false">IF($A619="","",H619+E619)</f>
        <v/>
      </c>
      <c r="L619" s="20" t="str">
        <f aca="false">IF($A619="","",K619-J619-N619)</f>
        <v/>
      </c>
      <c r="M619" s="15" t="str">
        <f aca="false">IF($A619="","",INDEX(PERLINE!$A$2:$A$3001,MATCH($A619,PERLINE!$N$2:$N$3001,0)))</f>
        <v/>
      </c>
      <c r="N619" s="21" t="str">
        <f aca="false">IF($A619="","",SUMIFS(PERLINE!$M$2:$M$3001,PERLINE!$N$2:$N$3001,$A619))</f>
        <v/>
      </c>
    </row>
    <row r="620" customFormat="false" ht="15" hidden="false" customHeight="false" outlineLevel="0" collapsed="false">
      <c r="A620" s="15" t="str">
        <f aca="false">IF(ROWS($A$2:$A620)&lt;=Check!$C$4,SMALL(PERLINE!$AL$2:$AL$3001,ROWS($A$2:$A620)),"")</f>
        <v/>
      </c>
      <c r="B620" s="15" t="str">
        <f aca="false">IF($A620="","",INDEX(PERLINE!$J$2:$J$3001,MATCH($A620,PERLINE!$N$2:$N$3001,0)))</f>
        <v/>
      </c>
      <c r="C620" s="16" t="str">
        <f aca="false">IF($A620="","",INDEX(PERLINE!$I$2:$I$3001,MATCH($A620,PERLINE!$N$2:$N$3001,0)))</f>
        <v/>
      </c>
      <c r="D620" s="17" t="str">
        <f aca="false">IF($A620="","",'كشف المطالبة'!$D$6)</f>
        <v/>
      </c>
      <c r="E620" s="18" t="str">
        <f aca="false">IF($A620="","",SUMIFS(PERLINE!$U$2:$U$3001,PERLINE!$N$2:$N$3001,$A620,PERLINE!$AK$2:$AK$3001,0))</f>
        <v/>
      </c>
      <c r="F620" s="19" t="str">
        <f aca="false">IF($A620="","",E620*D620)</f>
        <v/>
      </c>
      <c r="G620" s="17" t="str">
        <f aca="false">IF($A620="","",'كشف المطالبة'!$D$5)</f>
        <v/>
      </c>
      <c r="H620" s="18" t="str">
        <f aca="false">IF($A620="","",SUMIFS(PERLINE!$U$2:$U$3001,PERLINE!$N$2:$N$3001,$A620,PERLINE!$AK$2:$AK$3001,1))</f>
        <v/>
      </c>
      <c r="I620" s="19" t="str">
        <f aca="false">IF($A620="","",H620*G620)</f>
        <v/>
      </c>
      <c r="J620" s="19" t="str">
        <f aca="false">IF($A620="","",F620+I620)</f>
        <v/>
      </c>
      <c r="K620" s="19" t="str">
        <f aca="false">IF($A620="","",H620+E620)</f>
        <v/>
      </c>
      <c r="L620" s="20" t="str">
        <f aca="false">IF($A620="","",K620-J620-N620)</f>
        <v/>
      </c>
      <c r="M620" s="15" t="str">
        <f aca="false">IF($A620="","",INDEX(PERLINE!$A$2:$A$3001,MATCH($A620,PERLINE!$N$2:$N$3001,0)))</f>
        <v/>
      </c>
      <c r="N620" s="21" t="str">
        <f aca="false">IF($A620="","",SUMIFS(PERLINE!$M$2:$M$3001,PERLINE!$N$2:$N$3001,$A620))</f>
        <v/>
      </c>
    </row>
    <row r="621" customFormat="false" ht="15" hidden="false" customHeight="false" outlineLevel="0" collapsed="false">
      <c r="A621" s="15" t="str">
        <f aca="false">IF(ROWS($A$2:$A621)&lt;=Check!$C$4,SMALL(PERLINE!$AL$2:$AL$3001,ROWS($A$2:$A621)),"")</f>
        <v/>
      </c>
      <c r="B621" s="15" t="str">
        <f aca="false">IF($A621="","",INDEX(PERLINE!$J$2:$J$3001,MATCH($A621,PERLINE!$N$2:$N$3001,0)))</f>
        <v/>
      </c>
      <c r="C621" s="16" t="str">
        <f aca="false">IF($A621="","",INDEX(PERLINE!$I$2:$I$3001,MATCH($A621,PERLINE!$N$2:$N$3001,0)))</f>
        <v/>
      </c>
      <c r="D621" s="17" t="str">
        <f aca="false">IF($A621="","",'كشف المطالبة'!$D$6)</f>
        <v/>
      </c>
      <c r="E621" s="18" t="str">
        <f aca="false">IF($A621="","",SUMIFS(PERLINE!$U$2:$U$3001,PERLINE!$N$2:$N$3001,$A621,PERLINE!$AK$2:$AK$3001,0))</f>
        <v/>
      </c>
      <c r="F621" s="19" t="str">
        <f aca="false">IF($A621="","",E621*D621)</f>
        <v/>
      </c>
      <c r="G621" s="17" t="str">
        <f aca="false">IF($A621="","",'كشف المطالبة'!$D$5)</f>
        <v/>
      </c>
      <c r="H621" s="18" t="str">
        <f aca="false">IF($A621="","",SUMIFS(PERLINE!$U$2:$U$3001,PERLINE!$N$2:$N$3001,$A621,PERLINE!$AK$2:$AK$3001,1))</f>
        <v/>
      </c>
      <c r="I621" s="19" t="str">
        <f aca="false">IF($A621="","",H621*G621)</f>
        <v/>
      </c>
      <c r="J621" s="19" t="str">
        <f aca="false">IF($A621="","",F621+I621)</f>
        <v/>
      </c>
      <c r="K621" s="19" t="str">
        <f aca="false">IF($A621="","",H621+E621)</f>
        <v/>
      </c>
      <c r="L621" s="20" t="str">
        <f aca="false">IF($A621="","",K621-J621-N621)</f>
        <v/>
      </c>
      <c r="M621" s="15" t="str">
        <f aca="false">IF($A621="","",INDEX(PERLINE!$A$2:$A$3001,MATCH($A621,PERLINE!$N$2:$N$3001,0)))</f>
        <v/>
      </c>
      <c r="N621" s="21" t="str">
        <f aca="false">IF($A621="","",SUMIFS(PERLINE!$M$2:$M$3001,PERLINE!$N$2:$N$3001,$A621))</f>
        <v/>
      </c>
    </row>
    <row r="622" customFormat="false" ht="15" hidden="false" customHeight="false" outlineLevel="0" collapsed="false">
      <c r="A622" s="15" t="str">
        <f aca="false">IF(ROWS($A$2:$A622)&lt;=Check!$C$4,SMALL(PERLINE!$AL$2:$AL$3001,ROWS($A$2:$A622)),"")</f>
        <v/>
      </c>
      <c r="B622" s="15" t="str">
        <f aca="false">IF($A622="","",INDEX(PERLINE!$J$2:$J$3001,MATCH($A622,PERLINE!$N$2:$N$3001,0)))</f>
        <v/>
      </c>
      <c r="C622" s="16" t="str">
        <f aca="false">IF($A622="","",INDEX(PERLINE!$I$2:$I$3001,MATCH($A622,PERLINE!$N$2:$N$3001,0)))</f>
        <v/>
      </c>
      <c r="D622" s="17" t="str">
        <f aca="false">IF($A622="","",'كشف المطالبة'!$D$6)</f>
        <v/>
      </c>
      <c r="E622" s="18" t="str">
        <f aca="false">IF($A622="","",SUMIFS(PERLINE!$U$2:$U$3001,PERLINE!$N$2:$N$3001,$A622,PERLINE!$AK$2:$AK$3001,0))</f>
        <v/>
      </c>
      <c r="F622" s="19" t="str">
        <f aca="false">IF($A622="","",E622*D622)</f>
        <v/>
      </c>
      <c r="G622" s="17" t="str">
        <f aca="false">IF($A622="","",'كشف المطالبة'!$D$5)</f>
        <v/>
      </c>
      <c r="H622" s="18" t="str">
        <f aca="false">IF($A622="","",SUMIFS(PERLINE!$U$2:$U$3001,PERLINE!$N$2:$N$3001,$A622,PERLINE!$AK$2:$AK$3001,1))</f>
        <v/>
      </c>
      <c r="I622" s="19" t="str">
        <f aca="false">IF($A622="","",H622*G622)</f>
        <v/>
      </c>
      <c r="J622" s="19" t="str">
        <f aca="false">IF($A622="","",F622+I622)</f>
        <v/>
      </c>
      <c r="K622" s="19" t="str">
        <f aca="false">IF($A622="","",H622+E622)</f>
        <v/>
      </c>
      <c r="L622" s="20" t="str">
        <f aca="false">IF($A622="","",K622-J622-N622)</f>
        <v/>
      </c>
      <c r="M622" s="15" t="str">
        <f aca="false">IF($A622="","",INDEX(PERLINE!$A$2:$A$3001,MATCH($A622,PERLINE!$N$2:$N$3001,0)))</f>
        <v/>
      </c>
      <c r="N622" s="21" t="str">
        <f aca="false">IF($A622="","",SUMIFS(PERLINE!$M$2:$M$3001,PERLINE!$N$2:$N$3001,$A622))</f>
        <v/>
      </c>
    </row>
    <row r="623" customFormat="false" ht="15" hidden="false" customHeight="false" outlineLevel="0" collapsed="false">
      <c r="A623" s="15" t="str">
        <f aca="false">IF(ROWS($A$2:$A623)&lt;=Check!$C$4,SMALL(PERLINE!$AL$2:$AL$3001,ROWS($A$2:$A623)),"")</f>
        <v/>
      </c>
      <c r="B623" s="15" t="str">
        <f aca="false">IF($A623="","",INDEX(PERLINE!$J$2:$J$3001,MATCH($A623,PERLINE!$N$2:$N$3001,0)))</f>
        <v/>
      </c>
      <c r="C623" s="16" t="str">
        <f aca="false">IF($A623="","",INDEX(PERLINE!$I$2:$I$3001,MATCH($A623,PERLINE!$N$2:$N$3001,0)))</f>
        <v/>
      </c>
      <c r="D623" s="17" t="str">
        <f aca="false">IF($A623="","",'كشف المطالبة'!$D$6)</f>
        <v/>
      </c>
      <c r="E623" s="18" t="str">
        <f aca="false">IF($A623="","",SUMIFS(PERLINE!$U$2:$U$3001,PERLINE!$N$2:$N$3001,$A623,PERLINE!$AK$2:$AK$3001,0))</f>
        <v/>
      </c>
      <c r="F623" s="19" t="str">
        <f aca="false">IF($A623="","",E623*D623)</f>
        <v/>
      </c>
      <c r="G623" s="17" t="str">
        <f aca="false">IF($A623="","",'كشف المطالبة'!$D$5)</f>
        <v/>
      </c>
      <c r="H623" s="18" t="str">
        <f aca="false">IF($A623="","",SUMIFS(PERLINE!$U$2:$U$3001,PERLINE!$N$2:$N$3001,$A623,PERLINE!$AK$2:$AK$3001,1))</f>
        <v/>
      </c>
      <c r="I623" s="19" t="str">
        <f aca="false">IF($A623="","",H623*G623)</f>
        <v/>
      </c>
      <c r="J623" s="19" t="str">
        <f aca="false">IF($A623="","",F623+I623)</f>
        <v/>
      </c>
      <c r="K623" s="19" t="str">
        <f aca="false">IF($A623="","",H623+E623)</f>
        <v/>
      </c>
      <c r="L623" s="20" t="str">
        <f aca="false">IF($A623="","",K623-J623-N623)</f>
        <v/>
      </c>
      <c r="M623" s="15" t="str">
        <f aca="false">IF($A623="","",INDEX(PERLINE!$A$2:$A$3001,MATCH($A623,PERLINE!$N$2:$N$3001,0)))</f>
        <v/>
      </c>
      <c r="N623" s="21" t="str">
        <f aca="false">IF($A623="","",SUMIFS(PERLINE!$M$2:$M$3001,PERLINE!$N$2:$N$3001,$A623))</f>
        <v/>
      </c>
    </row>
    <row r="624" customFormat="false" ht="15" hidden="false" customHeight="false" outlineLevel="0" collapsed="false">
      <c r="A624" s="15" t="str">
        <f aca="false">IF(ROWS($A$2:$A624)&lt;=Check!$C$4,SMALL(PERLINE!$AL$2:$AL$3001,ROWS($A$2:$A624)),"")</f>
        <v/>
      </c>
      <c r="B624" s="15" t="str">
        <f aca="false">IF($A624="","",INDEX(PERLINE!$J$2:$J$3001,MATCH($A624,PERLINE!$N$2:$N$3001,0)))</f>
        <v/>
      </c>
      <c r="C624" s="16" t="str">
        <f aca="false">IF($A624="","",INDEX(PERLINE!$I$2:$I$3001,MATCH($A624,PERLINE!$N$2:$N$3001,0)))</f>
        <v/>
      </c>
      <c r="D624" s="17" t="str">
        <f aca="false">IF($A624="","",'كشف المطالبة'!$D$6)</f>
        <v/>
      </c>
      <c r="E624" s="18" t="str">
        <f aca="false">IF($A624="","",SUMIFS(PERLINE!$U$2:$U$3001,PERLINE!$N$2:$N$3001,$A624,PERLINE!$AK$2:$AK$3001,0))</f>
        <v/>
      </c>
      <c r="F624" s="19" t="str">
        <f aca="false">IF($A624="","",E624*D624)</f>
        <v/>
      </c>
      <c r="G624" s="17" t="str">
        <f aca="false">IF($A624="","",'كشف المطالبة'!$D$5)</f>
        <v/>
      </c>
      <c r="H624" s="18" t="str">
        <f aca="false">IF($A624="","",SUMIFS(PERLINE!$U$2:$U$3001,PERLINE!$N$2:$N$3001,$A624,PERLINE!$AK$2:$AK$3001,1))</f>
        <v/>
      </c>
      <c r="I624" s="19" t="str">
        <f aca="false">IF($A624="","",H624*G624)</f>
        <v/>
      </c>
      <c r="J624" s="19" t="str">
        <f aca="false">IF($A624="","",F624+I624)</f>
        <v/>
      </c>
      <c r="K624" s="19" t="str">
        <f aca="false">IF($A624="","",H624+E624)</f>
        <v/>
      </c>
      <c r="L624" s="20" t="str">
        <f aca="false">IF($A624="","",K624-J624-N624)</f>
        <v/>
      </c>
      <c r="M624" s="15" t="str">
        <f aca="false">IF($A624="","",INDEX(PERLINE!$A$2:$A$3001,MATCH($A624,PERLINE!$N$2:$N$3001,0)))</f>
        <v/>
      </c>
      <c r="N624" s="21" t="str">
        <f aca="false">IF($A624="","",SUMIFS(PERLINE!$M$2:$M$3001,PERLINE!$N$2:$N$3001,$A624))</f>
        <v/>
      </c>
    </row>
    <row r="625" customFormat="false" ht="15" hidden="false" customHeight="false" outlineLevel="0" collapsed="false">
      <c r="A625" s="15" t="str">
        <f aca="false">IF(ROWS($A$2:$A625)&lt;=Check!$C$4,SMALL(PERLINE!$AL$2:$AL$3001,ROWS($A$2:$A625)),"")</f>
        <v/>
      </c>
      <c r="B625" s="15" t="str">
        <f aca="false">IF($A625="","",INDEX(PERLINE!$J$2:$J$3001,MATCH($A625,PERLINE!$N$2:$N$3001,0)))</f>
        <v/>
      </c>
      <c r="C625" s="16" t="str">
        <f aca="false">IF($A625="","",INDEX(PERLINE!$I$2:$I$3001,MATCH($A625,PERLINE!$N$2:$N$3001,0)))</f>
        <v/>
      </c>
      <c r="D625" s="17" t="str">
        <f aca="false">IF($A625="","",'كشف المطالبة'!$D$6)</f>
        <v/>
      </c>
      <c r="E625" s="18" t="str">
        <f aca="false">IF($A625="","",SUMIFS(PERLINE!$U$2:$U$3001,PERLINE!$N$2:$N$3001,$A625,PERLINE!$AK$2:$AK$3001,0))</f>
        <v/>
      </c>
      <c r="F625" s="19" t="str">
        <f aca="false">IF($A625="","",E625*D625)</f>
        <v/>
      </c>
      <c r="G625" s="17" t="str">
        <f aca="false">IF($A625="","",'كشف المطالبة'!$D$5)</f>
        <v/>
      </c>
      <c r="H625" s="18" t="str">
        <f aca="false">IF($A625="","",SUMIFS(PERLINE!$U$2:$U$3001,PERLINE!$N$2:$N$3001,$A625,PERLINE!$AK$2:$AK$3001,1))</f>
        <v/>
      </c>
      <c r="I625" s="19" t="str">
        <f aca="false">IF($A625="","",H625*G625)</f>
        <v/>
      </c>
      <c r="J625" s="19" t="str">
        <f aca="false">IF($A625="","",F625+I625)</f>
        <v/>
      </c>
      <c r="K625" s="19" t="str">
        <f aca="false">IF($A625="","",H625+E625)</f>
        <v/>
      </c>
      <c r="L625" s="20" t="str">
        <f aca="false">IF($A625="","",K625-J625-N625)</f>
        <v/>
      </c>
      <c r="M625" s="15" t="str">
        <f aca="false">IF($A625="","",INDEX(PERLINE!$A$2:$A$3001,MATCH($A625,PERLINE!$N$2:$N$3001,0)))</f>
        <v/>
      </c>
      <c r="N625" s="21" t="str">
        <f aca="false">IF($A625="","",SUMIFS(PERLINE!$M$2:$M$3001,PERLINE!$N$2:$N$3001,$A625))</f>
        <v/>
      </c>
    </row>
    <row r="626" customFormat="false" ht="15" hidden="false" customHeight="false" outlineLevel="0" collapsed="false">
      <c r="A626" s="15" t="str">
        <f aca="false">IF(ROWS($A$2:$A626)&lt;=Check!$C$4,SMALL(PERLINE!$AL$2:$AL$3001,ROWS($A$2:$A626)),"")</f>
        <v/>
      </c>
      <c r="B626" s="15" t="str">
        <f aca="false">IF($A626="","",INDEX(PERLINE!$J$2:$J$3001,MATCH($A626,PERLINE!$N$2:$N$3001,0)))</f>
        <v/>
      </c>
      <c r="C626" s="16" t="str">
        <f aca="false">IF($A626="","",INDEX(PERLINE!$I$2:$I$3001,MATCH($A626,PERLINE!$N$2:$N$3001,0)))</f>
        <v/>
      </c>
      <c r="D626" s="17" t="str">
        <f aca="false">IF($A626="","",'كشف المطالبة'!$D$6)</f>
        <v/>
      </c>
      <c r="E626" s="18" t="str">
        <f aca="false">IF($A626="","",SUMIFS(PERLINE!$U$2:$U$3001,PERLINE!$N$2:$N$3001,$A626,PERLINE!$AK$2:$AK$3001,0))</f>
        <v/>
      </c>
      <c r="F626" s="19" t="str">
        <f aca="false">IF($A626="","",E626*D626)</f>
        <v/>
      </c>
      <c r="G626" s="17" t="str">
        <f aca="false">IF($A626="","",'كشف المطالبة'!$D$5)</f>
        <v/>
      </c>
      <c r="H626" s="18" t="str">
        <f aca="false">IF($A626="","",SUMIFS(PERLINE!$U$2:$U$3001,PERLINE!$N$2:$N$3001,$A626,PERLINE!$AK$2:$AK$3001,1))</f>
        <v/>
      </c>
      <c r="I626" s="19" t="str">
        <f aca="false">IF($A626="","",H626*G626)</f>
        <v/>
      </c>
      <c r="J626" s="19" t="str">
        <f aca="false">IF($A626="","",F626+I626)</f>
        <v/>
      </c>
      <c r="K626" s="19" t="str">
        <f aca="false">IF($A626="","",H626+E626)</f>
        <v/>
      </c>
      <c r="L626" s="20" t="str">
        <f aca="false">IF($A626="","",K626-J626-N626)</f>
        <v/>
      </c>
      <c r="M626" s="15" t="str">
        <f aca="false">IF($A626="","",INDEX(PERLINE!$A$2:$A$3001,MATCH($A626,PERLINE!$N$2:$N$3001,0)))</f>
        <v/>
      </c>
      <c r="N626" s="21" t="str">
        <f aca="false">IF($A626="","",SUMIFS(PERLINE!$M$2:$M$3001,PERLINE!$N$2:$N$3001,$A626))</f>
        <v/>
      </c>
    </row>
    <row r="627" customFormat="false" ht="15" hidden="false" customHeight="false" outlineLevel="0" collapsed="false">
      <c r="A627" s="15" t="str">
        <f aca="false">IF(ROWS($A$2:$A627)&lt;=Check!$C$4,SMALL(PERLINE!$AL$2:$AL$3001,ROWS($A$2:$A627)),"")</f>
        <v/>
      </c>
      <c r="B627" s="15" t="str">
        <f aca="false">IF($A627="","",INDEX(PERLINE!$J$2:$J$3001,MATCH($A627,PERLINE!$N$2:$N$3001,0)))</f>
        <v/>
      </c>
      <c r="C627" s="16" t="str">
        <f aca="false">IF($A627="","",INDEX(PERLINE!$I$2:$I$3001,MATCH($A627,PERLINE!$N$2:$N$3001,0)))</f>
        <v/>
      </c>
      <c r="D627" s="17" t="str">
        <f aca="false">IF($A627="","",'كشف المطالبة'!$D$6)</f>
        <v/>
      </c>
      <c r="E627" s="18" t="str">
        <f aca="false">IF($A627="","",SUMIFS(PERLINE!$U$2:$U$3001,PERLINE!$N$2:$N$3001,$A627,PERLINE!$AK$2:$AK$3001,0))</f>
        <v/>
      </c>
      <c r="F627" s="19" t="str">
        <f aca="false">IF($A627="","",E627*D627)</f>
        <v/>
      </c>
      <c r="G627" s="17" t="str">
        <f aca="false">IF($A627="","",'كشف المطالبة'!$D$5)</f>
        <v/>
      </c>
      <c r="H627" s="18" t="str">
        <f aca="false">IF($A627="","",SUMIFS(PERLINE!$U$2:$U$3001,PERLINE!$N$2:$N$3001,$A627,PERLINE!$AK$2:$AK$3001,1))</f>
        <v/>
      </c>
      <c r="I627" s="19" t="str">
        <f aca="false">IF($A627="","",H627*G627)</f>
        <v/>
      </c>
      <c r="J627" s="19" t="str">
        <f aca="false">IF($A627="","",F627+I627)</f>
        <v/>
      </c>
      <c r="K627" s="19" t="str">
        <f aca="false">IF($A627="","",H627+E627)</f>
        <v/>
      </c>
      <c r="L627" s="20" t="str">
        <f aca="false">IF($A627="","",K627-J627-N627)</f>
        <v/>
      </c>
      <c r="M627" s="15" t="str">
        <f aca="false">IF($A627="","",INDEX(PERLINE!$A$2:$A$3001,MATCH($A627,PERLINE!$N$2:$N$3001,0)))</f>
        <v/>
      </c>
      <c r="N627" s="21" t="str">
        <f aca="false">IF($A627="","",SUMIFS(PERLINE!$M$2:$M$3001,PERLINE!$N$2:$N$3001,$A627))</f>
        <v/>
      </c>
    </row>
    <row r="628" customFormat="false" ht="15" hidden="false" customHeight="false" outlineLevel="0" collapsed="false">
      <c r="A628" s="15" t="str">
        <f aca="false">IF(ROWS($A$2:$A628)&lt;=Check!$C$4,SMALL(PERLINE!$AL$2:$AL$3001,ROWS($A$2:$A628)),"")</f>
        <v/>
      </c>
      <c r="B628" s="15" t="str">
        <f aca="false">IF($A628="","",INDEX(PERLINE!$J$2:$J$3001,MATCH($A628,PERLINE!$N$2:$N$3001,0)))</f>
        <v/>
      </c>
      <c r="C628" s="16" t="str">
        <f aca="false">IF($A628="","",INDEX(PERLINE!$I$2:$I$3001,MATCH($A628,PERLINE!$N$2:$N$3001,0)))</f>
        <v/>
      </c>
      <c r="D628" s="17" t="str">
        <f aca="false">IF($A628="","",'كشف المطالبة'!$D$6)</f>
        <v/>
      </c>
      <c r="E628" s="18" t="str">
        <f aca="false">IF($A628="","",SUMIFS(PERLINE!$U$2:$U$3001,PERLINE!$N$2:$N$3001,$A628,PERLINE!$AK$2:$AK$3001,0))</f>
        <v/>
      </c>
      <c r="F628" s="19" t="str">
        <f aca="false">IF($A628="","",E628*D628)</f>
        <v/>
      </c>
      <c r="G628" s="17" t="str">
        <f aca="false">IF($A628="","",'كشف المطالبة'!$D$5)</f>
        <v/>
      </c>
      <c r="H628" s="18" t="str">
        <f aca="false">IF($A628="","",SUMIFS(PERLINE!$U$2:$U$3001,PERLINE!$N$2:$N$3001,$A628,PERLINE!$AK$2:$AK$3001,1))</f>
        <v/>
      </c>
      <c r="I628" s="19" t="str">
        <f aca="false">IF($A628="","",H628*G628)</f>
        <v/>
      </c>
      <c r="J628" s="19" t="str">
        <f aca="false">IF($A628="","",F628+I628)</f>
        <v/>
      </c>
      <c r="K628" s="19" t="str">
        <f aca="false">IF($A628="","",H628+E628)</f>
        <v/>
      </c>
      <c r="L628" s="20" t="str">
        <f aca="false">IF($A628="","",K628-J628-N628)</f>
        <v/>
      </c>
      <c r="M628" s="15" t="str">
        <f aca="false">IF($A628="","",INDEX(PERLINE!$A$2:$A$3001,MATCH($A628,PERLINE!$N$2:$N$3001,0)))</f>
        <v/>
      </c>
      <c r="N628" s="21" t="str">
        <f aca="false">IF($A628="","",SUMIFS(PERLINE!$M$2:$M$3001,PERLINE!$N$2:$N$3001,$A628))</f>
        <v/>
      </c>
    </row>
    <row r="629" customFormat="false" ht="15" hidden="false" customHeight="false" outlineLevel="0" collapsed="false">
      <c r="A629" s="15" t="str">
        <f aca="false">IF(ROWS($A$2:$A629)&lt;=Check!$C$4,SMALL(PERLINE!$AL$2:$AL$3001,ROWS($A$2:$A629)),"")</f>
        <v/>
      </c>
      <c r="B629" s="15" t="str">
        <f aca="false">IF($A629="","",INDEX(PERLINE!$J$2:$J$3001,MATCH($A629,PERLINE!$N$2:$N$3001,0)))</f>
        <v/>
      </c>
      <c r="C629" s="16" t="str">
        <f aca="false">IF($A629="","",INDEX(PERLINE!$I$2:$I$3001,MATCH($A629,PERLINE!$N$2:$N$3001,0)))</f>
        <v/>
      </c>
      <c r="D629" s="17" t="str">
        <f aca="false">IF($A629="","",'كشف المطالبة'!$D$6)</f>
        <v/>
      </c>
      <c r="E629" s="18" t="str">
        <f aca="false">IF($A629="","",SUMIFS(PERLINE!$U$2:$U$3001,PERLINE!$N$2:$N$3001,$A629,PERLINE!$AK$2:$AK$3001,0))</f>
        <v/>
      </c>
      <c r="F629" s="19" t="str">
        <f aca="false">IF($A629="","",E629*D629)</f>
        <v/>
      </c>
      <c r="G629" s="17" t="str">
        <f aca="false">IF($A629="","",'كشف المطالبة'!$D$5)</f>
        <v/>
      </c>
      <c r="H629" s="18" t="str">
        <f aca="false">IF($A629="","",SUMIFS(PERLINE!$U$2:$U$3001,PERLINE!$N$2:$N$3001,$A629,PERLINE!$AK$2:$AK$3001,1))</f>
        <v/>
      </c>
      <c r="I629" s="19" t="str">
        <f aca="false">IF($A629="","",H629*G629)</f>
        <v/>
      </c>
      <c r="J629" s="19" t="str">
        <f aca="false">IF($A629="","",F629+I629)</f>
        <v/>
      </c>
      <c r="K629" s="19" t="str">
        <f aca="false">IF($A629="","",H629+E629)</f>
        <v/>
      </c>
      <c r="L629" s="20" t="str">
        <f aca="false">IF($A629="","",K629-J629-N629)</f>
        <v/>
      </c>
      <c r="M629" s="15" t="str">
        <f aca="false">IF($A629="","",INDEX(PERLINE!$A$2:$A$3001,MATCH($A629,PERLINE!$N$2:$N$3001,0)))</f>
        <v/>
      </c>
      <c r="N629" s="21" t="str">
        <f aca="false">IF($A629="","",SUMIFS(PERLINE!$M$2:$M$3001,PERLINE!$N$2:$N$3001,$A629))</f>
        <v/>
      </c>
    </row>
    <row r="630" customFormat="false" ht="15" hidden="false" customHeight="false" outlineLevel="0" collapsed="false">
      <c r="A630" s="15" t="str">
        <f aca="false">IF(ROWS($A$2:$A630)&lt;=Check!$C$4,SMALL(PERLINE!$AL$2:$AL$3001,ROWS($A$2:$A630)),"")</f>
        <v/>
      </c>
      <c r="B630" s="15" t="str">
        <f aca="false">IF($A630="","",INDEX(PERLINE!$J$2:$J$3001,MATCH($A630,PERLINE!$N$2:$N$3001,0)))</f>
        <v/>
      </c>
      <c r="C630" s="16" t="str">
        <f aca="false">IF($A630="","",INDEX(PERLINE!$I$2:$I$3001,MATCH($A630,PERLINE!$N$2:$N$3001,0)))</f>
        <v/>
      </c>
      <c r="D630" s="17" t="str">
        <f aca="false">IF($A630="","",'كشف المطالبة'!$D$6)</f>
        <v/>
      </c>
      <c r="E630" s="18" t="str">
        <f aca="false">IF($A630="","",SUMIFS(PERLINE!$U$2:$U$3001,PERLINE!$N$2:$N$3001,$A630,PERLINE!$AK$2:$AK$3001,0))</f>
        <v/>
      </c>
      <c r="F630" s="19" t="str">
        <f aca="false">IF($A630="","",E630*D630)</f>
        <v/>
      </c>
      <c r="G630" s="17" t="str">
        <f aca="false">IF($A630="","",'كشف المطالبة'!$D$5)</f>
        <v/>
      </c>
      <c r="H630" s="18" t="str">
        <f aca="false">IF($A630="","",SUMIFS(PERLINE!$U$2:$U$3001,PERLINE!$N$2:$N$3001,$A630,PERLINE!$AK$2:$AK$3001,1))</f>
        <v/>
      </c>
      <c r="I630" s="19" t="str">
        <f aca="false">IF($A630="","",H630*G630)</f>
        <v/>
      </c>
      <c r="J630" s="19" t="str">
        <f aca="false">IF($A630="","",F630+I630)</f>
        <v/>
      </c>
      <c r="K630" s="19" t="str">
        <f aca="false">IF($A630="","",H630+E630)</f>
        <v/>
      </c>
      <c r="L630" s="20" t="str">
        <f aca="false">IF($A630="","",K630-J630-N630)</f>
        <v/>
      </c>
      <c r="M630" s="15" t="str">
        <f aca="false">IF($A630="","",INDEX(PERLINE!$A$2:$A$3001,MATCH($A630,PERLINE!$N$2:$N$3001,0)))</f>
        <v/>
      </c>
      <c r="N630" s="21" t="str">
        <f aca="false">IF($A630="","",SUMIFS(PERLINE!$M$2:$M$3001,PERLINE!$N$2:$N$3001,$A630))</f>
        <v/>
      </c>
    </row>
    <row r="631" customFormat="false" ht="15" hidden="false" customHeight="false" outlineLevel="0" collapsed="false">
      <c r="A631" s="15" t="str">
        <f aca="false">IF(ROWS($A$2:$A631)&lt;=Check!$C$4,SMALL(PERLINE!$AL$2:$AL$3001,ROWS($A$2:$A631)),"")</f>
        <v/>
      </c>
      <c r="B631" s="15" t="str">
        <f aca="false">IF($A631="","",INDEX(PERLINE!$J$2:$J$3001,MATCH($A631,PERLINE!$N$2:$N$3001,0)))</f>
        <v/>
      </c>
      <c r="C631" s="16" t="str">
        <f aca="false">IF($A631="","",INDEX(PERLINE!$I$2:$I$3001,MATCH($A631,PERLINE!$N$2:$N$3001,0)))</f>
        <v/>
      </c>
      <c r="D631" s="17" t="str">
        <f aca="false">IF($A631="","",'كشف المطالبة'!$D$6)</f>
        <v/>
      </c>
      <c r="E631" s="18" t="str">
        <f aca="false">IF($A631="","",SUMIFS(PERLINE!$U$2:$U$3001,PERLINE!$N$2:$N$3001,$A631,PERLINE!$AK$2:$AK$3001,0))</f>
        <v/>
      </c>
      <c r="F631" s="19" t="str">
        <f aca="false">IF($A631="","",E631*D631)</f>
        <v/>
      </c>
      <c r="G631" s="17" t="str">
        <f aca="false">IF($A631="","",'كشف المطالبة'!$D$5)</f>
        <v/>
      </c>
      <c r="H631" s="18" t="str">
        <f aca="false">IF($A631="","",SUMIFS(PERLINE!$U$2:$U$3001,PERLINE!$N$2:$N$3001,$A631,PERLINE!$AK$2:$AK$3001,1))</f>
        <v/>
      </c>
      <c r="I631" s="19" t="str">
        <f aca="false">IF($A631="","",H631*G631)</f>
        <v/>
      </c>
      <c r="J631" s="19" t="str">
        <f aca="false">IF($A631="","",F631+I631)</f>
        <v/>
      </c>
      <c r="K631" s="19" t="str">
        <f aca="false">IF($A631="","",H631+E631)</f>
        <v/>
      </c>
      <c r="L631" s="20" t="str">
        <f aca="false">IF($A631="","",K631-J631-N631)</f>
        <v/>
      </c>
      <c r="M631" s="15" t="str">
        <f aca="false">IF($A631="","",INDEX(PERLINE!$A$2:$A$3001,MATCH($A631,PERLINE!$N$2:$N$3001,0)))</f>
        <v/>
      </c>
      <c r="N631" s="21" t="str">
        <f aca="false">IF($A631="","",SUMIFS(PERLINE!$M$2:$M$3001,PERLINE!$N$2:$N$3001,$A631))</f>
        <v/>
      </c>
    </row>
    <row r="632" customFormat="false" ht="15" hidden="false" customHeight="false" outlineLevel="0" collapsed="false">
      <c r="A632" s="15" t="str">
        <f aca="false">IF(ROWS($A$2:$A632)&lt;=Check!$C$4,SMALL(PERLINE!$AL$2:$AL$3001,ROWS($A$2:$A632)),"")</f>
        <v/>
      </c>
      <c r="B632" s="15" t="str">
        <f aca="false">IF($A632="","",INDEX(PERLINE!$J$2:$J$3001,MATCH($A632,PERLINE!$N$2:$N$3001,0)))</f>
        <v/>
      </c>
      <c r="C632" s="16" t="str">
        <f aca="false">IF($A632="","",INDEX(PERLINE!$I$2:$I$3001,MATCH($A632,PERLINE!$N$2:$N$3001,0)))</f>
        <v/>
      </c>
      <c r="D632" s="17" t="str">
        <f aca="false">IF($A632="","",'كشف المطالبة'!$D$6)</f>
        <v/>
      </c>
      <c r="E632" s="18" t="str">
        <f aca="false">IF($A632="","",SUMIFS(PERLINE!$U$2:$U$3001,PERLINE!$N$2:$N$3001,$A632,PERLINE!$AK$2:$AK$3001,0))</f>
        <v/>
      </c>
      <c r="F632" s="19" t="str">
        <f aca="false">IF($A632="","",E632*D632)</f>
        <v/>
      </c>
      <c r="G632" s="17" t="str">
        <f aca="false">IF($A632="","",'كشف المطالبة'!$D$5)</f>
        <v/>
      </c>
      <c r="H632" s="18" t="str">
        <f aca="false">IF($A632="","",SUMIFS(PERLINE!$U$2:$U$3001,PERLINE!$N$2:$N$3001,$A632,PERLINE!$AK$2:$AK$3001,1))</f>
        <v/>
      </c>
      <c r="I632" s="19" t="str">
        <f aca="false">IF($A632="","",H632*G632)</f>
        <v/>
      </c>
      <c r="J632" s="19" t="str">
        <f aca="false">IF($A632="","",F632+I632)</f>
        <v/>
      </c>
      <c r="K632" s="19" t="str">
        <f aca="false">IF($A632="","",H632+E632)</f>
        <v/>
      </c>
      <c r="L632" s="20" t="str">
        <f aca="false">IF($A632="","",K632-J632-N632)</f>
        <v/>
      </c>
      <c r="M632" s="15" t="str">
        <f aca="false">IF($A632="","",INDEX(PERLINE!$A$2:$A$3001,MATCH($A632,PERLINE!$N$2:$N$3001,0)))</f>
        <v/>
      </c>
      <c r="N632" s="21" t="str">
        <f aca="false">IF($A632="","",SUMIFS(PERLINE!$M$2:$M$3001,PERLINE!$N$2:$N$3001,$A632))</f>
        <v/>
      </c>
    </row>
    <row r="633" customFormat="false" ht="15" hidden="false" customHeight="false" outlineLevel="0" collapsed="false">
      <c r="A633" s="15" t="str">
        <f aca="false">IF(ROWS($A$2:$A633)&lt;=Check!$C$4,SMALL(PERLINE!$AL$2:$AL$3001,ROWS($A$2:$A633)),"")</f>
        <v/>
      </c>
      <c r="B633" s="15" t="str">
        <f aca="false">IF($A633="","",INDEX(PERLINE!$J$2:$J$3001,MATCH($A633,PERLINE!$N$2:$N$3001,0)))</f>
        <v/>
      </c>
      <c r="C633" s="16" t="str">
        <f aca="false">IF($A633="","",INDEX(PERLINE!$I$2:$I$3001,MATCH($A633,PERLINE!$N$2:$N$3001,0)))</f>
        <v/>
      </c>
      <c r="D633" s="17" t="str">
        <f aca="false">IF($A633="","",'كشف المطالبة'!$D$6)</f>
        <v/>
      </c>
      <c r="E633" s="18" t="str">
        <f aca="false">IF($A633="","",SUMIFS(PERLINE!$U$2:$U$3001,PERLINE!$N$2:$N$3001,$A633,PERLINE!$AK$2:$AK$3001,0))</f>
        <v/>
      </c>
      <c r="F633" s="19" t="str">
        <f aca="false">IF($A633="","",E633*D633)</f>
        <v/>
      </c>
      <c r="G633" s="17" t="str">
        <f aca="false">IF($A633="","",'كشف المطالبة'!$D$5)</f>
        <v/>
      </c>
      <c r="H633" s="18" t="str">
        <f aca="false">IF($A633="","",SUMIFS(PERLINE!$U$2:$U$3001,PERLINE!$N$2:$N$3001,$A633,PERLINE!$AK$2:$AK$3001,1))</f>
        <v/>
      </c>
      <c r="I633" s="19" t="str">
        <f aca="false">IF($A633="","",H633*G633)</f>
        <v/>
      </c>
      <c r="J633" s="19" t="str">
        <f aca="false">IF($A633="","",F633+I633)</f>
        <v/>
      </c>
      <c r="K633" s="19" t="str">
        <f aca="false">IF($A633="","",H633+E633)</f>
        <v/>
      </c>
      <c r="L633" s="20" t="str">
        <f aca="false">IF($A633="","",K633-J633-N633)</f>
        <v/>
      </c>
      <c r="M633" s="15" t="str">
        <f aca="false">IF($A633="","",INDEX(PERLINE!$A$2:$A$3001,MATCH($A633,PERLINE!$N$2:$N$3001,0)))</f>
        <v/>
      </c>
      <c r="N633" s="21" t="str">
        <f aca="false">IF($A633="","",SUMIFS(PERLINE!$M$2:$M$3001,PERLINE!$N$2:$N$3001,$A633))</f>
        <v/>
      </c>
    </row>
    <row r="634" customFormat="false" ht="15" hidden="false" customHeight="false" outlineLevel="0" collapsed="false">
      <c r="A634" s="15" t="str">
        <f aca="false">IF(ROWS($A$2:$A634)&lt;=Check!$C$4,SMALL(PERLINE!$AL$2:$AL$3001,ROWS($A$2:$A634)),"")</f>
        <v/>
      </c>
      <c r="B634" s="15" t="str">
        <f aca="false">IF($A634="","",INDEX(PERLINE!$J$2:$J$3001,MATCH($A634,PERLINE!$N$2:$N$3001,0)))</f>
        <v/>
      </c>
      <c r="C634" s="16" t="str">
        <f aca="false">IF($A634="","",INDEX(PERLINE!$I$2:$I$3001,MATCH($A634,PERLINE!$N$2:$N$3001,0)))</f>
        <v/>
      </c>
      <c r="D634" s="17" t="str">
        <f aca="false">IF($A634="","",'كشف المطالبة'!$D$6)</f>
        <v/>
      </c>
      <c r="E634" s="18" t="str">
        <f aca="false">IF($A634="","",SUMIFS(PERLINE!$U$2:$U$3001,PERLINE!$N$2:$N$3001,$A634,PERLINE!$AK$2:$AK$3001,0))</f>
        <v/>
      </c>
      <c r="F634" s="19" t="str">
        <f aca="false">IF($A634="","",E634*D634)</f>
        <v/>
      </c>
      <c r="G634" s="17" t="str">
        <f aca="false">IF($A634="","",'كشف المطالبة'!$D$5)</f>
        <v/>
      </c>
      <c r="H634" s="18" t="str">
        <f aca="false">IF($A634="","",SUMIFS(PERLINE!$U$2:$U$3001,PERLINE!$N$2:$N$3001,$A634,PERLINE!$AK$2:$AK$3001,1))</f>
        <v/>
      </c>
      <c r="I634" s="19" t="str">
        <f aca="false">IF($A634="","",H634*G634)</f>
        <v/>
      </c>
      <c r="J634" s="19" t="str">
        <f aca="false">IF($A634="","",F634+I634)</f>
        <v/>
      </c>
      <c r="K634" s="19" t="str">
        <f aca="false">IF($A634="","",H634+E634)</f>
        <v/>
      </c>
      <c r="L634" s="20" t="str">
        <f aca="false">IF($A634="","",K634-J634-N634)</f>
        <v/>
      </c>
      <c r="M634" s="15" t="str">
        <f aca="false">IF($A634="","",INDEX(PERLINE!$A$2:$A$3001,MATCH($A634,PERLINE!$N$2:$N$3001,0)))</f>
        <v/>
      </c>
      <c r="N634" s="21" t="str">
        <f aca="false">IF($A634="","",SUMIFS(PERLINE!$M$2:$M$3001,PERLINE!$N$2:$N$3001,$A634))</f>
        <v/>
      </c>
    </row>
    <row r="635" customFormat="false" ht="15" hidden="false" customHeight="false" outlineLevel="0" collapsed="false">
      <c r="A635" s="15" t="str">
        <f aca="false">IF(ROWS($A$2:$A635)&lt;=Check!$C$4,SMALL(PERLINE!$AL$2:$AL$3001,ROWS($A$2:$A635)),"")</f>
        <v/>
      </c>
      <c r="B635" s="15" t="str">
        <f aca="false">IF($A635="","",INDEX(PERLINE!$J$2:$J$3001,MATCH($A635,PERLINE!$N$2:$N$3001,0)))</f>
        <v/>
      </c>
      <c r="C635" s="16" t="str">
        <f aca="false">IF($A635="","",INDEX(PERLINE!$I$2:$I$3001,MATCH($A635,PERLINE!$N$2:$N$3001,0)))</f>
        <v/>
      </c>
      <c r="D635" s="17" t="str">
        <f aca="false">IF($A635="","",'كشف المطالبة'!$D$6)</f>
        <v/>
      </c>
      <c r="E635" s="18" t="str">
        <f aca="false">IF($A635="","",SUMIFS(PERLINE!$U$2:$U$3001,PERLINE!$N$2:$N$3001,$A635,PERLINE!$AK$2:$AK$3001,0))</f>
        <v/>
      </c>
      <c r="F635" s="19" t="str">
        <f aca="false">IF($A635="","",E635*D635)</f>
        <v/>
      </c>
      <c r="G635" s="17" t="str">
        <f aca="false">IF($A635="","",'كشف المطالبة'!$D$5)</f>
        <v/>
      </c>
      <c r="H635" s="18" t="str">
        <f aca="false">IF($A635="","",SUMIFS(PERLINE!$U$2:$U$3001,PERLINE!$N$2:$N$3001,$A635,PERLINE!$AK$2:$AK$3001,1))</f>
        <v/>
      </c>
      <c r="I635" s="19" t="str">
        <f aca="false">IF($A635="","",H635*G635)</f>
        <v/>
      </c>
      <c r="J635" s="19" t="str">
        <f aca="false">IF($A635="","",F635+I635)</f>
        <v/>
      </c>
      <c r="K635" s="19" t="str">
        <f aca="false">IF($A635="","",H635+E635)</f>
        <v/>
      </c>
      <c r="L635" s="20" t="str">
        <f aca="false">IF($A635="","",K635-J635-N635)</f>
        <v/>
      </c>
      <c r="M635" s="15" t="str">
        <f aca="false">IF($A635="","",INDEX(PERLINE!$A$2:$A$3001,MATCH($A635,PERLINE!$N$2:$N$3001,0)))</f>
        <v/>
      </c>
      <c r="N635" s="21" t="str">
        <f aca="false">IF($A635="","",SUMIFS(PERLINE!$M$2:$M$3001,PERLINE!$N$2:$N$3001,$A635))</f>
        <v/>
      </c>
    </row>
    <row r="636" customFormat="false" ht="15" hidden="false" customHeight="false" outlineLevel="0" collapsed="false">
      <c r="A636" s="15" t="str">
        <f aca="false">IF(ROWS($A$2:$A636)&lt;=Check!$C$4,SMALL(PERLINE!$AL$2:$AL$3001,ROWS($A$2:$A636)),"")</f>
        <v/>
      </c>
      <c r="B636" s="15" t="str">
        <f aca="false">IF($A636="","",INDEX(PERLINE!$J$2:$J$3001,MATCH($A636,PERLINE!$N$2:$N$3001,0)))</f>
        <v/>
      </c>
      <c r="C636" s="16" t="str">
        <f aca="false">IF($A636="","",INDEX(PERLINE!$I$2:$I$3001,MATCH($A636,PERLINE!$N$2:$N$3001,0)))</f>
        <v/>
      </c>
      <c r="D636" s="17" t="str">
        <f aca="false">IF($A636="","",'كشف المطالبة'!$D$6)</f>
        <v/>
      </c>
      <c r="E636" s="18" t="str">
        <f aca="false">IF($A636="","",SUMIFS(PERLINE!$U$2:$U$3001,PERLINE!$N$2:$N$3001,$A636,PERLINE!$AK$2:$AK$3001,0))</f>
        <v/>
      </c>
      <c r="F636" s="19" t="str">
        <f aca="false">IF($A636="","",E636*D636)</f>
        <v/>
      </c>
      <c r="G636" s="17" t="str">
        <f aca="false">IF($A636="","",'كشف المطالبة'!$D$5)</f>
        <v/>
      </c>
      <c r="H636" s="18" t="str">
        <f aca="false">IF($A636="","",SUMIFS(PERLINE!$U$2:$U$3001,PERLINE!$N$2:$N$3001,$A636,PERLINE!$AK$2:$AK$3001,1))</f>
        <v/>
      </c>
      <c r="I636" s="19" t="str">
        <f aca="false">IF($A636="","",H636*G636)</f>
        <v/>
      </c>
      <c r="J636" s="19" t="str">
        <f aca="false">IF($A636="","",F636+I636)</f>
        <v/>
      </c>
      <c r="K636" s="19" t="str">
        <f aca="false">IF($A636="","",H636+E636)</f>
        <v/>
      </c>
      <c r="L636" s="20" t="str">
        <f aca="false">IF($A636="","",K636-J636-N636)</f>
        <v/>
      </c>
      <c r="M636" s="15" t="str">
        <f aca="false">IF($A636="","",INDEX(PERLINE!$A$2:$A$3001,MATCH($A636,PERLINE!$N$2:$N$3001,0)))</f>
        <v/>
      </c>
      <c r="N636" s="21" t="str">
        <f aca="false">IF($A636="","",SUMIFS(PERLINE!$M$2:$M$3001,PERLINE!$N$2:$N$3001,$A636))</f>
        <v/>
      </c>
    </row>
    <row r="637" customFormat="false" ht="15" hidden="false" customHeight="false" outlineLevel="0" collapsed="false">
      <c r="A637" s="15" t="str">
        <f aca="false">IF(ROWS($A$2:$A637)&lt;=Check!$C$4,SMALL(PERLINE!$AL$2:$AL$3001,ROWS($A$2:$A637)),"")</f>
        <v/>
      </c>
      <c r="B637" s="15" t="str">
        <f aca="false">IF($A637="","",INDEX(PERLINE!$J$2:$J$3001,MATCH($A637,PERLINE!$N$2:$N$3001,0)))</f>
        <v/>
      </c>
      <c r="C637" s="16" t="str">
        <f aca="false">IF($A637="","",INDEX(PERLINE!$I$2:$I$3001,MATCH($A637,PERLINE!$N$2:$N$3001,0)))</f>
        <v/>
      </c>
      <c r="D637" s="17" t="str">
        <f aca="false">IF($A637="","",'كشف المطالبة'!$D$6)</f>
        <v/>
      </c>
      <c r="E637" s="18" t="str">
        <f aca="false">IF($A637="","",SUMIFS(PERLINE!$U$2:$U$3001,PERLINE!$N$2:$N$3001,$A637,PERLINE!$AK$2:$AK$3001,0))</f>
        <v/>
      </c>
      <c r="F637" s="19" t="str">
        <f aca="false">IF($A637="","",E637*D637)</f>
        <v/>
      </c>
      <c r="G637" s="17" t="str">
        <f aca="false">IF($A637="","",'كشف المطالبة'!$D$5)</f>
        <v/>
      </c>
      <c r="H637" s="18" t="str">
        <f aca="false">IF($A637="","",SUMIFS(PERLINE!$U$2:$U$3001,PERLINE!$N$2:$N$3001,$A637,PERLINE!$AK$2:$AK$3001,1))</f>
        <v/>
      </c>
      <c r="I637" s="19" t="str">
        <f aca="false">IF($A637="","",H637*G637)</f>
        <v/>
      </c>
      <c r="J637" s="19" t="str">
        <f aca="false">IF($A637="","",F637+I637)</f>
        <v/>
      </c>
      <c r="K637" s="19" t="str">
        <f aca="false">IF($A637="","",H637+E637)</f>
        <v/>
      </c>
      <c r="L637" s="20" t="str">
        <f aca="false">IF($A637="","",K637-J637-N637)</f>
        <v/>
      </c>
      <c r="M637" s="15" t="str">
        <f aca="false">IF($A637="","",INDEX(PERLINE!$A$2:$A$3001,MATCH($A637,PERLINE!$N$2:$N$3001,0)))</f>
        <v/>
      </c>
      <c r="N637" s="21" t="str">
        <f aca="false">IF($A637="","",SUMIFS(PERLINE!$M$2:$M$3001,PERLINE!$N$2:$N$3001,$A637))</f>
        <v/>
      </c>
    </row>
    <row r="638" customFormat="false" ht="15" hidden="false" customHeight="false" outlineLevel="0" collapsed="false">
      <c r="A638" s="15" t="str">
        <f aca="false">IF(ROWS($A$2:$A638)&lt;=Check!$C$4,SMALL(PERLINE!$AL$2:$AL$3001,ROWS($A$2:$A638)),"")</f>
        <v/>
      </c>
      <c r="B638" s="15" t="str">
        <f aca="false">IF($A638="","",INDEX(PERLINE!$J$2:$J$3001,MATCH($A638,PERLINE!$N$2:$N$3001,0)))</f>
        <v/>
      </c>
      <c r="C638" s="16" t="str">
        <f aca="false">IF($A638="","",INDEX(PERLINE!$I$2:$I$3001,MATCH($A638,PERLINE!$N$2:$N$3001,0)))</f>
        <v/>
      </c>
      <c r="D638" s="17" t="str">
        <f aca="false">IF($A638="","",'كشف المطالبة'!$D$6)</f>
        <v/>
      </c>
      <c r="E638" s="18" t="str">
        <f aca="false">IF($A638="","",SUMIFS(PERLINE!$U$2:$U$3001,PERLINE!$N$2:$N$3001,$A638,PERLINE!$AK$2:$AK$3001,0))</f>
        <v/>
      </c>
      <c r="F638" s="19" t="str">
        <f aca="false">IF($A638="","",E638*D638)</f>
        <v/>
      </c>
      <c r="G638" s="17" t="str">
        <f aca="false">IF($A638="","",'كشف المطالبة'!$D$5)</f>
        <v/>
      </c>
      <c r="H638" s="18" t="str">
        <f aca="false">IF($A638="","",SUMIFS(PERLINE!$U$2:$U$3001,PERLINE!$N$2:$N$3001,$A638,PERLINE!$AK$2:$AK$3001,1))</f>
        <v/>
      </c>
      <c r="I638" s="19" t="str">
        <f aca="false">IF($A638="","",H638*G638)</f>
        <v/>
      </c>
      <c r="J638" s="19" t="str">
        <f aca="false">IF($A638="","",F638+I638)</f>
        <v/>
      </c>
      <c r="K638" s="19" t="str">
        <f aca="false">IF($A638="","",H638+E638)</f>
        <v/>
      </c>
      <c r="L638" s="20" t="str">
        <f aca="false">IF($A638="","",K638-J638-N638)</f>
        <v/>
      </c>
      <c r="M638" s="15" t="str">
        <f aca="false">IF($A638="","",INDEX(PERLINE!$A$2:$A$3001,MATCH($A638,PERLINE!$N$2:$N$3001,0)))</f>
        <v/>
      </c>
      <c r="N638" s="21" t="str">
        <f aca="false">IF($A638="","",SUMIFS(PERLINE!$M$2:$M$3001,PERLINE!$N$2:$N$3001,$A638))</f>
        <v/>
      </c>
    </row>
    <row r="639" customFormat="false" ht="15" hidden="false" customHeight="false" outlineLevel="0" collapsed="false">
      <c r="A639" s="15" t="str">
        <f aca="false">IF(ROWS($A$2:$A639)&lt;=Check!$C$4,SMALL(PERLINE!$AL$2:$AL$3001,ROWS($A$2:$A639)),"")</f>
        <v/>
      </c>
      <c r="B639" s="15" t="str">
        <f aca="false">IF($A639="","",INDEX(PERLINE!$J$2:$J$3001,MATCH($A639,PERLINE!$N$2:$N$3001,0)))</f>
        <v/>
      </c>
      <c r="C639" s="16" t="str">
        <f aca="false">IF($A639="","",INDEX(PERLINE!$I$2:$I$3001,MATCH($A639,PERLINE!$N$2:$N$3001,0)))</f>
        <v/>
      </c>
      <c r="D639" s="17" t="str">
        <f aca="false">IF($A639="","",'كشف المطالبة'!$D$6)</f>
        <v/>
      </c>
      <c r="E639" s="18" t="str">
        <f aca="false">IF($A639="","",SUMIFS(PERLINE!$U$2:$U$3001,PERLINE!$N$2:$N$3001,$A639,PERLINE!$AK$2:$AK$3001,0))</f>
        <v/>
      </c>
      <c r="F639" s="19" t="str">
        <f aca="false">IF($A639="","",E639*D639)</f>
        <v/>
      </c>
      <c r="G639" s="17" t="str">
        <f aca="false">IF($A639="","",'كشف المطالبة'!$D$5)</f>
        <v/>
      </c>
      <c r="H639" s="18" t="str">
        <f aca="false">IF($A639="","",SUMIFS(PERLINE!$U$2:$U$3001,PERLINE!$N$2:$N$3001,$A639,PERLINE!$AK$2:$AK$3001,1))</f>
        <v/>
      </c>
      <c r="I639" s="19" t="str">
        <f aca="false">IF($A639="","",H639*G639)</f>
        <v/>
      </c>
      <c r="J639" s="19" t="str">
        <f aca="false">IF($A639="","",F639+I639)</f>
        <v/>
      </c>
      <c r="K639" s="19" t="str">
        <f aca="false">IF($A639="","",H639+E639)</f>
        <v/>
      </c>
      <c r="L639" s="20" t="str">
        <f aca="false">IF($A639="","",K639-J639-N639)</f>
        <v/>
      </c>
      <c r="M639" s="15" t="str">
        <f aca="false">IF($A639="","",INDEX(PERLINE!$A$2:$A$3001,MATCH($A639,PERLINE!$N$2:$N$3001,0)))</f>
        <v/>
      </c>
      <c r="N639" s="21" t="str">
        <f aca="false">IF($A639="","",SUMIFS(PERLINE!$M$2:$M$3001,PERLINE!$N$2:$N$3001,$A639))</f>
        <v/>
      </c>
    </row>
    <row r="640" customFormat="false" ht="15" hidden="false" customHeight="false" outlineLevel="0" collapsed="false">
      <c r="A640" s="15" t="str">
        <f aca="false">IF(ROWS($A$2:$A640)&lt;=Check!$C$4,SMALL(PERLINE!$AL$2:$AL$3001,ROWS($A$2:$A640)),"")</f>
        <v/>
      </c>
      <c r="B640" s="15" t="str">
        <f aca="false">IF($A640="","",INDEX(PERLINE!$J$2:$J$3001,MATCH($A640,PERLINE!$N$2:$N$3001,0)))</f>
        <v/>
      </c>
      <c r="C640" s="16" t="str">
        <f aca="false">IF($A640="","",INDEX(PERLINE!$I$2:$I$3001,MATCH($A640,PERLINE!$N$2:$N$3001,0)))</f>
        <v/>
      </c>
      <c r="D640" s="17" t="str">
        <f aca="false">IF($A640="","",'كشف المطالبة'!$D$6)</f>
        <v/>
      </c>
      <c r="E640" s="18" t="str">
        <f aca="false">IF($A640="","",SUMIFS(PERLINE!$U$2:$U$3001,PERLINE!$N$2:$N$3001,$A640,PERLINE!$AK$2:$AK$3001,0))</f>
        <v/>
      </c>
      <c r="F640" s="19" t="str">
        <f aca="false">IF($A640="","",E640*D640)</f>
        <v/>
      </c>
      <c r="G640" s="17" t="str">
        <f aca="false">IF($A640="","",'كشف المطالبة'!$D$5)</f>
        <v/>
      </c>
      <c r="H640" s="18" t="str">
        <f aca="false">IF($A640="","",SUMIFS(PERLINE!$U$2:$U$3001,PERLINE!$N$2:$N$3001,$A640,PERLINE!$AK$2:$AK$3001,1))</f>
        <v/>
      </c>
      <c r="I640" s="19" t="str">
        <f aca="false">IF($A640="","",H640*G640)</f>
        <v/>
      </c>
      <c r="J640" s="19" t="str">
        <f aca="false">IF($A640="","",F640+I640)</f>
        <v/>
      </c>
      <c r="K640" s="19" t="str">
        <f aca="false">IF($A640="","",H640+E640)</f>
        <v/>
      </c>
      <c r="L640" s="20" t="str">
        <f aca="false">IF($A640="","",K640-J640-N640)</f>
        <v/>
      </c>
      <c r="M640" s="15" t="str">
        <f aca="false">IF($A640="","",INDEX(PERLINE!$A$2:$A$3001,MATCH($A640,PERLINE!$N$2:$N$3001,0)))</f>
        <v/>
      </c>
      <c r="N640" s="21" t="str">
        <f aca="false">IF($A640="","",SUMIFS(PERLINE!$M$2:$M$3001,PERLINE!$N$2:$N$3001,$A640))</f>
        <v/>
      </c>
    </row>
    <row r="641" customFormat="false" ht="15" hidden="false" customHeight="false" outlineLevel="0" collapsed="false">
      <c r="A641" s="15" t="str">
        <f aca="false">IF(ROWS($A$2:$A641)&lt;=Check!$C$4,SMALL(PERLINE!$AL$2:$AL$3001,ROWS($A$2:$A641)),"")</f>
        <v/>
      </c>
      <c r="B641" s="15" t="str">
        <f aca="false">IF($A641="","",INDEX(PERLINE!$J$2:$J$3001,MATCH($A641,PERLINE!$N$2:$N$3001,0)))</f>
        <v/>
      </c>
      <c r="C641" s="16" t="str">
        <f aca="false">IF($A641="","",INDEX(PERLINE!$I$2:$I$3001,MATCH($A641,PERLINE!$N$2:$N$3001,0)))</f>
        <v/>
      </c>
      <c r="D641" s="17" t="str">
        <f aca="false">IF($A641="","",'كشف المطالبة'!$D$6)</f>
        <v/>
      </c>
      <c r="E641" s="18" t="str">
        <f aca="false">IF($A641="","",SUMIFS(PERLINE!$U$2:$U$3001,PERLINE!$N$2:$N$3001,$A641,PERLINE!$AK$2:$AK$3001,0))</f>
        <v/>
      </c>
      <c r="F641" s="19" t="str">
        <f aca="false">IF($A641="","",E641*D641)</f>
        <v/>
      </c>
      <c r="G641" s="17" t="str">
        <f aca="false">IF($A641="","",'كشف المطالبة'!$D$5)</f>
        <v/>
      </c>
      <c r="H641" s="18" t="str">
        <f aca="false">IF($A641="","",SUMIFS(PERLINE!$U$2:$U$3001,PERLINE!$N$2:$N$3001,$A641,PERLINE!$AK$2:$AK$3001,1))</f>
        <v/>
      </c>
      <c r="I641" s="19" t="str">
        <f aca="false">IF($A641="","",H641*G641)</f>
        <v/>
      </c>
      <c r="J641" s="19" t="str">
        <f aca="false">IF($A641="","",F641+I641)</f>
        <v/>
      </c>
      <c r="K641" s="19" t="str">
        <f aca="false">IF($A641="","",H641+E641)</f>
        <v/>
      </c>
      <c r="L641" s="20" t="str">
        <f aca="false">IF($A641="","",K641-J641-N641)</f>
        <v/>
      </c>
      <c r="M641" s="15" t="str">
        <f aca="false">IF($A641="","",INDEX(PERLINE!$A$2:$A$3001,MATCH($A641,PERLINE!$N$2:$N$3001,0)))</f>
        <v/>
      </c>
      <c r="N641" s="21" t="str">
        <f aca="false">IF($A641="","",SUMIFS(PERLINE!$M$2:$M$3001,PERLINE!$N$2:$N$3001,$A641))</f>
        <v/>
      </c>
    </row>
    <row r="642" customFormat="false" ht="15" hidden="false" customHeight="false" outlineLevel="0" collapsed="false">
      <c r="A642" s="15" t="str">
        <f aca="false">IF(ROWS($A$2:$A642)&lt;=Check!$C$4,SMALL(PERLINE!$AL$2:$AL$3001,ROWS($A$2:$A642)),"")</f>
        <v/>
      </c>
      <c r="B642" s="15" t="str">
        <f aca="false">IF($A642="","",INDEX(PERLINE!$J$2:$J$3001,MATCH($A642,PERLINE!$N$2:$N$3001,0)))</f>
        <v/>
      </c>
      <c r="C642" s="16" t="str">
        <f aca="false">IF($A642="","",INDEX(PERLINE!$I$2:$I$3001,MATCH($A642,PERLINE!$N$2:$N$3001,0)))</f>
        <v/>
      </c>
      <c r="D642" s="17" t="str">
        <f aca="false">IF($A642="","",'كشف المطالبة'!$D$6)</f>
        <v/>
      </c>
      <c r="E642" s="18" t="str">
        <f aca="false">IF($A642="","",SUMIFS(PERLINE!$U$2:$U$3001,PERLINE!$N$2:$N$3001,$A642,PERLINE!$AK$2:$AK$3001,0))</f>
        <v/>
      </c>
      <c r="F642" s="19" t="str">
        <f aca="false">IF($A642="","",E642*D642)</f>
        <v/>
      </c>
      <c r="G642" s="17" t="str">
        <f aca="false">IF($A642="","",'كشف المطالبة'!$D$5)</f>
        <v/>
      </c>
      <c r="H642" s="18" t="str">
        <f aca="false">IF($A642="","",SUMIFS(PERLINE!$U$2:$U$3001,PERLINE!$N$2:$N$3001,$A642,PERLINE!$AK$2:$AK$3001,1))</f>
        <v/>
      </c>
      <c r="I642" s="19" t="str">
        <f aca="false">IF($A642="","",H642*G642)</f>
        <v/>
      </c>
      <c r="J642" s="19" t="str">
        <f aca="false">IF($A642="","",F642+I642)</f>
        <v/>
      </c>
      <c r="K642" s="19" t="str">
        <f aca="false">IF($A642="","",H642+E642)</f>
        <v/>
      </c>
      <c r="L642" s="20" t="str">
        <f aca="false">IF($A642="","",K642-J642-N642)</f>
        <v/>
      </c>
      <c r="M642" s="15" t="str">
        <f aca="false">IF($A642="","",INDEX(PERLINE!$A$2:$A$3001,MATCH($A642,PERLINE!$N$2:$N$3001,0)))</f>
        <v/>
      </c>
      <c r="N642" s="21" t="str">
        <f aca="false">IF($A642="","",SUMIFS(PERLINE!$M$2:$M$3001,PERLINE!$N$2:$N$3001,$A642))</f>
        <v/>
      </c>
    </row>
    <row r="643" customFormat="false" ht="15" hidden="false" customHeight="false" outlineLevel="0" collapsed="false">
      <c r="A643" s="15" t="str">
        <f aca="false">IF(ROWS($A$2:$A643)&lt;=Check!$C$4,SMALL(PERLINE!$AL$2:$AL$3001,ROWS($A$2:$A643)),"")</f>
        <v/>
      </c>
      <c r="B643" s="15" t="str">
        <f aca="false">IF($A643="","",INDEX(PERLINE!$J$2:$J$3001,MATCH($A643,PERLINE!$N$2:$N$3001,0)))</f>
        <v/>
      </c>
      <c r="C643" s="16" t="str">
        <f aca="false">IF($A643="","",INDEX(PERLINE!$I$2:$I$3001,MATCH($A643,PERLINE!$N$2:$N$3001,0)))</f>
        <v/>
      </c>
      <c r="D643" s="17" t="str">
        <f aca="false">IF($A643="","",'كشف المطالبة'!$D$6)</f>
        <v/>
      </c>
      <c r="E643" s="18" t="str">
        <f aca="false">IF($A643="","",SUMIFS(PERLINE!$U$2:$U$3001,PERLINE!$N$2:$N$3001,$A643,PERLINE!$AK$2:$AK$3001,0))</f>
        <v/>
      </c>
      <c r="F643" s="19" t="str">
        <f aca="false">IF($A643="","",E643*D643)</f>
        <v/>
      </c>
      <c r="G643" s="17" t="str">
        <f aca="false">IF($A643="","",'كشف المطالبة'!$D$5)</f>
        <v/>
      </c>
      <c r="H643" s="18" t="str">
        <f aca="false">IF($A643="","",SUMIFS(PERLINE!$U$2:$U$3001,PERLINE!$N$2:$N$3001,$A643,PERLINE!$AK$2:$AK$3001,1))</f>
        <v/>
      </c>
      <c r="I643" s="19" t="str">
        <f aca="false">IF($A643="","",H643*G643)</f>
        <v/>
      </c>
      <c r="J643" s="19" t="str">
        <f aca="false">IF($A643="","",F643+I643)</f>
        <v/>
      </c>
      <c r="K643" s="19" t="str">
        <f aca="false">IF($A643="","",H643+E643)</f>
        <v/>
      </c>
      <c r="L643" s="20" t="str">
        <f aca="false">IF($A643="","",K643-J643-N643)</f>
        <v/>
      </c>
      <c r="M643" s="15" t="str">
        <f aca="false">IF($A643="","",INDEX(PERLINE!$A$2:$A$3001,MATCH($A643,PERLINE!$N$2:$N$3001,0)))</f>
        <v/>
      </c>
      <c r="N643" s="21" t="str">
        <f aca="false">IF($A643="","",SUMIFS(PERLINE!$M$2:$M$3001,PERLINE!$N$2:$N$3001,$A643))</f>
        <v/>
      </c>
    </row>
    <row r="644" customFormat="false" ht="15" hidden="false" customHeight="false" outlineLevel="0" collapsed="false">
      <c r="A644" s="15" t="str">
        <f aca="false">IF(ROWS($A$2:$A644)&lt;=Check!$C$4,SMALL(PERLINE!$AL$2:$AL$3001,ROWS($A$2:$A644)),"")</f>
        <v/>
      </c>
      <c r="B644" s="15" t="str">
        <f aca="false">IF($A644="","",INDEX(PERLINE!$J$2:$J$3001,MATCH($A644,PERLINE!$N$2:$N$3001,0)))</f>
        <v/>
      </c>
      <c r="C644" s="16" t="str">
        <f aca="false">IF($A644="","",INDEX(PERLINE!$I$2:$I$3001,MATCH($A644,PERLINE!$N$2:$N$3001,0)))</f>
        <v/>
      </c>
      <c r="D644" s="17" t="str">
        <f aca="false">IF($A644="","",'كشف المطالبة'!$D$6)</f>
        <v/>
      </c>
      <c r="E644" s="18" t="str">
        <f aca="false">IF($A644="","",SUMIFS(PERLINE!$U$2:$U$3001,PERLINE!$N$2:$N$3001,$A644,PERLINE!$AK$2:$AK$3001,0))</f>
        <v/>
      </c>
      <c r="F644" s="19" t="str">
        <f aca="false">IF($A644="","",E644*D644)</f>
        <v/>
      </c>
      <c r="G644" s="17" t="str">
        <f aca="false">IF($A644="","",'كشف المطالبة'!$D$5)</f>
        <v/>
      </c>
      <c r="H644" s="18" t="str">
        <f aca="false">IF($A644="","",SUMIFS(PERLINE!$U$2:$U$3001,PERLINE!$N$2:$N$3001,$A644,PERLINE!$AK$2:$AK$3001,1))</f>
        <v/>
      </c>
      <c r="I644" s="19" t="str">
        <f aca="false">IF($A644="","",H644*G644)</f>
        <v/>
      </c>
      <c r="J644" s="19" t="str">
        <f aca="false">IF($A644="","",F644+I644)</f>
        <v/>
      </c>
      <c r="K644" s="19" t="str">
        <f aca="false">IF($A644="","",H644+E644)</f>
        <v/>
      </c>
      <c r="L644" s="20" t="str">
        <f aca="false">IF($A644="","",K644-J644-N644)</f>
        <v/>
      </c>
      <c r="M644" s="15" t="str">
        <f aca="false">IF($A644="","",INDEX(PERLINE!$A$2:$A$3001,MATCH($A644,PERLINE!$N$2:$N$3001,0)))</f>
        <v/>
      </c>
      <c r="N644" s="21" t="str">
        <f aca="false">IF($A644="","",SUMIFS(PERLINE!$M$2:$M$3001,PERLINE!$N$2:$N$3001,$A644))</f>
        <v/>
      </c>
    </row>
    <row r="645" customFormat="false" ht="15" hidden="false" customHeight="false" outlineLevel="0" collapsed="false">
      <c r="A645" s="15" t="str">
        <f aca="false">IF(ROWS($A$2:$A645)&lt;=Check!$C$4,SMALL(PERLINE!$AL$2:$AL$3001,ROWS($A$2:$A645)),"")</f>
        <v/>
      </c>
      <c r="B645" s="15" t="str">
        <f aca="false">IF($A645="","",INDEX(PERLINE!$J$2:$J$3001,MATCH($A645,PERLINE!$N$2:$N$3001,0)))</f>
        <v/>
      </c>
      <c r="C645" s="16" t="str">
        <f aca="false">IF($A645="","",INDEX(PERLINE!$I$2:$I$3001,MATCH($A645,PERLINE!$N$2:$N$3001,0)))</f>
        <v/>
      </c>
      <c r="D645" s="17" t="str">
        <f aca="false">IF($A645="","",'كشف المطالبة'!$D$6)</f>
        <v/>
      </c>
      <c r="E645" s="18" t="str">
        <f aca="false">IF($A645="","",SUMIFS(PERLINE!$U$2:$U$3001,PERLINE!$N$2:$N$3001,$A645,PERLINE!$AK$2:$AK$3001,0))</f>
        <v/>
      </c>
      <c r="F645" s="19" t="str">
        <f aca="false">IF($A645="","",E645*D645)</f>
        <v/>
      </c>
      <c r="G645" s="17" t="str">
        <f aca="false">IF($A645="","",'كشف المطالبة'!$D$5)</f>
        <v/>
      </c>
      <c r="H645" s="18" t="str">
        <f aca="false">IF($A645="","",SUMIFS(PERLINE!$U$2:$U$3001,PERLINE!$N$2:$N$3001,$A645,PERLINE!$AK$2:$AK$3001,1))</f>
        <v/>
      </c>
      <c r="I645" s="19" t="str">
        <f aca="false">IF($A645="","",H645*G645)</f>
        <v/>
      </c>
      <c r="J645" s="19" t="str">
        <f aca="false">IF($A645="","",F645+I645)</f>
        <v/>
      </c>
      <c r="K645" s="19" t="str">
        <f aca="false">IF($A645="","",H645+E645)</f>
        <v/>
      </c>
      <c r="L645" s="20" t="str">
        <f aca="false">IF($A645="","",K645-J645-N645)</f>
        <v/>
      </c>
      <c r="M645" s="15" t="str">
        <f aca="false">IF($A645="","",INDEX(PERLINE!$A$2:$A$3001,MATCH($A645,PERLINE!$N$2:$N$3001,0)))</f>
        <v/>
      </c>
      <c r="N645" s="21" t="str">
        <f aca="false">IF($A645="","",SUMIFS(PERLINE!$M$2:$M$3001,PERLINE!$N$2:$N$3001,$A645))</f>
        <v/>
      </c>
    </row>
    <row r="646" customFormat="false" ht="15" hidden="false" customHeight="false" outlineLevel="0" collapsed="false">
      <c r="A646" s="15" t="str">
        <f aca="false">IF(ROWS($A$2:$A646)&lt;=Check!$C$4,SMALL(PERLINE!$AL$2:$AL$3001,ROWS($A$2:$A646)),"")</f>
        <v/>
      </c>
      <c r="B646" s="15" t="str">
        <f aca="false">IF($A646="","",INDEX(PERLINE!$J$2:$J$3001,MATCH($A646,PERLINE!$N$2:$N$3001,0)))</f>
        <v/>
      </c>
      <c r="C646" s="16" t="str">
        <f aca="false">IF($A646="","",INDEX(PERLINE!$I$2:$I$3001,MATCH($A646,PERLINE!$N$2:$N$3001,0)))</f>
        <v/>
      </c>
      <c r="D646" s="17" t="str">
        <f aca="false">IF($A646="","",'كشف المطالبة'!$D$6)</f>
        <v/>
      </c>
      <c r="E646" s="18" t="str">
        <f aca="false">IF($A646="","",SUMIFS(PERLINE!$U$2:$U$3001,PERLINE!$N$2:$N$3001,$A646,PERLINE!$AK$2:$AK$3001,0))</f>
        <v/>
      </c>
      <c r="F646" s="19" t="str">
        <f aca="false">IF($A646="","",E646*D646)</f>
        <v/>
      </c>
      <c r="G646" s="17" t="str">
        <f aca="false">IF($A646="","",'كشف المطالبة'!$D$5)</f>
        <v/>
      </c>
      <c r="H646" s="18" t="str">
        <f aca="false">IF($A646="","",SUMIFS(PERLINE!$U$2:$U$3001,PERLINE!$N$2:$N$3001,$A646,PERLINE!$AK$2:$AK$3001,1))</f>
        <v/>
      </c>
      <c r="I646" s="19" t="str">
        <f aca="false">IF($A646="","",H646*G646)</f>
        <v/>
      </c>
      <c r="J646" s="19" t="str">
        <f aca="false">IF($A646="","",F646+I646)</f>
        <v/>
      </c>
      <c r="K646" s="19" t="str">
        <f aca="false">IF($A646="","",H646+E646)</f>
        <v/>
      </c>
      <c r="L646" s="20" t="str">
        <f aca="false">IF($A646="","",K646-J646-N646)</f>
        <v/>
      </c>
      <c r="M646" s="15" t="str">
        <f aca="false">IF($A646="","",INDEX(PERLINE!$A$2:$A$3001,MATCH($A646,PERLINE!$N$2:$N$3001,0)))</f>
        <v/>
      </c>
      <c r="N646" s="21" t="str">
        <f aca="false">IF($A646="","",SUMIFS(PERLINE!$M$2:$M$3001,PERLINE!$N$2:$N$3001,$A646))</f>
        <v/>
      </c>
    </row>
    <row r="647" customFormat="false" ht="15" hidden="false" customHeight="false" outlineLevel="0" collapsed="false">
      <c r="A647" s="15" t="str">
        <f aca="false">IF(ROWS($A$2:$A647)&lt;=Check!$C$4,SMALL(PERLINE!$AL$2:$AL$3001,ROWS($A$2:$A647)),"")</f>
        <v/>
      </c>
      <c r="B647" s="15" t="str">
        <f aca="false">IF($A647="","",INDEX(PERLINE!$J$2:$J$3001,MATCH($A647,PERLINE!$N$2:$N$3001,0)))</f>
        <v/>
      </c>
      <c r="C647" s="16" t="str">
        <f aca="false">IF($A647="","",INDEX(PERLINE!$I$2:$I$3001,MATCH($A647,PERLINE!$N$2:$N$3001,0)))</f>
        <v/>
      </c>
      <c r="D647" s="17" t="str">
        <f aca="false">IF($A647="","",'كشف المطالبة'!$D$6)</f>
        <v/>
      </c>
      <c r="E647" s="18" t="str">
        <f aca="false">IF($A647="","",SUMIFS(PERLINE!$U$2:$U$3001,PERLINE!$N$2:$N$3001,$A647,PERLINE!$AK$2:$AK$3001,0))</f>
        <v/>
      </c>
      <c r="F647" s="19" t="str">
        <f aca="false">IF($A647="","",E647*D647)</f>
        <v/>
      </c>
      <c r="G647" s="17" t="str">
        <f aca="false">IF($A647="","",'كشف المطالبة'!$D$5)</f>
        <v/>
      </c>
      <c r="H647" s="18" t="str">
        <f aca="false">IF($A647="","",SUMIFS(PERLINE!$U$2:$U$3001,PERLINE!$N$2:$N$3001,$A647,PERLINE!$AK$2:$AK$3001,1))</f>
        <v/>
      </c>
      <c r="I647" s="19" t="str">
        <f aca="false">IF($A647="","",H647*G647)</f>
        <v/>
      </c>
      <c r="J647" s="19" t="str">
        <f aca="false">IF($A647="","",F647+I647)</f>
        <v/>
      </c>
      <c r="K647" s="19" t="str">
        <f aca="false">IF($A647="","",H647+E647)</f>
        <v/>
      </c>
      <c r="L647" s="20" t="str">
        <f aca="false">IF($A647="","",K647-J647-N647)</f>
        <v/>
      </c>
      <c r="M647" s="15" t="str">
        <f aca="false">IF($A647="","",INDEX(PERLINE!$A$2:$A$3001,MATCH($A647,PERLINE!$N$2:$N$3001,0)))</f>
        <v/>
      </c>
      <c r="N647" s="21" t="str">
        <f aca="false">IF($A647="","",SUMIFS(PERLINE!$M$2:$M$3001,PERLINE!$N$2:$N$3001,$A647))</f>
        <v/>
      </c>
    </row>
    <row r="648" customFormat="false" ht="15" hidden="false" customHeight="false" outlineLevel="0" collapsed="false">
      <c r="A648" s="15" t="str">
        <f aca="false">IF(ROWS($A$2:$A648)&lt;=Check!$C$4,SMALL(PERLINE!$AL$2:$AL$3001,ROWS($A$2:$A648)),"")</f>
        <v/>
      </c>
      <c r="B648" s="15" t="str">
        <f aca="false">IF($A648="","",INDEX(PERLINE!$J$2:$J$3001,MATCH($A648,PERLINE!$N$2:$N$3001,0)))</f>
        <v/>
      </c>
      <c r="C648" s="16" t="str">
        <f aca="false">IF($A648="","",INDEX(PERLINE!$I$2:$I$3001,MATCH($A648,PERLINE!$N$2:$N$3001,0)))</f>
        <v/>
      </c>
      <c r="D648" s="17" t="str">
        <f aca="false">IF($A648="","",'كشف المطالبة'!$D$6)</f>
        <v/>
      </c>
      <c r="E648" s="18" t="str">
        <f aca="false">IF($A648="","",SUMIFS(PERLINE!$U$2:$U$3001,PERLINE!$N$2:$N$3001,$A648,PERLINE!$AK$2:$AK$3001,0))</f>
        <v/>
      </c>
      <c r="F648" s="19" t="str">
        <f aca="false">IF($A648="","",E648*D648)</f>
        <v/>
      </c>
      <c r="G648" s="17" t="str">
        <f aca="false">IF($A648="","",'كشف المطالبة'!$D$5)</f>
        <v/>
      </c>
      <c r="H648" s="18" t="str">
        <f aca="false">IF($A648="","",SUMIFS(PERLINE!$U$2:$U$3001,PERLINE!$N$2:$N$3001,$A648,PERLINE!$AK$2:$AK$3001,1))</f>
        <v/>
      </c>
      <c r="I648" s="19" t="str">
        <f aca="false">IF($A648="","",H648*G648)</f>
        <v/>
      </c>
      <c r="J648" s="19" t="str">
        <f aca="false">IF($A648="","",F648+I648)</f>
        <v/>
      </c>
      <c r="K648" s="19" t="str">
        <f aca="false">IF($A648="","",H648+E648)</f>
        <v/>
      </c>
      <c r="L648" s="20" t="str">
        <f aca="false">IF($A648="","",K648-J648-N648)</f>
        <v/>
      </c>
      <c r="M648" s="15" t="str">
        <f aca="false">IF($A648="","",INDEX(PERLINE!$A$2:$A$3001,MATCH($A648,PERLINE!$N$2:$N$3001,0)))</f>
        <v/>
      </c>
      <c r="N648" s="21" t="str">
        <f aca="false">IF($A648="","",SUMIFS(PERLINE!$M$2:$M$3001,PERLINE!$N$2:$N$3001,$A648))</f>
        <v/>
      </c>
    </row>
    <row r="649" customFormat="false" ht="15" hidden="false" customHeight="false" outlineLevel="0" collapsed="false">
      <c r="A649" s="15" t="str">
        <f aca="false">IF(ROWS($A$2:$A649)&lt;=Check!$C$4,SMALL(PERLINE!$AL$2:$AL$3001,ROWS($A$2:$A649)),"")</f>
        <v/>
      </c>
      <c r="B649" s="15" t="str">
        <f aca="false">IF($A649="","",INDEX(PERLINE!$J$2:$J$3001,MATCH($A649,PERLINE!$N$2:$N$3001,0)))</f>
        <v/>
      </c>
      <c r="C649" s="16" t="str">
        <f aca="false">IF($A649="","",INDEX(PERLINE!$I$2:$I$3001,MATCH($A649,PERLINE!$N$2:$N$3001,0)))</f>
        <v/>
      </c>
      <c r="D649" s="17" t="str">
        <f aca="false">IF($A649="","",'كشف المطالبة'!$D$6)</f>
        <v/>
      </c>
      <c r="E649" s="18" t="str">
        <f aca="false">IF($A649="","",SUMIFS(PERLINE!$U$2:$U$3001,PERLINE!$N$2:$N$3001,$A649,PERLINE!$AK$2:$AK$3001,0))</f>
        <v/>
      </c>
      <c r="F649" s="19" t="str">
        <f aca="false">IF($A649="","",E649*D649)</f>
        <v/>
      </c>
      <c r="G649" s="17" t="str">
        <f aca="false">IF($A649="","",'كشف المطالبة'!$D$5)</f>
        <v/>
      </c>
      <c r="H649" s="18" t="str">
        <f aca="false">IF($A649="","",SUMIFS(PERLINE!$U$2:$U$3001,PERLINE!$N$2:$N$3001,$A649,PERLINE!$AK$2:$AK$3001,1))</f>
        <v/>
      </c>
      <c r="I649" s="19" t="str">
        <f aca="false">IF($A649="","",H649*G649)</f>
        <v/>
      </c>
      <c r="J649" s="19" t="str">
        <f aca="false">IF($A649="","",F649+I649)</f>
        <v/>
      </c>
      <c r="K649" s="19" t="str">
        <f aca="false">IF($A649="","",H649+E649)</f>
        <v/>
      </c>
      <c r="L649" s="20" t="str">
        <f aca="false">IF($A649="","",K649-J649-N649)</f>
        <v/>
      </c>
      <c r="M649" s="15" t="str">
        <f aca="false">IF($A649="","",INDEX(PERLINE!$A$2:$A$3001,MATCH($A649,PERLINE!$N$2:$N$3001,0)))</f>
        <v/>
      </c>
      <c r="N649" s="21" t="str">
        <f aca="false">IF($A649="","",SUMIFS(PERLINE!$M$2:$M$3001,PERLINE!$N$2:$N$3001,$A649))</f>
        <v/>
      </c>
    </row>
    <row r="650" customFormat="false" ht="15" hidden="false" customHeight="false" outlineLevel="0" collapsed="false">
      <c r="A650" s="15" t="str">
        <f aca="false">IF(ROWS($A$2:$A650)&lt;=Check!$C$4,SMALL(PERLINE!$AL$2:$AL$3001,ROWS($A$2:$A650)),"")</f>
        <v/>
      </c>
      <c r="B650" s="15" t="str">
        <f aca="false">IF($A650="","",INDEX(PERLINE!$J$2:$J$3001,MATCH($A650,PERLINE!$N$2:$N$3001,0)))</f>
        <v/>
      </c>
      <c r="C650" s="16" t="str">
        <f aca="false">IF($A650="","",INDEX(PERLINE!$I$2:$I$3001,MATCH($A650,PERLINE!$N$2:$N$3001,0)))</f>
        <v/>
      </c>
      <c r="D650" s="17" t="str">
        <f aca="false">IF($A650="","",'كشف المطالبة'!$D$6)</f>
        <v/>
      </c>
      <c r="E650" s="18" t="str">
        <f aca="false">IF($A650="","",SUMIFS(PERLINE!$U$2:$U$3001,PERLINE!$N$2:$N$3001,$A650,PERLINE!$AK$2:$AK$3001,0))</f>
        <v/>
      </c>
      <c r="F650" s="19" t="str">
        <f aca="false">IF($A650="","",E650*D650)</f>
        <v/>
      </c>
      <c r="G650" s="17" t="str">
        <f aca="false">IF($A650="","",'كشف المطالبة'!$D$5)</f>
        <v/>
      </c>
      <c r="H650" s="18" t="str">
        <f aca="false">IF($A650="","",SUMIFS(PERLINE!$U$2:$U$3001,PERLINE!$N$2:$N$3001,$A650,PERLINE!$AK$2:$AK$3001,1))</f>
        <v/>
      </c>
      <c r="I650" s="19" t="str">
        <f aca="false">IF($A650="","",H650*G650)</f>
        <v/>
      </c>
      <c r="J650" s="19" t="str">
        <f aca="false">IF($A650="","",F650+I650)</f>
        <v/>
      </c>
      <c r="K650" s="19" t="str">
        <f aca="false">IF($A650="","",H650+E650)</f>
        <v/>
      </c>
      <c r="L650" s="20" t="str">
        <f aca="false">IF($A650="","",K650-J650-N650)</f>
        <v/>
      </c>
      <c r="M650" s="15" t="str">
        <f aca="false">IF($A650="","",INDEX(PERLINE!$A$2:$A$3001,MATCH($A650,PERLINE!$N$2:$N$3001,0)))</f>
        <v/>
      </c>
      <c r="N650" s="21" t="str">
        <f aca="false">IF($A650="","",SUMIFS(PERLINE!$M$2:$M$3001,PERLINE!$N$2:$N$3001,$A650))</f>
        <v/>
      </c>
    </row>
    <row r="651" customFormat="false" ht="15" hidden="false" customHeight="false" outlineLevel="0" collapsed="false">
      <c r="A651" s="15" t="str">
        <f aca="false">IF(ROWS($A$2:$A651)&lt;=Check!$C$4,SMALL(PERLINE!$AL$2:$AL$3001,ROWS($A$2:$A651)),"")</f>
        <v/>
      </c>
      <c r="B651" s="15" t="str">
        <f aca="false">IF($A651="","",INDEX(PERLINE!$J$2:$J$3001,MATCH($A651,PERLINE!$N$2:$N$3001,0)))</f>
        <v/>
      </c>
      <c r="C651" s="16" t="str">
        <f aca="false">IF($A651="","",INDEX(PERLINE!$I$2:$I$3001,MATCH($A651,PERLINE!$N$2:$N$3001,0)))</f>
        <v/>
      </c>
      <c r="D651" s="17" t="str">
        <f aca="false">IF($A651="","",'كشف المطالبة'!$D$6)</f>
        <v/>
      </c>
      <c r="E651" s="18" t="str">
        <f aca="false">IF($A651="","",SUMIFS(PERLINE!$U$2:$U$3001,PERLINE!$N$2:$N$3001,$A651,PERLINE!$AK$2:$AK$3001,0))</f>
        <v/>
      </c>
      <c r="F651" s="19" t="str">
        <f aca="false">IF($A651="","",E651*D651)</f>
        <v/>
      </c>
      <c r="G651" s="17" t="str">
        <f aca="false">IF($A651="","",'كشف المطالبة'!$D$5)</f>
        <v/>
      </c>
      <c r="H651" s="18" t="str">
        <f aca="false">IF($A651="","",SUMIFS(PERLINE!$U$2:$U$3001,PERLINE!$N$2:$N$3001,$A651,PERLINE!$AK$2:$AK$3001,1))</f>
        <v/>
      </c>
      <c r="I651" s="19" t="str">
        <f aca="false">IF($A651="","",H651*G651)</f>
        <v/>
      </c>
      <c r="J651" s="19" t="str">
        <f aca="false">IF($A651="","",F651+I651)</f>
        <v/>
      </c>
      <c r="K651" s="19" t="str">
        <f aca="false">IF($A651="","",H651+E651)</f>
        <v/>
      </c>
      <c r="L651" s="20" t="str">
        <f aca="false">IF($A651="","",K651-J651-N651)</f>
        <v/>
      </c>
      <c r="M651" s="15" t="str">
        <f aca="false">IF($A651="","",INDEX(PERLINE!$A$2:$A$3001,MATCH($A651,PERLINE!$N$2:$N$3001,0)))</f>
        <v/>
      </c>
      <c r="N651" s="21" t="str">
        <f aca="false">IF($A651="","",SUMIFS(PERLINE!$M$2:$M$3001,PERLINE!$N$2:$N$3001,$A651))</f>
        <v/>
      </c>
    </row>
    <row r="652" customFormat="false" ht="15" hidden="false" customHeight="false" outlineLevel="0" collapsed="false">
      <c r="A652" s="15" t="str">
        <f aca="false">IF(ROWS($A$2:$A652)&lt;=Check!$C$4,SMALL(PERLINE!$AL$2:$AL$3001,ROWS($A$2:$A652)),"")</f>
        <v/>
      </c>
      <c r="B652" s="15" t="str">
        <f aca="false">IF($A652="","",INDEX(PERLINE!$J$2:$J$3001,MATCH($A652,PERLINE!$N$2:$N$3001,0)))</f>
        <v/>
      </c>
      <c r="C652" s="16" t="str">
        <f aca="false">IF($A652="","",INDEX(PERLINE!$I$2:$I$3001,MATCH($A652,PERLINE!$N$2:$N$3001,0)))</f>
        <v/>
      </c>
      <c r="D652" s="17" t="str">
        <f aca="false">IF($A652="","",'كشف المطالبة'!$D$6)</f>
        <v/>
      </c>
      <c r="E652" s="18" t="str">
        <f aca="false">IF($A652="","",SUMIFS(PERLINE!$U$2:$U$3001,PERLINE!$N$2:$N$3001,$A652,PERLINE!$AK$2:$AK$3001,0))</f>
        <v/>
      </c>
      <c r="F652" s="19" t="str">
        <f aca="false">IF($A652="","",E652*D652)</f>
        <v/>
      </c>
      <c r="G652" s="17" t="str">
        <f aca="false">IF($A652="","",'كشف المطالبة'!$D$5)</f>
        <v/>
      </c>
      <c r="H652" s="18" t="str">
        <f aca="false">IF($A652="","",SUMIFS(PERLINE!$U$2:$U$3001,PERLINE!$N$2:$N$3001,$A652,PERLINE!$AK$2:$AK$3001,1))</f>
        <v/>
      </c>
      <c r="I652" s="19" t="str">
        <f aca="false">IF($A652="","",H652*G652)</f>
        <v/>
      </c>
      <c r="J652" s="19" t="str">
        <f aca="false">IF($A652="","",F652+I652)</f>
        <v/>
      </c>
      <c r="K652" s="19" t="str">
        <f aca="false">IF($A652="","",H652+E652)</f>
        <v/>
      </c>
      <c r="L652" s="20" t="str">
        <f aca="false">IF($A652="","",K652-J652-N652)</f>
        <v/>
      </c>
      <c r="M652" s="15" t="str">
        <f aca="false">IF($A652="","",INDEX(PERLINE!$A$2:$A$3001,MATCH($A652,PERLINE!$N$2:$N$3001,0)))</f>
        <v/>
      </c>
      <c r="N652" s="21" t="str">
        <f aca="false">IF($A652="","",SUMIFS(PERLINE!$M$2:$M$3001,PERLINE!$N$2:$N$3001,$A652))</f>
        <v/>
      </c>
    </row>
    <row r="653" customFormat="false" ht="15" hidden="false" customHeight="false" outlineLevel="0" collapsed="false">
      <c r="A653" s="15" t="str">
        <f aca="false">IF(ROWS($A$2:$A653)&lt;=Check!$C$4,SMALL(PERLINE!$AL$2:$AL$3001,ROWS($A$2:$A653)),"")</f>
        <v/>
      </c>
      <c r="B653" s="15" t="str">
        <f aca="false">IF($A653="","",INDEX(PERLINE!$J$2:$J$3001,MATCH($A653,PERLINE!$N$2:$N$3001,0)))</f>
        <v/>
      </c>
      <c r="C653" s="16" t="str">
        <f aca="false">IF($A653="","",INDEX(PERLINE!$I$2:$I$3001,MATCH($A653,PERLINE!$N$2:$N$3001,0)))</f>
        <v/>
      </c>
      <c r="D653" s="17" t="str">
        <f aca="false">IF($A653="","",'كشف المطالبة'!$D$6)</f>
        <v/>
      </c>
      <c r="E653" s="18" t="str">
        <f aca="false">IF($A653="","",SUMIFS(PERLINE!$U$2:$U$3001,PERLINE!$N$2:$N$3001,$A653,PERLINE!$AK$2:$AK$3001,0))</f>
        <v/>
      </c>
      <c r="F653" s="19" t="str">
        <f aca="false">IF($A653="","",E653*D653)</f>
        <v/>
      </c>
      <c r="G653" s="17" t="str">
        <f aca="false">IF($A653="","",'كشف المطالبة'!$D$5)</f>
        <v/>
      </c>
      <c r="H653" s="18" t="str">
        <f aca="false">IF($A653="","",SUMIFS(PERLINE!$U$2:$U$3001,PERLINE!$N$2:$N$3001,$A653,PERLINE!$AK$2:$AK$3001,1))</f>
        <v/>
      </c>
      <c r="I653" s="19" t="str">
        <f aca="false">IF($A653="","",H653*G653)</f>
        <v/>
      </c>
      <c r="J653" s="19" t="str">
        <f aca="false">IF($A653="","",F653+I653)</f>
        <v/>
      </c>
      <c r="K653" s="19" t="str">
        <f aca="false">IF($A653="","",H653+E653)</f>
        <v/>
      </c>
      <c r="L653" s="20" t="str">
        <f aca="false">IF($A653="","",K653-J653-N653)</f>
        <v/>
      </c>
      <c r="M653" s="15" t="str">
        <f aca="false">IF($A653="","",INDEX(PERLINE!$A$2:$A$3001,MATCH($A653,PERLINE!$N$2:$N$3001,0)))</f>
        <v/>
      </c>
      <c r="N653" s="21" t="str">
        <f aca="false">IF($A653="","",SUMIFS(PERLINE!$M$2:$M$3001,PERLINE!$N$2:$N$3001,$A653))</f>
        <v/>
      </c>
    </row>
    <row r="654" customFormat="false" ht="15" hidden="false" customHeight="false" outlineLevel="0" collapsed="false">
      <c r="A654" s="15" t="str">
        <f aca="false">IF(ROWS($A$2:$A654)&lt;=Check!$C$4,SMALL(PERLINE!$AL$2:$AL$3001,ROWS($A$2:$A654)),"")</f>
        <v/>
      </c>
      <c r="B654" s="15" t="str">
        <f aca="false">IF($A654="","",INDEX(PERLINE!$J$2:$J$3001,MATCH($A654,PERLINE!$N$2:$N$3001,0)))</f>
        <v/>
      </c>
      <c r="C654" s="16" t="str">
        <f aca="false">IF($A654="","",INDEX(PERLINE!$I$2:$I$3001,MATCH($A654,PERLINE!$N$2:$N$3001,0)))</f>
        <v/>
      </c>
      <c r="D654" s="17" t="str">
        <f aca="false">IF($A654="","",'كشف المطالبة'!$D$6)</f>
        <v/>
      </c>
      <c r="E654" s="18" t="str">
        <f aca="false">IF($A654="","",SUMIFS(PERLINE!$U$2:$U$3001,PERLINE!$N$2:$N$3001,$A654,PERLINE!$AK$2:$AK$3001,0))</f>
        <v/>
      </c>
      <c r="F654" s="19" t="str">
        <f aca="false">IF($A654="","",E654*D654)</f>
        <v/>
      </c>
      <c r="G654" s="17" t="str">
        <f aca="false">IF($A654="","",'كشف المطالبة'!$D$5)</f>
        <v/>
      </c>
      <c r="H654" s="18" t="str">
        <f aca="false">IF($A654="","",SUMIFS(PERLINE!$U$2:$U$3001,PERLINE!$N$2:$N$3001,$A654,PERLINE!$AK$2:$AK$3001,1))</f>
        <v/>
      </c>
      <c r="I654" s="19" t="str">
        <f aca="false">IF($A654="","",H654*G654)</f>
        <v/>
      </c>
      <c r="J654" s="19" t="str">
        <f aca="false">IF($A654="","",F654+I654)</f>
        <v/>
      </c>
      <c r="K654" s="19" t="str">
        <f aca="false">IF($A654="","",H654+E654)</f>
        <v/>
      </c>
      <c r="L654" s="20" t="str">
        <f aca="false">IF($A654="","",K654-J654-N654)</f>
        <v/>
      </c>
      <c r="M654" s="15" t="str">
        <f aca="false">IF($A654="","",INDEX(PERLINE!$A$2:$A$3001,MATCH($A654,PERLINE!$N$2:$N$3001,0)))</f>
        <v/>
      </c>
      <c r="N654" s="21" t="str">
        <f aca="false">IF($A654="","",SUMIFS(PERLINE!$M$2:$M$3001,PERLINE!$N$2:$N$3001,$A654))</f>
        <v/>
      </c>
    </row>
    <row r="655" customFormat="false" ht="15" hidden="false" customHeight="false" outlineLevel="0" collapsed="false">
      <c r="A655" s="15" t="str">
        <f aca="false">IF(ROWS($A$2:$A655)&lt;=Check!$C$4,SMALL(PERLINE!$AL$2:$AL$3001,ROWS($A$2:$A655)),"")</f>
        <v/>
      </c>
      <c r="B655" s="15" t="str">
        <f aca="false">IF($A655="","",INDEX(PERLINE!$J$2:$J$3001,MATCH($A655,PERLINE!$N$2:$N$3001,0)))</f>
        <v/>
      </c>
      <c r="C655" s="16" t="str">
        <f aca="false">IF($A655="","",INDEX(PERLINE!$I$2:$I$3001,MATCH($A655,PERLINE!$N$2:$N$3001,0)))</f>
        <v/>
      </c>
      <c r="D655" s="17" t="str">
        <f aca="false">IF($A655="","",'كشف المطالبة'!$D$6)</f>
        <v/>
      </c>
      <c r="E655" s="18" t="str">
        <f aca="false">IF($A655="","",SUMIFS(PERLINE!$U$2:$U$3001,PERLINE!$N$2:$N$3001,$A655,PERLINE!$AK$2:$AK$3001,0))</f>
        <v/>
      </c>
      <c r="F655" s="19" t="str">
        <f aca="false">IF($A655="","",E655*D655)</f>
        <v/>
      </c>
      <c r="G655" s="17" t="str">
        <f aca="false">IF($A655="","",'كشف المطالبة'!$D$5)</f>
        <v/>
      </c>
      <c r="H655" s="18" t="str">
        <f aca="false">IF($A655="","",SUMIFS(PERLINE!$U$2:$U$3001,PERLINE!$N$2:$N$3001,$A655,PERLINE!$AK$2:$AK$3001,1))</f>
        <v/>
      </c>
      <c r="I655" s="19" t="str">
        <f aca="false">IF($A655="","",H655*G655)</f>
        <v/>
      </c>
      <c r="J655" s="19" t="str">
        <f aca="false">IF($A655="","",F655+I655)</f>
        <v/>
      </c>
      <c r="K655" s="19" t="str">
        <f aca="false">IF($A655="","",H655+E655)</f>
        <v/>
      </c>
      <c r="L655" s="20" t="str">
        <f aca="false">IF($A655="","",K655-J655-N655)</f>
        <v/>
      </c>
      <c r="M655" s="15" t="str">
        <f aca="false">IF($A655="","",INDEX(PERLINE!$A$2:$A$3001,MATCH($A655,PERLINE!$N$2:$N$3001,0)))</f>
        <v/>
      </c>
      <c r="N655" s="21" t="str">
        <f aca="false">IF($A655="","",SUMIFS(PERLINE!$M$2:$M$3001,PERLINE!$N$2:$N$3001,$A655))</f>
        <v/>
      </c>
    </row>
    <row r="656" customFormat="false" ht="15" hidden="false" customHeight="false" outlineLevel="0" collapsed="false">
      <c r="A656" s="15" t="str">
        <f aca="false">IF(ROWS($A$2:$A656)&lt;=Check!$C$4,SMALL(PERLINE!$AL$2:$AL$3001,ROWS($A$2:$A656)),"")</f>
        <v/>
      </c>
      <c r="B656" s="15" t="str">
        <f aca="false">IF($A656="","",INDEX(PERLINE!$J$2:$J$3001,MATCH($A656,PERLINE!$N$2:$N$3001,0)))</f>
        <v/>
      </c>
      <c r="C656" s="16" t="str">
        <f aca="false">IF($A656="","",INDEX(PERLINE!$I$2:$I$3001,MATCH($A656,PERLINE!$N$2:$N$3001,0)))</f>
        <v/>
      </c>
      <c r="D656" s="17" t="str">
        <f aca="false">IF($A656="","",'كشف المطالبة'!$D$6)</f>
        <v/>
      </c>
      <c r="E656" s="18" t="str">
        <f aca="false">IF($A656="","",SUMIFS(PERLINE!$U$2:$U$3001,PERLINE!$N$2:$N$3001,$A656,PERLINE!$AK$2:$AK$3001,0))</f>
        <v/>
      </c>
      <c r="F656" s="19" t="str">
        <f aca="false">IF($A656="","",E656*D656)</f>
        <v/>
      </c>
      <c r="G656" s="17" t="str">
        <f aca="false">IF($A656="","",'كشف المطالبة'!$D$5)</f>
        <v/>
      </c>
      <c r="H656" s="18" t="str">
        <f aca="false">IF($A656="","",SUMIFS(PERLINE!$U$2:$U$3001,PERLINE!$N$2:$N$3001,$A656,PERLINE!$AK$2:$AK$3001,1))</f>
        <v/>
      </c>
      <c r="I656" s="19" t="str">
        <f aca="false">IF($A656="","",H656*G656)</f>
        <v/>
      </c>
      <c r="J656" s="19" t="str">
        <f aca="false">IF($A656="","",F656+I656)</f>
        <v/>
      </c>
      <c r="K656" s="19" t="str">
        <f aca="false">IF($A656="","",H656+E656)</f>
        <v/>
      </c>
      <c r="L656" s="20" t="str">
        <f aca="false">IF($A656="","",K656-J656-N656)</f>
        <v/>
      </c>
      <c r="M656" s="15" t="str">
        <f aca="false">IF($A656="","",INDEX(PERLINE!$A$2:$A$3001,MATCH($A656,PERLINE!$N$2:$N$3001,0)))</f>
        <v/>
      </c>
      <c r="N656" s="21" t="str">
        <f aca="false">IF($A656="","",SUMIFS(PERLINE!$M$2:$M$3001,PERLINE!$N$2:$N$3001,$A656))</f>
        <v/>
      </c>
    </row>
    <row r="657" customFormat="false" ht="15" hidden="false" customHeight="false" outlineLevel="0" collapsed="false">
      <c r="A657" s="15" t="str">
        <f aca="false">IF(ROWS($A$2:$A657)&lt;=Check!$C$4,SMALL(PERLINE!$AL$2:$AL$3001,ROWS($A$2:$A657)),"")</f>
        <v/>
      </c>
      <c r="B657" s="15" t="str">
        <f aca="false">IF($A657="","",INDEX(PERLINE!$J$2:$J$3001,MATCH($A657,PERLINE!$N$2:$N$3001,0)))</f>
        <v/>
      </c>
      <c r="C657" s="16" t="str">
        <f aca="false">IF($A657="","",INDEX(PERLINE!$I$2:$I$3001,MATCH($A657,PERLINE!$N$2:$N$3001,0)))</f>
        <v/>
      </c>
      <c r="D657" s="17" t="str">
        <f aca="false">IF($A657="","",'كشف المطالبة'!$D$6)</f>
        <v/>
      </c>
      <c r="E657" s="18" t="str">
        <f aca="false">IF($A657="","",SUMIFS(PERLINE!$U$2:$U$3001,PERLINE!$N$2:$N$3001,$A657,PERLINE!$AK$2:$AK$3001,0))</f>
        <v/>
      </c>
      <c r="F657" s="19" t="str">
        <f aca="false">IF($A657="","",E657*D657)</f>
        <v/>
      </c>
      <c r="G657" s="17" t="str">
        <f aca="false">IF($A657="","",'كشف المطالبة'!$D$5)</f>
        <v/>
      </c>
      <c r="H657" s="18" t="str">
        <f aca="false">IF($A657="","",SUMIFS(PERLINE!$U$2:$U$3001,PERLINE!$N$2:$N$3001,$A657,PERLINE!$AK$2:$AK$3001,1))</f>
        <v/>
      </c>
      <c r="I657" s="19" t="str">
        <f aca="false">IF($A657="","",H657*G657)</f>
        <v/>
      </c>
      <c r="J657" s="19" t="str">
        <f aca="false">IF($A657="","",F657+I657)</f>
        <v/>
      </c>
      <c r="K657" s="19" t="str">
        <f aca="false">IF($A657="","",H657+E657)</f>
        <v/>
      </c>
      <c r="L657" s="20" t="str">
        <f aca="false">IF($A657="","",K657-J657-N657)</f>
        <v/>
      </c>
      <c r="M657" s="15" t="str">
        <f aca="false">IF($A657="","",INDEX(PERLINE!$A$2:$A$3001,MATCH($A657,PERLINE!$N$2:$N$3001,0)))</f>
        <v/>
      </c>
      <c r="N657" s="21" t="str">
        <f aca="false">IF($A657="","",SUMIFS(PERLINE!$M$2:$M$3001,PERLINE!$N$2:$N$3001,$A657))</f>
        <v/>
      </c>
    </row>
    <row r="658" customFormat="false" ht="15" hidden="false" customHeight="false" outlineLevel="0" collapsed="false">
      <c r="A658" s="15" t="str">
        <f aca="false">IF(ROWS($A$2:$A658)&lt;=Check!$C$4,SMALL(PERLINE!$AL$2:$AL$3001,ROWS($A$2:$A658)),"")</f>
        <v/>
      </c>
      <c r="B658" s="15" t="str">
        <f aca="false">IF($A658="","",INDEX(PERLINE!$J$2:$J$3001,MATCH($A658,PERLINE!$N$2:$N$3001,0)))</f>
        <v/>
      </c>
      <c r="C658" s="16" t="str">
        <f aca="false">IF($A658="","",INDEX(PERLINE!$I$2:$I$3001,MATCH($A658,PERLINE!$N$2:$N$3001,0)))</f>
        <v/>
      </c>
      <c r="D658" s="17" t="str">
        <f aca="false">IF($A658="","",'كشف المطالبة'!$D$6)</f>
        <v/>
      </c>
      <c r="E658" s="18" t="str">
        <f aca="false">IF($A658="","",SUMIFS(PERLINE!$U$2:$U$3001,PERLINE!$N$2:$N$3001,$A658,PERLINE!$AK$2:$AK$3001,0))</f>
        <v/>
      </c>
      <c r="F658" s="19" t="str">
        <f aca="false">IF($A658="","",E658*D658)</f>
        <v/>
      </c>
      <c r="G658" s="17" t="str">
        <f aca="false">IF($A658="","",'كشف المطالبة'!$D$5)</f>
        <v/>
      </c>
      <c r="H658" s="18" t="str">
        <f aca="false">IF($A658="","",SUMIFS(PERLINE!$U$2:$U$3001,PERLINE!$N$2:$N$3001,$A658,PERLINE!$AK$2:$AK$3001,1))</f>
        <v/>
      </c>
      <c r="I658" s="19" t="str">
        <f aca="false">IF($A658="","",H658*G658)</f>
        <v/>
      </c>
      <c r="J658" s="19" t="str">
        <f aca="false">IF($A658="","",F658+I658)</f>
        <v/>
      </c>
      <c r="K658" s="19" t="str">
        <f aca="false">IF($A658="","",H658+E658)</f>
        <v/>
      </c>
      <c r="L658" s="20" t="str">
        <f aca="false">IF($A658="","",K658-J658-N658)</f>
        <v/>
      </c>
      <c r="M658" s="15" t="str">
        <f aca="false">IF($A658="","",INDEX(PERLINE!$A$2:$A$3001,MATCH($A658,PERLINE!$N$2:$N$3001,0)))</f>
        <v/>
      </c>
      <c r="N658" s="21" t="str">
        <f aca="false">IF($A658="","",SUMIFS(PERLINE!$M$2:$M$3001,PERLINE!$N$2:$N$3001,$A658))</f>
        <v/>
      </c>
    </row>
    <row r="659" customFormat="false" ht="15" hidden="false" customHeight="false" outlineLevel="0" collapsed="false">
      <c r="A659" s="15" t="str">
        <f aca="false">IF(ROWS($A$2:$A659)&lt;=Check!$C$4,SMALL(PERLINE!$AL$2:$AL$3001,ROWS($A$2:$A659)),"")</f>
        <v/>
      </c>
      <c r="B659" s="15" t="str">
        <f aca="false">IF($A659="","",INDEX(PERLINE!$J$2:$J$3001,MATCH($A659,PERLINE!$N$2:$N$3001,0)))</f>
        <v/>
      </c>
      <c r="C659" s="16" t="str">
        <f aca="false">IF($A659="","",INDEX(PERLINE!$I$2:$I$3001,MATCH($A659,PERLINE!$N$2:$N$3001,0)))</f>
        <v/>
      </c>
      <c r="D659" s="17" t="str">
        <f aca="false">IF($A659="","",'كشف المطالبة'!$D$6)</f>
        <v/>
      </c>
      <c r="E659" s="18" t="str">
        <f aca="false">IF($A659="","",SUMIFS(PERLINE!$U$2:$U$3001,PERLINE!$N$2:$N$3001,$A659,PERLINE!$AK$2:$AK$3001,0))</f>
        <v/>
      </c>
      <c r="F659" s="19" t="str">
        <f aca="false">IF($A659="","",E659*D659)</f>
        <v/>
      </c>
      <c r="G659" s="17" t="str">
        <f aca="false">IF($A659="","",'كشف المطالبة'!$D$5)</f>
        <v/>
      </c>
      <c r="H659" s="18" t="str">
        <f aca="false">IF($A659="","",SUMIFS(PERLINE!$U$2:$U$3001,PERLINE!$N$2:$N$3001,$A659,PERLINE!$AK$2:$AK$3001,1))</f>
        <v/>
      </c>
      <c r="I659" s="19" t="str">
        <f aca="false">IF($A659="","",H659*G659)</f>
        <v/>
      </c>
      <c r="J659" s="19" t="str">
        <f aca="false">IF($A659="","",F659+I659)</f>
        <v/>
      </c>
      <c r="K659" s="19" t="str">
        <f aca="false">IF($A659="","",H659+E659)</f>
        <v/>
      </c>
      <c r="L659" s="20" t="str">
        <f aca="false">IF($A659="","",K659-J659-N659)</f>
        <v/>
      </c>
      <c r="M659" s="15" t="str">
        <f aca="false">IF($A659="","",INDEX(PERLINE!$A$2:$A$3001,MATCH($A659,PERLINE!$N$2:$N$3001,0)))</f>
        <v/>
      </c>
      <c r="N659" s="21" t="str">
        <f aca="false">IF($A659="","",SUMIFS(PERLINE!$M$2:$M$3001,PERLINE!$N$2:$N$3001,$A659))</f>
        <v/>
      </c>
    </row>
    <row r="660" customFormat="false" ht="15" hidden="false" customHeight="false" outlineLevel="0" collapsed="false">
      <c r="A660" s="15" t="str">
        <f aca="false">IF(ROWS($A$2:$A660)&lt;=Check!$C$4,SMALL(PERLINE!$AL$2:$AL$3001,ROWS($A$2:$A660)),"")</f>
        <v/>
      </c>
      <c r="B660" s="15" t="str">
        <f aca="false">IF($A660="","",INDEX(PERLINE!$J$2:$J$3001,MATCH($A660,PERLINE!$N$2:$N$3001,0)))</f>
        <v/>
      </c>
      <c r="C660" s="16" t="str">
        <f aca="false">IF($A660="","",INDEX(PERLINE!$I$2:$I$3001,MATCH($A660,PERLINE!$N$2:$N$3001,0)))</f>
        <v/>
      </c>
      <c r="D660" s="17" t="str">
        <f aca="false">IF($A660="","",'كشف المطالبة'!$D$6)</f>
        <v/>
      </c>
      <c r="E660" s="18" t="str">
        <f aca="false">IF($A660="","",SUMIFS(PERLINE!$U$2:$U$3001,PERLINE!$N$2:$N$3001,$A660,PERLINE!$AK$2:$AK$3001,0))</f>
        <v/>
      </c>
      <c r="F660" s="19" t="str">
        <f aca="false">IF($A660="","",E660*D660)</f>
        <v/>
      </c>
      <c r="G660" s="17" t="str">
        <f aca="false">IF($A660="","",'كشف المطالبة'!$D$5)</f>
        <v/>
      </c>
      <c r="H660" s="18" t="str">
        <f aca="false">IF($A660="","",SUMIFS(PERLINE!$U$2:$U$3001,PERLINE!$N$2:$N$3001,$A660,PERLINE!$AK$2:$AK$3001,1))</f>
        <v/>
      </c>
      <c r="I660" s="19" t="str">
        <f aca="false">IF($A660="","",H660*G660)</f>
        <v/>
      </c>
      <c r="J660" s="19" t="str">
        <f aca="false">IF($A660="","",F660+I660)</f>
        <v/>
      </c>
      <c r="K660" s="19" t="str">
        <f aca="false">IF($A660="","",H660+E660)</f>
        <v/>
      </c>
      <c r="L660" s="20" t="str">
        <f aca="false">IF($A660="","",K660-J660-N660)</f>
        <v/>
      </c>
      <c r="M660" s="15" t="str">
        <f aca="false">IF($A660="","",INDEX(PERLINE!$A$2:$A$3001,MATCH($A660,PERLINE!$N$2:$N$3001,0)))</f>
        <v/>
      </c>
      <c r="N660" s="21" t="str">
        <f aca="false">IF($A660="","",SUMIFS(PERLINE!$M$2:$M$3001,PERLINE!$N$2:$N$3001,$A660))</f>
        <v/>
      </c>
    </row>
    <row r="661" customFormat="false" ht="15" hidden="false" customHeight="false" outlineLevel="0" collapsed="false">
      <c r="A661" s="15" t="str">
        <f aca="false">IF(ROWS($A$2:$A661)&lt;=Check!$C$4,SMALL(PERLINE!$AL$2:$AL$3001,ROWS($A$2:$A661)),"")</f>
        <v/>
      </c>
      <c r="B661" s="15" t="str">
        <f aca="false">IF($A661="","",INDEX(PERLINE!$J$2:$J$3001,MATCH($A661,PERLINE!$N$2:$N$3001,0)))</f>
        <v/>
      </c>
      <c r="C661" s="16" t="str">
        <f aca="false">IF($A661="","",INDEX(PERLINE!$I$2:$I$3001,MATCH($A661,PERLINE!$N$2:$N$3001,0)))</f>
        <v/>
      </c>
      <c r="D661" s="17" t="str">
        <f aca="false">IF($A661="","",'كشف المطالبة'!$D$6)</f>
        <v/>
      </c>
      <c r="E661" s="18" t="str">
        <f aca="false">IF($A661="","",SUMIFS(PERLINE!$U$2:$U$3001,PERLINE!$N$2:$N$3001,$A661,PERLINE!$AK$2:$AK$3001,0))</f>
        <v/>
      </c>
      <c r="F661" s="19" t="str">
        <f aca="false">IF($A661="","",E661*D661)</f>
        <v/>
      </c>
      <c r="G661" s="17" t="str">
        <f aca="false">IF($A661="","",'كشف المطالبة'!$D$5)</f>
        <v/>
      </c>
      <c r="H661" s="18" t="str">
        <f aca="false">IF($A661="","",SUMIFS(PERLINE!$U$2:$U$3001,PERLINE!$N$2:$N$3001,$A661,PERLINE!$AK$2:$AK$3001,1))</f>
        <v/>
      </c>
      <c r="I661" s="19" t="str">
        <f aca="false">IF($A661="","",H661*G661)</f>
        <v/>
      </c>
      <c r="J661" s="19" t="str">
        <f aca="false">IF($A661="","",F661+I661)</f>
        <v/>
      </c>
      <c r="K661" s="19" t="str">
        <f aca="false">IF($A661="","",H661+E661)</f>
        <v/>
      </c>
      <c r="L661" s="20" t="str">
        <f aca="false">IF($A661="","",K661-J661-N661)</f>
        <v/>
      </c>
      <c r="M661" s="15" t="str">
        <f aca="false">IF($A661="","",INDEX(PERLINE!$A$2:$A$3001,MATCH($A661,PERLINE!$N$2:$N$3001,0)))</f>
        <v/>
      </c>
      <c r="N661" s="21" t="str">
        <f aca="false">IF($A661="","",SUMIFS(PERLINE!$M$2:$M$3001,PERLINE!$N$2:$N$3001,$A661))</f>
        <v/>
      </c>
    </row>
    <row r="662" customFormat="false" ht="15" hidden="false" customHeight="false" outlineLevel="0" collapsed="false">
      <c r="A662" s="15" t="str">
        <f aca="false">IF(ROWS($A$2:$A662)&lt;=Check!$C$4,SMALL(PERLINE!$AL$2:$AL$3001,ROWS($A$2:$A662)),"")</f>
        <v/>
      </c>
      <c r="B662" s="15" t="str">
        <f aca="false">IF($A662="","",INDEX(PERLINE!$J$2:$J$3001,MATCH($A662,PERLINE!$N$2:$N$3001,0)))</f>
        <v/>
      </c>
      <c r="C662" s="16" t="str">
        <f aca="false">IF($A662="","",INDEX(PERLINE!$I$2:$I$3001,MATCH($A662,PERLINE!$N$2:$N$3001,0)))</f>
        <v/>
      </c>
      <c r="D662" s="17" t="str">
        <f aca="false">IF($A662="","",'كشف المطالبة'!$D$6)</f>
        <v/>
      </c>
      <c r="E662" s="18" t="str">
        <f aca="false">IF($A662="","",SUMIFS(PERLINE!$U$2:$U$3001,PERLINE!$N$2:$N$3001,$A662,PERLINE!$AK$2:$AK$3001,0))</f>
        <v/>
      </c>
      <c r="F662" s="19" t="str">
        <f aca="false">IF($A662="","",E662*D662)</f>
        <v/>
      </c>
      <c r="G662" s="17" t="str">
        <f aca="false">IF($A662="","",'كشف المطالبة'!$D$5)</f>
        <v/>
      </c>
      <c r="H662" s="18" t="str">
        <f aca="false">IF($A662="","",SUMIFS(PERLINE!$U$2:$U$3001,PERLINE!$N$2:$N$3001,$A662,PERLINE!$AK$2:$AK$3001,1))</f>
        <v/>
      </c>
      <c r="I662" s="19" t="str">
        <f aca="false">IF($A662="","",H662*G662)</f>
        <v/>
      </c>
      <c r="J662" s="19" t="str">
        <f aca="false">IF($A662="","",F662+I662)</f>
        <v/>
      </c>
      <c r="K662" s="19" t="str">
        <f aca="false">IF($A662="","",H662+E662)</f>
        <v/>
      </c>
      <c r="L662" s="20" t="str">
        <f aca="false">IF($A662="","",K662-J662-N662)</f>
        <v/>
      </c>
      <c r="M662" s="15" t="str">
        <f aca="false">IF($A662="","",INDEX(PERLINE!$A$2:$A$3001,MATCH($A662,PERLINE!$N$2:$N$3001,0)))</f>
        <v/>
      </c>
      <c r="N662" s="21" t="str">
        <f aca="false">IF($A662="","",SUMIFS(PERLINE!$M$2:$M$3001,PERLINE!$N$2:$N$3001,$A662))</f>
        <v/>
      </c>
    </row>
    <row r="663" customFormat="false" ht="15" hidden="false" customHeight="false" outlineLevel="0" collapsed="false">
      <c r="A663" s="15" t="str">
        <f aca="false">IF(ROWS($A$2:$A663)&lt;=Check!$C$4,SMALL(PERLINE!$AL$2:$AL$3001,ROWS($A$2:$A663)),"")</f>
        <v/>
      </c>
      <c r="B663" s="15" t="str">
        <f aca="false">IF($A663="","",INDEX(PERLINE!$J$2:$J$3001,MATCH($A663,PERLINE!$N$2:$N$3001,0)))</f>
        <v/>
      </c>
      <c r="C663" s="16" t="str">
        <f aca="false">IF($A663="","",INDEX(PERLINE!$I$2:$I$3001,MATCH($A663,PERLINE!$N$2:$N$3001,0)))</f>
        <v/>
      </c>
      <c r="D663" s="17" t="str">
        <f aca="false">IF($A663="","",'كشف المطالبة'!$D$6)</f>
        <v/>
      </c>
      <c r="E663" s="18" t="str">
        <f aca="false">IF($A663="","",SUMIFS(PERLINE!$U$2:$U$3001,PERLINE!$N$2:$N$3001,$A663,PERLINE!$AK$2:$AK$3001,0))</f>
        <v/>
      </c>
      <c r="F663" s="19" t="str">
        <f aca="false">IF($A663="","",E663*D663)</f>
        <v/>
      </c>
      <c r="G663" s="17" t="str">
        <f aca="false">IF($A663="","",'كشف المطالبة'!$D$5)</f>
        <v/>
      </c>
      <c r="H663" s="18" t="str">
        <f aca="false">IF($A663="","",SUMIFS(PERLINE!$U$2:$U$3001,PERLINE!$N$2:$N$3001,$A663,PERLINE!$AK$2:$AK$3001,1))</f>
        <v/>
      </c>
      <c r="I663" s="19" t="str">
        <f aca="false">IF($A663="","",H663*G663)</f>
        <v/>
      </c>
      <c r="J663" s="19" t="str">
        <f aca="false">IF($A663="","",F663+I663)</f>
        <v/>
      </c>
      <c r="K663" s="19" t="str">
        <f aca="false">IF($A663="","",H663+E663)</f>
        <v/>
      </c>
      <c r="L663" s="20" t="str">
        <f aca="false">IF($A663="","",K663-J663-N663)</f>
        <v/>
      </c>
      <c r="M663" s="15" t="str">
        <f aca="false">IF($A663="","",INDEX(PERLINE!$A$2:$A$3001,MATCH($A663,PERLINE!$N$2:$N$3001,0)))</f>
        <v/>
      </c>
      <c r="N663" s="21" t="str">
        <f aca="false">IF($A663="","",SUMIFS(PERLINE!$M$2:$M$3001,PERLINE!$N$2:$N$3001,$A663))</f>
        <v/>
      </c>
    </row>
    <row r="664" customFormat="false" ht="15" hidden="false" customHeight="false" outlineLevel="0" collapsed="false">
      <c r="A664" s="15" t="str">
        <f aca="false">IF(ROWS($A$2:$A664)&lt;=Check!$C$4,SMALL(PERLINE!$AL$2:$AL$3001,ROWS($A$2:$A664)),"")</f>
        <v/>
      </c>
      <c r="B664" s="15" t="str">
        <f aca="false">IF($A664="","",INDEX(PERLINE!$J$2:$J$3001,MATCH($A664,PERLINE!$N$2:$N$3001,0)))</f>
        <v/>
      </c>
      <c r="C664" s="16" t="str">
        <f aca="false">IF($A664="","",INDEX(PERLINE!$I$2:$I$3001,MATCH($A664,PERLINE!$N$2:$N$3001,0)))</f>
        <v/>
      </c>
      <c r="D664" s="17" t="str">
        <f aca="false">IF($A664="","",'كشف المطالبة'!$D$6)</f>
        <v/>
      </c>
      <c r="E664" s="18" t="str">
        <f aca="false">IF($A664="","",SUMIFS(PERLINE!$U$2:$U$3001,PERLINE!$N$2:$N$3001,$A664,PERLINE!$AK$2:$AK$3001,0))</f>
        <v/>
      </c>
      <c r="F664" s="19" t="str">
        <f aca="false">IF($A664="","",E664*D664)</f>
        <v/>
      </c>
      <c r="G664" s="17" t="str">
        <f aca="false">IF($A664="","",'كشف المطالبة'!$D$5)</f>
        <v/>
      </c>
      <c r="H664" s="18" t="str">
        <f aca="false">IF($A664="","",SUMIFS(PERLINE!$U$2:$U$3001,PERLINE!$N$2:$N$3001,$A664,PERLINE!$AK$2:$AK$3001,1))</f>
        <v/>
      </c>
      <c r="I664" s="19" t="str">
        <f aca="false">IF($A664="","",H664*G664)</f>
        <v/>
      </c>
      <c r="J664" s="19" t="str">
        <f aca="false">IF($A664="","",F664+I664)</f>
        <v/>
      </c>
      <c r="K664" s="19" t="str">
        <f aca="false">IF($A664="","",H664+E664)</f>
        <v/>
      </c>
      <c r="L664" s="20" t="str">
        <f aca="false">IF($A664="","",K664-J664-N664)</f>
        <v/>
      </c>
      <c r="M664" s="15" t="str">
        <f aca="false">IF($A664="","",INDEX(PERLINE!$A$2:$A$3001,MATCH($A664,PERLINE!$N$2:$N$3001,0)))</f>
        <v/>
      </c>
      <c r="N664" s="21" t="str">
        <f aca="false">IF($A664="","",SUMIFS(PERLINE!$M$2:$M$3001,PERLINE!$N$2:$N$3001,$A664))</f>
        <v/>
      </c>
    </row>
    <row r="665" customFormat="false" ht="15" hidden="false" customHeight="false" outlineLevel="0" collapsed="false">
      <c r="A665" s="15" t="str">
        <f aca="false">IF(ROWS($A$2:$A665)&lt;=Check!$C$4,SMALL(PERLINE!$AL$2:$AL$3001,ROWS($A$2:$A665)),"")</f>
        <v/>
      </c>
      <c r="B665" s="15" t="str">
        <f aca="false">IF($A665="","",INDEX(PERLINE!$J$2:$J$3001,MATCH($A665,PERLINE!$N$2:$N$3001,0)))</f>
        <v/>
      </c>
      <c r="C665" s="16" t="str">
        <f aca="false">IF($A665="","",INDEX(PERLINE!$I$2:$I$3001,MATCH($A665,PERLINE!$N$2:$N$3001,0)))</f>
        <v/>
      </c>
      <c r="D665" s="17" t="str">
        <f aca="false">IF($A665="","",'كشف المطالبة'!$D$6)</f>
        <v/>
      </c>
      <c r="E665" s="18" t="str">
        <f aca="false">IF($A665="","",SUMIFS(PERLINE!$U$2:$U$3001,PERLINE!$N$2:$N$3001,$A665,PERLINE!$AK$2:$AK$3001,0))</f>
        <v/>
      </c>
      <c r="F665" s="19" t="str">
        <f aca="false">IF($A665="","",E665*D665)</f>
        <v/>
      </c>
      <c r="G665" s="17" t="str">
        <f aca="false">IF($A665="","",'كشف المطالبة'!$D$5)</f>
        <v/>
      </c>
      <c r="H665" s="18" t="str">
        <f aca="false">IF($A665="","",SUMIFS(PERLINE!$U$2:$U$3001,PERLINE!$N$2:$N$3001,$A665,PERLINE!$AK$2:$AK$3001,1))</f>
        <v/>
      </c>
      <c r="I665" s="19" t="str">
        <f aca="false">IF($A665="","",H665*G665)</f>
        <v/>
      </c>
      <c r="J665" s="19" t="str">
        <f aca="false">IF($A665="","",F665+I665)</f>
        <v/>
      </c>
      <c r="K665" s="19" t="str">
        <f aca="false">IF($A665="","",H665+E665)</f>
        <v/>
      </c>
      <c r="L665" s="20" t="str">
        <f aca="false">IF($A665="","",K665-J665-N665)</f>
        <v/>
      </c>
      <c r="M665" s="15" t="str">
        <f aca="false">IF($A665="","",INDEX(PERLINE!$A$2:$A$3001,MATCH($A665,PERLINE!$N$2:$N$3001,0)))</f>
        <v/>
      </c>
      <c r="N665" s="21" t="str">
        <f aca="false">IF($A665="","",SUMIFS(PERLINE!$M$2:$M$3001,PERLINE!$N$2:$N$3001,$A665))</f>
        <v/>
      </c>
    </row>
    <row r="666" customFormat="false" ht="15" hidden="false" customHeight="false" outlineLevel="0" collapsed="false">
      <c r="A666" s="15" t="str">
        <f aca="false">IF(ROWS($A$2:$A666)&lt;=Check!$C$4,SMALL(PERLINE!$AL$2:$AL$3001,ROWS($A$2:$A666)),"")</f>
        <v/>
      </c>
      <c r="B666" s="15" t="str">
        <f aca="false">IF($A666="","",INDEX(PERLINE!$J$2:$J$3001,MATCH($A666,PERLINE!$N$2:$N$3001,0)))</f>
        <v/>
      </c>
      <c r="C666" s="16" t="str">
        <f aca="false">IF($A666="","",INDEX(PERLINE!$I$2:$I$3001,MATCH($A666,PERLINE!$N$2:$N$3001,0)))</f>
        <v/>
      </c>
      <c r="D666" s="17" t="str">
        <f aca="false">IF($A666="","",'كشف المطالبة'!$D$6)</f>
        <v/>
      </c>
      <c r="E666" s="18" t="str">
        <f aca="false">IF($A666="","",SUMIFS(PERLINE!$U$2:$U$3001,PERLINE!$N$2:$N$3001,$A666,PERLINE!$AK$2:$AK$3001,0))</f>
        <v/>
      </c>
      <c r="F666" s="19" t="str">
        <f aca="false">IF($A666="","",E666*D666)</f>
        <v/>
      </c>
      <c r="G666" s="17" t="str">
        <f aca="false">IF($A666="","",'كشف المطالبة'!$D$5)</f>
        <v/>
      </c>
      <c r="H666" s="18" t="str">
        <f aca="false">IF($A666="","",SUMIFS(PERLINE!$U$2:$U$3001,PERLINE!$N$2:$N$3001,$A666,PERLINE!$AK$2:$AK$3001,1))</f>
        <v/>
      </c>
      <c r="I666" s="19" t="str">
        <f aca="false">IF($A666="","",H666*G666)</f>
        <v/>
      </c>
      <c r="J666" s="19" t="str">
        <f aca="false">IF($A666="","",F666+I666)</f>
        <v/>
      </c>
      <c r="K666" s="19" t="str">
        <f aca="false">IF($A666="","",H666+E666)</f>
        <v/>
      </c>
      <c r="L666" s="20" t="str">
        <f aca="false">IF($A666="","",K666-J666-N666)</f>
        <v/>
      </c>
      <c r="M666" s="15" t="str">
        <f aca="false">IF($A666="","",INDEX(PERLINE!$A$2:$A$3001,MATCH($A666,PERLINE!$N$2:$N$3001,0)))</f>
        <v/>
      </c>
      <c r="N666" s="21" t="str">
        <f aca="false">IF($A666="","",SUMIFS(PERLINE!$M$2:$M$3001,PERLINE!$N$2:$N$3001,$A666))</f>
        <v/>
      </c>
    </row>
    <row r="667" customFormat="false" ht="15" hidden="false" customHeight="false" outlineLevel="0" collapsed="false">
      <c r="A667" s="15" t="str">
        <f aca="false">IF(ROWS($A$2:$A667)&lt;=Check!$C$4,SMALL(PERLINE!$AL$2:$AL$3001,ROWS($A$2:$A667)),"")</f>
        <v/>
      </c>
      <c r="B667" s="15" t="str">
        <f aca="false">IF($A667="","",INDEX(PERLINE!$J$2:$J$3001,MATCH($A667,PERLINE!$N$2:$N$3001,0)))</f>
        <v/>
      </c>
      <c r="C667" s="16" t="str">
        <f aca="false">IF($A667="","",INDEX(PERLINE!$I$2:$I$3001,MATCH($A667,PERLINE!$N$2:$N$3001,0)))</f>
        <v/>
      </c>
      <c r="D667" s="17" t="str">
        <f aca="false">IF($A667="","",'كشف المطالبة'!$D$6)</f>
        <v/>
      </c>
      <c r="E667" s="18" t="str">
        <f aca="false">IF($A667="","",SUMIFS(PERLINE!$U$2:$U$3001,PERLINE!$N$2:$N$3001,$A667,PERLINE!$AK$2:$AK$3001,0))</f>
        <v/>
      </c>
      <c r="F667" s="19" t="str">
        <f aca="false">IF($A667="","",E667*D667)</f>
        <v/>
      </c>
      <c r="G667" s="17" t="str">
        <f aca="false">IF($A667="","",'كشف المطالبة'!$D$5)</f>
        <v/>
      </c>
      <c r="H667" s="18" t="str">
        <f aca="false">IF($A667="","",SUMIFS(PERLINE!$U$2:$U$3001,PERLINE!$N$2:$N$3001,$A667,PERLINE!$AK$2:$AK$3001,1))</f>
        <v/>
      </c>
      <c r="I667" s="19" t="str">
        <f aca="false">IF($A667="","",H667*G667)</f>
        <v/>
      </c>
      <c r="J667" s="19" t="str">
        <f aca="false">IF($A667="","",F667+I667)</f>
        <v/>
      </c>
      <c r="K667" s="19" t="str">
        <f aca="false">IF($A667="","",H667+E667)</f>
        <v/>
      </c>
      <c r="L667" s="20" t="str">
        <f aca="false">IF($A667="","",K667-J667-N667)</f>
        <v/>
      </c>
      <c r="M667" s="15" t="str">
        <f aca="false">IF($A667="","",INDEX(PERLINE!$A$2:$A$3001,MATCH($A667,PERLINE!$N$2:$N$3001,0)))</f>
        <v/>
      </c>
      <c r="N667" s="21" t="str">
        <f aca="false">IF($A667="","",SUMIFS(PERLINE!$M$2:$M$3001,PERLINE!$N$2:$N$3001,$A667))</f>
        <v/>
      </c>
    </row>
    <row r="668" customFormat="false" ht="15" hidden="false" customHeight="false" outlineLevel="0" collapsed="false">
      <c r="A668" s="15" t="str">
        <f aca="false">IF(ROWS($A$2:$A668)&lt;=Check!$C$4,SMALL(PERLINE!$AL$2:$AL$3001,ROWS($A$2:$A668)),"")</f>
        <v/>
      </c>
      <c r="B668" s="15" t="str">
        <f aca="false">IF($A668="","",INDEX(PERLINE!$J$2:$J$3001,MATCH($A668,PERLINE!$N$2:$N$3001,0)))</f>
        <v/>
      </c>
      <c r="C668" s="16" t="str">
        <f aca="false">IF($A668="","",INDEX(PERLINE!$I$2:$I$3001,MATCH($A668,PERLINE!$N$2:$N$3001,0)))</f>
        <v/>
      </c>
      <c r="D668" s="17" t="str">
        <f aca="false">IF($A668="","",'كشف المطالبة'!$D$6)</f>
        <v/>
      </c>
      <c r="E668" s="18" t="str">
        <f aca="false">IF($A668="","",SUMIFS(PERLINE!$U$2:$U$3001,PERLINE!$N$2:$N$3001,$A668,PERLINE!$AK$2:$AK$3001,0))</f>
        <v/>
      </c>
      <c r="F668" s="19" t="str">
        <f aca="false">IF($A668="","",E668*D668)</f>
        <v/>
      </c>
      <c r="G668" s="17" t="str">
        <f aca="false">IF($A668="","",'كشف المطالبة'!$D$5)</f>
        <v/>
      </c>
      <c r="H668" s="18" t="str">
        <f aca="false">IF($A668="","",SUMIFS(PERLINE!$U$2:$U$3001,PERLINE!$N$2:$N$3001,$A668,PERLINE!$AK$2:$AK$3001,1))</f>
        <v/>
      </c>
      <c r="I668" s="19" t="str">
        <f aca="false">IF($A668="","",H668*G668)</f>
        <v/>
      </c>
      <c r="J668" s="19" t="str">
        <f aca="false">IF($A668="","",F668+I668)</f>
        <v/>
      </c>
      <c r="K668" s="19" t="str">
        <f aca="false">IF($A668="","",H668+E668)</f>
        <v/>
      </c>
      <c r="L668" s="20" t="str">
        <f aca="false">IF($A668="","",K668-J668-N668)</f>
        <v/>
      </c>
      <c r="M668" s="15" t="str">
        <f aca="false">IF($A668="","",INDEX(PERLINE!$A$2:$A$3001,MATCH($A668,PERLINE!$N$2:$N$3001,0)))</f>
        <v/>
      </c>
      <c r="N668" s="21" t="str">
        <f aca="false">IF($A668="","",SUMIFS(PERLINE!$M$2:$M$3001,PERLINE!$N$2:$N$3001,$A668))</f>
        <v/>
      </c>
    </row>
    <row r="669" customFormat="false" ht="15" hidden="false" customHeight="false" outlineLevel="0" collapsed="false">
      <c r="A669" s="15" t="str">
        <f aca="false">IF(ROWS($A$2:$A669)&lt;=Check!$C$4,SMALL(PERLINE!$AL$2:$AL$3001,ROWS($A$2:$A669)),"")</f>
        <v/>
      </c>
      <c r="B669" s="15" t="str">
        <f aca="false">IF($A669="","",INDEX(PERLINE!$J$2:$J$3001,MATCH($A669,PERLINE!$N$2:$N$3001,0)))</f>
        <v/>
      </c>
      <c r="C669" s="16" t="str">
        <f aca="false">IF($A669="","",INDEX(PERLINE!$I$2:$I$3001,MATCH($A669,PERLINE!$N$2:$N$3001,0)))</f>
        <v/>
      </c>
      <c r="D669" s="17" t="str">
        <f aca="false">IF($A669="","",'كشف المطالبة'!$D$6)</f>
        <v/>
      </c>
      <c r="E669" s="18" t="str">
        <f aca="false">IF($A669="","",SUMIFS(PERLINE!$U$2:$U$3001,PERLINE!$N$2:$N$3001,$A669,PERLINE!$AK$2:$AK$3001,0))</f>
        <v/>
      </c>
      <c r="F669" s="19" t="str">
        <f aca="false">IF($A669="","",E669*D669)</f>
        <v/>
      </c>
      <c r="G669" s="17" t="str">
        <f aca="false">IF($A669="","",'كشف المطالبة'!$D$5)</f>
        <v/>
      </c>
      <c r="H669" s="18" t="str">
        <f aca="false">IF($A669="","",SUMIFS(PERLINE!$U$2:$U$3001,PERLINE!$N$2:$N$3001,$A669,PERLINE!$AK$2:$AK$3001,1))</f>
        <v/>
      </c>
      <c r="I669" s="19" t="str">
        <f aca="false">IF($A669="","",H669*G669)</f>
        <v/>
      </c>
      <c r="J669" s="19" t="str">
        <f aca="false">IF($A669="","",F669+I669)</f>
        <v/>
      </c>
      <c r="K669" s="19" t="str">
        <f aca="false">IF($A669="","",H669+E669)</f>
        <v/>
      </c>
      <c r="L669" s="20" t="str">
        <f aca="false">IF($A669="","",K669-J669-N669)</f>
        <v/>
      </c>
      <c r="M669" s="15" t="str">
        <f aca="false">IF($A669="","",INDEX(PERLINE!$A$2:$A$3001,MATCH($A669,PERLINE!$N$2:$N$3001,0)))</f>
        <v/>
      </c>
      <c r="N669" s="21" t="str">
        <f aca="false">IF($A669="","",SUMIFS(PERLINE!$M$2:$M$3001,PERLINE!$N$2:$N$3001,$A669))</f>
        <v/>
      </c>
    </row>
    <row r="670" customFormat="false" ht="15" hidden="false" customHeight="false" outlineLevel="0" collapsed="false">
      <c r="A670" s="15" t="str">
        <f aca="false">IF(ROWS($A$2:$A670)&lt;=Check!$C$4,SMALL(PERLINE!$AL$2:$AL$3001,ROWS($A$2:$A670)),"")</f>
        <v/>
      </c>
      <c r="B670" s="15" t="str">
        <f aca="false">IF($A670="","",INDEX(PERLINE!$J$2:$J$3001,MATCH($A670,PERLINE!$N$2:$N$3001,0)))</f>
        <v/>
      </c>
      <c r="C670" s="16" t="str">
        <f aca="false">IF($A670="","",INDEX(PERLINE!$I$2:$I$3001,MATCH($A670,PERLINE!$N$2:$N$3001,0)))</f>
        <v/>
      </c>
      <c r="D670" s="17" t="str">
        <f aca="false">IF($A670="","",'كشف المطالبة'!$D$6)</f>
        <v/>
      </c>
      <c r="E670" s="18" t="str">
        <f aca="false">IF($A670="","",SUMIFS(PERLINE!$U$2:$U$3001,PERLINE!$N$2:$N$3001,$A670,PERLINE!$AK$2:$AK$3001,0))</f>
        <v/>
      </c>
      <c r="F670" s="19" t="str">
        <f aca="false">IF($A670="","",E670*D670)</f>
        <v/>
      </c>
      <c r="G670" s="17" t="str">
        <f aca="false">IF($A670="","",'كشف المطالبة'!$D$5)</f>
        <v/>
      </c>
      <c r="H670" s="18" t="str">
        <f aca="false">IF($A670="","",SUMIFS(PERLINE!$U$2:$U$3001,PERLINE!$N$2:$N$3001,$A670,PERLINE!$AK$2:$AK$3001,1))</f>
        <v/>
      </c>
      <c r="I670" s="19" t="str">
        <f aca="false">IF($A670="","",H670*G670)</f>
        <v/>
      </c>
      <c r="J670" s="19" t="str">
        <f aca="false">IF($A670="","",F670+I670)</f>
        <v/>
      </c>
      <c r="K670" s="19" t="str">
        <f aca="false">IF($A670="","",H670+E670)</f>
        <v/>
      </c>
      <c r="L670" s="20" t="str">
        <f aca="false">IF($A670="","",K670-J670-N670)</f>
        <v/>
      </c>
      <c r="M670" s="15" t="str">
        <f aca="false">IF($A670="","",INDEX(PERLINE!$A$2:$A$3001,MATCH($A670,PERLINE!$N$2:$N$3001,0)))</f>
        <v/>
      </c>
      <c r="N670" s="21" t="str">
        <f aca="false">IF($A670="","",SUMIFS(PERLINE!$M$2:$M$3001,PERLINE!$N$2:$N$3001,$A670))</f>
        <v/>
      </c>
    </row>
    <row r="671" customFormat="false" ht="15" hidden="false" customHeight="false" outlineLevel="0" collapsed="false">
      <c r="A671" s="15" t="str">
        <f aca="false">IF(ROWS($A$2:$A671)&lt;=Check!$C$4,SMALL(PERLINE!$AL$2:$AL$3001,ROWS($A$2:$A671)),"")</f>
        <v/>
      </c>
      <c r="B671" s="15" t="str">
        <f aca="false">IF($A671="","",INDEX(PERLINE!$J$2:$J$3001,MATCH($A671,PERLINE!$N$2:$N$3001,0)))</f>
        <v/>
      </c>
      <c r="C671" s="16" t="str">
        <f aca="false">IF($A671="","",INDEX(PERLINE!$I$2:$I$3001,MATCH($A671,PERLINE!$N$2:$N$3001,0)))</f>
        <v/>
      </c>
      <c r="D671" s="17" t="str">
        <f aca="false">IF($A671="","",'كشف المطالبة'!$D$6)</f>
        <v/>
      </c>
      <c r="E671" s="18" t="str">
        <f aca="false">IF($A671="","",SUMIFS(PERLINE!$U$2:$U$3001,PERLINE!$N$2:$N$3001,$A671,PERLINE!$AK$2:$AK$3001,0))</f>
        <v/>
      </c>
      <c r="F671" s="19" t="str">
        <f aca="false">IF($A671="","",E671*D671)</f>
        <v/>
      </c>
      <c r="G671" s="17" t="str">
        <f aca="false">IF($A671="","",'كشف المطالبة'!$D$5)</f>
        <v/>
      </c>
      <c r="H671" s="18" t="str">
        <f aca="false">IF($A671="","",SUMIFS(PERLINE!$U$2:$U$3001,PERLINE!$N$2:$N$3001,$A671,PERLINE!$AK$2:$AK$3001,1))</f>
        <v/>
      </c>
      <c r="I671" s="19" t="str">
        <f aca="false">IF($A671="","",H671*G671)</f>
        <v/>
      </c>
      <c r="J671" s="19" t="str">
        <f aca="false">IF($A671="","",F671+I671)</f>
        <v/>
      </c>
      <c r="K671" s="19" t="str">
        <f aca="false">IF($A671="","",H671+E671)</f>
        <v/>
      </c>
      <c r="L671" s="20" t="str">
        <f aca="false">IF($A671="","",K671-J671-N671)</f>
        <v/>
      </c>
      <c r="M671" s="15" t="str">
        <f aca="false">IF($A671="","",INDEX(PERLINE!$A$2:$A$3001,MATCH($A671,PERLINE!$N$2:$N$3001,0)))</f>
        <v/>
      </c>
      <c r="N671" s="21" t="str">
        <f aca="false">IF($A671="","",SUMIFS(PERLINE!$M$2:$M$3001,PERLINE!$N$2:$N$3001,$A671))</f>
        <v/>
      </c>
    </row>
    <row r="672" customFormat="false" ht="15" hidden="false" customHeight="false" outlineLevel="0" collapsed="false">
      <c r="A672" s="15" t="str">
        <f aca="false">IF(ROWS($A$2:$A672)&lt;=Check!$C$4,SMALL(PERLINE!$AL$2:$AL$3001,ROWS($A$2:$A672)),"")</f>
        <v/>
      </c>
      <c r="B672" s="15" t="str">
        <f aca="false">IF($A672="","",INDEX(PERLINE!$J$2:$J$3001,MATCH($A672,PERLINE!$N$2:$N$3001,0)))</f>
        <v/>
      </c>
      <c r="C672" s="16" t="str">
        <f aca="false">IF($A672="","",INDEX(PERLINE!$I$2:$I$3001,MATCH($A672,PERLINE!$N$2:$N$3001,0)))</f>
        <v/>
      </c>
      <c r="D672" s="17" t="str">
        <f aca="false">IF($A672="","",'كشف المطالبة'!$D$6)</f>
        <v/>
      </c>
      <c r="E672" s="18" t="str">
        <f aca="false">IF($A672="","",SUMIFS(PERLINE!$U$2:$U$3001,PERLINE!$N$2:$N$3001,$A672,PERLINE!$AK$2:$AK$3001,0))</f>
        <v/>
      </c>
      <c r="F672" s="19" t="str">
        <f aca="false">IF($A672="","",E672*D672)</f>
        <v/>
      </c>
      <c r="G672" s="17" t="str">
        <f aca="false">IF($A672="","",'كشف المطالبة'!$D$5)</f>
        <v/>
      </c>
      <c r="H672" s="18" t="str">
        <f aca="false">IF($A672="","",SUMIFS(PERLINE!$U$2:$U$3001,PERLINE!$N$2:$N$3001,$A672,PERLINE!$AK$2:$AK$3001,1))</f>
        <v/>
      </c>
      <c r="I672" s="19" t="str">
        <f aca="false">IF($A672="","",H672*G672)</f>
        <v/>
      </c>
      <c r="J672" s="19" t="str">
        <f aca="false">IF($A672="","",F672+I672)</f>
        <v/>
      </c>
      <c r="K672" s="19" t="str">
        <f aca="false">IF($A672="","",H672+E672)</f>
        <v/>
      </c>
      <c r="L672" s="20" t="str">
        <f aca="false">IF($A672="","",K672-J672-N672)</f>
        <v/>
      </c>
      <c r="M672" s="15" t="str">
        <f aca="false">IF($A672="","",INDEX(PERLINE!$A$2:$A$3001,MATCH($A672,PERLINE!$N$2:$N$3001,0)))</f>
        <v/>
      </c>
      <c r="N672" s="21" t="str">
        <f aca="false">IF($A672="","",SUMIFS(PERLINE!$M$2:$M$3001,PERLINE!$N$2:$N$3001,$A672))</f>
        <v/>
      </c>
    </row>
    <row r="673" customFormat="false" ht="15" hidden="false" customHeight="false" outlineLevel="0" collapsed="false">
      <c r="A673" s="15" t="str">
        <f aca="false">IF(ROWS($A$2:$A673)&lt;=Check!$C$4,SMALL(PERLINE!$AL$2:$AL$3001,ROWS($A$2:$A673)),"")</f>
        <v/>
      </c>
      <c r="B673" s="15" t="str">
        <f aca="false">IF($A673="","",INDEX(PERLINE!$J$2:$J$3001,MATCH($A673,PERLINE!$N$2:$N$3001,0)))</f>
        <v/>
      </c>
      <c r="C673" s="16" t="str">
        <f aca="false">IF($A673="","",INDEX(PERLINE!$I$2:$I$3001,MATCH($A673,PERLINE!$N$2:$N$3001,0)))</f>
        <v/>
      </c>
      <c r="D673" s="17" t="str">
        <f aca="false">IF($A673="","",'كشف المطالبة'!$D$6)</f>
        <v/>
      </c>
      <c r="E673" s="18" t="str">
        <f aca="false">IF($A673="","",SUMIFS(PERLINE!$U$2:$U$3001,PERLINE!$N$2:$N$3001,$A673,PERLINE!$AK$2:$AK$3001,0))</f>
        <v/>
      </c>
      <c r="F673" s="19" t="str">
        <f aca="false">IF($A673="","",E673*D673)</f>
        <v/>
      </c>
      <c r="G673" s="17" t="str">
        <f aca="false">IF($A673="","",'كشف المطالبة'!$D$5)</f>
        <v/>
      </c>
      <c r="H673" s="18" t="str">
        <f aca="false">IF($A673="","",SUMIFS(PERLINE!$U$2:$U$3001,PERLINE!$N$2:$N$3001,$A673,PERLINE!$AK$2:$AK$3001,1))</f>
        <v/>
      </c>
      <c r="I673" s="19" t="str">
        <f aca="false">IF($A673="","",H673*G673)</f>
        <v/>
      </c>
      <c r="J673" s="19" t="str">
        <f aca="false">IF($A673="","",F673+I673)</f>
        <v/>
      </c>
      <c r="K673" s="19" t="str">
        <f aca="false">IF($A673="","",H673+E673)</f>
        <v/>
      </c>
      <c r="L673" s="20" t="str">
        <f aca="false">IF($A673="","",K673-J673-N673)</f>
        <v/>
      </c>
      <c r="M673" s="15" t="str">
        <f aca="false">IF($A673="","",INDEX(PERLINE!$A$2:$A$3001,MATCH($A673,PERLINE!$N$2:$N$3001,0)))</f>
        <v/>
      </c>
      <c r="N673" s="21" t="str">
        <f aca="false">IF($A673="","",SUMIFS(PERLINE!$M$2:$M$3001,PERLINE!$N$2:$N$3001,$A673))</f>
        <v/>
      </c>
    </row>
    <row r="674" customFormat="false" ht="15" hidden="false" customHeight="false" outlineLevel="0" collapsed="false">
      <c r="A674" s="15" t="str">
        <f aca="false">IF(ROWS($A$2:$A674)&lt;=Check!$C$4,SMALL(PERLINE!$AL$2:$AL$3001,ROWS($A$2:$A674)),"")</f>
        <v/>
      </c>
      <c r="B674" s="15" t="str">
        <f aca="false">IF($A674="","",INDEX(PERLINE!$J$2:$J$3001,MATCH($A674,PERLINE!$N$2:$N$3001,0)))</f>
        <v/>
      </c>
      <c r="C674" s="16" t="str">
        <f aca="false">IF($A674="","",INDEX(PERLINE!$I$2:$I$3001,MATCH($A674,PERLINE!$N$2:$N$3001,0)))</f>
        <v/>
      </c>
      <c r="D674" s="17" t="str">
        <f aca="false">IF($A674="","",'كشف المطالبة'!$D$6)</f>
        <v/>
      </c>
      <c r="E674" s="18" t="str">
        <f aca="false">IF($A674="","",SUMIFS(PERLINE!$U$2:$U$3001,PERLINE!$N$2:$N$3001,$A674,PERLINE!$AK$2:$AK$3001,0))</f>
        <v/>
      </c>
      <c r="F674" s="19" t="str">
        <f aca="false">IF($A674="","",E674*D674)</f>
        <v/>
      </c>
      <c r="G674" s="17" t="str">
        <f aca="false">IF($A674="","",'كشف المطالبة'!$D$5)</f>
        <v/>
      </c>
      <c r="H674" s="18" t="str">
        <f aca="false">IF($A674="","",SUMIFS(PERLINE!$U$2:$U$3001,PERLINE!$N$2:$N$3001,$A674,PERLINE!$AK$2:$AK$3001,1))</f>
        <v/>
      </c>
      <c r="I674" s="19" t="str">
        <f aca="false">IF($A674="","",H674*G674)</f>
        <v/>
      </c>
      <c r="J674" s="19" t="str">
        <f aca="false">IF($A674="","",F674+I674)</f>
        <v/>
      </c>
      <c r="K674" s="19" t="str">
        <f aca="false">IF($A674="","",H674+E674)</f>
        <v/>
      </c>
      <c r="L674" s="20" t="str">
        <f aca="false">IF($A674="","",K674-J674-N674)</f>
        <v/>
      </c>
      <c r="M674" s="15" t="str">
        <f aca="false">IF($A674="","",INDEX(PERLINE!$A$2:$A$3001,MATCH($A674,PERLINE!$N$2:$N$3001,0)))</f>
        <v/>
      </c>
      <c r="N674" s="21" t="str">
        <f aca="false">IF($A674="","",SUMIFS(PERLINE!$M$2:$M$3001,PERLINE!$N$2:$N$3001,$A674))</f>
        <v/>
      </c>
    </row>
    <row r="675" customFormat="false" ht="15" hidden="false" customHeight="false" outlineLevel="0" collapsed="false">
      <c r="A675" s="15" t="str">
        <f aca="false">IF(ROWS($A$2:$A675)&lt;=Check!$C$4,SMALL(PERLINE!$AL$2:$AL$3001,ROWS($A$2:$A675)),"")</f>
        <v/>
      </c>
      <c r="B675" s="15" t="str">
        <f aca="false">IF($A675="","",INDEX(PERLINE!$J$2:$J$3001,MATCH($A675,PERLINE!$N$2:$N$3001,0)))</f>
        <v/>
      </c>
      <c r="C675" s="16" t="str">
        <f aca="false">IF($A675="","",INDEX(PERLINE!$I$2:$I$3001,MATCH($A675,PERLINE!$N$2:$N$3001,0)))</f>
        <v/>
      </c>
      <c r="D675" s="17" t="str">
        <f aca="false">IF($A675="","",'كشف المطالبة'!$D$6)</f>
        <v/>
      </c>
      <c r="E675" s="18" t="str">
        <f aca="false">IF($A675="","",SUMIFS(PERLINE!$U$2:$U$3001,PERLINE!$N$2:$N$3001,$A675,PERLINE!$AK$2:$AK$3001,0))</f>
        <v/>
      </c>
      <c r="F675" s="19" t="str">
        <f aca="false">IF($A675="","",E675*D675)</f>
        <v/>
      </c>
      <c r="G675" s="17" t="str">
        <f aca="false">IF($A675="","",'كشف المطالبة'!$D$5)</f>
        <v/>
      </c>
      <c r="H675" s="18" t="str">
        <f aca="false">IF($A675="","",SUMIFS(PERLINE!$U$2:$U$3001,PERLINE!$N$2:$N$3001,$A675,PERLINE!$AK$2:$AK$3001,1))</f>
        <v/>
      </c>
      <c r="I675" s="19" t="str">
        <f aca="false">IF($A675="","",H675*G675)</f>
        <v/>
      </c>
      <c r="J675" s="19" t="str">
        <f aca="false">IF($A675="","",F675+I675)</f>
        <v/>
      </c>
      <c r="K675" s="19" t="str">
        <f aca="false">IF($A675="","",H675+E675)</f>
        <v/>
      </c>
      <c r="L675" s="20" t="str">
        <f aca="false">IF($A675="","",K675-J675-N675)</f>
        <v/>
      </c>
      <c r="M675" s="15" t="str">
        <f aca="false">IF($A675="","",INDEX(PERLINE!$A$2:$A$3001,MATCH($A675,PERLINE!$N$2:$N$3001,0)))</f>
        <v/>
      </c>
      <c r="N675" s="21" t="str">
        <f aca="false">IF($A675="","",SUMIFS(PERLINE!$M$2:$M$3001,PERLINE!$N$2:$N$3001,$A675))</f>
        <v/>
      </c>
    </row>
    <row r="676" customFormat="false" ht="15" hidden="false" customHeight="false" outlineLevel="0" collapsed="false">
      <c r="A676" s="15" t="str">
        <f aca="false">IF(ROWS($A$2:$A676)&lt;=Check!$C$4,SMALL(PERLINE!$AL$2:$AL$3001,ROWS($A$2:$A676)),"")</f>
        <v/>
      </c>
      <c r="B676" s="15" t="str">
        <f aca="false">IF($A676="","",INDEX(PERLINE!$J$2:$J$3001,MATCH($A676,PERLINE!$N$2:$N$3001,0)))</f>
        <v/>
      </c>
      <c r="C676" s="16" t="str">
        <f aca="false">IF($A676="","",INDEX(PERLINE!$I$2:$I$3001,MATCH($A676,PERLINE!$N$2:$N$3001,0)))</f>
        <v/>
      </c>
      <c r="D676" s="17" t="str">
        <f aca="false">IF($A676="","",'كشف المطالبة'!$D$6)</f>
        <v/>
      </c>
      <c r="E676" s="18" t="str">
        <f aca="false">IF($A676="","",SUMIFS(PERLINE!$U$2:$U$3001,PERLINE!$N$2:$N$3001,$A676,PERLINE!$AK$2:$AK$3001,0))</f>
        <v/>
      </c>
      <c r="F676" s="19" t="str">
        <f aca="false">IF($A676="","",E676*D676)</f>
        <v/>
      </c>
      <c r="G676" s="17" t="str">
        <f aca="false">IF($A676="","",'كشف المطالبة'!$D$5)</f>
        <v/>
      </c>
      <c r="H676" s="18" t="str">
        <f aca="false">IF($A676="","",SUMIFS(PERLINE!$U$2:$U$3001,PERLINE!$N$2:$N$3001,$A676,PERLINE!$AK$2:$AK$3001,1))</f>
        <v/>
      </c>
      <c r="I676" s="19" t="str">
        <f aca="false">IF($A676="","",H676*G676)</f>
        <v/>
      </c>
      <c r="J676" s="19" t="str">
        <f aca="false">IF($A676="","",F676+I676)</f>
        <v/>
      </c>
      <c r="K676" s="19" t="str">
        <f aca="false">IF($A676="","",H676+E676)</f>
        <v/>
      </c>
      <c r="L676" s="20" t="str">
        <f aca="false">IF($A676="","",K676-J676-N676)</f>
        <v/>
      </c>
      <c r="M676" s="15" t="str">
        <f aca="false">IF($A676="","",INDEX(PERLINE!$A$2:$A$3001,MATCH($A676,PERLINE!$N$2:$N$3001,0)))</f>
        <v/>
      </c>
      <c r="N676" s="21" t="str">
        <f aca="false">IF($A676="","",SUMIFS(PERLINE!$M$2:$M$3001,PERLINE!$N$2:$N$3001,$A676))</f>
        <v/>
      </c>
    </row>
    <row r="677" customFormat="false" ht="15" hidden="false" customHeight="false" outlineLevel="0" collapsed="false">
      <c r="A677" s="15" t="str">
        <f aca="false">IF(ROWS($A$2:$A677)&lt;=Check!$C$4,SMALL(PERLINE!$AL$2:$AL$3001,ROWS($A$2:$A677)),"")</f>
        <v/>
      </c>
      <c r="B677" s="15" t="str">
        <f aca="false">IF($A677="","",INDEX(PERLINE!$J$2:$J$3001,MATCH($A677,PERLINE!$N$2:$N$3001,0)))</f>
        <v/>
      </c>
      <c r="C677" s="16" t="str">
        <f aca="false">IF($A677="","",INDEX(PERLINE!$I$2:$I$3001,MATCH($A677,PERLINE!$N$2:$N$3001,0)))</f>
        <v/>
      </c>
      <c r="D677" s="17" t="str">
        <f aca="false">IF($A677="","",'كشف المطالبة'!$D$6)</f>
        <v/>
      </c>
      <c r="E677" s="18" t="str">
        <f aca="false">IF($A677="","",SUMIFS(PERLINE!$U$2:$U$3001,PERLINE!$N$2:$N$3001,$A677,PERLINE!$AK$2:$AK$3001,0))</f>
        <v/>
      </c>
      <c r="F677" s="19" t="str">
        <f aca="false">IF($A677="","",E677*D677)</f>
        <v/>
      </c>
      <c r="G677" s="17" t="str">
        <f aca="false">IF($A677="","",'كشف المطالبة'!$D$5)</f>
        <v/>
      </c>
      <c r="H677" s="18" t="str">
        <f aca="false">IF($A677="","",SUMIFS(PERLINE!$U$2:$U$3001,PERLINE!$N$2:$N$3001,$A677,PERLINE!$AK$2:$AK$3001,1))</f>
        <v/>
      </c>
      <c r="I677" s="19" t="str">
        <f aca="false">IF($A677="","",H677*G677)</f>
        <v/>
      </c>
      <c r="J677" s="19" t="str">
        <f aca="false">IF($A677="","",F677+I677)</f>
        <v/>
      </c>
      <c r="K677" s="19" t="str">
        <f aca="false">IF($A677="","",H677+E677)</f>
        <v/>
      </c>
      <c r="L677" s="20" t="str">
        <f aca="false">IF($A677="","",K677-J677-N677)</f>
        <v/>
      </c>
      <c r="M677" s="15" t="str">
        <f aca="false">IF($A677="","",INDEX(PERLINE!$A$2:$A$3001,MATCH($A677,PERLINE!$N$2:$N$3001,0)))</f>
        <v/>
      </c>
      <c r="N677" s="21" t="str">
        <f aca="false">IF($A677="","",SUMIFS(PERLINE!$M$2:$M$3001,PERLINE!$N$2:$N$3001,$A677))</f>
        <v/>
      </c>
    </row>
    <row r="678" customFormat="false" ht="15" hidden="false" customHeight="false" outlineLevel="0" collapsed="false">
      <c r="A678" s="15" t="str">
        <f aca="false">IF(ROWS($A$2:$A678)&lt;=Check!$C$4,SMALL(PERLINE!$AL$2:$AL$3001,ROWS($A$2:$A678)),"")</f>
        <v/>
      </c>
      <c r="B678" s="15" t="str">
        <f aca="false">IF($A678="","",INDEX(PERLINE!$J$2:$J$3001,MATCH($A678,PERLINE!$N$2:$N$3001,0)))</f>
        <v/>
      </c>
      <c r="C678" s="16" t="str">
        <f aca="false">IF($A678="","",INDEX(PERLINE!$I$2:$I$3001,MATCH($A678,PERLINE!$N$2:$N$3001,0)))</f>
        <v/>
      </c>
      <c r="D678" s="17" t="str">
        <f aca="false">IF($A678="","",'كشف المطالبة'!$D$6)</f>
        <v/>
      </c>
      <c r="E678" s="18" t="str">
        <f aca="false">IF($A678="","",SUMIFS(PERLINE!$U$2:$U$3001,PERLINE!$N$2:$N$3001,$A678,PERLINE!$AK$2:$AK$3001,0))</f>
        <v/>
      </c>
      <c r="F678" s="19" t="str">
        <f aca="false">IF($A678="","",E678*D678)</f>
        <v/>
      </c>
      <c r="G678" s="17" t="str">
        <f aca="false">IF($A678="","",'كشف المطالبة'!$D$5)</f>
        <v/>
      </c>
      <c r="H678" s="18" t="str">
        <f aca="false">IF($A678="","",SUMIFS(PERLINE!$U$2:$U$3001,PERLINE!$N$2:$N$3001,$A678,PERLINE!$AK$2:$AK$3001,1))</f>
        <v/>
      </c>
      <c r="I678" s="19" t="str">
        <f aca="false">IF($A678="","",H678*G678)</f>
        <v/>
      </c>
      <c r="J678" s="19" t="str">
        <f aca="false">IF($A678="","",F678+I678)</f>
        <v/>
      </c>
      <c r="K678" s="19" t="str">
        <f aca="false">IF($A678="","",H678+E678)</f>
        <v/>
      </c>
      <c r="L678" s="20" t="str">
        <f aca="false">IF($A678="","",K678-J678-N678)</f>
        <v/>
      </c>
      <c r="M678" s="15" t="str">
        <f aca="false">IF($A678="","",INDEX(PERLINE!$A$2:$A$3001,MATCH($A678,PERLINE!$N$2:$N$3001,0)))</f>
        <v/>
      </c>
      <c r="N678" s="21" t="str">
        <f aca="false">IF($A678="","",SUMIFS(PERLINE!$M$2:$M$3001,PERLINE!$N$2:$N$3001,$A678))</f>
        <v/>
      </c>
    </row>
    <row r="679" customFormat="false" ht="15" hidden="false" customHeight="false" outlineLevel="0" collapsed="false">
      <c r="A679" s="15" t="str">
        <f aca="false">IF(ROWS($A$2:$A679)&lt;=Check!$C$4,SMALL(PERLINE!$AL$2:$AL$3001,ROWS($A$2:$A679)),"")</f>
        <v/>
      </c>
      <c r="B679" s="15" t="str">
        <f aca="false">IF($A679="","",INDEX(PERLINE!$J$2:$J$3001,MATCH($A679,PERLINE!$N$2:$N$3001,0)))</f>
        <v/>
      </c>
      <c r="C679" s="16" t="str">
        <f aca="false">IF($A679="","",INDEX(PERLINE!$I$2:$I$3001,MATCH($A679,PERLINE!$N$2:$N$3001,0)))</f>
        <v/>
      </c>
      <c r="D679" s="17" t="str">
        <f aca="false">IF($A679="","",'كشف المطالبة'!$D$6)</f>
        <v/>
      </c>
      <c r="E679" s="18" t="str">
        <f aca="false">IF($A679="","",SUMIFS(PERLINE!$U$2:$U$3001,PERLINE!$N$2:$N$3001,$A679,PERLINE!$AK$2:$AK$3001,0))</f>
        <v/>
      </c>
      <c r="F679" s="19" t="str">
        <f aca="false">IF($A679="","",E679*D679)</f>
        <v/>
      </c>
      <c r="G679" s="17" t="str">
        <f aca="false">IF($A679="","",'كشف المطالبة'!$D$5)</f>
        <v/>
      </c>
      <c r="H679" s="18" t="str">
        <f aca="false">IF($A679="","",SUMIFS(PERLINE!$U$2:$U$3001,PERLINE!$N$2:$N$3001,$A679,PERLINE!$AK$2:$AK$3001,1))</f>
        <v/>
      </c>
      <c r="I679" s="19" t="str">
        <f aca="false">IF($A679="","",H679*G679)</f>
        <v/>
      </c>
      <c r="J679" s="19" t="str">
        <f aca="false">IF($A679="","",F679+I679)</f>
        <v/>
      </c>
      <c r="K679" s="19" t="str">
        <f aca="false">IF($A679="","",H679+E679)</f>
        <v/>
      </c>
      <c r="L679" s="20" t="str">
        <f aca="false">IF($A679="","",K679-J679-N679)</f>
        <v/>
      </c>
      <c r="M679" s="15" t="str">
        <f aca="false">IF($A679="","",INDEX(PERLINE!$A$2:$A$3001,MATCH($A679,PERLINE!$N$2:$N$3001,0)))</f>
        <v/>
      </c>
      <c r="N679" s="21" t="str">
        <f aca="false">IF($A679="","",SUMIFS(PERLINE!$M$2:$M$3001,PERLINE!$N$2:$N$3001,$A679))</f>
        <v/>
      </c>
    </row>
    <row r="680" customFormat="false" ht="15" hidden="false" customHeight="false" outlineLevel="0" collapsed="false">
      <c r="A680" s="15" t="str">
        <f aca="false">IF(ROWS($A$2:$A680)&lt;=Check!$C$4,SMALL(PERLINE!$AL$2:$AL$3001,ROWS($A$2:$A680)),"")</f>
        <v/>
      </c>
      <c r="B680" s="15" t="str">
        <f aca="false">IF($A680="","",INDEX(PERLINE!$J$2:$J$3001,MATCH($A680,PERLINE!$N$2:$N$3001,0)))</f>
        <v/>
      </c>
      <c r="C680" s="16" t="str">
        <f aca="false">IF($A680="","",INDEX(PERLINE!$I$2:$I$3001,MATCH($A680,PERLINE!$N$2:$N$3001,0)))</f>
        <v/>
      </c>
      <c r="D680" s="17" t="str">
        <f aca="false">IF($A680="","",'كشف المطالبة'!$D$6)</f>
        <v/>
      </c>
      <c r="E680" s="18" t="str">
        <f aca="false">IF($A680="","",SUMIFS(PERLINE!$U$2:$U$3001,PERLINE!$N$2:$N$3001,$A680,PERLINE!$AK$2:$AK$3001,0))</f>
        <v/>
      </c>
      <c r="F680" s="19" t="str">
        <f aca="false">IF($A680="","",E680*D680)</f>
        <v/>
      </c>
      <c r="G680" s="17" t="str">
        <f aca="false">IF($A680="","",'كشف المطالبة'!$D$5)</f>
        <v/>
      </c>
      <c r="H680" s="18" t="str">
        <f aca="false">IF($A680="","",SUMIFS(PERLINE!$U$2:$U$3001,PERLINE!$N$2:$N$3001,$A680,PERLINE!$AK$2:$AK$3001,1))</f>
        <v/>
      </c>
      <c r="I680" s="19" t="str">
        <f aca="false">IF($A680="","",H680*G680)</f>
        <v/>
      </c>
      <c r="J680" s="19" t="str">
        <f aca="false">IF($A680="","",F680+I680)</f>
        <v/>
      </c>
      <c r="K680" s="19" t="str">
        <f aca="false">IF($A680="","",H680+E680)</f>
        <v/>
      </c>
      <c r="L680" s="20" t="str">
        <f aca="false">IF($A680="","",K680-J680-N680)</f>
        <v/>
      </c>
      <c r="M680" s="15" t="str">
        <f aca="false">IF($A680="","",INDEX(PERLINE!$A$2:$A$3001,MATCH($A680,PERLINE!$N$2:$N$3001,0)))</f>
        <v/>
      </c>
      <c r="N680" s="21" t="str">
        <f aca="false">IF($A680="","",SUMIFS(PERLINE!$M$2:$M$3001,PERLINE!$N$2:$N$3001,$A680))</f>
        <v/>
      </c>
    </row>
    <row r="681" customFormat="false" ht="15" hidden="false" customHeight="false" outlineLevel="0" collapsed="false">
      <c r="A681" s="15" t="str">
        <f aca="false">IF(ROWS($A$2:$A681)&lt;=Check!$C$4,SMALL(PERLINE!$AL$2:$AL$3001,ROWS($A$2:$A681)),"")</f>
        <v/>
      </c>
      <c r="B681" s="15" t="str">
        <f aca="false">IF($A681="","",INDEX(PERLINE!$J$2:$J$3001,MATCH($A681,PERLINE!$N$2:$N$3001,0)))</f>
        <v/>
      </c>
      <c r="C681" s="16" t="str">
        <f aca="false">IF($A681="","",INDEX(PERLINE!$I$2:$I$3001,MATCH($A681,PERLINE!$N$2:$N$3001,0)))</f>
        <v/>
      </c>
      <c r="D681" s="17" t="str">
        <f aca="false">IF($A681="","",'كشف المطالبة'!$D$6)</f>
        <v/>
      </c>
      <c r="E681" s="18" t="str">
        <f aca="false">IF($A681="","",SUMIFS(PERLINE!$U$2:$U$3001,PERLINE!$N$2:$N$3001,$A681,PERLINE!$AK$2:$AK$3001,0))</f>
        <v/>
      </c>
      <c r="F681" s="19" t="str">
        <f aca="false">IF($A681="","",E681*D681)</f>
        <v/>
      </c>
      <c r="G681" s="17" t="str">
        <f aca="false">IF($A681="","",'كشف المطالبة'!$D$5)</f>
        <v/>
      </c>
      <c r="H681" s="18" t="str">
        <f aca="false">IF($A681="","",SUMIFS(PERLINE!$U$2:$U$3001,PERLINE!$N$2:$N$3001,$A681,PERLINE!$AK$2:$AK$3001,1))</f>
        <v/>
      </c>
      <c r="I681" s="19" t="str">
        <f aca="false">IF($A681="","",H681*G681)</f>
        <v/>
      </c>
      <c r="J681" s="19" t="str">
        <f aca="false">IF($A681="","",F681+I681)</f>
        <v/>
      </c>
      <c r="K681" s="19" t="str">
        <f aca="false">IF($A681="","",H681+E681)</f>
        <v/>
      </c>
      <c r="L681" s="20" t="str">
        <f aca="false">IF($A681="","",K681-J681-N681)</f>
        <v/>
      </c>
      <c r="M681" s="15" t="str">
        <f aca="false">IF($A681="","",INDEX(PERLINE!$A$2:$A$3001,MATCH($A681,PERLINE!$N$2:$N$3001,0)))</f>
        <v/>
      </c>
      <c r="N681" s="21" t="str">
        <f aca="false">IF($A681="","",SUMIFS(PERLINE!$M$2:$M$3001,PERLINE!$N$2:$N$3001,$A681))</f>
        <v/>
      </c>
    </row>
    <row r="682" customFormat="false" ht="15" hidden="false" customHeight="false" outlineLevel="0" collapsed="false">
      <c r="A682" s="15" t="str">
        <f aca="false">IF(ROWS($A$2:$A682)&lt;=Check!$C$4,SMALL(PERLINE!$AL$2:$AL$3001,ROWS($A$2:$A682)),"")</f>
        <v/>
      </c>
      <c r="B682" s="15" t="str">
        <f aca="false">IF($A682="","",INDEX(PERLINE!$J$2:$J$3001,MATCH($A682,PERLINE!$N$2:$N$3001,0)))</f>
        <v/>
      </c>
      <c r="C682" s="16" t="str">
        <f aca="false">IF($A682="","",INDEX(PERLINE!$I$2:$I$3001,MATCH($A682,PERLINE!$N$2:$N$3001,0)))</f>
        <v/>
      </c>
      <c r="D682" s="17" t="str">
        <f aca="false">IF($A682="","",'كشف المطالبة'!$D$6)</f>
        <v/>
      </c>
      <c r="E682" s="18" t="str">
        <f aca="false">IF($A682="","",SUMIFS(PERLINE!$U$2:$U$3001,PERLINE!$N$2:$N$3001,$A682,PERLINE!$AK$2:$AK$3001,0))</f>
        <v/>
      </c>
      <c r="F682" s="19" t="str">
        <f aca="false">IF($A682="","",E682*D682)</f>
        <v/>
      </c>
      <c r="G682" s="17" t="str">
        <f aca="false">IF($A682="","",'كشف المطالبة'!$D$5)</f>
        <v/>
      </c>
      <c r="H682" s="18" t="str">
        <f aca="false">IF($A682="","",SUMIFS(PERLINE!$U$2:$U$3001,PERLINE!$N$2:$N$3001,$A682,PERLINE!$AK$2:$AK$3001,1))</f>
        <v/>
      </c>
      <c r="I682" s="19" t="str">
        <f aca="false">IF($A682="","",H682*G682)</f>
        <v/>
      </c>
      <c r="J682" s="19" t="str">
        <f aca="false">IF($A682="","",F682+I682)</f>
        <v/>
      </c>
      <c r="K682" s="19" t="str">
        <f aca="false">IF($A682="","",H682+E682)</f>
        <v/>
      </c>
      <c r="L682" s="20" t="str">
        <f aca="false">IF($A682="","",K682-J682-N682)</f>
        <v/>
      </c>
      <c r="M682" s="15" t="str">
        <f aca="false">IF($A682="","",INDEX(PERLINE!$A$2:$A$3001,MATCH($A682,PERLINE!$N$2:$N$3001,0)))</f>
        <v/>
      </c>
      <c r="N682" s="21" t="str">
        <f aca="false">IF($A682="","",SUMIFS(PERLINE!$M$2:$M$3001,PERLINE!$N$2:$N$3001,$A682))</f>
        <v/>
      </c>
    </row>
    <row r="683" customFormat="false" ht="15" hidden="false" customHeight="false" outlineLevel="0" collapsed="false">
      <c r="A683" s="15" t="str">
        <f aca="false">IF(ROWS($A$2:$A683)&lt;=Check!$C$4,SMALL(PERLINE!$AL$2:$AL$3001,ROWS($A$2:$A683)),"")</f>
        <v/>
      </c>
      <c r="B683" s="15" t="str">
        <f aca="false">IF($A683="","",INDEX(PERLINE!$J$2:$J$3001,MATCH($A683,PERLINE!$N$2:$N$3001,0)))</f>
        <v/>
      </c>
      <c r="C683" s="16" t="str">
        <f aca="false">IF($A683="","",INDEX(PERLINE!$I$2:$I$3001,MATCH($A683,PERLINE!$N$2:$N$3001,0)))</f>
        <v/>
      </c>
      <c r="D683" s="17" t="str">
        <f aca="false">IF($A683="","",'كشف المطالبة'!$D$6)</f>
        <v/>
      </c>
      <c r="E683" s="18" t="str">
        <f aca="false">IF($A683="","",SUMIFS(PERLINE!$U$2:$U$3001,PERLINE!$N$2:$N$3001,$A683,PERLINE!$AK$2:$AK$3001,0))</f>
        <v/>
      </c>
      <c r="F683" s="19" t="str">
        <f aca="false">IF($A683="","",E683*D683)</f>
        <v/>
      </c>
      <c r="G683" s="17" t="str">
        <f aca="false">IF($A683="","",'كشف المطالبة'!$D$5)</f>
        <v/>
      </c>
      <c r="H683" s="18" t="str">
        <f aca="false">IF($A683="","",SUMIFS(PERLINE!$U$2:$U$3001,PERLINE!$N$2:$N$3001,$A683,PERLINE!$AK$2:$AK$3001,1))</f>
        <v/>
      </c>
      <c r="I683" s="19" t="str">
        <f aca="false">IF($A683="","",H683*G683)</f>
        <v/>
      </c>
      <c r="J683" s="19" t="str">
        <f aca="false">IF($A683="","",F683+I683)</f>
        <v/>
      </c>
      <c r="K683" s="19" t="str">
        <f aca="false">IF($A683="","",H683+E683)</f>
        <v/>
      </c>
      <c r="L683" s="20" t="str">
        <f aca="false">IF($A683="","",K683-J683-N683)</f>
        <v/>
      </c>
      <c r="M683" s="15" t="str">
        <f aca="false">IF($A683="","",INDEX(PERLINE!$A$2:$A$3001,MATCH($A683,PERLINE!$N$2:$N$3001,0)))</f>
        <v/>
      </c>
      <c r="N683" s="21" t="str">
        <f aca="false">IF($A683="","",SUMIFS(PERLINE!$M$2:$M$3001,PERLINE!$N$2:$N$3001,$A683))</f>
        <v/>
      </c>
    </row>
    <row r="684" customFormat="false" ht="15" hidden="false" customHeight="false" outlineLevel="0" collapsed="false">
      <c r="A684" s="15" t="str">
        <f aca="false">IF(ROWS($A$2:$A684)&lt;=Check!$C$4,SMALL(PERLINE!$AL$2:$AL$3001,ROWS($A$2:$A684)),"")</f>
        <v/>
      </c>
      <c r="B684" s="15" t="str">
        <f aca="false">IF($A684="","",INDEX(PERLINE!$J$2:$J$3001,MATCH($A684,PERLINE!$N$2:$N$3001,0)))</f>
        <v/>
      </c>
      <c r="C684" s="16" t="str">
        <f aca="false">IF($A684="","",INDEX(PERLINE!$I$2:$I$3001,MATCH($A684,PERLINE!$N$2:$N$3001,0)))</f>
        <v/>
      </c>
      <c r="D684" s="17" t="str">
        <f aca="false">IF($A684="","",'كشف المطالبة'!$D$6)</f>
        <v/>
      </c>
      <c r="E684" s="18" t="str">
        <f aca="false">IF($A684="","",SUMIFS(PERLINE!$U$2:$U$3001,PERLINE!$N$2:$N$3001,$A684,PERLINE!$AK$2:$AK$3001,0))</f>
        <v/>
      </c>
      <c r="F684" s="19" t="str">
        <f aca="false">IF($A684="","",E684*D684)</f>
        <v/>
      </c>
      <c r="G684" s="17" t="str">
        <f aca="false">IF($A684="","",'كشف المطالبة'!$D$5)</f>
        <v/>
      </c>
      <c r="H684" s="18" t="str">
        <f aca="false">IF($A684="","",SUMIFS(PERLINE!$U$2:$U$3001,PERLINE!$N$2:$N$3001,$A684,PERLINE!$AK$2:$AK$3001,1))</f>
        <v/>
      </c>
      <c r="I684" s="19" t="str">
        <f aca="false">IF($A684="","",H684*G684)</f>
        <v/>
      </c>
      <c r="J684" s="19" t="str">
        <f aca="false">IF($A684="","",F684+I684)</f>
        <v/>
      </c>
      <c r="K684" s="19" t="str">
        <f aca="false">IF($A684="","",H684+E684)</f>
        <v/>
      </c>
      <c r="L684" s="20" t="str">
        <f aca="false">IF($A684="","",K684-J684-N684)</f>
        <v/>
      </c>
      <c r="M684" s="15" t="str">
        <f aca="false">IF($A684="","",INDEX(PERLINE!$A$2:$A$3001,MATCH($A684,PERLINE!$N$2:$N$3001,0)))</f>
        <v/>
      </c>
      <c r="N684" s="21" t="str">
        <f aca="false">IF($A684="","",SUMIFS(PERLINE!$M$2:$M$3001,PERLINE!$N$2:$N$3001,$A684))</f>
        <v/>
      </c>
    </row>
    <row r="685" customFormat="false" ht="15" hidden="false" customHeight="false" outlineLevel="0" collapsed="false">
      <c r="A685" s="15" t="str">
        <f aca="false">IF(ROWS($A$2:$A685)&lt;=Check!$C$4,SMALL(PERLINE!$AL$2:$AL$3001,ROWS($A$2:$A685)),"")</f>
        <v/>
      </c>
      <c r="B685" s="15" t="str">
        <f aca="false">IF($A685="","",INDEX(PERLINE!$J$2:$J$3001,MATCH($A685,PERLINE!$N$2:$N$3001,0)))</f>
        <v/>
      </c>
      <c r="C685" s="16" t="str">
        <f aca="false">IF($A685="","",INDEX(PERLINE!$I$2:$I$3001,MATCH($A685,PERLINE!$N$2:$N$3001,0)))</f>
        <v/>
      </c>
      <c r="D685" s="17" t="str">
        <f aca="false">IF($A685="","",'كشف المطالبة'!$D$6)</f>
        <v/>
      </c>
      <c r="E685" s="18" t="str">
        <f aca="false">IF($A685="","",SUMIFS(PERLINE!$U$2:$U$3001,PERLINE!$N$2:$N$3001,$A685,PERLINE!$AK$2:$AK$3001,0))</f>
        <v/>
      </c>
      <c r="F685" s="19" t="str">
        <f aca="false">IF($A685="","",E685*D685)</f>
        <v/>
      </c>
      <c r="G685" s="17" t="str">
        <f aca="false">IF($A685="","",'كشف المطالبة'!$D$5)</f>
        <v/>
      </c>
      <c r="H685" s="18" t="str">
        <f aca="false">IF($A685="","",SUMIFS(PERLINE!$U$2:$U$3001,PERLINE!$N$2:$N$3001,$A685,PERLINE!$AK$2:$AK$3001,1))</f>
        <v/>
      </c>
      <c r="I685" s="19" t="str">
        <f aca="false">IF($A685="","",H685*G685)</f>
        <v/>
      </c>
      <c r="J685" s="19" t="str">
        <f aca="false">IF($A685="","",F685+I685)</f>
        <v/>
      </c>
      <c r="K685" s="19" t="str">
        <f aca="false">IF($A685="","",H685+E685)</f>
        <v/>
      </c>
      <c r="L685" s="20" t="str">
        <f aca="false">IF($A685="","",K685-J685-N685)</f>
        <v/>
      </c>
      <c r="M685" s="15" t="str">
        <f aca="false">IF($A685="","",INDEX(PERLINE!$A$2:$A$3001,MATCH($A685,PERLINE!$N$2:$N$3001,0)))</f>
        <v/>
      </c>
      <c r="N685" s="21" t="str">
        <f aca="false">IF($A685="","",SUMIFS(PERLINE!$M$2:$M$3001,PERLINE!$N$2:$N$3001,$A685))</f>
        <v/>
      </c>
    </row>
    <row r="686" customFormat="false" ht="15" hidden="false" customHeight="false" outlineLevel="0" collapsed="false">
      <c r="A686" s="15" t="str">
        <f aca="false">IF(ROWS($A$2:$A686)&lt;=Check!$C$4,SMALL(PERLINE!$AL$2:$AL$3001,ROWS($A$2:$A686)),"")</f>
        <v/>
      </c>
      <c r="B686" s="15" t="str">
        <f aca="false">IF($A686="","",INDEX(PERLINE!$J$2:$J$3001,MATCH($A686,PERLINE!$N$2:$N$3001,0)))</f>
        <v/>
      </c>
      <c r="C686" s="16" t="str">
        <f aca="false">IF($A686="","",INDEX(PERLINE!$I$2:$I$3001,MATCH($A686,PERLINE!$N$2:$N$3001,0)))</f>
        <v/>
      </c>
      <c r="D686" s="17" t="str">
        <f aca="false">IF($A686="","",'كشف المطالبة'!$D$6)</f>
        <v/>
      </c>
      <c r="E686" s="18" t="str">
        <f aca="false">IF($A686="","",SUMIFS(PERLINE!$U$2:$U$3001,PERLINE!$N$2:$N$3001,$A686,PERLINE!$AK$2:$AK$3001,0))</f>
        <v/>
      </c>
      <c r="F686" s="19" t="str">
        <f aca="false">IF($A686="","",E686*D686)</f>
        <v/>
      </c>
      <c r="G686" s="17" t="str">
        <f aca="false">IF($A686="","",'كشف المطالبة'!$D$5)</f>
        <v/>
      </c>
      <c r="H686" s="18" t="str">
        <f aca="false">IF($A686="","",SUMIFS(PERLINE!$U$2:$U$3001,PERLINE!$N$2:$N$3001,$A686,PERLINE!$AK$2:$AK$3001,1))</f>
        <v/>
      </c>
      <c r="I686" s="19" t="str">
        <f aca="false">IF($A686="","",H686*G686)</f>
        <v/>
      </c>
      <c r="J686" s="19" t="str">
        <f aca="false">IF($A686="","",F686+I686)</f>
        <v/>
      </c>
      <c r="K686" s="19" t="str">
        <f aca="false">IF($A686="","",H686+E686)</f>
        <v/>
      </c>
      <c r="L686" s="20" t="str">
        <f aca="false">IF($A686="","",K686-J686-N686)</f>
        <v/>
      </c>
      <c r="M686" s="15" t="str">
        <f aca="false">IF($A686="","",INDEX(PERLINE!$A$2:$A$3001,MATCH($A686,PERLINE!$N$2:$N$3001,0)))</f>
        <v/>
      </c>
      <c r="N686" s="21" t="str">
        <f aca="false">IF($A686="","",SUMIFS(PERLINE!$M$2:$M$3001,PERLINE!$N$2:$N$3001,$A686))</f>
        <v/>
      </c>
    </row>
    <row r="687" customFormat="false" ht="15" hidden="false" customHeight="false" outlineLevel="0" collapsed="false">
      <c r="A687" s="15" t="str">
        <f aca="false">IF(ROWS($A$2:$A687)&lt;=Check!$C$4,SMALL(PERLINE!$AL$2:$AL$3001,ROWS($A$2:$A687)),"")</f>
        <v/>
      </c>
      <c r="B687" s="15" t="str">
        <f aca="false">IF($A687="","",INDEX(PERLINE!$J$2:$J$3001,MATCH($A687,PERLINE!$N$2:$N$3001,0)))</f>
        <v/>
      </c>
      <c r="C687" s="16" t="str">
        <f aca="false">IF($A687="","",INDEX(PERLINE!$I$2:$I$3001,MATCH($A687,PERLINE!$N$2:$N$3001,0)))</f>
        <v/>
      </c>
      <c r="D687" s="17" t="str">
        <f aca="false">IF($A687="","",'كشف المطالبة'!$D$6)</f>
        <v/>
      </c>
      <c r="E687" s="18" t="str">
        <f aca="false">IF($A687="","",SUMIFS(PERLINE!$U$2:$U$3001,PERLINE!$N$2:$N$3001,$A687,PERLINE!$AK$2:$AK$3001,0))</f>
        <v/>
      </c>
      <c r="F687" s="19" t="str">
        <f aca="false">IF($A687="","",E687*D687)</f>
        <v/>
      </c>
      <c r="G687" s="17" t="str">
        <f aca="false">IF($A687="","",'كشف المطالبة'!$D$5)</f>
        <v/>
      </c>
      <c r="H687" s="18" t="str">
        <f aca="false">IF($A687="","",SUMIFS(PERLINE!$U$2:$U$3001,PERLINE!$N$2:$N$3001,$A687,PERLINE!$AK$2:$AK$3001,1))</f>
        <v/>
      </c>
      <c r="I687" s="19" t="str">
        <f aca="false">IF($A687="","",H687*G687)</f>
        <v/>
      </c>
      <c r="J687" s="19" t="str">
        <f aca="false">IF($A687="","",F687+I687)</f>
        <v/>
      </c>
      <c r="K687" s="19" t="str">
        <f aca="false">IF($A687="","",H687+E687)</f>
        <v/>
      </c>
      <c r="L687" s="20" t="str">
        <f aca="false">IF($A687="","",K687-J687-N687)</f>
        <v/>
      </c>
      <c r="M687" s="15" t="str">
        <f aca="false">IF($A687="","",INDEX(PERLINE!$A$2:$A$3001,MATCH($A687,PERLINE!$N$2:$N$3001,0)))</f>
        <v/>
      </c>
      <c r="N687" s="21" t="str">
        <f aca="false">IF($A687="","",SUMIFS(PERLINE!$M$2:$M$3001,PERLINE!$N$2:$N$3001,$A687))</f>
        <v/>
      </c>
    </row>
    <row r="688" customFormat="false" ht="15" hidden="false" customHeight="false" outlineLevel="0" collapsed="false">
      <c r="A688" s="15" t="str">
        <f aca="false">IF(ROWS($A$2:$A688)&lt;=Check!$C$4,SMALL(PERLINE!$AL$2:$AL$3001,ROWS($A$2:$A688)),"")</f>
        <v/>
      </c>
      <c r="B688" s="15" t="str">
        <f aca="false">IF($A688="","",INDEX(PERLINE!$J$2:$J$3001,MATCH($A688,PERLINE!$N$2:$N$3001,0)))</f>
        <v/>
      </c>
      <c r="C688" s="16" t="str">
        <f aca="false">IF($A688="","",INDEX(PERLINE!$I$2:$I$3001,MATCH($A688,PERLINE!$N$2:$N$3001,0)))</f>
        <v/>
      </c>
      <c r="D688" s="17" t="str">
        <f aca="false">IF($A688="","",'كشف المطالبة'!$D$6)</f>
        <v/>
      </c>
      <c r="E688" s="18" t="str">
        <f aca="false">IF($A688="","",SUMIFS(PERLINE!$U$2:$U$3001,PERLINE!$N$2:$N$3001,$A688,PERLINE!$AK$2:$AK$3001,0))</f>
        <v/>
      </c>
      <c r="F688" s="19" t="str">
        <f aca="false">IF($A688="","",E688*D688)</f>
        <v/>
      </c>
      <c r="G688" s="17" t="str">
        <f aca="false">IF($A688="","",'كشف المطالبة'!$D$5)</f>
        <v/>
      </c>
      <c r="H688" s="18" t="str">
        <f aca="false">IF($A688="","",SUMIFS(PERLINE!$U$2:$U$3001,PERLINE!$N$2:$N$3001,$A688,PERLINE!$AK$2:$AK$3001,1))</f>
        <v/>
      </c>
      <c r="I688" s="19" t="str">
        <f aca="false">IF($A688="","",H688*G688)</f>
        <v/>
      </c>
      <c r="J688" s="19" t="str">
        <f aca="false">IF($A688="","",F688+I688)</f>
        <v/>
      </c>
      <c r="K688" s="19" t="str">
        <f aca="false">IF($A688="","",H688+E688)</f>
        <v/>
      </c>
      <c r="L688" s="20" t="str">
        <f aca="false">IF($A688="","",K688-J688-N688)</f>
        <v/>
      </c>
      <c r="M688" s="15" t="str">
        <f aca="false">IF($A688="","",INDEX(PERLINE!$A$2:$A$3001,MATCH($A688,PERLINE!$N$2:$N$3001,0)))</f>
        <v/>
      </c>
      <c r="N688" s="21" t="str">
        <f aca="false">IF($A688="","",SUMIFS(PERLINE!$M$2:$M$3001,PERLINE!$N$2:$N$3001,$A688))</f>
        <v/>
      </c>
    </row>
    <row r="689" customFormat="false" ht="15" hidden="false" customHeight="false" outlineLevel="0" collapsed="false">
      <c r="A689" s="15" t="str">
        <f aca="false">IF(ROWS($A$2:$A689)&lt;=Check!$C$4,SMALL(PERLINE!$AL$2:$AL$3001,ROWS($A$2:$A689)),"")</f>
        <v/>
      </c>
      <c r="B689" s="15" t="str">
        <f aca="false">IF($A689="","",INDEX(PERLINE!$J$2:$J$3001,MATCH($A689,PERLINE!$N$2:$N$3001,0)))</f>
        <v/>
      </c>
      <c r="C689" s="16" t="str">
        <f aca="false">IF($A689="","",INDEX(PERLINE!$I$2:$I$3001,MATCH($A689,PERLINE!$N$2:$N$3001,0)))</f>
        <v/>
      </c>
      <c r="D689" s="17" t="str">
        <f aca="false">IF($A689="","",'كشف المطالبة'!$D$6)</f>
        <v/>
      </c>
      <c r="E689" s="18" t="str">
        <f aca="false">IF($A689="","",SUMIFS(PERLINE!$U$2:$U$3001,PERLINE!$N$2:$N$3001,$A689,PERLINE!$AK$2:$AK$3001,0))</f>
        <v/>
      </c>
      <c r="F689" s="19" t="str">
        <f aca="false">IF($A689="","",E689*D689)</f>
        <v/>
      </c>
      <c r="G689" s="17" t="str">
        <f aca="false">IF($A689="","",'كشف المطالبة'!$D$5)</f>
        <v/>
      </c>
      <c r="H689" s="18" t="str">
        <f aca="false">IF($A689="","",SUMIFS(PERLINE!$U$2:$U$3001,PERLINE!$N$2:$N$3001,$A689,PERLINE!$AK$2:$AK$3001,1))</f>
        <v/>
      </c>
      <c r="I689" s="19" t="str">
        <f aca="false">IF($A689="","",H689*G689)</f>
        <v/>
      </c>
      <c r="J689" s="19" t="str">
        <f aca="false">IF($A689="","",F689+I689)</f>
        <v/>
      </c>
      <c r="K689" s="19" t="str">
        <f aca="false">IF($A689="","",H689+E689)</f>
        <v/>
      </c>
      <c r="L689" s="20" t="str">
        <f aca="false">IF($A689="","",K689-J689-N689)</f>
        <v/>
      </c>
      <c r="M689" s="15" t="str">
        <f aca="false">IF($A689="","",INDEX(PERLINE!$A$2:$A$3001,MATCH($A689,PERLINE!$N$2:$N$3001,0)))</f>
        <v/>
      </c>
      <c r="N689" s="21" t="str">
        <f aca="false">IF($A689="","",SUMIFS(PERLINE!$M$2:$M$3001,PERLINE!$N$2:$N$3001,$A689))</f>
        <v/>
      </c>
    </row>
    <row r="690" customFormat="false" ht="15" hidden="false" customHeight="false" outlineLevel="0" collapsed="false">
      <c r="A690" s="15" t="str">
        <f aca="false">IF(ROWS($A$2:$A690)&lt;=Check!$C$4,SMALL(PERLINE!$AL$2:$AL$3001,ROWS($A$2:$A690)),"")</f>
        <v/>
      </c>
      <c r="B690" s="15" t="str">
        <f aca="false">IF($A690="","",INDEX(PERLINE!$J$2:$J$3001,MATCH($A690,PERLINE!$N$2:$N$3001,0)))</f>
        <v/>
      </c>
      <c r="C690" s="16" t="str">
        <f aca="false">IF($A690="","",INDEX(PERLINE!$I$2:$I$3001,MATCH($A690,PERLINE!$N$2:$N$3001,0)))</f>
        <v/>
      </c>
      <c r="D690" s="17" t="str">
        <f aca="false">IF($A690="","",'كشف المطالبة'!$D$6)</f>
        <v/>
      </c>
      <c r="E690" s="18" t="str">
        <f aca="false">IF($A690="","",SUMIFS(PERLINE!$U$2:$U$3001,PERLINE!$N$2:$N$3001,$A690,PERLINE!$AK$2:$AK$3001,0))</f>
        <v/>
      </c>
      <c r="F690" s="19" t="str">
        <f aca="false">IF($A690="","",E690*D690)</f>
        <v/>
      </c>
      <c r="G690" s="17" t="str">
        <f aca="false">IF($A690="","",'كشف المطالبة'!$D$5)</f>
        <v/>
      </c>
      <c r="H690" s="18" t="str">
        <f aca="false">IF($A690="","",SUMIFS(PERLINE!$U$2:$U$3001,PERLINE!$N$2:$N$3001,$A690,PERLINE!$AK$2:$AK$3001,1))</f>
        <v/>
      </c>
      <c r="I690" s="19" t="str">
        <f aca="false">IF($A690="","",H690*G690)</f>
        <v/>
      </c>
      <c r="J690" s="19" t="str">
        <f aca="false">IF($A690="","",F690+I690)</f>
        <v/>
      </c>
      <c r="K690" s="19" t="str">
        <f aca="false">IF($A690="","",H690+E690)</f>
        <v/>
      </c>
      <c r="L690" s="20" t="str">
        <f aca="false">IF($A690="","",K690-J690-N690)</f>
        <v/>
      </c>
      <c r="M690" s="15" t="str">
        <f aca="false">IF($A690="","",INDEX(PERLINE!$A$2:$A$3001,MATCH($A690,PERLINE!$N$2:$N$3001,0)))</f>
        <v/>
      </c>
      <c r="N690" s="21" t="str">
        <f aca="false">IF($A690="","",SUMIFS(PERLINE!$M$2:$M$3001,PERLINE!$N$2:$N$3001,$A690))</f>
        <v/>
      </c>
    </row>
    <row r="691" customFormat="false" ht="15" hidden="false" customHeight="false" outlineLevel="0" collapsed="false">
      <c r="A691" s="15" t="str">
        <f aca="false">IF(ROWS($A$2:$A691)&lt;=Check!$C$4,SMALL(PERLINE!$AL$2:$AL$3001,ROWS($A$2:$A691)),"")</f>
        <v/>
      </c>
      <c r="B691" s="15" t="str">
        <f aca="false">IF($A691="","",INDEX(PERLINE!$J$2:$J$3001,MATCH($A691,PERLINE!$N$2:$N$3001,0)))</f>
        <v/>
      </c>
      <c r="C691" s="16" t="str">
        <f aca="false">IF($A691="","",INDEX(PERLINE!$I$2:$I$3001,MATCH($A691,PERLINE!$N$2:$N$3001,0)))</f>
        <v/>
      </c>
      <c r="D691" s="17" t="str">
        <f aca="false">IF($A691="","",'كشف المطالبة'!$D$6)</f>
        <v/>
      </c>
      <c r="E691" s="18" t="str">
        <f aca="false">IF($A691="","",SUMIFS(PERLINE!$U$2:$U$3001,PERLINE!$N$2:$N$3001,$A691,PERLINE!$AK$2:$AK$3001,0))</f>
        <v/>
      </c>
      <c r="F691" s="19" t="str">
        <f aca="false">IF($A691="","",E691*D691)</f>
        <v/>
      </c>
      <c r="G691" s="17" t="str">
        <f aca="false">IF($A691="","",'كشف المطالبة'!$D$5)</f>
        <v/>
      </c>
      <c r="H691" s="18" t="str">
        <f aca="false">IF($A691="","",SUMIFS(PERLINE!$U$2:$U$3001,PERLINE!$N$2:$N$3001,$A691,PERLINE!$AK$2:$AK$3001,1))</f>
        <v/>
      </c>
      <c r="I691" s="19" t="str">
        <f aca="false">IF($A691="","",H691*G691)</f>
        <v/>
      </c>
      <c r="J691" s="19" t="str">
        <f aca="false">IF($A691="","",F691+I691)</f>
        <v/>
      </c>
      <c r="K691" s="19" t="str">
        <f aca="false">IF($A691="","",H691+E691)</f>
        <v/>
      </c>
      <c r="L691" s="20" t="str">
        <f aca="false">IF($A691="","",K691-J691-N691)</f>
        <v/>
      </c>
      <c r="M691" s="15" t="str">
        <f aca="false">IF($A691="","",INDEX(PERLINE!$A$2:$A$3001,MATCH($A691,PERLINE!$N$2:$N$3001,0)))</f>
        <v/>
      </c>
      <c r="N691" s="21" t="str">
        <f aca="false">IF($A691="","",SUMIFS(PERLINE!$M$2:$M$3001,PERLINE!$N$2:$N$3001,$A691))</f>
        <v/>
      </c>
    </row>
    <row r="692" customFormat="false" ht="15" hidden="false" customHeight="false" outlineLevel="0" collapsed="false">
      <c r="A692" s="15" t="str">
        <f aca="false">IF(ROWS($A$2:$A692)&lt;=Check!$C$4,SMALL(PERLINE!$AL$2:$AL$3001,ROWS($A$2:$A692)),"")</f>
        <v/>
      </c>
      <c r="B692" s="15" t="str">
        <f aca="false">IF($A692="","",INDEX(PERLINE!$J$2:$J$3001,MATCH($A692,PERLINE!$N$2:$N$3001,0)))</f>
        <v/>
      </c>
      <c r="C692" s="16" t="str">
        <f aca="false">IF($A692="","",INDEX(PERLINE!$I$2:$I$3001,MATCH($A692,PERLINE!$N$2:$N$3001,0)))</f>
        <v/>
      </c>
      <c r="D692" s="17" t="str">
        <f aca="false">IF($A692="","",'كشف المطالبة'!$D$6)</f>
        <v/>
      </c>
      <c r="E692" s="18" t="str">
        <f aca="false">IF($A692="","",SUMIFS(PERLINE!$U$2:$U$3001,PERLINE!$N$2:$N$3001,$A692,PERLINE!$AK$2:$AK$3001,0))</f>
        <v/>
      </c>
      <c r="F692" s="19" t="str">
        <f aca="false">IF($A692="","",E692*D692)</f>
        <v/>
      </c>
      <c r="G692" s="17" t="str">
        <f aca="false">IF($A692="","",'كشف المطالبة'!$D$5)</f>
        <v/>
      </c>
      <c r="H692" s="18" t="str">
        <f aca="false">IF($A692="","",SUMIFS(PERLINE!$U$2:$U$3001,PERLINE!$N$2:$N$3001,$A692,PERLINE!$AK$2:$AK$3001,1))</f>
        <v/>
      </c>
      <c r="I692" s="19" t="str">
        <f aca="false">IF($A692="","",H692*G692)</f>
        <v/>
      </c>
      <c r="J692" s="19" t="str">
        <f aca="false">IF($A692="","",F692+I692)</f>
        <v/>
      </c>
      <c r="K692" s="19" t="str">
        <f aca="false">IF($A692="","",H692+E692)</f>
        <v/>
      </c>
      <c r="L692" s="20" t="str">
        <f aca="false">IF($A692="","",K692-J692-N692)</f>
        <v/>
      </c>
      <c r="M692" s="15" t="str">
        <f aca="false">IF($A692="","",INDEX(PERLINE!$A$2:$A$3001,MATCH($A692,PERLINE!$N$2:$N$3001,0)))</f>
        <v/>
      </c>
      <c r="N692" s="21" t="str">
        <f aca="false">IF($A692="","",SUMIFS(PERLINE!$M$2:$M$3001,PERLINE!$N$2:$N$3001,$A692))</f>
        <v/>
      </c>
    </row>
    <row r="693" customFormat="false" ht="15" hidden="false" customHeight="false" outlineLevel="0" collapsed="false">
      <c r="A693" s="15" t="str">
        <f aca="false">IF(ROWS($A$2:$A693)&lt;=Check!$C$4,SMALL(PERLINE!$AL$2:$AL$3001,ROWS($A$2:$A693)),"")</f>
        <v/>
      </c>
      <c r="B693" s="15" t="str">
        <f aca="false">IF($A693="","",INDEX(PERLINE!$J$2:$J$3001,MATCH($A693,PERLINE!$N$2:$N$3001,0)))</f>
        <v/>
      </c>
      <c r="C693" s="16" t="str">
        <f aca="false">IF($A693="","",INDEX(PERLINE!$I$2:$I$3001,MATCH($A693,PERLINE!$N$2:$N$3001,0)))</f>
        <v/>
      </c>
      <c r="D693" s="17" t="str">
        <f aca="false">IF($A693="","",'كشف المطالبة'!$D$6)</f>
        <v/>
      </c>
      <c r="E693" s="18" t="str">
        <f aca="false">IF($A693="","",SUMIFS(PERLINE!$U$2:$U$3001,PERLINE!$N$2:$N$3001,$A693,PERLINE!$AK$2:$AK$3001,0))</f>
        <v/>
      </c>
      <c r="F693" s="19" t="str">
        <f aca="false">IF($A693="","",E693*D693)</f>
        <v/>
      </c>
      <c r="G693" s="17" t="str">
        <f aca="false">IF($A693="","",'كشف المطالبة'!$D$5)</f>
        <v/>
      </c>
      <c r="H693" s="18" t="str">
        <f aca="false">IF($A693="","",SUMIFS(PERLINE!$U$2:$U$3001,PERLINE!$N$2:$N$3001,$A693,PERLINE!$AK$2:$AK$3001,1))</f>
        <v/>
      </c>
      <c r="I693" s="19" t="str">
        <f aca="false">IF($A693="","",H693*G693)</f>
        <v/>
      </c>
      <c r="J693" s="19" t="str">
        <f aca="false">IF($A693="","",F693+I693)</f>
        <v/>
      </c>
      <c r="K693" s="19" t="str">
        <f aca="false">IF($A693="","",H693+E693)</f>
        <v/>
      </c>
      <c r="L693" s="20" t="str">
        <f aca="false">IF($A693="","",K693-J693-N693)</f>
        <v/>
      </c>
      <c r="M693" s="15" t="str">
        <f aca="false">IF($A693="","",INDEX(PERLINE!$A$2:$A$3001,MATCH($A693,PERLINE!$N$2:$N$3001,0)))</f>
        <v/>
      </c>
      <c r="N693" s="21" t="str">
        <f aca="false">IF($A693="","",SUMIFS(PERLINE!$M$2:$M$3001,PERLINE!$N$2:$N$3001,$A693))</f>
        <v/>
      </c>
    </row>
    <row r="694" customFormat="false" ht="15" hidden="false" customHeight="false" outlineLevel="0" collapsed="false">
      <c r="A694" s="15" t="str">
        <f aca="false">IF(ROWS($A$2:$A694)&lt;=Check!$C$4,SMALL(PERLINE!$AL$2:$AL$3001,ROWS($A$2:$A694)),"")</f>
        <v/>
      </c>
      <c r="B694" s="15" t="str">
        <f aca="false">IF($A694="","",INDEX(PERLINE!$J$2:$J$3001,MATCH($A694,PERLINE!$N$2:$N$3001,0)))</f>
        <v/>
      </c>
      <c r="C694" s="16" t="str">
        <f aca="false">IF($A694="","",INDEX(PERLINE!$I$2:$I$3001,MATCH($A694,PERLINE!$N$2:$N$3001,0)))</f>
        <v/>
      </c>
      <c r="D694" s="17" t="str">
        <f aca="false">IF($A694="","",'كشف المطالبة'!$D$6)</f>
        <v/>
      </c>
      <c r="E694" s="18" t="str">
        <f aca="false">IF($A694="","",SUMIFS(PERLINE!$U$2:$U$3001,PERLINE!$N$2:$N$3001,$A694,PERLINE!$AK$2:$AK$3001,0))</f>
        <v/>
      </c>
      <c r="F694" s="19" t="str">
        <f aca="false">IF($A694="","",E694*D694)</f>
        <v/>
      </c>
      <c r="G694" s="17" t="str">
        <f aca="false">IF($A694="","",'كشف المطالبة'!$D$5)</f>
        <v/>
      </c>
      <c r="H694" s="18" t="str">
        <f aca="false">IF($A694="","",SUMIFS(PERLINE!$U$2:$U$3001,PERLINE!$N$2:$N$3001,$A694,PERLINE!$AK$2:$AK$3001,1))</f>
        <v/>
      </c>
      <c r="I694" s="19" t="str">
        <f aca="false">IF($A694="","",H694*G694)</f>
        <v/>
      </c>
      <c r="J694" s="19" t="str">
        <f aca="false">IF($A694="","",F694+I694)</f>
        <v/>
      </c>
      <c r="K694" s="19" t="str">
        <f aca="false">IF($A694="","",H694+E694)</f>
        <v/>
      </c>
      <c r="L694" s="20" t="str">
        <f aca="false">IF($A694="","",K694-J694-N694)</f>
        <v/>
      </c>
      <c r="M694" s="15" t="str">
        <f aca="false">IF($A694="","",INDEX(PERLINE!$A$2:$A$3001,MATCH($A694,PERLINE!$N$2:$N$3001,0)))</f>
        <v/>
      </c>
      <c r="N694" s="21" t="str">
        <f aca="false">IF($A694="","",SUMIFS(PERLINE!$M$2:$M$3001,PERLINE!$N$2:$N$3001,$A694))</f>
        <v/>
      </c>
    </row>
    <row r="695" customFormat="false" ht="15" hidden="false" customHeight="false" outlineLevel="0" collapsed="false">
      <c r="A695" s="15" t="str">
        <f aca="false">IF(ROWS($A$2:$A695)&lt;=Check!$C$4,SMALL(PERLINE!$AL$2:$AL$3001,ROWS($A$2:$A695)),"")</f>
        <v/>
      </c>
      <c r="B695" s="15" t="str">
        <f aca="false">IF($A695="","",INDEX(PERLINE!$J$2:$J$3001,MATCH($A695,PERLINE!$N$2:$N$3001,0)))</f>
        <v/>
      </c>
      <c r="C695" s="16" t="str">
        <f aca="false">IF($A695="","",INDEX(PERLINE!$I$2:$I$3001,MATCH($A695,PERLINE!$N$2:$N$3001,0)))</f>
        <v/>
      </c>
      <c r="D695" s="17" t="str">
        <f aca="false">IF($A695="","",'كشف المطالبة'!$D$6)</f>
        <v/>
      </c>
      <c r="E695" s="18" t="str">
        <f aca="false">IF($A695="","",SUMIFS(PERLINE!$U$2:$U$3001,PERLINE!$N$2:$N$3001,$A695,PERLINE!$AK$2:$AK$3001,0))</f>
        <v/>
      </c>
      <c r="F695" s="19" t="str">
        <f aca="false">IF($A695="","",E695*D695)</f>
        <v/>
      </c>
      <c r="G695" s="17" t="str">
        <f aca="false">IF($A695="","",'كشف المطالبة'!$D$5)</f>
        <v/>
      </c>
      <c r="H695" s="18" t="str">
        <f aca="false">IF($A695="","",SUMIFS(PERLINE!$U$2:$U$3001,PERLINE!$N$2:$N$3001,$A695,PERLINE!$AK$2:$AK$3001,1))</f>
        <v/>
      </c>
      <c r="I695" s="19" t="str">
        <f aca="false">IF($A695="","",H695*G695)</f>
        <v/>
      </c>
      <c r="J695" s="19" t="str">
        <f aca="false">IF($A695="","",F695+I695)</f>
        <v/>
      </c>
      <c r="K695" s="19" t="str">
        <f aca="false">IF($A695="","",H695+E695)</f>
        <v/>
      </c>
      <c r="L695" s="20" t="str">
        <f aca="false">IF($A695="","",K695-J695-N695)</f>
        <v/>
      </c>
      <c r="M695" s="15" t="str">
        <f aca="false">IF($A695="","",INDEX(PERLINE!$A$2:$A$3001,MATCH($A695,PERLINE!$N$2:$N$3001,0)))</f>
        <v/>
      </c>
      <c r="N695" s="21" t="str">
        <f aca="false">IF($A695="","",SUMIFS(PERLINE!$M$2:$M$3001,PERLINE!$N$2:$N$3001,$A695))</f>
        <v/>
      </c>
    </row>
    <row r="696" customFormat="false" ht="15" hidden="false" customHeight="false" outlineLevel="0" collapsed="false">
      <c r="A696" s="15" t="str">
        <f aca="false">IF(ROWS($A$2:$A696)&lt;=Check!$C$4,SMALL(PERLINE!$AL$2:$AL$3001,ROWS($A$2:$A696)),"")</f>
        <v/>
      </c>
      <c r="B696" s="15" t="str">
        <f aca="false">IF($A696="","",INDEX(PERLINE!$J$2:$J$3001,MATCH($A696,PERLINE!$N$2:$N$3001,0)))</f>
        <v/>
      </c>
      <c r="C696" s="16" t="str">
        <f aca="false">IF($A696="","",INDEX(PERLINE!$I$2:$I$3001,MATCH($A696,PERLINE!$N$2:$N$3001,0)))</f>
        <v/>
      </c>
      <c r="D696" s="17" t="str">
        <f aca="false">IF($A696="","",'كشف المطالبة'!$D$6)</f>
        <v/>
      </c>
      <c r="E696" s="18" t="str">
        <f aca="false">IF($A696="","",SUMIFS(PERLINE!$U$2:$U$3001,PERLINE!$N$2:$N$3001,$A696,PERLINE!$AK$2:$AK$3001,0))</f>
        <v/>
      </c>
      <c r="F696" s="19" t="str">
        <f aca="false">IF($A696="","",E696*D696)</f>
        <v/>
      </c>
      <c r="G696" s="17" t="str">
        <f aca="false">IF($A696="","",'كشف المطالبة'!$D$5)</f>
        <v/>
      </c>
      <c r="H696" s="18" t="str">
        <f aca="false">IF($A696="","",SUMIFS(PERLINE!$U$2:$U$3001,PERLINE!$N$2:$N$3001,$A696,PERLINE!$AK$2:$AK$3001,1))</f>
        <v/>
      </c>
      <c r="I696" s="19" t="str">
        <f aca="false">IF($A696="","",H696*G696)</f>
        <v/>
      </c>
      <c r="J696" s="19" t="str">
        <f aca="false">IF($A696="","",F696+I696)</f>
        <v/>
      </c>
      <c r="K696" s="19" t="str">
        <f aca="false">IF($A696="","",H696+E696)</f>
        <v/>
      </c>
      <c r="L696" s="20" t="str">
        <f aca="false">IF($A696="","",K696-J696-N696)</f>
        <v/>
      </c>
      <c r="M696" s="15" t="str">
        <f aca="false">IF($A696="","",INDEX(PERLINE!$A$2:$A$3001,MATCH($A696,PERLINE!$N$2:$N$3001,0)))</f>
        <v/>
      </c>
      <c r="N696" s="21" t="str">
        <f aca="false">IF($A696="","",SUMIFS(PERLINE!$M$2:$M$3001,PERLINE!$N$2:$N$3001,$A696))</f>
        <v/>
      </c>
    </row>
    <row r="697" customFormat="false" ht="15" hidden="false" customHeight="false" outlineLevel="0" collapsed="false">
      <c r="A697" s="15" t="str">
        <f aca="false">IF(ROWS($A$2:$A697)&lt;=Check!$C$4,SMALL(PERLINE!$AL$2:$AL$3001,ROWS($A$2:$A697)),"")</f>
        <v/>
      </c>
      <c r="B697" s="15" t="str">
        <f aca="false">IF($A697="","",INDEX(PERLINE!$J$2:$J$3001,MATCH($A697,PERLINE!$N$2:$N$3001,0)))</f>
        <v/>
      </c>
      <c r="C697" s="16" t="str">
        <f aca="false">IF($A697="","",INDEX(PERLINE!$I$2:$I$3001,MATCH($A697,PERLINE!$N$2:$N$3001,0)))</f>
        <v/>
      </c>
      <c r="D697" s="17" t="str">
        <f aca="false">IF($A697="","",'كشف المطالبة'!$D$6)</f>
        <v/>
      </c>
      <c r="E697" s="18" t="str">
        <f aca="false">IF($A697="","",SUMIFS(PERLINE!$U$2:$U$3001,PERLINE!$N$2:$N$3001,$A697,PERLINE!$AK$2:$AK$3001,0))</f>
        <v/>
      </c>
      <c r="F697" s="19" t="str">
        <f aca="false">IF($A697="","",E697*D697)</f>
        <v/>
      </c>
      <c r="G697" s="17" t="str">
        <f aca="false">IF($A697="","",'كشف المطالبة'!$D$5)</f>
        <v/>
      </c>
      <c r="H697" s="18" t="str">
        <f aca="false">IF($A697="","",SUMIFS(PERLINE!$U$2:$U$3001,PERLINE!$N$2:$N$3001,$A697,PERLINE!$AK$2:$AK$3001,1))</f>
        <v/>
      </c>
      <c r="I697" s="19" t="str">
        <f aca="false">IF($A697="","",H697*G697)</f>
        <v/>
      </c>
      <c r="J697" s="19" t="str">
        <f aca="false">IF($A697="","",F697+I697)</f>
        <v/>
      </c>
      <c r="K697" s="19" t="str">
        <f aca="false">IF($A697="","",H697+E697)</f>
        <v/>
      </c>
      <c r="L697" s="20" t="str">
        <f aca="false">IF($A697="","",K697-J697-N697)</f>
        <v/>
      </c>
      <c r="M697" s="15" t="str">
        <f aca="false">IF($A697="","",INDEX(PERLINE!$A$2:$A$3001,MATCH($A697,PERLINE!$N$2:$N$3001,0)))</f>
        <v/>
      </c>
      <c r="N697" s="21" t="str">
        <f aca="false">IF($A697="","",SUMIFS(PERLINE!$M$2:$M$3001,PERLINE!$N$2:$N$3001,$A697))</f>
        <v/>
      </c>
    </row>
    <row r="698" customFormat="false" ht="15" hidden="false" customHeight="false" outlineLevel="0" collapsed="false">
      <c r="A698" s="15" t="str">
        <f aca="false">IF(ROWS($A$2:$A698)&lt;=Check!$C$4,SMALL(PERLINE!$AL$2:$AL$3001,ROWS($A$2:$A698)),"")</f>
        <v/>
      </c>
      <c r="B698" s="15" t="str">
        <f aca="false">IF($A698="","",INDEX(PERLINE!$J$2:$J$3001,MATCH($A698,PERLINE!$N$2:$N$3001,0)))</f>
        <v/>
      </c>
      <c r="C698" s="16" t="str">
        <f aca="false">IF($A698="","",INDEX(PERLINE!$I$2:$I$3001,MATCH($A698,PERLINE!$N$2:$N$3001,0)))</f>
        <v/>
      </c>
      <c r="D698" s="17" t="str">
        <f aca="false">IF($A698="","",'كشف المطالبة'!$D$6)</f>
        <v/>
      </c>
      <c r="E698" s="18" t="str">
        <f aca="false">IF($A698="","",SUMIFS(PERLINE!$U$2:$U$3001,PERLINE!$N$2:$N$3001,$A698,PERLINE!$AK$2:$AK$3001,0))</f>
        <v/>
      </c>
      <c r="F698" s="19" t="str">
        <f aca="false">IF($A698="","",E698*D698)</f>
        <v/>
      </c>
      <c r="G698" s="17" t="str">
        <f aca="false">IF($A698="","",'كشف المطالبة'!$D$5)</f>
        <v/>
      </c>
      <c r="H698" s="18" t="str">
        <f aca="false">IF($A698="","",SUMIFS(PERLINE!$U$2:$U$3001,PERLINE!$N$2:$N$3001,$A698,PERLINE!$AK$2:$AK$3001,1))</f>
        <v/>
      </c>
      <c r="I698" s="19" t="str">
        <f aca="false">IF($A698="","",H698*G698)</f>
        <v/>
      </c>
      <c r="J698" s="19" t="str">
        <f aca="false">IF($A698="","",F698+I698)</f>
        <v/>
      </c>
      <c r="K698" s="19" t="str">
        <f aca="false">IF($A698="","",H698+E698)</f>
        <v/>
      </c>
      <c r="L698" s="20" t="str">
        <f aca="false">IF($A698="","",K698-J698-N698)</f>
        <v/>
      </c>
      <c r="M698" s="15" t="str">
        <f aca="false">IF($A698="","",INDEX(PERLINE!$A$2:$A$3001,MATCH($A698,PERLINE!$N$2:$N$3001,0)))</f>
        <v/>
      </c>
      <c r="N698" s="21" t="str">
        <f aca="false">IF($A698="","",SUMIFS(PERLINE!$M$2:$M$3001,PERLINE!$N$2:$N$3001,$A698))</f>
        <v/>
      </c>
    </row>
    <row r="699" customFormat="false" ht="15" hidden="false" customHeight="false" outlineLevel="0" collapsed="false">
      <c r="A699" s="15" t="str">
        <f aca="false">IF(ROWS($A$2:$A699)&lt;=Check!$C$4,SMALL(PERLINE!$AL$2:$AL$3001,ROWS($A$2:$A699)),"")</f>
        <v/>
      </c>
      <c r="B699" s="15" t="str">
        <f aca="false">IF($A699="","",INDEX(PERLINE!$J$2:$J$3001,MATCH($A699,PERLINE!$N$2:$N$3001,0)))</f>
        <v/>
      </c>
      <c r="C699" s="16" t="str">
        <f aca="false">IF($A699="","",INDEX(PERLINE!$I$2:$I$3001,MATCH($A699,PERLINE!$N$2:$N$3001,0)))</f>
        <v/>
      </c>
      <c r="D699" s="17" t="str">
        <f aca="false">IF($A699="","",'كشف المطالبة'!$D$6)</f>
        <v/>
      </c>
      <c r="E699" s="18" t="str">
        <f aca="false">IF($A699="","",SUMIFS(PERLINE!$U$2:$U$3001,PERLINE!$N$2:$N$3001,$A699,PERLINE!$AK$2:$AK$3001,0))</f>
        <v/>
      </c>
      <c r="F699" s="19" t="str">
        <f aca="false">IF($A699="","",E699*D699)</f>
        <v/>
      </c>
      <c r="G699" s="17" t="str">
        <f aca="false">IF($A699="","",'كشف المطالبة'!$D$5)</f>
        <v/>
      </c>
      <c r="H699" s="18" t="str">
        <f aca="false">IF($A699="","",SUMIFS(PERLINE!$U$2:$U$3001,PERLINE!$N$2:$N$3001,$A699,PERLINE!$AK$2:$AK$3001,1))</f>
        <v/>
      </c>
      <c r="I699" s="19" t="str">
        <f aca="false">IF($A699="","",H699*G699)</f>
        <v/>
      </c>
      <c r="J699" s="19" t="str">
        <f aca="false">IF($A699="","",F699+I699)</f>
        <v/>
      </c>
      <c r="K699" s="19" t="str">
        <f aca="false">IF($A699="","",H699+E699)</f>
        <v/>
      </c>
      <c r="L699" s="20" t="str">
        <f aca="false">IF($A699="","",K699-J699-N699)</f>
        <v/>
      </c>
      <c r="M699" s="15" t="str">
        <f aca="false">IF($A699="","",INDEX(PERLINE!$A$2:$A$3001,MATCH($A699,PERLINE!$N$2:$N$3001,0)))</f>
        <v/>
      </c>
      <c r="N699" s="21" t="str">
        <f aca="false">IF($A699="","",SUMIFS(PERLINE!$M$2:$M$3001,PERLINE!$N$2:$N$3001,$A699))</f>
        <v/>
      </c>
    </row>
    <row r="700" customFormat="false" ht="15" hidden="false" customHeight="false" outlineLevel="0" collapsed="false">
      <c r="A700" s="15" t="str">
        <f aca="false">IF(ROWS($A$2:$A700)&lt;=Check!$C$4,SMALL(PERLINE!$AL$2:$AL$3001,ROWS($A$2:$A700)),"")</f>
        <v/>
      </c>
      <c r="B700" s="15" t="str">
        <f aca="false">IF($A700="","",INDEX(PERLINE!$J$2:$J$3001,MATCH($A700,PERLINE!$N$2:$N$3001,0)))</f>
        <v/>
      </c>
      <c r="C700" s="16" t="str">
        <f aca="false">IF($A700="","",INDEX(PERLINE!$I$2:$I$3001,MATCH($A700,PERLINE!$N$2:$N$3001,0)))</f>
        <v/>
      </c>
      <c r="D700" s="17" t="str">
        <f aca="false">IF($A700="","",'كشف المطالبة'!$D$6)</f>
        <v/>
      </c>
      <c r="E700" s="18" t="str">
        <f aca="false">IF($A700="","",SUMIFS(PERLINE!$U$2:$U$3001,PERLINE!$N$2:$N$3001,$A700,PERLINE!$AK$2:$AK$3001,0))</f>
        <v/>
      </c>
      <c r="F700" s="19" t="str">
        <f aca="false">IF($A700="","",E700*D700)</f>
        <v/>
      </c>
      <c r="G700" s="17" t="str">
        <f aca="false">IF($A700="","",'كشف المطالبة'!$D$5)</f>
        <v/>
      </c>
      <c r="H700" s="18" t="str">
        <f aca="false">IF($A700="","",SUMIFS(PERLINE!$U$2:$U$3001,PERLINE!$N$2:$N$3001,$A700,PERLINE!$AK$2:$AK$3001,1))</f>
        <v/>
      </c>
      <c r="I700" s="19" t="str">
        <f aca="false">IF($A700="","",H700*G700)</f>
        <v/>
      </c>
      <c r="J700" s="19" t="str">
        <f aca="false">IF($A700="","",F700+I700)</f>
        <v/>
      </c>
      <c r="K700" s="19" t="str">
        <f aca="false">IF($A700="","",H700+E700)</f>
        <v/>
      </c>
      <c r="L700" s="20" t="str">
        <f aca="false">IF($A700="","",K700-J700-N700)</f>
        <v/>
      </c>
      <c r="M700" s="15" t="str">
        <f aca="false">IF($A700="","",INDEX(PERLINE!$A$2:$A$3001,MATCH($A700,PERLINE!$N$2:$N$3001,0)))</f>
        <v/>
      </c>
      <c r="N700" s="21" t="str">
        <f aca="false">IF($A700="","",SUMIFS(PERLINE!$M$2:$M$3001,PERLINE!$N$2:$N$3001,$A700))</f>
        <v/>
      </c>
    </row>
    <row r="701" customFormat="false" ht="15" hidden="false" customHeight="false" outlineLevel="0" collapsed="false">
      <c r="A701" s="15" t="str">
        <f aca="false">IF(ROWS($A$2:$A701)&lt;=Check!$C$4,SMALL(PERLINE!$AL$2:$AL$3001,ROWS($A$2:$A701)),"")</f>
        <v/>
      </c>
      <c r="B701" s="15" t="str">
        <f aca="false">IF($A701="","",INDEX(PERLINE!$J$2:$J$3001,MATCH($A701,PERLINE!$N$2:$N$3001,0)))</f>
        <v/>
      </c>
      <c r="C701" s="16" t="str">
        <f aca="false">IF($A701="","",INDEX(PERLINE!$I$2:$I$3001,MATCH($A701,PERLINE!$N$2:$N$3001,0)))</f>
        <v/>
      </c>
      <c r="D701" s="17" t="str">
        <f aca="false">IF($A701="","",'كشف المطالبة'!$D$6)</f>
        <v/>
      </c>
      <c r="E701" s="18" t="str">
        <f aca="false">IF($A701="","",SUMIFS(PERLINE!$U$2:$U$3001,PERLINE!$N$2:$N$3001,$A701,PERLINE!$AK$2:$AK$3001,0))</f>
        <v/>
      </c>
      <c r="F701" s="19" t="str">
        <f aca="false">IF($A701="","",E701*D701)</f>
        <v/>
      </c>
      <c r="G701" s="17" t="str">
        <f aca="false">IF($A701="","",'كشف المطالبة'!$D$5)</f>
        <v/>
      </c>
      <c r="H701" s="18" t="str">
        <f aca="false">IF($A701="","",SUMIFS(PERLINE!$U$2:$U$3001,PERLINE!$N$2:$N$3001,$A701,PERLINE!$AK$2:$AK$3001,1))</f>
        <v/>
      </c>
      <c r="I701" s="19" t="str">
        <f aca="false">IF($A701="","",H701*G701)</f>
        <v/>
      </c>
      <c r="J701" s="19" t="str">
        <f aca="false">IF($A701="","",F701+I701)</f>
        <v/>
      </c>
      <c r="K701" s="19" t="str">
        <f aca="false">IF($A701="","",H701+E701)</f>
        <v/>
      </c>
      <c r="L701" s="20" t="str">
        <f aca="false">IF($A701="","",K701-J701-N701)</f>
        <v/>
      </c>
      <c r="M701" s="15" t="str">
        <f aca="false">IF($A701="","",INDEX(PERLINE!$A$2:$A$3001,MATCH($A701,PERLINE!$N$2:$N$3001,0)))</f>
        <v/>
      </c>
      <c r="N701" s="21" t="str">
        <f aca="false">IF($A701="","",SUMIFS(PERLINE!$M$2:$M$3001,PERLINE!$N$2:$N$3001,$A701))</f>
        <v/>
      </c>
    </row>
    <row r="702" customFormat="false" ht="15" hidden="false" customHeight="false" outlineLevel="0" collapsed="false">
      <c r="A702" s="15" t="str">
        <f aca="false">IF(ROWS($A$2:$A702)&lt;=Check!$C$4,SMALL(PERLINE!$AL$2:$AL$3001,ROWS($A$2:$A702)),"")</f>
        <v/>
      </c>
      <c r="B702" s="15" t="str">
        <f aca="false">IF($A702="","",INDEX(PERLINE!$J$2:$J$3001,MATCH($A702,PERLINE!$N$2:$N$3001,0)))</f>
        <v/>
      </c>
      <c r="C702" s="16" t="str">
        <f aca="false">IF($A702="","",INDEX(PERLINE!$I$2:$I$3001,MATCH($A702,PERLINE!$N$2:$N$3001,0)))</f>
        <v/>
      </c>
      <c r="D702" s="17" t="str">
        <f aca="false">IF($A702="","",'كشف المطالبة'!$D$6)</f>
        <v/>
      </c>
      <c r="E702" s="18" t="str">
        <f aca="false">IF($A702="","",SUMIFS(PERLINE!$U$2:$U$3001,PERLINE!$N$2:$N$3001,$A702,PERLINE!$AK$2:$AK$3001,0))</f>
        <v/>
      </c>
      <c r="F702" s="19" t="str">
        <f aca="false">IF($A702="","",E702*D702)</f>
        <v/>
      </c>
      <c r="G702" s="17" t="str">
        <f aca="false">IF($A702="","",'كشف المطالبة'!$D$5)</f>
        <v/>
      </c>
      <c r="H702" s="18" t="str">
        <f aca="false">IF($A702="","",SUMIFS(PERLINE!$U$2:$U$3001,PERLINE!$N$2:$N$3001,$A702,PERLINE!$AK$2:$AK$3001,1))</f>
        <v/>
      </c>
      <c r="I702" s="19" t="str">
        <f aca="false">IF($A702="","",H702*G702)</f>
        <v/>
      </c>
      <c r="J702" s="19" t="str">
        <f aca="false">IF($A702="","",F702+I702)</f>
        <v/>
      </c>
      <c r="K702" s="19" t="str">
        <f aca="false">IF($A702="","",H702+E702)</f>
        <v/>
      </c>
      <c r="L702" s="20" t="str">
        <f aca="false">IF($A702="","",K702-J702-N702)</f>
        <v/>
      </c>
      <c r="M702" s="15" t="str">
        <f aca="false">IF($A702="","",INDEX(PERLINE!$A$2:$A$3001,MATCH($A702,PERLINE!$N$2:$N$3001,0)))</f>
        <v/>
      </c>
      <c r="N702" s="21" t="str">
        <f aca="false">IF($A702="","",SUMIFS(PERLINE!$M$2:$M$3001,PERLINE!$N$2:$N$3001,$A702))</f>
        <v/>
      </c>
    </row>
    <row r="703" customFormat="false" ht="15" hidden="false" customHeight="false" outlineLevel="0" collapsed="false">
      <c r="A703" s="15" t="str">
        <f aca="false">IF(ROWS($A$2:$A703)&lt;=Check!$C$4,SMALL(PERLINE!$AL$2:$AL$3001,ROWS($A$2:$A703)),"")</f>
        <v/>
      </c>
      <c r="B703" s="15" t="str">
        <f aca="false">IF($A703="","",INDEX(PERLINE!$J$2:$J$3001,MATCH($A703,PERLINE!$N$2:$N$3001,0)))</f>
        <v/>
      </c>
      <c r="C703" s="16" t="str">
        <f aca="false">IF($A703="","",INDEX(PERLINE!$I$2:$I$3001,MATCH($A703,PERLINE!$N$2:$N$3001,0)))</f>
        <v/>
      </c>
      <c r="D703" s="17" t="str">
        <f aca="false">IF($A703="","",'كشف المطالبة'!$D$6)</f>
        <v/>
      </c>
      <c r="E703" s="18" t="str">
        <f aca="false">IF($A703="","",SUMIFS(PERLINE!$U$2:$U$3001,PERLINE!$N$2:$N$3001,$A703,PERLINE!$AK$2:$AK$3001,0))</f>
        <v/>
      </c>
      <c r="F703" s="19" t="str">
        <f aca="false">IF($A703="","",E703*D703)</f>
        <v/>
      </c>
      <c r="G703" s="17" t="str">
        <f aca="false">IF($A703="","",'كشف المطالبة'!$D$5)</f>
        <v/>
      </c>
      <c r="H703" s="18" t="str">
        <f aca="false">IF($A703="","",SUMIFS(PERLINE!$U$2:$U$3001,PERLINE!$N$2:$N$3001,$A703,PERLINE!$AK$2:$AK$3001,1))</f>
        <v/>
      </c>
      <c r="I703" s="19" t="str">
        <f aca="false">IF($A703="","",H703*G703)</f>
        <v/>
      </c>
      <c r="J703" s="19" t="str">
        <f aca="false">IF($A703="","",F703+I703)</f>
        <v/>
      </c>
      <c r="K703" s="19" t="str">
        <f aca="false">IF($A703="","",H703+E703)</f>
        <v/>
      </c>
      <c r="L703" s="20" t="str">
        <f aca="false">IF($A703="","",K703-J703-N703)</f>
        <v/>
      </c>
      <c r="M703" s="15" t="str">
        <f aca="false">IF($A703="","",INDEX(PERLINE!$A$2:$A$3001,MATCH($A703,PERLINE!$N$2:$N$3001,0)))</f>
        <v/>
      </c>
      <c r="N703" s="21" t="str">
        <f aca="false">IF($A703="","",SUMIFS(PERLINE!$M$2:$M$3001,PERLINE!$N$2:$N$3001,$A703))</f>
        <v/>
      </c>
    </row>
    <row r="704" customFormat="false" ht="15" hidden="false" customHeight="false" outlineLevel="0" collapsed="false">
      <c r="A704" s="15" t="str">
        <f aca="false">IF(ROWS($A$2:$A704)&lt;=Check!$C$4,SMALL(PERLINE!$AL$2:$AL$3001,ROWS($A$2:$A704)),"")</f>
        <v/>
      </c>
      <c r="B704" s="15" t="str">
        <f aca="false">IF($A704="","",INDEX(PERLINE!$J$2:$J$3001,MATCH($A704,PERLINE!$N$2:$N$3001,0)))</f>
        <v/>
      </c>
      <c r="C704" s="16" t="str">
        <f aca="false">IF($A704="","",INDEX(PERLINE!$I$2:$I$3001,MATCH($A704,PERLINE!$N$2:$N$3001,0)))</f>
        <v/>
      </c>
      <c r="D704" s="17" t="str">
        <f aca="false">IF($A704="","",'كشف المطالبة'!$D$6)</f>
        <v/>
      </c>
      <c r="E704" s="18" t="str">
        <f aca="false">IF($A704="","",SUMIFS(PERLINE!$U$2:$U$3001,PERLINE!$N$2:$N$3001,$A704,PERLINE!$AK$2:$AK$3001,0))</f>
        <v/>
      </c>
      <c r="F704" s="19" t="str">
        <f aca="false">IF($A704="","",E704*D704)</f>
        <v/>
      </c>
      <c r="G704" s="17" t="str">
        <f aca="false">IF($A704="","",'كشف المطالبة'!$D$5)</f>
        <v/>
      </c>
      <c r="H704" s="18" t="str">
        <f aca="false">IF($A704="","",SUMIFS(PERLINE!$U$2:$U$3001,PERLINE!$N$2:$N$3001,$A704,PERLINE!$AK$2:$AK$3001,1))</f>
        <v/>
      </c>
      <c r="I704" s="19" t="str">
        <f aca="false">IF($A704="","",H704*G704)</f>
        <v/>
      </c>
      <c r="J704" s="19" t="str">
        <f aca="false">IF($A704="","",F704+I704)</f>
        <v/>
      </c>
      <c r="K704" s="19" t="str">
        <f aca="false">IF($A704="","",H704+E704)</f>
        <v/>
      </c>
      <c r="L704" s="20" t="str">
        <f aca="false">IF($A704="","",K704-J704-N704)</f>
        <v/>
      </c>
      <c r="M704" s="15" t="str">
        <f aca="false">IF($A704="","",INDEX(PERLINE!$A$2:$A$3001,MATCH($A704,PERLINE!$N$2:$N$3001,0)))</f>
        <v/>
      </c>
      <c r="N704" s="21" t="str">
        <f aca="false">IF($A704="","",SUMIFS(PERLINE!$M$2:$M$3001,PERLINE!$N$2:$N$3001,$A704))</f>
        <v/>
      </c>
    </row>
    <row r="705" customFormat="false" ht="15" hidden="false" customHeight="false" outlineLevel="0" collapsed="false">
      <c r="A705" s="15" t="str">
        <f aca="false">IF(ROWS($A$2:$A705)&lt;=Check!$C$4,SMALL(PERLINE!$AL$2:$AL$3001,ROWS($A$2:$A705)),"")</f>
        <v/>
      </c>
      <c r="B705" s="15" t="str">
        <f aca="false">IF($A705="","",INDEX(PERLINE!$J$2:$J$3001,MATCH($A705,PERLINE!$N$2:$N$3001,0)))</f>
        <v/>
      </c>
      <c r="C705" s="16" t="str">
        <f aca="false">IF($A705="","",INDEX(PERLINE!$I$2:$I$3001,MATCH($A705,PERLINE!$N$2:$N$3001,0)))</f>
        <v/>
      </c>
      <c r="D705" s="17" t="str">
        <f aca="false">IF($A705="","",'كشف المطالبة'!$D$6)</f>
        <v/>
      </c>
      <c r="E705" s="18" t="str">
        <f aca="false">IF($A705="","",SUMIFS(PERLINE!$U$2:$U$3001,PERLINE!$N$2:$N$3001,$A705,PERLINE!$AK$2:$AK$3001,0))</f>
        <v/>
      </c>
      <c r="F705" s="19" t="str">
        <f aca="false">IF($A705="","",E705*D705)</f>
        <v/>
      </c>
      <c r="G705" s="17" t="str">
        <f aca="false">IF($A705="","",'كشف المطالبة'!$D$5)</f>
        <v/>
      </c>
      <c r="H705" s="18" t="str">
        <f aca="false">IF($A705="","",SUMIFS(PERLINE!$U$2:$U$3001,PERLINE!$N$2:$N$3001,$A705,PERLINE!$AK$2:$AK$3001,1))</f>
        <v/>
      </c>
      <c r="I705" s="19" t="str">
        <f aca="false">IF($A705="","",H705*G705)</f>
        <v/>
      </c>
      <c r="J705" s="19" t="str">
        <f aca="false">IF($A705="","",F705+I705)</f>
        <v/>
      </c>
      <c r="K705" s="19" t="str">
        <f aca="false">IF($A705="","",H705+E705)</f>
        <v/>
      </c>
      <c r="L705" s="20" t="str">
        <f aca="false">IF($A705="","",K705-J705-N705)</f>
        <v/>
      </c>
      <c r="M705" s="15" t="str">
        <f aca="false">IF($A705="","",INDEX(PERLINE!$A$2:$A$3001,MATCH($A705,PERLINE!$N$2:$N$3001,0)))</f>
        <v/>
      </c>
      <c r="N705" s="21" t="str">
        <f aca="false">IF($A705="","",SUMIFS(PERLINE!$M$2:$M$3001,PERLINE!$N$2:$N$3001,$A705))</f>
        <v/>
      </c>
    </row>
    <row r="706" customFormat="false" ht="15" hidden="false" customHeight="false" outlineLevel="0" collapsed="false">
      <c r="A706" s="15" t="str">
        <f aca="false">IF(ROWS($A$2:$A706)&lt;=Check!$C$4,SMALL(PERLINE!$AL$2:$AL$3001,ROWS($A$2:$A706)),"")</f>
        <v/>
      </c>
      <c r="B706" s="15" t="str">
        <f aca="false">IF($A706="","",INDEX(PERLINE!$J$2:$J$3001,MATCH($A706,PERLINE!$N$2:$N$3001,0)))</f>
        <v/>
      </c>
      <c r="C706" s="16" t="str">
        <f aca="false">IF($A706="","",INDEX(PERLINE!$I$2:$I$3001,MATCH($A706,PERLINE!$N$2:$N$3001,0)))</f>
        <v/>
      </c>
      <c r="D706" s="17" t="str">
        <f aca="false">IF($A706="","",'كشف المطالبة'!$D$6)</f>
        <v/>
      </c>
      <c r="E706" s="18" t="str">
        <f aca="false">IF($A706="","",SUMIFS(PERLINE!$U$2:$U$3001,PERLINE!$N$2:$N$3001,$A706,PERLINE!$AK$2:$AK$3001,0))</f>
        <v/>
      </c>
      <c r="F706" s="19" t="str">
        <f aca="false">IF($A706="","",E706*D706)</f>
        <v/>
      </c>
      <c r="G706" s="17" t="str">
        <f aca="false">IF($A706="","",'كشف المطالبة'!$D$5)</f>
        <v/>
      </c>
      <c r="H706" s="18" t="str">
        <f aca="false">IF($A706="","",SUMIFS(PERLINE!$U$2:$U$3001,PERLINE!$N$2:$N$3001,$A706,PERLINE!$AK$2:$AK$3001,1))</f>
        <v/>
      </c>
      <c r="I706" s="19" t="str">
        <f aca="false">IF($A706="","",H706*G706)</f>
        <v/>
      </c>
      <c r="J706" s="19" t="str">
        <f aca="false">IF($A706="","",F706+I706)</f>
        <v/>
      </c>
      <c r="K706" s="19" t="str">
        <f aca="false">IF($A706="","",H706+E706)</f>
        <v/>
      </c>
      <c r="L706" s="20" t="str">
        <f aca="false">IF($A706="","",K706-J706-N706)</f>
        <v/>
      </c>
      <c r="M706" s="15" t="str">
        <f aca="false">IF($A706="","",INDEX(PERLINE!$A$2:$A$3001,MATCH($A706,PERLINE!$N$2:$N$3001,0)))</f>
        <v/>
      </c>
      <c r="N706" s="21" t="str">
        <f aca="false">IF($A706="","",SUMIFS(PERLINE!$M$2:$M$3001,PERLINE!$N$2:$N$3001,$A706))</f>
        <v/>
      </c>
    </row>
    <row r="707" customFormat="false" ht="15" hidden="false" customHeight="false" outlineLevel="0" collapsed="false">
      <c r="A707" s="15" t="str">
        <f aca="false">IF(ROWS($A$2:$A707)&lt;=Check!$C$4,SMALL(PERLINE!$AL$2:$AL$3001,ROWS($A$2:$A707)),"")</f>
        <v/>
      </c>
      <c r="B707" s="15" t="str">
        <f aca="false">IF($A707="","",INDEX(PERLINE!$J$2:$J$3001,MATCH($A707,PERLINE!$N$2:$N$3001,0)))</f>
        <v/>
      </c>
      <c r="C707" s="16" t="str">
        <f aca="false">IF($A707="","",INDEX(PERLINE!$I$2:$I$3001,MATCH($A707,PERLINE!$N$2:$N$3001,0)))</f>
        <v/>
      </c>
      <c r="D707" s="17" t="str">
        <f aca="false">IF($A707="","",'كشف المطالبة'!$D$6)</f>
        <v/>
      </c>
      <c r="E707" s="18" t="str">
        <f aca="false">IF($A707="","",SUMIFS(PERLINE!$U$2:$U$3001,PERLINE!$N$2:$N$3001,$A707,PERLINE!$AK$2:$AK$3001,0))</f>
        <v/>
      </c>
      <c r="F707" s="19" t="str">
        <f aca="false">IF($A707="","",E707*D707)</f>
        <v/>
      </c>
      <c r="G707" s="17" t="str">
        <f aca="false">IF($A707="","",'كشف المطالبة'!$D$5)</f>
        <v/>
      </c>
      <c r="H707" s="18" t="str">
        <f aca="false">IF($A707="","",SUMIFS(PERLINE!$U$2:$U$3001,PERLINE!$N$2:$N$3001,$A707,PERLINE!$AK$2:$AK$3001,1))</f>
        <v/>
      </c>
      <c r="I707" s="19" t="str">
        <f aca="false">IF($A707="","",H707*G707)</f>
        <v/>
      </c>
      <c r="J707" s="19" t="str">
        <f aca="false">IF($A707="","",F707+I707)</f>
        <v/>
      </c>
      <c r="K707" s="19" t="str">
        <f aca="false">IF($A707="","",H707+E707)</f>
        <v/>
      </c>
      <c r="L707" s="20" t="str">
        <f aca="false">IF($A707="","",K707-J707-N707)</f>
        <v/>
      </c>
      <c r="M707" s="15" t="str">
        <f aca="false">IF($A707="","",INDEX(PERLINE!$A$2:$A$3001,MATCH($A707,PERLINE!$N$2:$N$3001,0)))</f>
        <v/>
      </c>
      <c r="N707" s="21" t="str">
        <f aca="false">IF($A707="","",SUMIFS(PERLINE!$M$2:$M$3001,PERLINE!$N$2:$N$3001,$A707))</f>
        <v/>
      </c>
    </row>
    <row r="708" customFormat="false" ht="15" hidden="false" customHeight="false" outlineLevel="0" collapsed="false">
      <c r="A708" s="15" t="str">
        <f aca="false">IF(ROWS($A$2:$A708)&lt;=Check!$C$4,SMALL(PERLINE!$AL$2:$AL$3001,ROWS($A$2:$A708)),"")</f>
        <v/>
      </c>
      <c r="B708" s="15" t="str">
        <f aca="false">IF($A708="","",INDEX(PERLINE!$J$2:$J$3001,MATCH($A708,PERLINE!$N$2:$N$3001,0)))</f>
        <v/>
      </c>
      <c r="C708" s="16" t="str">
        <f aca="false">IF($A708="","",INDEX(PERLINE!$I$2:$I$3001,MATCH($A708,PERLINE!$N$2:$N$3001,0)))</f>
        <v/>
      </c>
      <c r="D708" s="17" t="str">
        <f aca="false">IF($A708="","",'كشف المطالبة'!$D$6)</f>
        <v/>
      </c>
      <c r="E708" s="18" t="str">
        <f aca="false">IF($A708="","",SUMIFS(PERLINE!$U$2:$U$3001,PERLINE!$N$2:$N$3001,$A708,PERLINE!$AK$2:$AK$3001,0))</f>
        <v/>
      </c>
      <c r="F708" s="19" t="str">
        <f aca="false">IF($A708="","",E708*D708)</f>
        <v/>
      </c>
      <c r="G708" s="17" t="str">
        <f aca="false">IF($A708="","",'كشف المطالبة'!$D$5)</f>
        <v/>
      </c>
      <c r="H708" s="18" t="str">
        <f aca="false">IF($A708="","",SUMIFS(PERLINE!$U$2:$U$3001,PERLINE!$N$2:$N$3001,$A708,PERLINE!$AK$2:$AK$3001,1))</f>
        <v/>
      </c>
      <c r="I708" s="19" t="str">
        <f aca="false">IF($A708="","",H708*G708)</f>
        <v/>
      </c>
      <c r="J708" s="19" t="str">
        <f aca="false">IF($A708="","",F708+I708)</f>
        <v/>
      </c>
      <c r="K708" s="19" t="str">
        <f aca="false">IF($A708="","",H708+E708)</f>
        <v/>
      </c>
      <c r="L708" s="20" t="str">
        <f aca="false">IF($A708="","",K708-J708-N708)</f>
        <v/>
      </c>
      <c r="M708" s="15" t="str">
        <f aca="false">IF($A708="","",INDEX(PERLINE!$A$2:$A$3001,MATCH($A708,PERLINE!$N$2:$N$3001,0)))</f>
        <v/>
      </c>
      <c r="N708" s="21" t="str">
        <f aca="false">IF($A708="","",SUMIFS(PERLINE!$M$2:$M$3001,PERLINE!$N$2:$N$3001,$A708))</f>
        <v/>
      </c>
    </row>
    <row r="709" customFormat="false" ht="15" hidden="false" customHeight="false" outlineLevel="0" collapsed="false">
      <c r="A709" s="15" t="str">
        <f aca="false">IF(ROWS($A$2:$A709)&lt;=Check!$C$4,SMALL(PERLINE!$AL$2:$AL$3001,ROWS($A$2:$A709)),"")</f>
        <v/>
      </c>
      <c r="B709" s="15" t="str">
        <f aca="false">IF($A709="","",INDEX(PERLINE!$J$2:$J$3001,MATCH($A709,PERLINE!$N$2:$N$3001,0)))</f>
        <v/>
      </c>
      <c r="C709" s="16" t="str">
        <f aca="false">IF($A709="","",INDEX(PERLINE!$I$2:$I$3001,MATCH($A709,PERLINE!$N$2:$N$3001,0)))</f>
        <v/>
      </c>
      <c r="D709" s="17" t="str">
        <f aca="false">IF($A709="","",'كشف المطالبة'!$D$6)</f>
        <v/>
      </c>
      <c r="E709" s="18" t="str">
        <f aca="false">IF($A709="","",SUMIFS(PERLINE!$U$2:$U$3001,PERLINE!$N$2:$N$3001,$A709,PERLINE!$AK$2:$AK$3001,0))</f>
        <v/>
      </c>
      <c r="F709" s="19" t="str">
        <f aca="false">IF($A709="","",E709*D709)</f>
        <v/>
      </c>
      <c r="G709" s="17" t="str">
        <f aca="false">IF($A709="","",'كشف المطالبة'!$D$5)</f>
        <v/>
      </c>
      <c r="H709" s="18" t="str">
        <f aca="false">IF($A709="","",SUMIFS(PERLINE!$U$2:$U$3001,PERLINE!$N$2:$N$3001,$A709,PERLINE!$AK$2:$AK$3001,1))</f>
        <v/>
      </c>
      <c r="I709" s="19" t="str">
        <f aca="false">IF($A709="","",H709*G709)</f>
        <v/>
      </c>
      <c r="J709" s="19" t="str">
        <f aca="false">IF($A709="","",F709+I709)</f>
        <v/>
      </c>
      <c r="K709" s="19" t="str">
        <f aca="false">IF($A709="","",H709+E709)</f>
        <v/>
      </c>
      <c r="L709" s="20" t="str">
        <f aca="false">IF($A709="","",K709-J709-N709)</f>
        <v/>
      </c>
      <c r="M709" s="15" t="str">
        <f aca="false">IF($A709="","",INDEX(PERLINE!$A$2:$A$3001,MATCH($A709,PERLINE!$N$2:$N$3001,0)))</f>
        <v/>
      </c>
      <c r="N709" s="21" t="str">
        <f aca="false">IF($A709="","",SUMIFS(PERLINE!$M$2:$M$3001,PERLINE!$N$2:$N$3001,$A709))</f>
        <v/>
      </c>
    </row>
    <row r="710" customFormat="false" ht="15" hidden="false" customHeight="false" outlineLevel="0" collapsed="false">
      <c r="A710" s="15" t="str">
        <f aca="false">IF(ROWS($A$2:$A710)&lt;=Check!$C$4,SMALL(PERLINE!$AL$2:$AL$3001,ROWS($A$2:$A710)),"")</f>
        <v/>
      </c>
      <c r="B710" s="15" t="str">
        <f aca="false">IF($A710="","",INDEX(PERLINE!$J$2:$J$3001,MATCH($A710,PERLINE!$N$2:$N$3001,0)))</f>
        <v/>
      </c>
      <c r="C710" s="16" t="str">
        <f aca="false">IF($A710="","",INDEX(PERLINE!$I$2:$I$3001,MATCH($A710,PERLINE!$N$2:$N$3001,0)))</f>
        <v/>
      </c>
      <c r="D710" s="17" t="str">
        <f aca="false">IF($A710="","",'كشف المطالبة'!$D$6)</f>
        <v/>
      </c>
      <c r="E710" s="18" t="str">
        <f aca="false">IF($A710="","",SUMIFS(PERLINE!$U$2:$U$3001,PERLINE!$N$2:$N$3001,$A710,PERLINE!$AK$2:$AK$3001,0))</f>
        <v/>
      </c>
      <c r="F710" s="19" t="str">
        <f aca="false">IF($A710="","",E710*D710)</f>
        <v/>
      </c>
      <c r="G710" s="17" t="str">
        <f aca="false">IF($A710="","",'كشف المطالبة'!$D$5)</f>
        <v/>
      </c>
      <c r="H710" s="18" t="str">
        <f aca="false">IF($A710="","",SUMIFS(PERLINE!$U$2:$U$3001,PERLINE!$N$2:$N$3001,$A710,PERLINE!$AK$2:$AK$3001,1))</f>
        <v/>
      </c>
      <c r="I710" s="19" t="str">
        <f aca="false">IF($A710="","",H710*G710)</f>
        <v/>
      </c>
      <c r="J710" s="19" t="str">
        <f aca="false">IF($A710="","",F710+I710)</f>
        <v/>
      </c>
      <c r="K710" s="19" t="str">
        <f aca="false">IF($A710="","",H710+E710)</f>
        <v/>
      </c>
      <c r="L710" s="20" t="str">
        <f aca="false">IF($A710="","",K710-J710-N710)</f>
        <v/>
      </c>
      <c r="M710" s="15" t="str">
        <f aca="false">IF($A710="","",INDEX(PERLINE!$A$2:$A$3001,MATCH($A710,PERLINE!$N$2:$N$3001,0)))</f>
        <v/>
      </c>
      <c r="N710" s="21" t="str">
        <f aca="false">IF($A710="","",SUMIFS(PERLINE!$M$2:$M$3001,PERLINE!$N$2:$N$3001,$A710))</f>
        <v/>
      </c>
    </row>
    <row r="711" customFormat="false" ht="15" hidden="false" customHeight="false" outlineLevel="0" collapsed="false">
      <c r="A711" s="15" t="str">
        <f aca="false">IF(ROWS($A$2:$A711)&lt;=Check!$C$4,SMALL(PERLINE!$AL$2:$AL$3001,ROWS($A$2:$A711)),"")</f>
        <v/>
      </c>
      <c r="B711" s="15" t="str">
        <f aca="false">IF($A711="","",INDEX(PERLINE!$J$2:$J$3001,MATCH($A711,PERLINE!$N$2:$N$3001,0)))</f>
        <v/>
      </c>
      <c r="C711" s="16" t="str">
        <f aca="false">IF($A711="","",INDEX(PERLINE!$I$2:$I$3001,MATCH($A711,PERLINE!$N$2:$N$3001,0)))</f>
        <v/>
      </c>
      <c r="D711" s="17" t="str">
        <f aca="false">IF($A711="","",'كشف المطالبة'!$D$6)</f>
        <v/>
      </c>
      <c r="E711" s="18" t="str">
        <f aca="false">IF($A711="","",SUMIFS(PERLINE!$U$2:$U$3001,PERLINE!$N$2:$N$3001,$A711,PERLINE!$AK$2:$AK$3001,0))</f>
        <v/>
      </c>
      <c r="F711" s="19" t="str">
        <f aca="false">IF($A711="","",E711*D711)</f>
        <v/>
      </c>
      <c r="G711" s="17" t="str">
        <f aca="false">IF($A711="","",'كشف المطالبة'!$D$5)</f>
        <v/>
      </c>
      <c r="H711" s="18" t="str">
        <f aca="false">IF($A711="","",SUMIFS(PERLINE!$U$2:$U$3001,PERLINE!$N$2:$N$3001,$A711,PERLINE!$AK$2:$AK$3001,1))</f>
        <v/>
      </c>
      <c r="I711" s="19" t="str">
        <f aca="false">IF($A711="","",H711*G711)</f>
        <v/>
      </c>
      <c r="J711" s="19" t="str">
        <f aca="false">IF($A711="","",F711+I711)</f>
        <v/>
      </c>
      <c r="K711" s="19" t="str">
        <f aca="false">IF($A711="","",H711+E711)</f>
        <v/>
      </c>
      <c r="L711" s="20" t="str">
        <f aca="false">IF($A711="","",K711-J711-N711)</f>
        <v/>
      </c>
      <c r="M711" s="15" t="str">
        <f aca="false">IF($A711="","",INDEX(PERLINE!$A$2:$A$3001,MATCH($A711,PERLINE!$N$2:$N$3001,0)))</f>
        <v/>
      </c>
      <c r="N711" s="21" t="str">
        <f aca="false">IF($A711="","",SUMIFS(PERLINE!$M$2:$M$3001,PERLINE!$N$2:$N$3001,$A711))</f>
        <v/>
      </c>
    </row>
    <row r="712" customFormat="false" ht="15" hidden="false" customHeight="false" outlineLevel="0" collapsed="false">
      <c r="A712" s="15" t="str">
        <f aca="false">IF(ROWS($A$2:$A712)&lt;=Check!$C$4,SMALL(PERLINE!$AL$2:$AL$3001,ROWS($A$2:$A712)),"")</f>
        <v/>
      </c>
      <c r="B712" s="15" t="str">
        <f aca="false">IF($A712="","",INDEX(PERLINE!$J$2:$J$3001,MATCH($A712,PERLINE!$N$2:$N$3001,0)))</f>
        <v/>
      </c>
      <c r="C712" s="16" t="str">
        <f aca="false">IF($A712="","",INDEX(PERLINE!$I$2:$I$3001,MATCH($A712,PERLINE!$N$2:$N$3001,0)))</f>
        <v/>
      </c>
      <c r="D712" s="17" t="str">
        <f aca="false">IF($A712="","",'كشف المطالبة'!$D$6)</f>
        <v/>
      </c>
      <c r="E712" s="18" t="str">
        <f aca="false">IF($A712="","",SUMIFS(PERLINE!$U$2:$U$3001,PERLINE!$N$2:$N$3001,$A712,PERLINE!$AK$2:$AK$3001,0))</f>
        <v/>
      </c>
      <c r="F712" s="19" t="str">
        <f aca="false">IF($A712="","",E712*D712)</f>
        <v/>
      </c>
      <c r="G712" s="17" t="str">
        <f aca="false">IF($A712="","",'كشف المطالبة'!$D$5)</f>
        <v/>
      </c>
      <c r="H712" s="18" t="str">
        <f aca="false">IF($A712="","",SUMIFS(PERLINE!$U$2:$U$3001,PERLINE!$N$2:$N$3001,$A712,PERLINE!$AK$2:$AK$3001,1))</f>
        <v/>
      </c>
      <c r="I712" s="19" t="str">
        <f aca="false">IF($A712="","",H712*G712)</f>
        <v/>
      </c>
      <c r="J712" s="19" t="str">
        <f aca="false">IF($A712="","",F712+I712)</f>
        <v/>
      </c>
      <c r="K712" s="19" t="str">
        <f aca="false">IF($A712="","",H712+E712)</f>
        <v/>
      </c>
      <c r="L712" s="20" t="str">
        <f aca="false">IF($A712="","",K712-J712-N712)</f>
        <v/>
      </c>
      <c r="M712" s="15" t="str">
        <f aca="false">IF($A712="","",INDEX(PERLINE!$A$2:$A$3001,MATCH($A712,PERLINE!$N$2:$N$3001,0)))</f>
        <v/>
      </c>
      <c r="N712" s="21" t="str">
        <f aca="false">IF($A712="","",SUMIFS(PERLINE!$M$2:$M$3001,PERLINE!$N$2:$N$3001,$A712))</f>
        <v/>
      </c>
    </row>
    <row r="713" customFormat="false" ht="15" hidden="false" customHeight="false" outlineLevel="0" collapsed="false">
      <c r="A713" s="15" t="str">
        <f aca="false">IF(ROWS($A$2:$A713)&lt;=Check!$C$4,SMALL(PERLINE!$AL$2:$AL$3001,ROWS($A$2:$A713)),"")</f>
        <v/>
      </c>
      <c r="B713" s="15" t="str">
        <f aca="false">IF($A713="","",INDEX(PERLINE!$J$2:$J$3001,MATCH($A713,PERLINE!$N$2:$N$3001,0)))</f>
        <v/>
      </c>
      <c r="C713" s="16" t="str">
        <f aca="false">IF($A713="","",INDEX(PERLINE!$I$2:$I$3001,MATCH($A713,PERLINE!$N$2:$N$3001,0)))</f>
        <v/>
      </c>
      <c r="D713" s="17" t="str">
        <f aca="false">IF($A713="","",'كشف المطالبة'!$D$6)</f>
        <v/>
      </c>
      <c r="E713" s="18" t="str">
        <f aca="false">IF($A713="","",SUMIFS(PERLINE!$U$2:$U$3001,PERLINE!$N$2:$N$3001,$A713,PERLINE!$AK$2:$AK$3001,0))</f>
        <v/>
      </c>
      <c r="F713" s="19" t="str">
        <f aca="false">IF($A713="","",E713*D713)</f>
        <v/>
      </c>
      <c r="G713" s="17" t="str">
        <f aca="false">IF($A713="","",'كشف المطالبة'!$D$5)</f>
        <v/>
      </c>
      <c r="H713" s="18" t="str">
        <f aca="false">IF($A713="","",SUMIFS(PERLINE!$U$2:$U$3001,PERLINE!$N$2:$N$3001,$A713,PERLINE!$AK$2:$AK$3001,1))</f>
        <v/>
      </c>
      <c r="I713" s="19" t="str">
        <f aca="false">IF($A713="","",H713*G713)</f>
        <v/>
      </c>
      <c r="J713" s="19" t="str">
        <f aca="false">IF($A713="","",F713+I713)</f>
        <v/>
      </c>
      <c r="K713" s="19" t="str">
        <f aca="false">IF($A713="","",H713+E713)</f>
        <v/>
      </c>
      <c r="L713" s="20" t="str">
        <f aca="false">IF($A713="","",K713-J713-N713)</f>
        <v/>
      </c>
      <c r="M713" s="15" t="str">
        <f aca="false">IF($A713="","",INDEX(PERLINE!$A$2:$A$3001,MATCH($A713,PERLINE!$N$2:$N$3001,0)))</f>
        <v/>
      </c>
      <c r="N713" s="21" t="str">
        <f aca="false">IF($A713="","",SUMIFS(PERLINE!$M$2:$M$3001,PERLINE!$N$2:$N$3001,$A713))</f>
        <v/>
      </c>
    </row>
    <row r="714" customFormat="false" ht="15" hidden="false" customHeight="false" outlineLevel="0" collapsed="false">
      <c r="A714" s="15" t="str">
        <f aca="false">IF(ROWS($A$2:$A714)&lt;=Check!$C$4,SMALL(PERLINE!$AL$2:$AL$3001,ROWS($A$2:$A714)),"")</f>
        <v/>
      </c>
      <c r="B714" s="15" t="str">
        <f aca="false">IF($A714="","",INDEX(PERLINE!$J$2:$J$3001,MATCH($A714,PERLINE!$N$2:$N$3001,0)))</f>
        <v/>
      </c>
      <c r="C714" s="16" t="str">
        <f aca="false">IF($A714="","",INDEX(PERLINE!$I$2:$I$3001,MATCH($A714,PERLINE!$N$2:$N$3001,0)))</f>
        <v/>
      </c>
      <c r="D714" s="17" t="str">
        <f aca="false">IF($A714="","",'كشف المطالبة'!$D$6)</f>
        <v/>
      </c>
      <c r="E714" s="18" t="str">
        <f aca="false">IF($A714="","",SUMIFS(PERLINE!$U$2:$U$3001,PERLINE!$N$2:$N$3001,$A714,PERLINE!$AK$2:$AK$3001,0))</f>
        <v/>
      </c>
      <c r="F714" s="19" t="str">
        <f aca="false">IF($A714="","",E714*D714)</f>
        <v/>
      </c>
      <c r="G714" s="17" t="str">
        <f aca="false">IF($A714="","",'كشف المطالبة'!$D$5)</f>
        <v/>
      </c>
      <c r="H714" s="18" t="str">
        <f aca="false">IF($A714="","",SUMIFS(PERLINE!$U$2:$U$3001,PERLINE!$N$2:$N$3001,$A714,PERLINE!$AK$2:$AK$3001,1))</f>
        <v/>
      </c>
      <c r="I714" s="19" t="str">
        <f aca="false">IF($A714="","",H714*G714)</f>
        <v/>
      </c>
      <c r="J714" s="19" t="str">
        <f aca="false">IF($A714="","",F714+I714)</f>
        <v/>
      </c>
      <c r="K714" s="19" t="str">
        <f aca="false">IF($A714="","",H714+E714)</f>
        <v/>
      </c>
      <c r="L714" s="20" t="str">
        <f aca="false">IF($A714="","",K714-J714-N714)</f>
        <v/>
      </c>
      <c r="M714" s="15" t="str">
        <f aca="false">IF($A714="","",INDEX(PERLINE!$A$2:$A$3001,MATCH($A714,PERLINE!$N$2:$N$3001,0)))</f>
        <v/>
      </c>
      <c r="N714" s="21" t="str">
        <f aca="false">IF($A714="","",SUMIFS(PERLINE!$M$2:$M$3001,PERLINE!$N$2:$N$3001,$A714))</f>
        <v/>
      </c>
    </row>
    <row r="715" customFormat="false" ht="15" hidden="false" customHeight="false" outlineLevel="0" collapsed="false">
      <c r="A715" s="15" t="str">
        <f aca="false">IF(ROWS($A$2:$A715)&lt;=Check!$C$4,SMALL(PERLINE!$AL$2:$AL$3001,ROWS($A$2:$A715)),"")</f>
        <v/>
      </c>
      <c r="B715" s="15" t="str">
        <f aca="false">IF($A715="","",INDEX(PERLINE!$J$2:$J$3001,MATCH($A715,PERLINE!$N$2:$N$3001,0)))</f>
        <v/>
      </c>
      <c r="C715" s="16" t="str">
        <f aca="false">IF($A715="","",INDEX(PERLINE!$I$2:$I$3001,MATCH($A715,PERLINE!$N$2:$N$3001,0)))</f>
        <v/>
      </c>
      <c r="D715" s="17" t="str">
        <f aca="false">IF($A715="","",'كشف المطالبة'!$D$6)</f>
        <v/>
      </c>
      <c r="E715" s="18" t="str">
        <f aca="false">IF($A715="","",SUMIFS(PERLINE!$U$2:$U$3001,PERLINE!$N$2:$N$3001,$A715,PERLINE!$AK$2:$AK$3001,0))</f>
        <v/>
      </c>
      <c r="F715" s="19" t="str">
        <f aca="false">IF($A715="","",E715*D715)</f>
        <v/>
      </c>
      <c r="G715" s="17" t="str">
        <f aca="false">IF($A715="","",'كشف المطالبة'!$D$5)</f>
        <v/>
      </c>
      <c r="H715" s="18" t="str">
        <f aca="false">IF($A715="","",SUMIFS(PERLINE!$U$2:$U$3001,PERLINE!$N$2:$N$3001,$A715,PERLINE!$AK$2:$AK$3001,1))</f>
        <v/>
      </c>
      <c r="I715" s="19" t="str">
        <f aca="false">IF($A715="","",H715*G715)</f>
        <v/>
      </c>
      <c r="J715" s="19" t="str">
        <f aca="false">IF($A715="","",F715+I715)</f>
        <v/>
      </c>
      <c r="K715" s="19" t="str">
        <f aca="false">IF($A715="","",H715+E715)</f>
        <v/>
      </c>
      <c r="L715" s="20" t="str">
        <f aca="false">IF($A715="","",K715-J715-N715)</f>
        <v/>
      </c>
      <c r="M715" s="15" t="str">
        <f aca="false">IF($A715="","",INDEX(PERLINE!$A$2:$A$3001,MATCH($A715,PERLINE!$N$2:$N$3001,0)))</f>
        <v/>
      </c>
      <c r="N715" s="21" t="str">
        <f aca="false">IF($A715="","",SUMIFS(PERLINE!$M$2:$M$3001,PERLINE!$N$2:$N$3001,$A715))</f>
        <v/>
      </c>
    </row>
    <row r="716" customFormat="false" ht="15" hidden="false" customHeight="false" outlineLevel="0" collapsed="false">
      <c r="A716" s="15" t="str">
        <f aca="false">IF(ROWS($A$2:$A716)&lt;=Check!$C$4,SMALL(PERLINE!$AL$2:$AL$3001,ROWS($A$2:$A716)),"")</f>
        <v/>
      </c>
      <c r="B716" s="15" t="str">
        <f aca="false">IF($A716="","",INDEX(PERLINE!$J$2:$J$3001,MATCH($A716,PERLINE!$N$2:$N$3001,0)))</f>
        <v/>
      </c>
      <c r="C716" s="16" t="str">
        <f aca="false">IF($A716="","",INDEX(PERLINE!$I$2:$I$3001,MATCH($A716,PERLINE!$N$2:$N$3001,0)))</f>
        <v/>
      </c>
      <c r="D716" s="17" t="str">
        <f aca="false">IF($A716="","",'كشف المطالبة'!$D$6)</f>
        <v/>
      </c>
      <c r="E716" s="18" t="str">
        <f aca="false">IF($A716="","",SUMIFS(PERLINE!$U$2:$U$3001,PERLINE!$N$2:$N$3001,$A716,PERLINE!$AK$2:$AK$3001,0))</f>
        <v/>
      </c>
      <c r="F716" s="19" t="str">
        <f aca="false">IF($A716="","",E716*D716)</f>
        <v/>
      </c>
      <c r="G716" s="17" t="str">
        <f aca="false">IF($A716="","",'كشف المطالبة'!$D$5)</f>
        <v/>
      </c>
      <c r="H716" s="18" t="str">
        <f aca="false">IF($A716="","",SUMIFS(PERLINE!$U$2:$U$3001,PERLINE!$N$2:$N$3001,$A716,PERLINE!$AK$2:$AK$3001,1))</f>
        <v/>
      </c>
      <c r="I716" s="19" t="str">
        <f aca="false">IF($A716="","",H716*G716)</f>
        <v/>
      </c>
      <c r="J716" s="19" t="str">
        <f aca="false">IF($A716="","",F716+I716)</f>
        <v/>
      </c>
      <c r="K716" s="19" t="str">
        <f aca="false">IF($A716="","",H716+E716)</f>
        <v/>
      </c>
      <c r="L716" s="20" t="str">
        <f aca="false">IF($A716="","",K716-J716-N716)</f>
        <v/>
      </c>
      <c r="M716" s="15" t="str">
        <f aca="false">IF($A716="","",INDEX(PERLINE!$A$2:$A$3001,MATCH($A716,PERLINE!$N$2:$N$3001,0)))</f>
        <v/>
      </c>
      <c r="N716" s="21" t="str">
        <f aca="false">IF($A716="","",SUMIFS(PERLINE!$M$2:$M$3001,PERLINE!$N$2:$N$3001,$A716))</f>
        <v/>
      </c>
    </row>
    <row r="717" customFormat="false" ht="15" hidden="false" customHeight="false" outlineLevel="0" collapsed="false">
      <c r="A717" s="15" t="str">
        <f aca="false">IF(ROWS($A$2:$A717)&lt;=Check!$C$4,SMALL(PERLINE!$AL$2:$AL$3001,ROWS($A$2:$A717)),"")</f>
        <v/>
      </c>
      <c r="B717" s="15" t="str">
        <f aca="false">IF($A717="","",INDEX(PERLINE!$J$2:$J$3001,MATCH($A717,PERLINE!$N$2:$N$3001,0)))</f>
        <v/>
      </c>
      <c r="C717" s="16" t="str">
        <f aca="false">IF($A717="","",INDEX(PERLINE!$I$2:$I$3001,MATCH($A717,PERLINE!$N$2:$N$3001,0)))</f>
        <v/>
      </c>
      <c r="D717" s="17" t="str">
        <f aca="false">IF($A717="","",'كشف المطالبة'!$D$6)</f>
        <v/>
      </c>
      <c r="E717" s="18" t="str">
        <f aca="false">IF($A717="","",SUMIFS(PERLINE!$U$2:$U$3001,PERLINE!$N$2:$N$3001,$A717,PERLINE!$AK$2:$AK$3001,0))</f>
        <v/>
      </c>
      <c r="F717" s="19" t="str">
        <f aca="false">IF($A717="","",E717*D717)</f>
        <v/>
      </c>
      <c r="G717" s="17" t="str">
        <f aca="false">IF($A717="","",'كشف المطالبة'!$D$5)</f>
        <v/>
      </c>
      <c r="H717" s="18" t="str">
        <f aca="false">IF($A717="","",SUMIFS(PERLINE!$U$2:$U$3001,PERLINE!$N$2:$N$3001,$A717,PERLINE!$AK$2:$AK$3001,1))</f>
        <v/>
      </c>
      <c r="I717" s="19" t="str">
        <f aca="false">IF($A717="","",H717*G717)</f>
        <v/>
      </c>
      <c r="J717" s="19" t="str">
        <f aca="false">IF($A717="","",F717+I717)</f>
        <v/>
      </c>
      <c r="K717" s="19" t="str">
        <f aca="false">IF($A717="","",H717+E717)</f>
        <v/>
      </c>
      <c r="L717" s="20" t="str">
        <f aca="false">IF($A717="","",K717-J717-N717)</f>
        <v/>
      </c>
      <c r="M717" s="15" t="str">
        <f aca="false">IF($A717="","",INDEX(PERLINE!$A$2:$A$3001,MATCH($A717,PERLINE!$N$2:$N$3001,0)))</f>
        <v/>
      </c>
      <c r="N717" s="21" t="str">
        <f aca="false">IF($A717="","",SUMIFS(PERLINE!$M$2:$M$3001,PERLINE!$N$2:$N$3001,$A717))</f>
        <v/>
      </c>
    </row>
    <row r="718" customFormat="false" ht="15" hidden="false" customHeight="false" outlineLevel="0" collapsed="false">
      <c r="A718" s="15" t="str">
        <f aca="false">IF(ROWS($A$2:$A718)&lt;=Check!$C$4,SMALL(PERLINE!$AL$2:$AL$3001,ROWS($A$2:$A718)),"")</f>
        <v/>
      </c>
      <c r="B718" s="15" t="str">
        <f aca="false">IF($A718="","",INDEX(PERLINE!$J$2:$J$3001,MATCH($A718,PERLINE!$N$2:$N$3001,0)))</f>
        <v/>
      </c>
      <c r="C718" s="16" t="str">
        <f aca="false">IF($A718="","",INDEX(PERLINE!$I$2:$I$3001,MATCH($A718,PERLINE!$N$2:$N$3001,0)))</f>
        <v/>
      </c>
      <c r="D718" s="17" t="str">
        <f aca="false">IF($A718="","",'كشف المطالبة'!$D$6)</f>
        <v/>
      </c>
      <c r="E718" s="18" t="str">
        <f aca="false">IF($A718="","",SUMIFS(PERLINE!$U$2:$U$3001,PERLINE!$N$2:$N$3001,$A718,PERLINE!$AK$2:$AK$3001,0))</f>
        <v/>
      </c>
      <c r="F718" s="19" t="str">
        <f aca="false">IF($A718="","",E718*D718)</f>
        <v/>
      </c>
      <c r="G718" s="17" t="str">
        <f aca="false">IF($A718="","",'كشف المطالبة'!$D$5)</f>
        <v/>
      </c>
      <c r="H718" s="18" t="str">
        <f aca="false">IF($A718="","",SUMIFS(PERLINE!$U$2:$U$3001,PERLINE!$N$2:$N$3001,$A718,PERLINE!$AK$2:$AK$3001,1))</f>
        <v/>
      </c>
      <c r="I718" s="19" t="str">
        <f aca="false">IF($A718="","",H718*G718)</f>
        <v/>
      </c>
      <c r="J718" s="19" t="str">
        <f aca="false">IF($A718="","",F718+I718)</f>
        <v/>
      </c>
      <c r="K718" s="19" t="str">
        <f aca="false">IF($A718="","",H718+E718)</f>
        <v/>
      </c>
      <c r="L718" s="20" t="str">
        <f aca="false">IF($A718="","",K718-J718-N718)</f>
        <v/>
      </c>
      <c r="M718" s="15" t="str">
        <f aca="false">IF($A718="","",INDEX(PERLINE!$A$2:$A$3001,MATCH($A718,PERLINE!$N$2:$N$3001,0)))</f>
        <v/>
      </c>
      <c r="N718" s="21" t="str">
        <f aca="false">IF($A718="","",SUMIFS(PERLINE!$M$2:$M$3001,PERLINE!$N$2:$N$3001,$A718))</f>
        <v/>
      </c>
    </row>
    <row r="719" customFormat="false" ht="15" hidden="false" customHeight="false" outlineLevel="0" collapsed="false">
      <c r="A719" s="15" t="str">
        <f aca="false">IF(ROWS($A$2:$A719)&lt;=Check!$C$4,SMALL(PERLINE!$AL$2:$AL$3001,ROWS($A$2:$A719)),"")</f>
        <v/>
      </c>
      <c r="B719" s="15" t="str">
        <f aca="false">IF($A719="","",INDEX(PERLINE!$J$2:$J$3001,MATCH($A719,PERLINE!$N$2:$N$3001,0)))</f>
        <v/>
      </c>
      <c r="C719" s="16" t="str">
        <f aca="false">IF($A719="","",INDEX(PERLINE!$I$2:$I$3001,MATCH($A719,PERLINE!$N$2:$N$3001,0)))</f>
        <v/>
      </c>
      <c r="D719" s="17" t="str">
        <f aca="false">IF($A719="","",'كشف المطالبة'!$D$6)</f>
        <v/>
      </c>
      <c r="E719" s="18" t="str">
        <f aca="false">IF($A719="","",SUMIFS(PERLINE!$U$2:$U$3001,PERLINE!$N$2:$N$3001,$A719,PERLINE!$AK$2:$AK$3001,0))</f>
        <v/>
      </c>
      <c r="F719" s="19" t="str">
        <f aca="false">IF($A719="","",E719*D719)</f>
        <v/>
      </c>
      <c r="G719" s="17" t="str">
        <f aca="false">IF($A719="","",'كشف المطالبة'!$D$5)</f>
        <v/>
      </c>
      <c r="H719" s="18" t="str">
        <f aca="false">IF($A719="","",SUMIFS(PERLINE!$U$2:$U$3001,PERLINE!$N$2:$N$3001,$A719,PERLINE!$AK$2:$AK$3001,1))</f>
        <v/>
      </c>
      <c r="I719" s="19" t="str">
        <f aca="false">IF($A719="","",H719*G719)</f>
        <v/>
      </c>
      <c r="J719" s="19" t="str">
        <f aca="false">IF($A719="","",F719+I719)</f>
        <v/>
      </c>
      <c r="K719" s="19" t="str">
        <f aca="false">IF($A719="","",H719+E719)</f>
        <v/>
      </c>
      <c r="L719" s="20" t="str">
        <f aca="false">IF($A719="","",K719-J719-N719)</f>
        <v/>
      </c>
      <c r="M719" s="15" t="str">
        <f aca="false">IF($A719="","",INDEX(PERLINE!$A$2:$A$3001,MATCH($A719,PERLINE!$N$2:$N$3001,0)))</f>
        <v/>
      </c>
      <c r="N719" s="21" t="str">
        <f aca="false">IF($A719="","",SUMIFS(PERLINE!$M$2:$M$3001,PERLINE!$N$2:$N$3001,$A719))</f>
        <v/>
      </c>
    </row>
    <row r="720" customFormat="false" ht="15" hidden="false" customHeight="false" outlineLevel="0" collapsed="false">
      <c r="A720" s="15" t="str">
        <f aca="false">IF(ROWS($A$2:$A720)&lt;=Check!$C$4,SMALL(PERLINE!$AL$2:$AL$3001,ROWS($A$2:$A720)),"")</f>
        <v/>
      </c>
      <c r="B720" s="15" t="str">
        <f aca="false">IF($A720="","",INDEX(PERLINE!$J$2:$J$3001,MATCH($A720,PERLINE!$N$2:$N$3001,0)))</f>
        <v/>
      </c>
      <c r="C720" s="16" t="str">
        <f aca="false">IF($A720="","",INDEX(PERLINE!$I$2:$I$3001,MATCH($A720,PERLINE!$N$2:$N$3001,0)))</f>
        <v/>
      </c>
      <c r="D720" s="17" t="str">
        <f aca="false">IF($A720="","",'كشف المطالبة'!$D$6)</f>
        <v/>
      </c>
      <c r="E720" s="18" t="str">
        <f aca="false">IF($A720="","",SUMIFS(PERLINE!$U$2:$U$3001,PERLINE!$N$2:$N$3001,$A720,PERLINE!$AK$2:$AK$3001,0))</f>
        <v/>
      </c>
      <c r="F720" s="19" t="str">
        <f aca="false">IF($A720="","",E720*D720)</f>
        <v/>
      </c>
      <c r="G720" s="17" t="str">
        <f aca="false">IF($A720="","",'كشف المطالبة'!$D$5)</f>
        <v/>
      </c>
      <c r="H720" s="18" t="str">
        <f aca="false">IF($A720="","",SUMIFS(PERLINE!$U$2:$U$3001,PERLINE!$N$2:$N$3001,$A720,PERLINE!$AK$2:$AK$3001,1))</f>
        <v/>
      </c>
      <c r="I720" s="19" t="str">
        <f aca="false">IF($A720="","",H720*G720)</f>
        <v/>
      </c>
      <c r="J720" s="19" t="str">
        <f aca="false">IF($A720="","",F720+I720)</f>
        <v/>
      </c>
      <c r="K720" s="19" t="str">
        <f aca="false">IF($A720="","",H720+E720)</f>
        <v/>
      </c>
      <c r="L720" s="20" t="str">
        <f aca="false">IF($A720="","",K720-J720-N720)</f>
        <v/>
      </c>
      <c r="M720" s="15" t="str">
        <f aca="false">IF($A720="","",INDEX(PERLINE!$A$2:$A$3001,MATCH($A720,PERLINE!$N$2:$N$3001,0)))</f>
        <v/>
      </c>
      <c r="N720" s="21" t="str">
        <f aca="false">IF($A720="","",SUMIFS(PERLINE!$M$2:$M$3001,PERLINE!$N$2:$N$3001,$A720))</f>
        <v/>
      </c>
    </row>
    <row r="721" customFormat="false" ht="15" hidden="false" customHeight="false" outlineLevel="0" collapsed="false">
      <c r="A721" s="15" t="str">
        <f aca="false">IF(ROWS($A$2:$A721)&lt;=Check!$C$4,SMALL(PERLINE!$AL$2:$AL$3001,ROWS($A$2:$A721)),"")</f>
        <v/>
      </c>
      <c r="B721" s="15" t="str">
        <f aca="false">IF($A721="","",INDEX(PERLINE!$J$2:$J$3001,MATCH($A721,PERLINE!$N$2:$N$3001,0)))</f>
        <v/>
      </c>
      <c r="C721" s="16" t="str">
        <f aca="false">IF($A721="","",INDEX(PERLINE!$I$2:$I$3001,MATCH($A721,PERLINE!$N$2:$N$3001,0)))</f>
        <v/>
      </c>
      <c r="D721" s="17" t="str">
        <f aca="false">IF($A721="","",'كشف المطالبة'!$D$6)</f>
        <v/>
      </c>
      <c r="E721" s="18" t="str">
        <f aca="false">IF($A721="","",SUMIFS(PERLINE!$U$2:$U$3001,PERLINE!$N$2:$N$3001,$A721,PERLINE!$AK$2:$AK$3001,0))</f>
        <v/>
      </c>
      <c r="F721" s="19" t="str">
        <f aca="false">IF($A721="","",E721*D721)</f>
        <v/>
      </c>
      <c r="G721" s="17" t="str">
        <f aca="false">IF($A721="","",'كشف المطالبة'!$D$5)</f>
        <v/>
      </c>
      <c r="H721" s="18" t="str">
        <f aca="false">IF($A721="","",SUMIFS(PERLINE!$U$2:$U$3001,PERLINE!$N$2:$N$3001,$A721,PERLINE!$AK$2:$AK$3001,1))</f>
        <v/>
      </c>
      <c r="I721" s="19" t="str">
        <f aca="false">IF($A721="","",H721*G721)</f>
        <v/>
      </c>
      <c r="J721" s="19" t="str">
        <f aca="false">IF($A721="","",F721+I721)</f>
        <v/>
      </c>
      <c r="K721" s="19" t="str">
        <f aca="false">IF($A721="","",H721+E721)</f>
        <v/>
      </c>
      <c r="L721" s="20" t="str">
        <f aca="false">IF($A721="","",K721-J721-N721)</f>
        <v/>
      </c>
      <c r="M721" s="15" t="str">
        <f aca="false">IF($A721="","",INDEX(PERLINE!$A$2:$A$3001,MATCH($A721,PERLINE!$N$2:$N$3001,0)))</f>
        <v/>
      </c>
      <c r="N721" s="21" t="str">
        <f aca="false">IF($A721="","",SUMIFS(PERLINE!$M$2:$M$3001,PERLINE!$N$2:$N$3001,$A721))</f>
        <v/>
      </c>
    </row>
    <row r="722" customFormat="false" ht="15" hidden="false" customHeight="false" outlineLevel="0" collapsed="false">
      <c r="A722" s="15" t="str">
        <f aca="false">IF(ROWS($A$2:$A722)&lt;=Check!$C$4,SMALL(PERLINE!$AL$2:$AL$3001,ROWS($A$2:$A722)),"")</f>
        <v/>
      </c>
      <c r="B722" s="15" t="str">
        <f aca="false">IF($A722="","",INDEX(PERLINE!$J$2:$J$3001,MATCH($A722,PERLINE!$N$2:$N$3001,0)))</f>
        <v/>
      </c>
      <c r="C722" s="16" t="str">
        <f aca="false">IF($A722="","",INDEX(PERLINE!$I$2:$I$3001,MATCH($A722,PERLINE!$N$2:$N$3001,0)))</f>
        <v/>
      </c>
      <c r="D722" s="17" t="str">
        <f aca="false">IF($A722="","",'كشف المطالبة'!$D$6)</f>
        <v/>
      </c>
      <c r="E722" s="18" t="str">
        <f aca="false">IF($A722="","",SUMIFS(PERLINE!$U$2:$U$3001,PERLINE!$N$2:$N$3001,$A722,PERLINE!$AK$2:$AK$3001,0))</f>
        <v/>
      </c>
      <c r="F722" s="19" t="str">
        <f aca="false">IF($A722="","",E722*D722)</f>
        <v/>
      </c>
      <c r="G722" s="17" t="str">
        <f aca="false">IF($A722="","",'كشف المطالبة'!$D$5)</f>
        <v/>
      </c>
      <c r="H722" s="18" t="str">
        <f aca="false">IF($A722="","",SUMIFS(PERLINE!$U$2:$U$3001,PERLINE!$N$2:$N$3001,$A722,PERLINE!$AK$2:$AK$3001,1))</f>
        <v/>
      </c>
      <c r="I722" s="19" t="str">
        <f aca="false">IF($A722="","",H722*G722)</f>
        <v/>
      </c>
      <c r="J722" s="19" t="str">
        <f aca="false">IF($A722="","",F722+I722)</f>
        <v/>
      </c>
      <c r="K722" s="19" t="str">
        <f aca="false">IF($A722="","",H722+E722)</f>
        <v/>
      </c>
      <c r="L722" s="20" t="str">
        <f aca="false">IF($A722="","",K722-J722-N722)</f>
        <v/>
      </c>
      <c r="M722" s="15" t="str">
        <f aca="false">IF($A722="","",INDEX(PERLINE!$A$2:$A$3001,MATCH($A722,PERLINE!$N$2:$N$3001,0)))</f>
        <v/>
      </c>
      <c r="N722" s="21" t="str">
        <f aca="false">IF($A722="","",SUMIFS(PERLINE!$M$2:$M$3001,PERLINE!$N$2:$N$3001,$A722))</f>
        <v/>
      </c>
    </row>
    <row r="723" customFormat="false" ht="15" hidden="false" customHeight="false" outlineLevel="0" collapsed="false">
      <c r="A723" s="15" t="str">
        <f aca="false">IF(ROWS($A$2:$A723)&lt;=Check!$C$4,SMALL(PERLINE!$AL$2:$AL$3001,ROWS($A$2:$A723)),"")</f>
        <v/>
      </c>
      <c r="B723" s="15" t="str">
        <f aca="false">IF($A723="","",INDEX(PERLINE!$J$2:$J$3001,MATCH($A723,PERLINE!$N$2:$N$3001,0)))</f>
        <v/>
      </c>
      <c r="C723" s="16" t="str">
        <f aca="false">IF($A723="","",INDEX(PERLINE!$I$2:$I$3001,MATCH($A723,PERLINE!$N$2:$N$3001,0)))</f>
        <v/>
      </c>
      <c r="D723" s="17" t="str">
        <f aca="false">IF($A723="","",'كشف المطالبة'!$D$6)</f>
        <v/>
      </c>
      <c r="E723" s="18" t="str">
        <f aca="false">IF($A723="","",SUMIFS(PERLINE!$U$2:$U$3001,PERLINE!$N$2:$N$3001,$A723,PERLINE!$AK$2:$AK$3001,0))</f>
        <v/>
      </c>
      <c r="F723" s="19" t="str">
        <f aca="false">IF($A723="","",E723*D723)</f>
        <v/>
      </c>
      <c r="G723" s="17" t="str">
        <f aca="false">IF($A723="","",'كشف المطالبة'!$D$5)</f>
        <v/>
      </c>
      <c r="H723" s="18" t="str">
        <f aca="false">IF($A723="","",SUMIFS(PERLINE!$U$2:$U$3001,PERLINE!$N$2:$N$3001,$A723,PERLINE!$AK$2:$AK$3001,1))</f>
        <v/>
      </c>
      <c r="I723" s="19" t="str">
        <f aca="false">IF($A723="","",H723*G723)</f>
        <v/>
      </c>
      <c r="J723" s="19" t="str">
        <f aca="false">IF($A723="","",F723+I723)</f>
        <v/>
      </c>
      <c r="K723" s="19" t="str">
        <f aca="false">IF($A723="","",H723+E723)</f>
        <v/>
      </c>
      <c r="L723" s="20" t="str">
        <f aca="false">IF($A723="","",K723-J723-N723)</f>
        <v/>
      </c>
      <c r="M723" s="15" t="str">
        <f aca="false">IF($A723="","",INDEX(PERLINE!$A$2:$A$3001,MATCH($A723,PERLINE!$N$2:$N$3001,0)))</f>
        <v/>
      </c>
      <c r="N723" s="21" t="str">
        <f aca="false">IF($A723="","",SUMIFS(PERLINE!$M$2:$M$3001,PERLINE!$N$2:$N$3001,$A723))</f>
        <v/>
      </c>
    </row>
    <row r="724" customFormat="false" ht="15" hidden="false" customHeight="false" outlineLevel="0" collapsed="false">
      <c r="A724" s="15" t="str">
        <f aca="false">IF(ROWS($A$2:$A724)&lt;=Check!$C$4,SMALL(PERLINE!$AL$2:$AL$3001,ROWS($A$2:$A724)),"")</f>
        <v/>
      </c>
      <c r="B724" s="15" t="str">
        <f aca="false">IF($A724="","",INDEX(PERLINE!$J$2:$J$3001,MATCH($A724,PERLINE!$N$2:$N$3001,0)))</f>
        <v/>
      </c>
      <c r="C724" s="16" t="str">
        <f aca="false">IF($A724="","",INDEX(PERLINE!$I$2:$I$3001,MATCH($A724,PERLINE!$N$2:$N$3001,0)))</f>
        <v/>
      </c>
      <c r="D724" s="17" t="str">
        <f aca="false">IF($A724="","",'كشف المطالبة'!$D$6)</f>
        <v/>
      </c>
      <c r="E724" s="18" t="str">
        <f aca="false">IF($A724="","",SUMIFS(PERLINE!$U$2:$U$3001,PERLINE!$N$2:$N$3001,$A724,PERLINE!$AK$2:$AK$3001,0))</f>
        <v/>
      </c>
      <c r="F724" s="19" t="str">
        <f aca="false">IF($A724="","",E724*D724)</f>
        <v/>
      </c>
      <c r="G724" s="17" t="str">
        <f aca="false">IF($A724="","",'كشف المطالبة'!$D$5)</f>
        <v/>
      </c>
      <c r="H724" s="18" t="str">
        <f aca="false">IF($A724="","",SUMIFS(PERLINE!$U$2:$U$3001,PERLINE!$N$2:$N$3001,$A724,PERLINE!$AK$2:$AK$3001,1))</f>
        <v/>
      </c>
      <c r="I724" s="19" t="str">
        <f aca="false">IF($A724="","",H724*G724)</f>
        <v/>
      </c>
      <c r="J724" s="19" t="str">
        <f aca="false">IF($A724="","",F724+I724)</f>
        <v/>
      </c>
      <c r="K724" s="19" t="str">
        <f aca="false">IF($A724="","",H724+E724)</f>
        <v/>
      </c>
      <c r="L724" s="20" t="str">
        <f aca="false">IF($A724="","",K724-J724-N724)</f>
        <v/>
      </c>
      <c r="M724" s="15" t="str">
        <f aca="false">IF($A724="","",INDEX(PERLINE!$A$2:$A$3001,MATCH($A724,PERLINE!$N$2:$N$3001,0)))</f>
        <v/>
      </c>
      <c r="N724" s="21" t="str">
        <f aca="false">IF($A724="","",SUMIFS(PERLINE!$M$2:$M$3001,PERLINE!$N$2:$N$3001,$A724))</f>
        <v/>
      </c>
    </row>
    <row r="725" customFormat="false" ht="15" hidden="false" customHeight="false" outlineLevel="0" collapsed="false">
      <c r="A725" s="15" t="str">
        <f aca="false">IF(ROWS($A$2:$A725)&lt;=Check!$C$4,SMALL(PERLINE!$AL$2:$AL$3001,ROWS($A$2:$A725)),"")</f>
        <v/>
      </c>
      <c r="B725" s="15" t="str">
        <f aca="false">IF($A725="","",INDEX(PERLINE!$J$2:$J$3001,MATCH($A725,PERLINE!$N$2:$N$3001,0)))</f>
        <v/>
      </c>
      <c r="C725" s="16" t="str">
        <f aca="false">IF($A725="","",INDEX(PERLINE!$I$2:$I$3001,MATCH($A725,PERLINE!$N$2:$N$3001,0)))</f>
        <v/>
      </c>
      <c r="D725" s="17" t="str">
        <f aca="false">IF($A725="","",'كشف المطالبة'!$D$6)</f>
        <v/>
      </c>
      <c r="E725" s="18" t="str">
        <f aca="false">IF($A725="","",SUMIFS(PERLINE!$U$2:$U$3001,PERLINE!$N$2:$N$3001,$A725,PERLINE!$AK$2:$AK$3001,0))</f>
        <v/>
      </c>
      <c r="F725" s="19" t="str">
        <f aca="false">IF($A725="","",E725*D725)</f>
        <v/>
      </c>
      <c r="G725" s="17" t="str">
        <f aca="false">IF($A725="","",'كشف المطالبة'!$D$5)</f>
        <v/>
      </c>
      <c r="H725" s="18" t="str">
        <f aca="false">IF($A725="","",SUMIFS(PERLINE!$U$2:$U$3001,PERLINE!$N$2:$N$3001,$A725,PERLINE!$AK$2:$AK$3001,1))</f>
        <v/>
      </c>
      <c r="I725" s="19" t="str">
        <f aca="false">IF($A725="","",H725*G725)</f>
        <v/>
      </c>
      <c r="J725" s="19" t="str">
        <f aca="false">IF($A725="","",F725+I725)</f>
        <v/>
      </c>
      <c r="K725" s="19" t="str">
        <f aca="false">IF($A725="","",H725+E725)</f>
        <v/>
      </c>
      <c r="L725" s="20" t="str">
        <f aca="false">IF($A725="","",K725-J725-N725)</f>
        <v/>
      </c>
      <c r="M725" s="15" t="str">
        <f aca="false">IF($A725="","",INDEX(PERLINE!$A$2:$A$3001,MATCH($A725,PERLINE!$N$2:$N$3001,0)))</f>
        <v/>
      </c>
      <c r="N725" s="21" t="str">
        <f aca="false">IF($A725="","",SUMIFS(PERLINE!$M$2:$M$3001,PERLINE!$N$2:$N$3001,$A725))</f>
        <v/>
      </c>
    </row>
    <row r="726" customFormat="false" ht="15" hidden="false" customHeight="false" outlineLevel="0" collapsed="false">
      <c r="A726" s="15" t="str">
        <f aca="false">IF(ROWS($A$2:$A726)&lt;=Check!$C$4,SMALL(PERLINE!$AL$2:$AL$3001,ROWS($A$2:$A726)),"")</f>
        <v/>
      </c>
      <c r="B726" s="15" t="str">
        <f aca="false">IF($A726="","",INDEX(PERLINE!$J$2:$J$3001,MATCH($A726,PERLINE!$N$2:$N$3001,0)))</f>
        <v/>
      </c>
      <c r="C726" s="16" t="str">
        <f aca="false">IF($A726="","",INDEX(PERLINE!$I$2:$I$3001,MATCH($A726,PERLINE!$N$2:$N$3001,0)))</f>
        <v/>
      </c>
      <c r="D726" s="17" t="str">
        <f aca="false">IF($A726="","",'كشف المطالبة'!$D$6)</f>
        <v/>
      </c>
      <c r="E726" s="18" t="str">
        <f aca="false">IF($A726="","",SUMIFS(PERLINE!$U$2:$U$3001,PERLINE!$N$2:$N$3001,$A726,PERLINE!$AK$2:$AK$3001,0))</f>
        <v/>
      </c>
      <c r="F726" s="19" t="str">
        <f aca="false">IF($A726="","",E726*D726)</f>
        <v/>
      </c>
      <c r="G726" s="17" t="str">
        <f aca="false">IF($A726="","",'كشف المطالبة'!$D$5)</f>
        <v/>
      </c>
      <c r="H726" s="18" t="str">
        <f aca="false">IF($A726="","",SUMIFS(PERLINE!$U$2:$U$3001,PERLINE!$N$2:$N$3001,$A726,PERLINE!$AK$2:$AK$3001,1))</f>
        <v/>
      </c>
      <c r="I726" s="19" t="str">
        <f aca="false">IF($A726="","",H726*G726)</f>
        <v/>
      </c>
      <c r="J726" s="19" t="str">
        <f aca="false">IF($A726="","",F726+I726)</f>
        <v/>
      </c>
      <c r="K726" s="19" t="str">
        <f aca="false">IF($A726="","",H726+E726)</f>
        <v/>
      </c>
      <c r="L726" s="20" t="str">
        <f aca="false">IF($A726="","",K726-J726-N726)</f>
        <v/>
      </c>
      <c r="M726" s="15" t="str">
        <f aca="false">IF($A726="","",INDEX(PERLINE!$A$2:$A$3001,MATCH($A726,PERLINE!$N$2:$N$3001,0)))</f>
        <v/>
      </c>
      <c r="N726" s="21" t="str">
        <f aca="false">IF($A726="","",SUMIFS(PERLINE!$M$2:$M$3001,PERLINE!$N$2:$N$3001,$A726))</f>
        <v/>
      </c>
    </row>
    <row r="727" customFormat="false" ht="15" hidden="false" customHeight="false" outlineLevel="0" collapsed="false">
      <c r="A727" s="15" t="str">
        <f aca="false">IF(ROWS($A$2:$A727)&lt;=Check!$C$4,SMALL(PERLINE!$AL$2:$AL$3001,ROWS($A$2:$A727)),"")</f>
        <v/>
      </c>
      <c r="B727" s="15" t="str">
        <f aca="false">IF($A727="","",INDEX(PERLINE!$J$2:$J$3001,MATCH($A727,PERLINE!$N$2:$N$3001,0)))</f>
        <v/>
      </c>
      <c r="C727" s="16" t="str">
        <f aca="false">IF($A727="","",INDEX(PERLINE!$I$2:$I$3001,MATCH($A727,PERLINE!$N$2:$N$3001,0)))</f>
        <v/>
      </c>
      <c r="D727" s="17" t="str">
        <f aca="false">IF($A727="","",'كشف المطالبة'!$D$6)</f>
        <v/>
      </c>
      <c r="E727" s="18" t="str">
        <f aca="false">IF($A727="","",SUMIFS(PERLINE!$U$2:$U$3001,PERLINE!$N$2:$N$3001,$A727,PERLINE!$AK$2:$AK$3001,0))</f>
        <v/>
      </c>
      <c r="F727" s="19" t="str">
        <f aca="false">IF($A727="","",E727*D727)</f>
        <v/>
      </c>
      <c r="G727" s="17" t="str">
        <f aca="false">IF($A727="","",'كشف المطالبة'!$D$5)</f>
        <v/>
      </c>
      <c r="H727" s="18" t="str">
        <f aca="false">IF($A727="","",SUMIFS(PERLINE!$U$2:$U$3001,PERLINE!$N$2:$N$3001,$A727,PERLINE!$AK$2:$AK$3001,1))</f>
        <v/>
      </c>
      <c r="I727" s="19" t="str">
        <f aca="false">IF($A727="","",H727*G727)</f>
        <v/>
      </c>
      <c r="J727" s="19" t="str">
        <f aca="false">IF($A727="","",F727+I727)</f>
        <v/>
      </c>
      <c r="K727" s="19" t="str">
        <f aca="false">IF($A727="","",H727+E727)</f>
        <v/>
      </c>
      <c r="L727" s="20" t="str">
        <f aca="false">IF($A727="","",K727-J727-N727)</f>
        <v/>
      </c>
      <c r="M727" s="15" t="str">
        <f aca="false">IF($A727="","",INDEX(PERLINE!$A$2:$A$3001,MATCH($A727,PERLINE!$N$2:$N$3001,0)))</f>
        <v/>
      </c>
      <c r="N727" s="21" t="str">
        <f aca="false">IF($A727="","",SUMIFS(PERLINE!$M$2:$M$3001,PERLINE!$N$2:$N$3001,$A727))</f>
        <v/>
      </c>
    </row>
    <row r="728" customFormat="false" ht="15" hidden="false" customHeight="false" outlineLevel="0" collapsed="false">
      <c r="A728" s="15" t="str">
        <f aca="false">IF(ROWS($A$2:$A728)&lt;=Check!$C$4,SMALL(PERLINE!$AL$2:$AL$3001,ROWS($A$2:$A728)),"")</f>
        <v/>
      </c>
      <c r="B728" s="15" t="str">
        <f aca="false">IF($A728="","",INDEX(PERLINE!$J$2:$J$3001,MATCH($A728,PERLINE!$N$2:$N$3001,0)))</f>
        <v/>
      </c>
      <c r="C728" s="16" t="str">
        <f aca="false">IF($A728="","",INDEX(PERLINE!$I$2:$I$3001,MATCH($A728,PERLINE!$N$2:$N$3001,0)))</f>
        <v/>
      </c>
      <c r="D728" s="17" t="str">
        <f aca="false">IF($A728="","",'كشف المطالبة'!$D$6)</f>
        <v/>
      </c>
      <c r="E728" s="18" t="str">
        <f aca="false">IF($A728="","",SUMIFS(PERLINE!$U$2:$U$3001,PERLINE!$N$2:$N$3001,$A728,PERLINE!$AK$2:$AK$3001,0))</f>
        <v/>
      </c>
      <c r="F728" s="19" t="str">
        <f aca="false">IF($A728="","",E728*D728)</f>
        <v/>
      </c>
      <c r="G728" s="17" t="str">
        <f aca="false">IF($A728="","",'كشف المطالبة'!$D$5)</f>
        <v/>
      </c>
      <c r="H728" s="18" t="str">
        <f aca="false">IF($A728="","",SUMIFS(PERLINE!$U$2:$U$3001,PERLINE!$N$2:$N$3001,$A728,PERLINE!$AK$2:$AK$3001,1))</f>
        <v/>
      </c>
      <c r="I728" s="19" t="str">
        <f aca="false">IF($A728="","",H728*G728)</f>
        <v/>
      </c>
      <c r="J728" s="19" t="str">
        <f aca="false">IF($A728="","",F728+I728)</f>
        <v/>
      </c>
      <c r="K728" s="19" t="str">
        <f aca="false">IF($A728="","",H728+E728)</f>
        <v/>
      </c>
      <c r="L728" s="20" t="str">
        <f aca="false">IF($A728="","",K728-J728-N728)</f>
        <v/>
      </c>
      <c r="M728" s="15" t="str">
        <f aca="false">IF($A728="","",INDEX(PERLINE!$A$2:$A$3001,MATCH($A728,PERLINE!$N$2:$N$3001,0)))</f>
        <v/>
      </c>
      <c r="N728" s="21" t="str">
        <f aca="false">IF($A728="","",SUMIFS(PERLINE!$M$2:$M$3001,PERLINE!$N$2:$N$3001,$A728))</f>
        <v/>
      </c>
    </row>
    <row r="729" customFormat="false" ht="15" hidden="false" customHeight="false" outlineLevel="0" collapsed="false">
      <c r="A729" s="15" t="str">
        <f aca="false">IF(ROWS($A$2:$A729)&lt;=Check!$C$4,SMALL(PERLINE!$AL$2:$AL$3001,ROWS($A$2:$A729)),"")</f>
        <v/>
      </c>
      <c r="B729" s="15" t="str">
        <f aca="false">IF($A729="","",INDEX(PERLINE!$J$2:$J$3001,MATCH($A729,PERLINE!$N$2:$N$3001,0)))</f>
        <v/>
      </c>
      <c r="C729" s="16" t="str">
        <f aca="false">IF($A729="","",INDEX(PERLINE!$I$2:$I$3001,MATCH($A729,PERLINE!$N$2:$N$3001,0)))</f>
        <v/>
      </c>
      <c r="D729" s="17" t="str">
        <f aca="false">IF($A729="","",'كشف المطالبة'!$D$6)</f>
        <v/>
      </c>
      <c r="E729" s="18" t="str">
        <f aca="false">IF($A729="","",SUMIFS(PERLINE!$U$2:$U$3001,PERLINE!$N$2:$N$3001,$A729,PERLINE!$AK$2:$AK$3001,0))</f>
        <v/>
      </c>
      <c r="F729" s="19" t="str">
        <f aca="false">IF($A729="","",E729*D729)</f>
        <v/>
      </c>
      <c r="G729" s="17" t="str">
        <f aca="false">IF($A729="","",'كشف المطالبة'!$D$5)</f>
        <v/>
      </c>
      <c r="H729" s="18" t="str">
        <f aca="false">IF($A729="","",SUMIFS(PERLINE!$U$2:$U$3001,PERLINE!$N$2:$N$3001,$A729,PERLINE!$AK$2:$AK$3001,1))</f>
        <v/>
      </c>
      <c r="I729" s="19" t="str">
        <f aca="false">IF($A729="","",H729*G729)</f>
        <v/>
      </c>
      <c r="J729" s="19" t="str">
        <f aca="false">IF($A729="","",F729+I729)</f>
        <v/>
      </c>
      <c r="K729" s="19" t="str">
        <f aca="false">IF($A729="","",H729+E729)</f>
        <v/>
      </c>
      <c r="L729" s="20" t="str">
        <f aca="false">IF($A729="","",K729-J729-N729)</f>
        <v/>
      </c>
      <c r="M729" s="15" t="str">
        <f aca="false">IF($A729="","",INDEX(PERLINE!$A$2:$A$3001,MATCH($A729,PERLINE!$N$2:$N$3001,0)))</f>
        <v/>
      </c>
      <c r="N729" s="21" t="str">
        <f aca="false">IF($A729="","",SUMIFS(PERLINE!$M$2:$M$3001,PERLINE!$N$2:$N$3001,$A729))</f>
        <v/>
      </c>
    </row>
    <row r="730" customFormat="false" ht="15" hidden="false" customHeight="false" outlineLevel="0" collapsed="false">
      <c r="A730" s="15" t="str">
        <f aca="false">IF(ROWS($A$2:$A730)&lt;=Check!$C$4,SMALL(PERLINE!$AL$2:$AL$3001,ROWS($A$2:$A730)),"")</f>
        <v/>
      </c>
      <c r="B730" s="15" t="str">
        <f aca="false">IF($A730="","",INDEX(PERLINE!$J$2:$J$3001,MATCH($A730,PERLINE!$N$2:$N$3001,0)))</f>
        <v/>
      </c>
      <c r="C730" s="16" t="str">
        <f aca="false">IF($A730="","",INDEX(PERLINE!$I$2:$I$3001,MATCH($A730,PERLINE!$N$2:$N$3001,0)))</f>
        <v/>
      </c>
      <c r="D730" s="17" t="str">
        <f aca="false">IF($A730="","",'كشف المطالبة'!$D$6)</f>
        <v/>
      </c>
      <c r="E730" s="18" t="str">
        <f aca="false">IF($A730="","",SUMIFS(PERLINE!$U$2:$U$3001,PERLINE!$N$2:$N$3001,$A730,PERLINE!$AK$2:$AK$3001,0))</f>
        <v/>
      </c>
      <c r="F730" s="19" t="str">
        <f aca="false">IF($A730="","",E730*D730)</f>
        <v/>
      </c>
      <c r="G730" s="17" t="str">
        <f aca="false">IF($A730="","",'كشف المطالبة'!$D$5)</f>
        <v/>
      </c>
      <c r="H730" s="18" t="str">
        <f aca="false">IF($A730="","",SUMIFS(PERLINE!$U$2:$U$3001,PERLINE!$N$2:$N$3001,$A730,PERLINE!$AK$2:$AK$3001,1))</f>
        <v/>
      </c>
      <c r="I730" s="19" t="str">
        <f aca="false">IF($A730="","",H730*G730)</f>
        <v/>
      </c>
      <c r="J730" s="19" t="str">
        <f aca="false">IF($A730="","",F730+I730)</f>
        <v/>
      </c>
      <c r="K730" s="19" t="str">
        <f aca="false">IF($A730="","",H730+E730)</f>
        <v/>
      </c>
      <c r="L730" s="20" t="str">
        <f aca="false">IF($A730="","",K730-J730-N730)</f>
        <v/>
      </c>
      <c r="M730" s="15" t="str">
        <f aca="false">IF($A730="","",INDEX(PERLINE!$A$2:$A$3001,MATCH($A730,PERLINE!$N$2:$N$3001,0)))</f>
        <v/>
      </c>
      <c r="N730" s="21" t="str">
        <f aca="false">IF($A730="","",SUMIFS(PERLINE!$M$2:$M$3001,PERLINE!$N$2:$N$3001,$A730))</f>
        <v/>
      </c>
    </row>
    <row r="731" customFormat="false" ht="15" hidden="false" customHeight="false" outlineLevel="0" collapsed="false">
      <c r="A731" s="15" t="str">
        <f aca="false">IF(ROWS($A$2:$A731)&lt;=Check!$C$4,SMALL(PERLINE!$AL$2:$AL$3001,ROWS($A$2:$A731)),"")</f>
        <v/>
      </c>
      <c r="B731" s="15" t="str">
        <f aca="false">IF($A731="","",INDEX(PERLINE!$J$2:$J$3001,MATCH($A731,PERLINE!$N$2:$N$3001,0)))</f>
        <v/>
      </c>
      <c r="C731" s="16" t="str">
        <f aca="false">IF($A731="","",INDEX(PERLINE!$I$2:$I$3001,MATCH($A731,PERLINE!$N$2:$N$3001,0)))</f>
        <v/>
      </c>
      <c r="D731" s="17" t="str">
        <f aca="false">IF($A731="","",'كشف المطالبة'!$D$6)</f>
        <v/>
      </c>
      <c r="E731" s="18" t="str">
        <f aca="false">IF($A731="","",SUMIFS(PERLINE!$U$2:$U$3001,PERLINE!$N$2:$N$3001,$A731,PERLINE!$AK$2:$AK$3001,0))</f>
        <v/>
      </c>
      <c r="F731" s="19" t="str">
        <f aca="false">IF($A731="","",E731*D731)</f>
        <v/>
      </c>
      <c r="G731" s="17" t="str">
        <f aca="false">IF($A731="","",'كشف المطالبة'!$D$5)</f>
        <v/>
      </c>
      <c r="H731" s="18" t="str">
        <f aca="false">IF($A731="","",SUMIFS(PERLINE!$U$2:$U$3001,PERLINE!$N$2:$N$3001,$A731,PERLINE!$AK$2:$AK$3001,1))</f>
        <v/>
      </c>
      <c r="I731" s="19" t="str">
        <f aca="false">IF($A731="","",H731*G731)</f>
        <v/>
      </c>
      <c r="J731" s="19" t="str">
        <f aca="false">IF($A731="","",F731+I731)</f>
        <v/>
      </c>
      <c r="K731" s="19" t="str">
        <f aca="false">IF($A731="","",H731+E731)</f>
        <v/>
      </c>
      <c r="L731" s="20" t="str">
        <f aca="false">IF($A731="","",K731-J731-N731)</f>
        <v/>
      </c>
      <c r="M731" s="15" t="str">
        <f aca="false">IF($A731="","",INDEX(PERLINE!$A$2:$A$3001,MATCH($A731,PERLINE!$N$2:$N$3001,0)))</f>
        <v/>
      </c>
      <c r="N731" s="21" t="str">
        <f aca="false">IF($A731="","",SUMIFS(PERLINE!$M$2:$M$3001,PERLINE!$N$2:$N$3001,$A731))</f>
        <v/>
      </c>
    </row>
    <row r="732" customFormat="false" ht="15" hidden="false" customHeight="false" outlineLevel="0" collapsed="false">
      <c r="A732" s="15" t="str">
        <f aca="false">IF(ROWS($A$2:$A732)&lt;=Check!$C$4,SMALL(PERLINE!$AL$2:$AL$3001,ROWS($A$2:$A732)),"")</f>
        <v/>
      </c>
      <c r="B732" s="15" t="str">
        <f aca="false">IF($A732="","",INDEX(PERLINE!$J$2:$J$3001,MATCH($A732,PERLINE!$N$2:$N$3001,0)))</f>
        <v/>
      </c>
      <c r="C732" s="16" t="str">
        <f aca="false">IF($A732="","",INDEX(PERLINE!$I$2:$I$3001,MATCH($A732,PERLINE!$N$2:$N$3001,0)))</f>
        <v/>
      </c>
      <c r="D732" s="17" t="str">
        <f aca="false">IF($A732="","",'كشف المطالبة'!$D$6)</f>
        <v/>
      </c>
      <c r="E732" s="18" t="str">
        <f aca="false">IF($A732="","",SUMIFS(PERLINE!$U$2:$U$3001,PERLINE!$N$2:$N$3001,$A732,PERLINE!$AK$2:$AK$3001,0))</f>
        <v/>
      </c>
      <c r="F732" s="19" t="str">
        <f aca="false">IF($A732="","",E732*D732)</f>
        <v/>
      </c>
      <c r="G732" s="17" t="str">
        <f aca="false">IF($A732="","",'كشف المطالبة'!$D$5)</f>
        <v/>
      </c>
      <c r="H732" s="18" t="str">
        <f aca="false">IF($A732="","",SUMIFS(PERLINE!$U$2:$U$3001,PERLINE!$N$2:$N$3001,$A732,PERLINE!$AK$2:$AK$3001,1))</f>
        <v/>
      </c>
      <c r="I732" s="19" t="str">
        <f aca="false">IF($A732="","",H732*G732)</f>
        <v/>
      </c>
      <c r="J732" s="19" t="str">
        <f aca="false">IF($A732="","",F732+I732)</f>
        <v/>
      </c>
      <c r="K732" s="19" t="str">
        <f aca="false">IF($A732="","",H732+E732)</f>
        <v/>
      </c>
      <c r="L732" s="20" t="str">
        <f aca="false">IF($A732="","",K732-J732-N732)</f>
        <v/>
      </c>
      <c r="M732" s="15" t="str">
        <f aca="false">IF($A732="","",INDEX(PERLINE!$A$2:$A$3001,MATCH($A732,PERLINE!$N$2:$N$3001,0)))</f>
        <v/>
      </c>
      <c r="N732" s="21" t="str">
        <f aca="false">IF($A732="","",SUMIFS(PERLINE!$M$2:$M$3001,PERLINE!$N$2:$N$3001,$A732))</f>
        <v/>
      </c>
    </row>
    <row r="733" customFormat="false" ht="15" hidden="false" customHeight="false" outlineLevel="0" collapsed="false">
      <c r="A733" s="15" t="str">
        <f aca="false">IF(ROWS($A$2:$A733)&lt;=Check!$C$4,SMALL(PERLINE!$AL$2:$AL$3001,ROWS($A$2:$A733)),"")</f>
        <v/>
      </c>
      <c r="B733" s="15" t="str">
        <f aca="false">IF($A733="","",INDEX(PERLINE!$J$2:$J$3001,MATCH($A733,PERLINE!$N$2:$N$3001,0)))</f>
        <v/>
      </c>
      <c r="C733" s="16" t="str">
        <f aca="false">IF($A733="","",INDEX(PERLINE!$I$2:$I$3001,MATCH($A733,PERLINE!$N$2:$N$3001,0)))</f>
        <v/>
      </c>
      <c r="D733" s="17" t="str">
        <f aca="false">IF($A733="","",'كشف المطالبة'!$D$6)</f>
        <v/>
      </c>
      <c r="E733" s="18" t="str">
        <f aca="false">IF($A733="","",SUMIFS(PERLINE!$U$2:$U$3001,PERLINE!$N$2:$N$3001,$A733,PERLINE!$AK$2:$AK$3001,0))</f>
        <v/>
      </c>
      <c r="F733" s="19" t="str">
        <f aca="false">IF($A733="","",E733*D733)</f>
        <v/>
      </c>
      <c r="G733" s="17" t="str">
        <f aca="false">IF($A733="","",'كشف المطالبة'!$D$5)</f>
        <v/>
      </c>
      <c r="H733" s="18" t="str">
        <f aca="false">IF($A733="","",SUMIFS(PERLINE!$U$2:$U$3001,PERLINE!$N$2:$N$3001,$A733,PERLINE!$AK$2:$AK$3001,1))</f>
        <v/>
      </c>
      <c r="I733" s="19" t="str">
        <f aca="false">IF($A733="","",H733*G733)</f>
        <v/>
      </c>
      <c r="J733" s="19" t="str">
        <f aca="false">IF($A733="","",F733+I733)</f>
        <v/>
      </c>
      <c r="K733" s="19" t="str">
        <f aca="false">IF($A733="","",H733+E733)</f>
        <v/>
      </c>
      <c r="L733" s="20" t="str">
        <f aca="false">IF($A733="","",K733-J733-N733)</f>
        <v/>
      </c>
      <c r="M733" s="15" t="str">
        <f aca="false">IF($A733="","",INDEX(PERLINE!$A$2:$A$3001,MATCH($A733,PERLINE!$N$2:$N$3001,0)))</f>
        <v/>
      </c>
      <c r="N733" s="21" t="str">
        <f aca="false">IF($A733="","",SUMIFS(PERLINE!$M$2:$M$3001,PERLINE!$N$2:$N$3001,$A733))</f>
        <v/>
      </c>
    </row>
    <row r="734" customFormat="false" ht="15" hidden="false" customHeight="false" outlineLevel="0" collapsed="false">
      <c r="A734" s="15" t="str">
        <f aca="false">IF(ROWS($A$2:$A734)&lt;=Check!$C$4,SMALL(PERLINE!$AL$2:$AL$3001,ROWS($A$2:$A734)),"")</f>
        <v/>
      </c>
      <c r="B734" s="15" t="str">
        <f aca="false">IF($A734="","",INDEX(PERLINE!$J$2:$J$3001,MATCH($A734,PERLINE!$N$2:$N$3001,0)))</f>
        <v/>
      </c>
      <c r="C734" s="16" t="str">
        <f aca="false">IF($A734="","",INDEX(PERLINE!$I$2:$I$3001,MATCH($A734,PERLINE!$N$2:$N$3001,0)))</f>
        <v/>
      </c>
      <c r="D734" s="17" t="str">
        <f aca="false">IF($A734="","",'كشف المطالبة'!$D$6)</f>
        <v/>
      </c>
      <c r="E734" s="18" t="str">
        <f aca="false">IF($A734="","",SUMIFS(PERLINE!$U$2:$U$3001,PERLINE!$N$2:$N$3001,$A734,PERLINE!$AK$2:$AK$3001,0))</f>
        <v/>
      </c>
      <c r="F734" s="19" t="str">
        <f aca="false">IF($A734="","",E734*D734)</f>
        <v/>
      </c>
      <c r="G734" s="17" t="str">
        <f aca="false">IF($A734="","",'كشف المطالبة'!$D$5)</f>
        <v/>
      </c>
      <c r="H734" s="18" t="str">
        <f aca="false">IF($A734="","",SUMIFS(PERLINE!$U$2:$U$3001,PERLINE!$N$2:$N$3001,$A734,PERLINE!$AK$2:$AK$3001,1))</f>
        <v/>
      </c>
      <c r="I734" s="19" t="str">
        <f aca="false">IF($A734="","",H734*G734)</f>
        <v/>
      </c>
      <c r="J734" s="19" t="str">
        <f aca="false">IF($A734="","",F734+I734)</f>
        <v/>
      </c>
      <c r="K734" s="19" t="str">
        <f aca="false">IF($A734="","",H734+E734)</f>
        <v/>
      </c>
      <c r="L734" s="20" t="str">
        <f aca="false">IF($A734="","",K734-J734-N734)</f>
        <v/>
      </c>
      <c r="M734" s="15" t="str">
        <f aca="false">IF($A734="","",INDEX(PERLINE!$A$2:$A$3001,MATCH($A734,PERLINE!$N$2:$N$3001,0)))</f>
        <v/>
      </c>
      <c r="N734" s="21" t="str">
        <f aca="false">IF($A734="","",SUMIFS(PERLINE!$M$2:$M$3001,PERLINE!$N$2:$N$3001,$A734))</f>
        <v/>
      </c>
    </row>
    <row r="735" customFormat="false" ht="15" hidden="false" customHeight="false" outlineLevel="0" collapsed="false">
      <c r="A735" s="15" t="str">
        <f aca="false">IF(ROWS($A$2:$A735)&lt;=Check!$C$4,SMALL(PERLINE!$AL$2:$AL$3001,ROWS($A$2:$A735)),"")</f>
        <v/>
      </c>
      <c r="B735" s="15" t="str">
        <f aca="false">IF($A735="","",INDEX(PERLINE!$J$2:$J$3001,MATCH($A735,PERLINE!$N$2:$N$3001,0)))</f>
        <v/>
      </c>
      <c r="C735" s="16" t="str">
        <f aca="false">IF($A735="","",INDEX(PERLINE!$I$2:$I$3001,MATCH($A735,PERLINE!$N$2:$N$3001,0)))</f>
        <v/>
      </c>
      <c r="D735" s="17" t="str">
        <f aca="false">IF($A735="","",'كشف المطالبة'!$D$6)</f>
        <v/>
      </c>
      <c r="E735" s="18" t="str">
        <f aca="false">IF($A735="","",SUMIFS(PERLINE!$U$2:$U$3001,PERLINE!$N$2:$N$3001,$A735,PERLINE!$AK$2:$AK$3001,0))</f>
        <v/>
      </c>
      <c r="F735" s="19" t="str">
        <f aca="false">IF($A735="","",E735*D735)</f>
        <v/>
      </c>
      <c r="G735" s="17" t="str">
        <f aca="false">IF($A735="","",'كشف المطالبة'!$D$5)</f>
        <v/>
      </c>
      <c r="H735" s="18" t="str">
        <f aca="false">IF($A735="","",SUMIFS(PERLINE!$U$2:$U$3001,PERLINE!$N$2:$N$3001,$A735,PERLINE!$AK$2:$AK$3001,1))</f>
        <v/>
      </c>
      <c r="I735" s="19" t="str">
        <f aca="false">IF($A735="","",H735*G735)</f>
        <v/>
      </c>
      <c r="J735" s="19" t="str">
        <f aca="false">IF($A735="","",F735+I735)</f>
        <v/>
      </c>
      <c r="K735" s="19" t="str">
        <f aca="false">IF($A735="","",H735+E735)</f>
        <v/>
      </c>
      <c r="L735" s="20" t="str">
        <f aca="false">IF($A735="","",K735-J735-N735)</f>
        <v/>
      </c>
      <c r="M735" s="15" t="str">
        <f aca="false">IF($A735="","",INDEX(PERLINE!$A$2:$A$3001,MATCH($A735,PERLINE!$N$2:$N$3001,0)))</f>
        <v/>
      </c>
      <c r="N735" s="21" t="str">
        <f aca="false">IF($A735="","",SUMIFS(PERLINE!$M$2:$M$3001,PERLINE!$N$2:$N$3001,$A735))</f>
        <v/>
      </c>
    </row>
    <row r="736" customFormat="false" ht="15" hidden="false" customHeight="false" outlineLevel="0" collapsed="false">
      <c r="A736" s="15" t="str">
        <f aca="false">IF(ROWS($A$2:$A736)&lt;=Check!$C$4,SMALL(PERLINE!$AL$2:$AL$3001,ROWS($A$2:$A736)),"")</f>
        <v/>
      </c>
      <c r="B736" s="15" t="str">
        <f aca="false">IF($A736="","",INDEX(PERLINE!$J$2:$J$3001,MATCH($A736,PERLINE!$N$2:$N$3001,0)))</f>
        <v/>
      </c>
      <c r="C736" s="16" t="str">
        <f aca="false">IF($A736="","",INDEX(PERLINE!$I$2:$I$3001,MATCH($A736,PERLINE!$N$2:$N$3001,0)))</f>
        <v/>
      </c>
      <c r="D736" s="17" t="str">
        <f aca="false">IF($A736="","",'كشف المطالبة'!$D$6)</f>
        <v/>
      </c>
      <c r="E736" s="18" t="str">
        <f aca="false">IF($A736="","",SUMIFS(PERLINE!$U$2:$U$3001,PERLINE!$N$2:$N$3001,$A736,PERLINE!$AK$2:$AK$3001,0))</f>
        <v/>
      </c>
      <c r="F736" s="19" t="str">
        <f aca="false">IF($A736="","",E736*D736)</f>
        <v/>
      </c>
      <c r="G736" s="17" t="str">
        <f aca="false">IF($A736="","",'كشف المطالبة'!$D$5)</f>
        <v/>
      </c>
      <c r="H736" s="18" t="str">
        <f aca="false">IF($A736="","",SUMIFS(PERLINE!$U$2:$U$3001,PERLINE!$N$2:$N$3001,$A736,PERLINE!$AK$2:$AK$3001,1))</f>
        <v/>
      </c>
      <c r="I736" s="19" t="str">
        <f aca="false">IF($A736="","",H736*G736)</f>
        <v/>
      </c>
      <c r="J736" s="19" t="str">
        <f aca="false">IF($A736="","",F736+I736)</f>
        <v/>
      </c>
      <c r="K736" s="19" t="str">
        <f aca="false">IF($A736="","",H736+E736)</f>
        <v/>
      </c>
      <c r="L736" s="20" t="str">
        <f aca="false">IF($A736="","",K736-J736-N736)</f>
        <v/>
      </c>
      <c r="M736" s="15" t="str">
        <f aca="false">IF($A736="","",INDEX(PERLINE!$A$2:$A$3001,MATCH($A736,PERLINE!$N$2:$N$3001,0)))</f>
        <v/>
      </c>
      <c r="N736" s="21" t="str">
        <f aca="false">IF($A736="","",SUMIFS(PERLINE!$M$2:$M$3001,PERLINE!$N$2:$N$3001,$A736))</f>
        <v/>
      </c>
    </row>
    <row r="737" customFormat="false" ht="15" hidden="false" customHeight="false" outlineLevel="0" collapsed="false">
      <c r="A737" s="15" t="str">
        <f aca="false">IF(ROWS($A$2:$A737)&lt;=Check!$C$4,SMALL(PERLINE!$AL$2:$AL$3001,ROWS($A$2:$A737)),"")</f>
        <v/>
      </c>
      <c r="B737" s="15" t="str">
        <f aca="false">IF($A737="","",INDEX(PERLINE!$J$2:$J$3001,MATCH($A737,PERLINE!$N$2:$N$3001,0)))</f>
        <v/>
      </c>
      <c r="C737" s="16" t="str">
        <f aca="false">IF($A737="","",INDEX(PERLINE!$I$2:$I$3001,MATCH($A737,PERLINE!$N$2:$N$3001,0)))</f>
        <v/>
      </c>
      <c r="D737" s="17" t="str">
        <f aca="false">IF($A737="","",'كشف المطالبة'!$D$6)</f>
        <v/>
      </c>
      <c r="E737" s="18" t="str">
        <f aca="false">IF($A737="","",SUMIFS(PERLINE!$U$2:$U$3001,PERLINE!$N$2:$N$3001,$A737,PERLINE!$AK$2:$AK$3001,0))</f>
        <v/>
      </c>
      <c r="F737" s="19" t="str">
        <f aca="false">IF($A737="","",E737*D737)</f>
        <v/>
      </c>
      <c r="G737" s="17" t="str">
        <f aca="false">IF($A737="","",'كشف المطالبة'!$D$5)</f>
        <v/>
      </c>
      <c r="H737" s="18" t="str">
        <f aca="false">IF($A737="","",SUMIFS(PERLINE!$U$2:$U$3001,PERLINE!$N$2:$N$3001,$A737,PERLINE!$AK$2:$AK$3001,1))</f>
        <v/>
      </c>
      <c r="I737" s="19" t="str">
        <f aca="false">IF($A737="","",H737*G737)</f>
        <v/>
      </c>
      <c r="J737" s="19" t="str">
        <f aca="false">IF($A737="","",F737+I737)</f>
        <v/>
      </c>
      <c r="K737" s="19" t="str">
        <f aca="false">IF($A737="","",H737+E737)</f>
        <v/>
      </c>
      <c r="L737" s="20" t="str">
        <f aca="false">IF($A737="","",K737-J737-N737)</f>
        <v/>
      </c>
      <c r="M737" s="15" t="str">
        <f aca="false">IF($A737="","",INDEX(PERLINE!$A$2:$A$3001,MATCH($A737,PERLINE!$N$2:$N$3001,0)))</f>
        <v/>
      </c>
      <c r="N737" s="21" t="str">
        <f aca="false">IF($A737="","",SUMIFS(PERLINE!$M$2:$M$3001,PERLINE!$N$2:$N$3001,$A737))</f>
        <v/>
      </c>
    </row>
    <row r="738" customFormat="false" ht="15" hidden="false" customHeight="false" outlineLevel="0" collapsed="false">
      <c r="A738" s="15" t="str">
        <f aca="false">IF(ROWS($A$2:$A738)&lt;=Check!$C$4,SMALL(PERLINE!$AL$2:$AL$3001,ROWS($A$2:$A738)),"")</f>
        <v/>
      </c>
      <c r="B738" s="15" t="str">
        <f aca="false">IF($A738="","",INDEX(PERLINE!$J$2:$J$3001,MATCH($A738,PERLINE!$N$2:$N$3001,0)))</f>
        <v/>
      </c>
      <c r="C738" s="16" t="str">
        <f aca="false">IF($A738="","",INDEX(PERLINE!$I$2:$I$3001,MATCH($A738,PERLINE!$N$2:$N$3001,0)))</f>
        <v/>
      </c>
      <c r="D738" s="17" t="str">
        <f aca="false">IF($A738="","",'كشف المطالبة'!$D$6)</f>
        <v/>
      </c>
      <c r="E738" s="18" t="str">
        <f aca="false">IF($A738="","",SUMIFS(PERLINE!$U$2:$U$3001,PERLINE!$N$2:$N$3001,$A738,PERLINE!$AK$2:$AK$3001,0))</f>
        <v/>
      </c>
      <c r="F738" s="19" t="str">
        <f aca="false">IF($A738="","",E738*D738)</f>
        <v/>
      </c>
      <c r="G738" s="17" t="str">
        <f aca="false">IF($A738="","",'كشف المطالبة'!$D$5)</f>
        <v/>
      </c>
      <c r="H738" s="18" t="str">
        <f aca="false">IF($A738="","",SUMIFS(PERLINE!$U$2:$U$3001,PERLINE!$N$2:$N$3001,$A738,PERLINE!$AK$2:$AK$3001,1))</f>
        <v/>
      </c>
      <c r="I738" s="19" t="str">
        <f aca="false">IF($A738="","",H738*G738)</f>
        <v/>
      </c>
      <c r="J738" s="19" t="str">
        <f aca="false">IF($A738="","",F738+I738)</f>
        <v/>
      </c>
      <c r="K738" s="19" t="str">
        <f aca="false">IF($A738="","",H738+E738)</f>
        <v/>
      </c>
      <c r="L738" s="20" t="str">
        <f aca="false">IF($A738="","",K738-J738-N738)</f>
        <v/>
      </c>
      <c r="M738" s="15" t="str">
        <f aca="false">IF($A738="","",INDEX(PERLINE!$A$2:$A$3001,MATCH($A738,PERLINE!$N$2:$N$3001,0)))</f>
        <v/>
      </c>
      <c r="N738" s="21" t="str">
        <f aca="false">IF($A738="","",SUMIFS(PERLINE!$M$2:$M$3001,PERLINE!$N$2:$N$3001,$A738))</f>
        <v/>
      </c>
    </row>
    <row r="739" customFormat="false" ht="15" hidden="false" customHeight="false" outlineLevel="0" collapsed="false">
      <c r="A739" s="15" t="str">
        <f aca="false">IF(ROWS($A$2:$A739)&lt;=Check!$C$4,SMALL(PERLINE!$AL$2:$AL$3001,ROWS($A$2:$A739)),"")</f>
        <v/>
      </c>
      <c r="B739" s="15" t="str">
        <f aca="false">IF($A739="","",INDEX(PERLINE!$J$2:$J$3001,MATCH($A739,PERLINE!$N$2:$N$3001,0)))</f>
        <v/>
      </c>
      <c r="C739" s="16" t="str">
        <f aca="false">IF($A739="","",INDEX(PERLINE!$I$2:$I$3001,MATCH($A739,PERLINE!$N$2:$N$3001,0)))</f>
        <v/>
      </c>
      <c r="D739" s="17" t="str">
        <f aca="false">IF($A739="","",'كشف المطالبة'!$D$6)</f>
        <v/>
      </c>
      <c r="E739" s="18" t="str">
        <f aca="false">IF($A739="","",SUMIFS(PERLINE!$U$2:$U$3001,PERLINE!$N$2:$N$3001,$A739,PERLINE!$AK$2:$AK$3001,0))</f>
        <v/>
      </c>
      <c r="F739" s="19" t="str">
        <f aca="false">IF($A739="","",E739*D739)</f>
        <v/>
      </c>
      <c r="G739" s="17" t="str">
        <f aca="false">IF($A739="","",'كشف المطالبة'!$D$5)</f>
        <v/>
      </c>
      <c r="H739" s="18" t="str">
        <f aca="false">IF($A739="","",SUMIFS(PERLINE!$U$2:$U$3001,PERLINE!$N$2:$N$3001,$A739,PERLINE!$AK$2:$AK$3001,1))</f>
        <v/>
      </c>
      <c r="I739" s="19" t="str">
        <f aca="false">IF($A739="","",H739*G739)</f>
        <v/>
      </c>
      <c r="J739" s="19" t="str">
        <f aca="false">IF($A739="","",F739+I739)</f>
        <v/>
      </c>
      <c r="K739" s="19" t="str">
        <f aca="false">IF($A739="","",H739+E739)</f>
        <v/>
      </c>
      <c r="L739" s="20" t="str">
        <f aca="false">IF($A739="","",K739-J739-N739)</f>
        <v/>
      </c>
      <c r="M739" s="15" t="str">
        <f aca="false">IF($A739="","",INDEX(PERLINE!$A$2:$A$3001,MATCH($A739,PERLINE!$N$2:$N$3001,0)))</f>
        <v/>
      </c>
      <c r="N739" s="21" t="str">
        <f aca="false">IF($A739="","",SUMIFS(PERLINE!$M$2:$M$3001,PERLINE!$N$2:$N$3001,$A739))</f>
        <v/>
      </c>
    </row>
    <row r="740" customFormat="false" ht="15" hidden="false" customHeight="false" outlineLevel="0" collapsed="false">
      <c r="A740" s="15" t="str">
        <f aca="false">IF(ROWS($A$2:$A740)&lt;=Check!$C$4,SMALL(PERLINE!$AL$2:$AL$3001,ROWS($A$2:$A740)),"")</f>
        <v/>
      </c>
      <c r="B740" s="15" t="str">
        <f aca="false">IF($A740="","",INDEX(PERLINE!$J$2:$J$3001,MATCH($A740,PERLINE!$N$2:$N$3001,0)))</f>
        <v/>
      </c>
      <c r="C740" s="16" t="str">
        <f aca="false">IF($A740="","",INDEX(PERLINE!$I$2:$I$3001,MATCH($A740,PERLINE!$N$2:$N$3001,0)))</f>
        <v/>
      </c>
      <c r="D740" s="17" t="str">
        <f aca="false">IF($A740="","",'كشف المطالبة'!$D$6)</f>
        <v/>
      </c>
      <c r="E740" s="18" t="str">
        <f aca="false">IF($A740="","",SUMIFS(PERLINE!$U$2:$U$3001,PERLINE!$N$2:$N$3001,$A740,PERLINE!$AK$2:$AK$3001,0))</f>
        <v/>
      </c>
      <c r="F740" s="19" t="str">
        <f aca="false">IF($A740="","",E740*D740)</f>
        <v/>
      </c>
      <c r="G740" s="17" t="str">
        <f aca="false">IF($A740="","",'كشف المطالبة'!$D$5)</f>
        <v/>
      </c>
      <c r="H740" s="18" t="str">
        <f aca="false">IF($A740="","",SUMIFS(PERLINE!$U$2:$U$3001,PERLINE!$N$2:$N$3001,$A740,PERLINE!$AK$2:$AK$3001,1))</f>
        <v/>
      </c>
      <c r="I740" s="19" t="str">
        <f aca="false">IF($A740="","",H740*G740)</f>
        <v/>
      </c>
      <c r="J740" s="19" t="str">
        <f aca="false">IF($A740="","",F740+I740)</f>
        <v/>
      </c>
      <c r="K740" s="19" t="str">
        <f aca="false">IF($A740="","",H740+E740)</f>
        <v/>
      </c>
      <c r="L740" s="20" t="str">
        <f aca="false">IF($A740="","",K740-J740-N740)</f>
        <v/>
      </c>
      <c r="M740" s="15" t="str">
        <f aca="false">IF($A740="","",INDEX(PERLINE!$A$2:$A$3001,MATCH($A740,PERLINE!$N$2:$N$3001,0)))</f>
        <v/>
      </c>
      <c r="N740" s="21" t="str">
        <f aca="false">IF($A740="","",SUMIFS(PERLINE!$M$2:$M$3001,PERLINE!$N$2:$N$3001,$A740))</f>
        <v/>
      </c>
    </row>
    <row r="741" customFormat="false" ht="15" hidden="false" customHeight="false" outlineLevel="0" collapsed="false">
      <c r="A741" s="15" t="str">
        <f aca="false">IF(ROWS($A$2:$A741)&lt;=Check!$C$4,SMALL(PERLINE!$AL$2:$AL$3001,ROWS($A$2:$A741)),"")</f>
        <v/>
      </c>
      <c r="B741" s="15" t="str">
        <f aca="false">IF($A741="","",INDEX(PERLINE!$J$2:$J$3001,MATCH($A741,PERLINE!$N$2:$N$3001,0)))</f>
        <v/>
      </c>
      <c r="C741" s="16" t="str">
        <f aca="false">IF($A741="","",INDEX(PERLINE!$I$2:$I$3001,MATCH($A741,PERLINE!$N$2:$N$3001,0)))</f>
        <v/>
      </c>
      <c r="D741" s="17" t="str">
        <f aca="false">IF($A741="","",'كشف المطالبة'!$D$6)</f>
        <v/>
      </c>
      <c r="E741" s="18" t="str">
        <f aca="false">IF($A741="","",SUMIFS(PERLINE!$U$2:$U$3001,PERLINE!$N$2:$N$3001,$A741,PERLINE!$AK$2:$AK$3001,0))</f>
        <v/>
      </c>
      <c r="F741" s="19" t="str">
        <f aca="false">IF($A741="","",E741*D741)</f>
        <v/>
      </c>
      <c r="G741" s="17" t="str">
        <f aca="false">IF($A741="","",'كشف المطالبة'!$D$5)</f>
        <v/>
      </c>
      <c r="H741" s="18" t="str">
        <f aca="false">IF($A741="","",SUMIFS(PERLINE!$U$2:$U$3001,PERLINE!$N$2:$N$3001,$A741,PERLINE!$AK$2:$AK$3001,1))</f>
        <v/>
      </c>
      <c r="I741" s="19" t="str">
        <f aca="false">IF($A741="","",H741*G741)</f>
        <v/>
      </c>
      <c r="J741" s="19" t="str">
        <f aca="false">IF($A741="","",F741+I741)</f>
        <v/>
      </c>
      <c r="K741" s="19" t="str">
        <f aca="false">IF($A741="","",H741+E741)</f>
        <v/>
      </c>
      <c r="L741" s="20" t="str">
        <f aca="false">IF($A741="","",K741-J741-N741)</f>
        <v/>
      </c>
      <c r="M741" s="15" t="str">
        <f aca="false">IF($A741="","",INDEX(PERLINE!$A$2:$A$3001,MATCH($A741,PERLINE!$N$2:$N$3001,0)))</f>
        <v/>
      </c>
      <c r="N741" s="21" t="str">
        <f aca="false">IF($A741="","",SUMIFS(PERLINE!$M$2:$M$3001,PERLINE!$N$2:$N$3001,$A741))</f>
        <v/>
      </c>
    </row>
    <row r="742" customFormat="false" ht="15" hidden="false" customHeight="false" outlineLevel="0" collapsed="false">
      <c r="A742" s="15" t="str">
        <f aca="false">IF(ROWS($A$2:$A742)&lt;=Check!$C$4,SMALL(PERLINE!$AL$2:$AL$3001,ROWS($A$2:$A742)),"")</f>
        <v/>
      </c>
      <c r="B742" s="15" t="str">
        <f aca="false">IF($A742="","",INDEX(PERLINE!$J$2:$J$3001,MATCH($A742,PERLINE!$N$2:$N$3001,0)))</f>
        <v/>
      </c>
      <c r="C742" s="16" t="str">
        <f aca="false">IF($A742="","",INDEX(PERLINE!$I$2:$I$3001,MATCH($A742,PERLINE!$N$2:$N$3001,0)))</f>
        <v/>
      </c>
      <c r="D742" s="17" t="str">
        <f aca="false">IF($A742="","",'كشف المطالبة'!$D$6)</f>
        <v/>
      </c>
      <c r="E742" s="18" t="str">
        <f aca="false">IF($A742="","",SUMIFS(PERLINE!$U$2:$U$3001,PERLINE!$N$2:$N$3001,$A742,PERLINE!$AK$2:$AK$3001,0))</f>
        <v/>
      </c>
      <c r="F742" s="19" t="str">
        <f aca="false">IF($A742="","",E742*D742)</f>
        <v/>
      </c>
      <c r="G742" s="17" t="str">
        <f aca="false">IF($A742="","",'كشف المطالبة'!$D$5)</f>
        <v/>
      </c>
      <c r="H742" s="18" t="str">
        <f aca="false">IF($A742="","",SUMIFS(PERLINE!$U$2:$U$3001,PERLINE!$N$2:$N$3001,$A742,PERLINE!$AK$2:$AK$3001,1))</f>
        <v/>
      </c>
      <c r="I742" s="19" t="str">
        <f aca="false">IF($A742="","",H742*G742)</f>
        <v/>
      </c>
      <c r="J742" s="19" t="str">
        <f aca="false">IF($A742="","",F742+I742)</f>
        <v/>
      </c>
      <c r="K742" s="19" t="str">
        <f aca="false">IF($A742="","",H742+E742)</f>
        <v/>
      </c>
      <c r="L742" s="20" t="str">
        <f aca="false">IF($A742="","",K742-J742-N742)</f>
        <v/>
      </c>
      <c r="M742" s="15" t="str">
        <f aca="false">IF($A742="","",INDEX(PERLINE!$A$2:$A$3001,MATCH($A742,PERLINE!$N$2:$N$3001,0)))</f>
        <v/>
      </c>
      <c r="N742" s="21" t="str">
        <f aca="false">IF($A742="","",SUMIFS(PERLINE!$M$2:$M$3001,PERLINE!$N$2:$N$3001,$A742))</f>
        <v/>
      </c>
    </row>
    <row r="743" customFormat="false" ht="15" hidden="false" customHeight="false" outlineLevel="0" collapsed="false">
      <c r="A743" s="15" t="str">
        <f aca="false">IF(ROWS($A$2:$A743)&lt;=Check!$C$4,SMALL(PERLINE!$AL$2:$AL$3001,ROWS($A$2:$A743)),"")</f>
        <v/>
      </c>
      <c r="B743" s="15" t="str">
        <f aca="false">IF($A743="","",INDEX(PERLINE!$J$2:$J$3001,MATCH($A743,PERLINE!$N$2:$N$3001,0)))</f>
        <v/>
      </c>
      <c r="C743" s="16" t="str">
        <f aca="false">IF($A743="","",INDEX(PERLINE!$I$2:$I$3001,MATCH($A743,PERLINE!$N$2:$N$3001,0)))</f>
        <v/>
      </c>
      <c r="D743" s="17" t="str">
        <f aca="false">IF($A743="","",'كشف المطالبة'!$D$6)</f>
        <v/>
      </c>
      <c r="E743" s="18" t="str">
        <f aca="false">IF($A743="","",SUMIFS(PERLINE!$U$2:$U$3001,PERLINE!$N$2:$N$3001,$A743,PERLINE!$AK$2:$AK$3001,0))</f>
        <v/>
      </c>
      <c r="F743" s="19" t="str">
        <f aca="false">IF($A743="","",E743*D743)</f>
        <v/>
      </c>
      <c r="G743" s="17" t="str">
        <f aca="false">IF($A743="","",'كشف المطالبة'!$D$5)</f>
        <v/>
      </c>
      <c r="H743" s="18" t="str">
        <f aca="false">IF($A743="","",SUMIFS(PERLINE!$U$2:$U$3001,PERLINE!$N$2:$N$3001,$A743,PERLINE!$AK$2:$AK$3001,1))</f>
        <v/>
      </c>
      <c r="I743" s="19" t="str">
        <f aca="false">IF($A743="","",H743*G743)</f>
        <v/>
      </c>
      <c r="J743" s="19" t="str">
        <f aca="false">IF($A743="","",F743+I743)</f>
        <v/>
      </c>
      <c r="K743" s="19" t="str">
        <f aca="false">IF($A743="","",H743+E743)</f>
        <v/>
      </c>
      <c r="L743" s="20" t="str">
        <f aca="false">IF($A743="","",K743-J743-N743)</f>
        <v/>
      </c>
      <c r="M743" s="15" t="str">
        <f aca="false">IF($A743="","",INDEX(PERLINE!$A$2:$A$3001,MATCH($A743,PERLINE!$N$2:$N$3001,0)))</f>
        <v/>
      </c>
      <c r="N743" s="21" t="str">
        <f aca="false">IF($A743="","",SUMIFS(PERLINE!$M$2:$M$3001,PERLINE!$N$2:$N$3001,$A743))</f>
        <v/>
      </c>
    </row>
    <row r="744" customFormat="false" ht="15" hidden="false" customHeight="false" outlineLevel="0" collapsed="false">
      <c r="A744" s="15" t="str">
        <f aca="false">IF(ROWS($A$2:$A744)&lt;=Check!$C$4,SMALL(PERLINE!$AL$2:$AL$3001,ROWS($A$2:$A744)),"")</f>
        <v/>
      </c>
      <c r="B744" s="15" t="str">
        <f aca="false">IF($A744="","",INDEX(PERLINE!$J$2:$J$3001,MATCH($A744,PERLINE!$N$2:$N$3001,0)))</f>
        <v/>
      </c>
      <c r="C744" s="16" t="str">
        <f aca="false">IF($A744="","",INDEX(PERLINE!$I$2:$I$3001,MATCH($A744,PERLINE!$N$2:$N$3001,0)))</f>
        <v/>
      </c>
      <c r="D744" s="17" t="str">
        <f aca="false">IF($A744="","",'كشف المطالبة'!$D$6)</f>
        <v/>
      </c>
      <c r="E744" s="18" t="str">
        <f aca="false">IF($A744="","",SUMIFS(PERLINE!$U$2:$U$3001,PERLINE!$N$2:$N$3001,$A744,PERLINE!$AK$2:$AK$3001,0))</f>
        <v/>
      </c>
      <c r="F744" s="19" t="str">
        <f aca="false">IF($A744="","",E744*D744)</f>
        <v/>
      </c>
      <c r="G744" s="17" t="str">
        <f aca="false">IF($A744="","",'كشف المطالبة'!$D$5)</f>
        <v/>
      </c>
      <c r="H744" s="18" t="str">
        <f aca="false">IF($A744="","",SUMIFS(PERLINE!$U$2:$U$3001,PERLINE!$N$2:$N$3001,$A744,PERLINE!$AK$2:$AK$3001,1))</f>
        <v/>
      </c>
      <c r="I744" s="19" t="str">
        <f aca="false">IF($A744="","",H744*G744)</f>
        <v/>
      </c>
      <c r="J744" s="19" t="str">
        <f aca="false">IF($A744="","",F744+I744)</f>
        <v/>
      </c>
      <c r="K744" s="19" t="str">
        <f aca="false">IF($A744="","",H744+E744)</f>
        <v/>
      </c>
      <c r="L744" s="20" t="str">
        <f aca="false">IF($A744="","",K744-J744-N744)</f>
        <v/>
      </c>
      <c r="M744" s="15" t="str">
        <f aca="false">IF($A744="","",INDEX(PERLINE!$A$2:$A$3001,MATCH($A744,PERLINE!$N$2:$N$3001,0)))</f>
        <v/>
      </c>
      <c r="N744" s="21" t="str">
        <f aca="false">IF($A744="","",SUMIFS(PERLINE!$M$2:$M$3001,PERLINE!$N$2:$N$3001,$A744))</f>
        <v/>
      </c>
    </row>
    <row r="745" customFormat="false" ht="15" hidden="false" customHeight="false" outlineLevel="0" collapsed="false">
      <c r="A745" s="15" t="str">
        <f aca="false">IF(ROWS($A$2:$A745)&lt;=Check!$C$4,SMALL(PERLINE!$AL$2:$AL$3001,ROWS($A$2:$A745)),"")</f>
        <v/>
      </c>
      <c r="B745" s="15" t="str">
        <f aca="false">IF($A745="","",INDEX(PERLINE!$J$2:$J$3001,MATCH($A745,PERLINE!$N$2:$N$3001,0)))</f>
        <v/>
      </c>
      <c r="C745" s="16" t="str">
        <f aca="false">IF($A745="","",INDEX(PERLINE!$I$2:$I$3001,MATCH($A745,PERLINE!$N$2:$N$3001,0)))</f>
        <v/>
      </c>
      <c r="D745" s="17" t="str">
        <f aca="false">IF($A745="","",'كشف المطالبة'!$D$6)</f>
        <v/>
      </c>
      <c r="E745" s="18" t="str">
        <f aca="false">IF($A745="","",SUMIFS(PERLINE!$U$2:$U$3001,PERLINE!$N$2:$N$3001,$A745,PERLINE!$AK$2:$AK$3001,0))</f>
        <v/>
      </c>
      <c r="F745" s="19" t="str">
        <f aca="false">IF($A745="","",E745*D745)</f>
        <v/>
      </c>
      <c r="G745" s="17" t="str">
        <f aca="false">IF($A745="","",'كشف المطالبة'!$D$5)</f>
        <v/>
      </c>
      <c r="H745" s="18" t="str">
        <f aca="false">IF($A745="","",SUMIFS(PERLINE!$U$2:$U$3001,PERLINE!$N$2:$N$3001,$A745,PERLINE!$AK$2:$AK$3001,1))</f>
        <v/>
      </c>
      <c r="I745" s="19" t="str">
        <f aca="false">IF($A745="","",H745*G745)</f>
        <v/>
      </c>
      <c r="J745" s="19" t="str">
        <f aca="false">IF($A745="","",F745+I745)</f>
        <v/>
      </c>
      <c r="K745" s="19" t="str">
        <f aca="false">IF($A745="","",H745+E745)</f>
        <v/>
      </c>
      <c r="L745" s="20" t="str">
        <f aca="false">IF($A745="","",K745-J745-N745)</f>
        <v/>
      </c>
      <c r="M745" s="15" t="str">
        <f aca="false">IF($A745="","",INDEX(PERLINE!$A$2:$A$3001,MATCH($A745,PERLINE!$N$2:$N$3001,0)))</f>
        <v/>
      </c>
      <c r="N745" s="21" t="str">
        <f aca="false">IF($A745="","",SUMIFS(PERLINE!$M$2:$M$3001,PERLINE!$N$2:$N$3001,$A745))</f>
        <v/>
      </c>
    </row>
    <row r="746" customFormat="false" ht="15" hidden="false" customHeight="false" outlineLevel="0" collapsed="false">
      <c r="A746" s="15" t="str">
        <f aca="false">IF(ROWS($A$2:$A746)&lt;=Check!$C$4,SMALL(PERLINE!$AL$2:$AL$3001,ROWS($A$2:$A746)),"")</f>
        <v/>
      </c>
      <c r="B746" s="15" t="str">
        <f aca="false">IF($A746="","",INDEX(PERLINE!$J$2:$J$3001,MATCH($A746,PERLINE!$N$2:$N$3001,0)))</f>
        <v/>
      </c>
      <c r="C746" s="16" t="str">
        <f aca="false">IF($A746="","",INDEX(PERLINE!$I$2:$I$3001,MATCH($A746,PERLINE!$N$2:$N$3001,0)))</f>
        <v/>
      </c>
      <c r="D746" s="17" t="str">
        <f aca="false">IF($A746="","",'كشف المطالبة'!$D$6)</f>
        <v/>
      </c>
      <c r="E746" s="18" t="str">
        <f aca="false">IF($A746="","",SUMIFS(PERLINE!$U$2:$U$3001,PERLINE!$N$2:$N$3001,$A746,PERLINE!$AK$2:$AK$3001,0))</f>
        <v/>
      </c>
      <c r="F746" s="19" t="str">
        <f aca="false">IF($A746="","",E746*D746)</f>
        <v/>
      </c>
      <c r="G746" s="17" t="str">
        <f aca="false">IF($A746="","",'كشف المطالبة'!$D$5)</f>
        <v/>
      </c>
      <c r="H746" s="18" t="str">
        <f aca="false">IF($A746="","",SUMIFS(PERLINE!$U$2:$U$3001,PERLINE!$N$2:$N$3001,$A746,PERLINE!$AK$2:$AK$3001,1))</f>
        <v/>
      </c>
      <c r="I746" s="19" t="str">
        <f aca="false">IF($A746="","",H746*G746)</f>
        <v/>
      </c>
      <c r="J746" s="19" t="str">
        <f aca="false">IF($A746="","",F746+I746)</f>
        <v/>
      </c>
      <c r="K746" s="19" t="str">
        <f aca="false">IF($A746="","",H746+E746)</f>
        <v/>
      </c>
      <c r="L746" s="20" t="str">
        <f aca="false">IF($A746="","",K746-J746-N746)</f>
        <v/>
      </c>
      <c r="M746" s="15" t="str">
        <f aca="false">IF($A746="","",INDEX(PERLINE!$A$2:$A$3001,MATCH($A746,PERLINE!$N$2:$N$3001,0)))</f>
        <v/>
      </c>
      <c r="N746" s="21" t="str">
        <f aca="false">IF($A746="","",SUMIFS(PERLINE!$M$2:$M$3001,PERLINE!$N$2:$N$3001,$A746))</f>
        <v/>
      </c>
    </row>
    <row r="747" customFormat="false" ht="15" hidden="false" customHeight="false" outlineLevel="0" collapsed="false">
      <c r="A747" s="15" t="str">
        <f aca="false">IF(ROWS($A$2:$A747)&lt;=Check!$C$4,SMALL(PERLINE!$AL$2:$AL$3001,ROWS($A$2:$A747)),"")</f>
        <v/>
      </c>
      <c r="B747" s="15" t="str">
        <f aca="false">IF($A747="","",INDEX(PERLINE!$J$2:$J$3001,MATCH($A747,PERLINE!$N$2:$N$3001,0)))</f>
        <v/>
      </c>
      <c r="C747" s="16" t="str">
        <f aca="false">IF($A747="","",INDEX(PERLINE!$I$2:$I$3001,MATCH($A747,PERLINE!$N$2:$N$3001,0)))</f>
        <v/>
      </c>
      <c r="D747" s="17" t="str">
        <f aca="false">IF($A747="","",'كشف المطالبة'!$D$6)</f>
        <v/>
      </c>
      <c r="E747" s="18" t="str">
        <f aca="false">IF($A747="","",SUMIFS(PERLINE!$U$2:$U$3001,PERLINE!$N$2:$N$3001,$A747,PERLINE!$AK$2:$AK$3001,0))</f>
        <v/>
      </c>
      <c r="F747" s="19" t="str">
        <f aca="false">IF($A747="","",E747*D747)</f>
        <v/>
      </c>
      <c r="G747" s="17" t="str">
        <f aca="false">IF($A747="","",'كشف المطالبة'!$D$5)</f>
        <v/>
      </c>
      <c r="H747" s="18" t="str">
        <f aca="false">IF($A747="","",SUMIFS(PERLINE!$U$2:$U$3001,PERLINE!$N$2:$N$3001,$A747,PERLINE!$AK$2:$AK$3001,1))</f>
        <v/>
      </c>
      <c r="I747" s="19" t="str">
        <f aca="false">IF($A747="","",H747*G747)</f>
        <v/>
      </c>
      <c r="J747" s="19" t="str">
        <f aca="false">IF($A747="","",F747+I747)</f>
        <v/>
      </c>
      <c r="K747" s="19" t="str">
        <f aca="false">IF($A747="","",H747+E747)</f>
        <v/>
      </c>
      <c r="L747" s="20" t="str">
        <f aca="false">IF($A747="","",K747-J747-N747)</f>
        <v/>
      </c>
      <c r="M747" s="15" t="str">
        <f aca="false">IF($A747="","",INDEX(PERLINE!$A$2:$A$3001,MATCH($A747,PERLINE!$N$2:$N$3001,0)))</f>
        <v/>
      </c>
      <c r="N747" s="21" t="str">
        <f aca="false">IF($A747="","",SUMIFS(PERLINE!$M$2:$M$3001,PERLINE!$N$2:$N$3001,$A747))</f>
        <v/>
      </c>
    </row>
    <row r="748" customFormat="false" ht="15" hidden="false" customHeight="false" outlineLevel="0" collapsed="false">
      <c r="A748" s="15" t="str">
        <f aca="false">IF(ROWS($A$2:$A748)&lt;=Check!$C$4,SMALL(PERLINE!$AL$2:$AL$3001,ROWS($A$2:$A748)),"")</f>
        <v/>
      </c>
      <c r="B748" s="15" t="str">
        <f aca="false">IF($A748="","",INDEX(PERLINE!$J$2:$J$3001,MATCH($A748,PERLINE!$N$2:$N$3001,0)))</f>
        <v/>
      </c>
      <c r="C748" s="16" t="str">
        <f aca="false">IF($A748="","",INDEX(PERLINE!$I$2:$I$3001,MATCH($A748,PERLINE!$N$2:$N$3001,0)))</f>
        <v/>
      </c>
      <c r="D748" s="17" t="str">
        <f aca="false">IF($A748="","",'كشف المطالبة'!$D$6)</f>
        <v/>
      </c>
      <c r="E748" s="18" t="str">
        <f aca="false">IF($A748="","",SUMIFS(PERLINE!$U$2:$U$3001,PERLINE!$N$2:$N$3001,$A748,PERLINE!$AK$2:$AK$3001,0))</f>
        <v/>
      </c>
      <c r="F748" s="19" t="str">
        <f aca="false">IF($A748="","",E748*D748)</f>
        <v/>
      </c>
      <c r="G748" s="17" t="str">
        <f aca="false">IF($A748="","",'كشف المطالبة'!$D$5)</f>
        <v/>
      </c>
      <c r="H748" s="18" t="str">
        <f aca="false">IF($A748="","",SUMIFS(PERLINE!$U$2:$U$3001,PERLINE!$N$2:$N$3001,$A748,PERLINE!$AK$2:$AK$3001,1))</f>
        <v/>
      </c>
      <c r="I748" s="19" t="str">
        <f aca="false">IF($A748="","",H748*G748)</f>
        <v/>
      </c>
      <c r="J748" s="19" t="str">
        <f aca="false">IF($A748="","",F748+I748)</f>
        <v/>
      </c>
      <c r="K748" s="19" t="str">
        <f aca="false">IF($A748="","",H748+E748)</f>
        <v/>
      </c>
      <c r="L748" s="20" t="str">
        <f aca="false">IF($A748="","",K748-J748-N748)</f>
        <v/>
      </c>
      <c r="M748" s="15" t="str">
        <f aca="false">IF($A748="","",INDEX(PERLINE!$A$2:$A$3001,MATCH($A748,PERLINE!$N$2:$N$3001,0)))</f>
        <v/>
      </c>
      <c r="N748" s="21" t="str">
        <f aca="false">IF($A748="","",SUMIFS(PERLINE!$M$2:$M$3001,PERLINE!$N$2:$N$3001,$A748))</f>
        <v/>
      </c>
    </row>
    <row r="749" customFormat="false" ht="15" hidden="false" customHeight="false" outlineLevel="0" collapsed="false">
      <c r="A749" s="15" t="str">
        <f aca="false">IF(ROWS($A$2:$A749)&lt;=Check!$C$4,SMALL(PERLINE!$AL$2:$AL$3001,ROWS($A$2:$A749)),"")</f>
        <v/>
      </c>
      <c r="B749" s="15" t="str">
        <f aca="false">IF($A749="","",INDEX(PERLINE!$J$2:$J$3001,MATCH($A749,PERLINE!$N$2:$N$3001,0)))</f>
        <v/>
      </c>
      <c r="C749" s="16" t="str">
        <f aca="false">IF($A749="","",INDEX(PERLINE!$I$2:$I$3001,MATCH($A749,PERLINE!$N$2:$N$3001,0)))</f>
        <v/>
      </c>
      <c r="D749" s="17" t="str">
        <f aca="false">IF($A749="","",'كشف المطالبة'!$D$6)</f>
        <v/>
      </c>
      <c r="E749" s="18" t="str">
        <f aca="false">IF($A749="","",SUMIFS(PERLINE!$U$2:$U$3001,PERLINE!$N$2:$N$3001,$A749,PERLINE!$AK$2:$AK$3001,0))</f>
        <v/>
      </c>
      <c r="F749" s="19" t="str">
        <f aca="false">IF($A749="","",E749*D749)</f>
        <v/>
      </c>
      <c r="G749" s="17" t="str">
        <f aca="false">IF($A749="","",'كشف المطالبة'!$D$5)</f>
        <v/>
      </c>
      <c r="H749" s="18" t="str">
        <f aca="false">IF($A749="","",SUMIFS(PERLINE!$U$2:$U$3001,PERLINE!$N$2:$N$3001,$A749,PERLINE!$AK$2:$AK$3001,1))</f>
        <v/>
      </c>
      <c r="I749" s="19" t="str">
        <f aca="false">IF($A749="","",H749*G749)</f>
        <v/>
      </c>
      <c r="J749" s="19" t="str">
        <f aca="false">IF($A749="","",F749+I749)</f>
        <v/>
      </c>
      <c r="K749" s="19" t="str">
        <f aca="false">IF($A749="","",H749+E749)</f>
        <v/>
      </c>
      <c r="L749" s="20" t="str">
        <f aca="false">IF($A749="","",K749-J749-N749)</f>
        <v/>
      </c>
      <c r="M749" s="15" t="str">
        <f aca="false">IF($A749="","",INDEX(PERLINE!$A$2:$A$3001,MATCH($A749,PERLINE!$N$2:$N$3001,0)))</f>
        <v/>
      </c>
      <c r="N749" s="21" t="str">
        <f aca="false">IF($A749="","",SUMIFS(PERLINE!$M$2:$M$3001,PERLINE!$N$2:$N$3001,$A749))</f>
        <v/>
      </c>
    </row>
    <row r="750" customFormat="false" ht="15" hidden="false" customHeight="false" outlineLevel="0" collapsed="false">
      <c r="A750" s="15" t="str">
        <f aca="false">IF(ROWS($A$2:$A750)&lt;=Check!$C$4,SMALL(PERLINE!$AL$2:$AL$3001,ROWS($A$2:$A750)),"")</f>
        <v/>
      </c>
      <c r="B750" s="15" t="str">
        <f aca="false">IF($A750="","",INDEX(PERLINE!$J$2:$J$3001,MATCH($A750,PERLINE!$N$2:$N$3001,0)))</f>
        <v/>
      </c>
      <c r="C750" s="16" t="str">
        <f aca="false">IF($A750="","",INDEX(PERLINE!$I$2:$I$3001,MATCH($A750,PERLINE!$N$2:$N$3001,0)))</f>
        <v/>
      </c>
      <c r="D750" s="17" t="str">
        <f aca="false">IF($A750="","",'كشف المطالبة'!$D$6)</f>
        <v/>
      </c>
      <c r="E750" s="18" t="str">
        <f aca="false">IF($A750="","",SUMIFS(PERLINE!$U$2:$U$3001,PERLINE!$N$2:$N$3001,$A750,PERLINE!$AK$2:$AK$3001,0))</f>
        <v/>
      </c>
      <c r="F750" s="19" t="str">
        <f aca="false">IF($A750="","",E750*D750)</f>
        <v/>
      </c>
      <c r="G750" s="17" t="str">
        <f aca="false">IF($A750="","",'كشف المطالبة'!$D$5)</f>
        <v/>
      </c>
      <c r="H750" s="18" t="str">
        <f aca="false">IF($A750="","",SUMIFS(PERLINE!$U$2:$U$3001,PERLINE!$N$2:$N$3001,$A750,PERLINE!$AK$2:$AK$3001,1))</f>
        <v/>
      </c>
      <c r="I750" s="19" t="str">
        <f aca="false">IF($A750="","",H750*G750)</f>
        <v/>
      </c>
      <c r="J750" s="19" t="str">
        <f aca="false">IF($A750="","",F750+I750)</f>
        <v/>
      </c>
      <c r="K750" s="19" t="str">
        <f aca="false">IF($A750="","",H750+E750)</f>
        <v/>
      </c>
      <c r="L750" s="20" t="str">
        <f aca="false">IF($A750="","",K750-J750-N750)</f>
        <v/>
      </c>
      <c r="M750" s="15" t="str">
        <f aca="false">IF($A750="","",INDEX(PERLINE!$A$2:$A$3001,MATCH($A750,PERLINE!$N$2:$N$3001,0)))</f>
        <v/>
      </c>
      <c r="N750" s="21" t="str">
        <f aca="false">IF($A750="","",SUMIFS(PERLINE!$M$2:$M$3001,PERLINE!$N$2:$N$3001,$A750))</f>
        <v/>
      </c>
    </row>
    <row r="751" customFormat="false" ht="15" hidden="false" customHeight="false" outlineLevel="0" collapsed="false">
      <c r="A751" s="15" t="str">
        <f aca="false">IF(ROWS($A$2:$A751)&lt;=Check!$C$4,SMALL(PERLINE!$AL$2:$AL$3001,ROWS($A$2:$A751)),"")</f>
        <v/>
      </c>
      <c r="B751" s="15" t="str">
        <f aca="false">IF($A751="","",INDEX(PERLINE!$J$2:$J$3001,MATCH($A751,PERLINE!$N$2:$N$3001,0)))</f>
        <v/>
      </c>
      <c r="C751" s="16" t="str">
        <f aca="false">IF($A751="","",INDEX(PERLINE!$I$2:$I$3001,MATCH($A751,PERLINE!$N$2:$N$3001,0)))</f>
        <v/>
      </c>
      <c r="D751" s="17" t="str">
        <f aca="false">IF($A751="","",'كشف المطالبة'!$D$6)</f>
        <v/>
      </c>
      <c r="E751" s="18" t="str">
        <f aca="false">IF($A751="","",SUMIFS(PERLINE!$U$2:$U$3001,PERLINE!$N$2:$N$3001,$A751,PERLINE!$AK$2:$AK$3001,0))</f>
        <v/>
      </c>
      <c r="F751" s="19" t="str">
        <f aca="false">IF($A751="","",E751*D751)</f>
        <v/>
      </c>
      <c r="G751" s="17" t="str">
        <f aca="false">IF($A751="","",'كشف المطالبة'!$D$5)</f>
        <v/>
      </c>
      <c r="H751" s="18" t="str">
        <f aca="false">IF($A751="","",SUMIFS(PERLINE!$U$2:$U$3001,PERLINE!$N$2:$N$3001,$A751,PERLINE!$AK$2:$AK$3001,1))</f>
        <v/>
      </c>
      <c r="I751" s="19" t="str">
        <f aca="false">IF($A751="","",H751*G751)</f>
        <v/>
      </c>
      <c r="J751" s="19" t="str">
        <f aca="false">IF($A751="","",F751+I751)</f>
        <v/>
      </c>
      <c r="K751" s="19" t="str">
        <f aca="false">IF($A751="","",H751+E751)</f>
        <v/>
      </c>
      <c r="L751" s="20" t="str">
        <f aca="false">IF($A751="","",K751-J751-N751)</f>
        <v/>
      </c>
      <c r="M751" s="15" t="str">
        <f aca="false">IF($A751="","",INDEX(PERLINE!$A$2:$A$3001,MATCH($A751,PERLINE!$N$2:$N$3001,0)))</f>
        <v/>
      </c>
      <c r="N751" s="21" t="str">
        <f aca="false">IF($A751="","",SUMIFS(PERLINE!$M$2:$M$3001,PERLINE!$N$2:$N$3001,$A751))</f>
        <v/>
      </c>
    </row>
    <row r="752" customFormat="false" ht="15" hidden="false" customHeight="false" outlineLevel="0" collapsed="false">
      <c r="A752" s="15" t="str">
        <f aca="false">IF(ROWS($A$2:$A752)&lt;=Check!$C$4,SMALL(PERLINE!$AL$2:$AL$3001,ROWS($A$2:$A752)),"")</f>
        <v/>
      </c>
      <c r="B752" s="15" t="str">
        <f aca="false">IF($A752="","",INDEX(PERLINE!$J$2:$J$3001,MATCH($A752,PERLINE!$N$2:$N$3001,0)))</f>
        <v/>
      </c>
      <c r="C752" s="16" t="str">
        <f aca="false">IF($A752="","",INDEX(PERLINE!$I$2:$I$3001,MATCH($A752,PERLINE!$N$2:$N$3001,0)))</f>
        <v/>
      </c>
      <c r="D752" s="17" t="str">
        <f aca="false">IF($A752="","",'كشف المطالبة'!$D$6)</f>
        <v/>
      </c>
      <c r="E752" s="18" t="str">
        <f aca="false">IF($A752="","",SUMIFS(PERLINE!$U$2:$U$3001,PERLINE!$N$2:$N$3001,$A752,PERLINE!$AK$2:$AK$3001,0))</f>
        <v/>
      </c>
      <c r="F752" s="19" t="str">
        <f aca="false">IF($A752="","",E752*D752)</f>
        <v/>
      </c>
      <c r="G752" s="17" t="str">
        <f aca="false">IF($A752="","",'كشف المطالبة'!$D$5)</f>
        <v/>
      </c>
      <c r="H752" s="18" t="str">
        <f aca="false">IF($A752="","",SUMIFS(PERLINE!$U$2:$U$3001,PERLINE!$N$2:$N$3001,$A752,PERLINE!$AK$2:$AK$3001,1))</f>
        <v/>
      </c>
      <c r="I752" s="19" t="str">
        <f aca="false">IF($A752="","",H752*G752)</f>
        <v/>
      </c>
      <c r="J752" s="19" t="str">
        <f aca="false">IF($A752="","",F752+I752)</f>
        <v/>
      </c>
      <c r="K752" s="19" t="str">
        <f aca="false">IF($A752="","",H752+E752)</f>
        <v/>
      </c>
      <c r="L752" s="20" t="str">
        <f aca="false">IF($A752="","",K752-J752-N752)</f>
        <v/>
      </c>
      <c r="M752" s="15" t="str">
        <f aca="false">IF($A752="","",INDEX(PERLINE!$A$2:$A$3001,MATCH($A752,PERLINE!$N$2:$N$3001,0)))</f>
        <v/>
      </c>
      <c r="N752" s="21" t="str">
        <f aca="false">IF($A752="","",SUMIFS(PERLINE!$M$2:$M$3001,PERLINE!$N$2:$N$3001,$A752))</f>
        <v/>
      </c>
    </row>
    <row r="753" customFormat="false" ht="15" hidden="false" customHeight="false" outlineLevel="0" collapsed="false">
      <c r="A753" s="15" t="str">
        <f aca="false">IF(ROWS($A$2:$A753)&lt;=Check!$C$4,SMALL(PERLINE!$AL$2:$AL$3001,ROWS($A$2:$A753)),"")</f>
        <v/>
      </c>
      <c r="B753" s="15" t="str">
        <f aca="false">IF($A753="","",INDEX(PERLINE!$J$2:$J$3001,MATCH($A753,PERLINE!$N$2:$N$3001,0)))</f>
        <v/>
      </c>
      <c r="C753" s="16" t="str">
        <f aca="false">IF($A753="","",INDEX(PERLINE!$I$2:$I$3001,MATCH($A753,PERLINE!$N$2:$N$3001,0)))</f>
        <v/>
      </c>
      <c r="D753" s="17" t="str">
        <f aca="false">IF($A753="","",'كشف المطالبة'!$D$6)</f>
        <v/>
      </c>
      <c r="E753" s="18" t="str">
        <f aca="false">IF($A753="","",SUMIFS(PERLINE!$U$2:$U$3001,PERLINE!$N$2:$N$3001,$A753,PERLINE!$AK$2:$AK$3001,0))</f>
        <v/>
      </c>
      <c r="F753" s="19" t="str">
        <f aca="false">IF($A753="","",E753*D753)</f>
        <v/>
      </c>
      <c r="G753" s="17" t="str">
        <f aca="false">IF($A753="","",'كشف المطالبة'!$D$5)</f>
        <v/>
      </c>
      <c r="H753" s="18" t="str">
        <f aca="false">IF($A753="","",SUMIFS(PERLINE!$U$2:$U$3001,PERLINE!$N$2:$N$3001,$A753,PERLINE!$AK$2:$AK$3001,1))</f>
        <v/>
      </c>
      <c r="I753" s="19" t="str">
        <f aca="false">IF($A753="","",H753*G753)</f>
        <v/>
      </c>
      <c r="J753" s="19" t="str">
        <f aca="false">IF($A753="","",F753+I753)</f>
        <v/>
      </c>
      <c r="K753" s="19" t="str">
        <f aca="false">IF($A753="","",H753+E753)</f>
        <v/>
      </c>
      <c r="L753" s="20" t="str">
        <f aca="false">IF($A753="","",K753-J753-N753)</f>
        <v/>
      </c>
      <c r="M753" s="15" t="str">
        <f aca="false">IF($A753="","",INDEX(PERLINE!$A$2:$A$3001,MATCH($A753,PERLINE!$N$2:$N$3001,0)))</f>
        <v/>
      </c>
      <c r="N753" s="21" t="str">
        <f aca="false">IF($A753="","",SUMIFS(PERLINE!$M$2:$M$3001,PERLINE!$N$2:$N$3001,$A753))</f>
        <v/>
      </c>
    </row>
    <row r="754" customFormat="false" ht="15" hidden="false" customHeight="false" outlineLevel="0" collapsed="false">
      <c r="A754" s="15" t="str">
        <f aca="false">IF(ROWS($A$2:$A754)&lt;=Check!$C$4,SMALL(PERLINE!$AL$2:$AL$3001,ROWS($A$2:$A754)),"")</f>
        <v/>
      </c>
      <c r="B754" s="15" t="str">
        <f aca="false">IF($A754="","",INDEX(PERLINE!$J$2:$J$3001,MATCH($A754,PERLINE!$N$2:$N$3001,0)))</f>
        <v/>
      </c>
      <c r="C754" s="16" t="str">
        <f aca="false">IF($A754="","",INDEX(PERLINE!$I$2:$I$3001,MATCH($A754,PERLINE!$N$2:$N$3001,0)))</f>
        <v/>
      </c>
      <c r="D754" s="17" t="str">
        <f aca="false">IF($A754="","",'كشف المطالبة'!$D$6)</f>
        <v/>
      </c>
      <c r="E754" s="18" t="str">
        <f aca="false">IF($A754="","",SUMIFS(PERLINE!$U$2:$U$3001,PERLINE!$N$2:$N$3001,$A754,PERLINE!$AK$2:$AK$3001,0))</f>
        <v/>
      </c>
      <c r="F754" s="19" t="str">
        <f aca="false">IF($A754="","",E754*D754)</f>
        <v/>
      </c>
      <c r="G754" s="17" t="str">
        <f aca="false">IF($A754="","",'كشف المطالبة'!$D$5)</f>
        <v/>
      </c>
      <c r="H754" s="18" t="str">
        <f aca="false">IF($A754="","",SUMIFS(PERLINE!$U$2:$U$3001,PERLINE!$N$2:$N$3001,$A754,PERLINE!$AK$2:$AK$3001,1))</f>
        <v/>
      </c>
      <c r="I754" s="19" t="str">
        <f aca="false">IF($A754="","",H754*G754)</f>
        <v/>
      </c>
      <c r="J754" s="19" t="str">
        <f aca="false">IF($A754="","",F754+I754)</f>
        <v/>
      </c>
      <c r="K754" s="19" t="str">
        <f aca="false">IF($A754="","",H754+E754)</f>
        <v/>
      </c>
      <c r="L754" s="20" t="str">
        <f aca="false">IF($A754="","",K754-J754-N754)</f>
        <v/>
      </c>
      <c r="M754" s="15" t="str">
        <f aca="false">IF($A754="","",INDEX(PERLINE!$A$2:$A$3001,MATCH($A754,PERLINE!$N$2:$N$3001,0)))</f>
        <v/>
      </c>
      <c r="N754" s="21" t="str">
        <f aca="false">IF($A754="","",SUMIFS(PERLINE!$M$2:$M$3001,PERLINE!$N$2:$N$3001,$A754))</f>
        <v/>
      </c>
    </row>
    <row r="755" customFormat="false" ht="15" hidden="false" customHeight="false" outlineLevel="0" collapsed="false">
      <c r="A755" s="15" t="str">
        <f aca="false">IF(ROWS($A$2:$A755)&lt;=Check!$C$4,SMALL(PERLINE!$AL$2:$AL$3001,ROWS($A$2:$A755)),"")</f>
        <v/>
      </c>
      <c r="B755" s="15" t="str">
        <f aca="false">IF($A755="","",INDEX(PERLINE!$J$2:$J$3001,MATCH($A755,PERLINE!$N$2:$N$3001,0)))</f>
        <v/>
      </c>
      <c r="C755" s="16" t="str">
        <f aca="false">IF($A755="","",INDEX(PERLINE!$I$2:$I$3001,MATCH($A755,PERLINE!$N$2:$N$3001,0)))</f>
        <v/>
      </c>
      <c r="D755" s="17" t="str">
        <f aca="false">IF($A755="","",'كشف المطالبة'!$D$6)</f>
        <v/>
      </c>
      <c r="E755" s="18" t="str">
        <f aca="false">IF($A755="","",SUMIFS(PERLINE!$U$2:$U$3001,PERLINE!$N$2:$N$3001,$A755,PERLINE!$AK$2:$AK$3001,0))</f>
        <v/>
      </c>
      <c r="F755" s="19" t="str">
        <f aca="false">IF($A755="","",E755*D755)</f>
        <v/>
      </c>
      <c r="G755" s="17" t="str">
        <f aca="false">IF($A755="","",'كشف المطالبة'!$D$5)</f>
        <v/>
      </c>
      <c r="H755" s="18" t="str">
        <f aca="false">IF($A755="","",SUMIFS(PERLINE!$U$2:$U$3001,PERLINE!$N$2:$N$3001,$A755,PERLINE!$AK$2:$AK$3001,1))</f>
        <v/>
      </c>
      <c r="I755" s="19" t="str">
        <f aca="false">IF($A755="","",H755*G755)</f>
        <v/>
      </c>
      <c r="J755" s="19" t="str">
        <f aca="false">IF($A755="","",F755+I755)</f>
        <v/>
      </c>
      <c r="K755" s="19" t="str">
        <f aca="false">IF($A755="","",H755+E755)</f>
        <v/>
      </c>
      <c r="L755" s="20" t="str">
        <f aca="false">IF($A755="","",K755-J755-N755)</f>
        <v/>
      </c>
      <c r="M755" s="15" t="str">
        <f aca="false">IF($A755="","",INDEX(PERLINE!$A$2:$A$3001,MATCH($A755,PERLINE!$N$2:$N$3001,0)))</f>
        <v/>
      </c>
      <c r="N755" s="21" t="str">
        <f aca="false">IF($A755="","",SUMIFS(PERLINE!$M$2:$M$3001,PERLINE!$N$2:$N$3001,$A755))</f>
        <v/>
      </c>
    </row>
    <row r="756" customFormat="false" ht="15" hidden="false" customHeight="false" outlineLevel="0" collapsed="false">
      <c r="A756" s="15" t="str">
        <f aca="false">IF(ROWS($A$2:$A756)&lt;=Check!$C$4,SMALL(PERLINE!$AL$2:$AL$3001,ROWS($A$2:$A756)),"")</f>
        <v/>
      </c>
      <c r="B756" s="15" t="str">
        <f aca="false">IF($A756="","",INDEX(PERLINE!$J$2:$J$3001,MATCH($A756,PERLINE!$N$2:$N$3001,0)))</f>
        <v/>
      </c>
      <c r="C756" s="16" t="str">
        <f aca="false">IF($A756="","",INDEX(PERLINE!$I$2:$I$3001,MATCH($A756,PERLINE!$N$2:$N$3001,0)))</f>
        <v/>
      </c>
      <c r="D756" s="17" t="str">
        <f aca="false">IF($A756="","",'كشف المطالبة'!$D$6)</f>
        <v/>
      </c>
      <c r="E756" s="18" t="str">
        <f aca="false">IF($A756="","",SUMIFS(PERLINE!$U$2:$U$3001,PERLINE!$N$2:$N$3001,$A756,PERLINE!$AK$2:$AK$3001,0))</f>
        <v/>
      </c>
      <c r="F756" s="19" t="str">
        <f aca="false">IF($A756="","",E756*D756)</f>
        <v/>
      </c>
      <c r="G756" s="17" t="str">
        <f aca="false">IF($A756="","",'كشف المطالبة'!$D$5)</f>
        <v/>
      </c>
      <c r="H756" s="18" t="str">
        <f aca="false">IF($A756="","",SUMIFS(PERLINE!$U$2:$U$3001,PERLINE!$N$2:$N$3001,$A756,PERLINE!$AK$2:$AK$3001,1))</f>
        <v/>
      </c>
      <c r="I756" s="19" t="str">
        <f aca="false">IF($A756="","",H756*G756)</f>
        <v/>
      </c>
      <c r="J756" s="19" t="str">
        <f aca="false">IF($A756="","",F756+I756)</f>
        <v/>
      </c>
      <c r="K756" s="19" t="str">
        <f aca="false">IF($A756="","",H756+E756)</f>
        <v/>
      </c>
      <c r="L756" s="20" t="str">
        <f aca="false">IF($A756="","",K756-J756-N756)</f>
        <v/>
      </c>
      <c r="M756" s="15" t="str">
        <f aca="false">IF($A756="","",INDEX(PERLINE!$A$2:$A$3001,MATCH($A756,PERLINE!$N$2:$N$3001,0)))</f>
        <v/>
      </c>
      <c r="N756" s="21" t="str">
        <f aca="false">IF($A756="","",SUMIFS(PERLINE!$M$2:$M$3001,PERLINE!$N$2:$N$3001,$A756))</f>
        <v/>
      </c>
    </row>
    <row r="757" customFormat="false" ht="15" hidden="false" customHeight="false" outlineLevel="0" collapsed="false">
      <c r="A757" s="15" t="str">
        <f aca="false">IF(ROWS($A$2:$A757)&lt;=Check!$C$4,SMALL(PERLINE!$AL$2:$AL$3001,ROWS($A$2:$A757)),"")</f>
        <v/>
      </c>
      <c r="B757" s="15" t="str">
        <f aca="false">IF($A757="","",INDEX(PERLINE!$J$2:$J$3001,MATCH($A757,PERLINE!$N$2:$N$3001,0)))</f>
        <v/>
      </c>
      <c r="C757" s="16" t="str">
        <f aca="false">IF($A757="","",INDEX(PERLINE!$I$2:$I$3001,MATCH($A757,PERLINE!$N$2:$N$3001,0)))</f>
        <v/>
      </c>
      <c r="D757" s="17" t="str">
        <f aca="false">IF($A757="","",'كشف المطالبة'!$D$6)</f>
        <v/>
      </c>
      <c r="E757" s="18" t="str">
        <f aca="false">IF($A757="","",SUMIFS(PERLINE!$U$2:$U$3001,PERLINE!$N$2:$N$3001,$A757,PERLINE!$AK$2:$AK$3001,0))</f>
        <v/>
      </c>
      <c r="F757" s="19" t="str">
        <f aca="false">IF($A757="","",E757*D757)</f>
        <v/>
      </c>
      <c r="G757" s="17" t="str">
        <f aca="false">IF($A757="","",'كشف المطالبة'!$D$5)</f>
        <v/>
      </c>
      <c r="H757" s="18" t="str">
        <f aca="false">IF($A757="","",SUMIFS(PERLINE!$U$2:$U$3001,PERLINE!$N$2:$N$3001,$A757,PERLINE!$AK$2:$AK$3001,1))</f>
        <v/>
      </c>
      <c r="I757" s="19" t="str">
        <f aca="false">IF($A757="","",H757*G757)</f>
        <v/>
      </c>
      <c r="J757" s="19" t="str">
        <f aca="false">IF($A757="","",F757+I757)</f>
        <v/>
      </c>
      <c r="K757" s="19" t="str">
        <f aca="false">IF($A757="","",H757+E757)</f>
        <v/>
      </c>
      <c r="L757" s="20" t="str">
        <f aca="false">IF($A757="","",K757-J757-N757)</f>
        <v/>
      </c>
      <c r="M757" s="15" t="str">
        <f aca="false">IF($A757="","",INDEX(PERLINE!$A$2:$A$3001,MATCH($A757,PERLINE!$N$2:$N$3001,0)))</f>
        <v/>
      </c>
      <c r="N757" s="21" t="str">
        <f aca="false">IF($A757="","",SUMIFS(PERLINE!$M$2:$M$3001,PERLINE!$N$2:$N$3001,$A757))</f>
        <v/>
      </c>
    </row>
    <row r="758" customFormat="false" ht="15" hidden="false" customHeight="false" outlineLevel="0" collapsed="false">
      <c r="A758" s="15" t="str">
        <f aca="false">IF(ROWS($A$2:$A758)&lt;=Check!$C$4,SMALL(PERLINE!$AL$2:$AL$3001,ROWS($A$2:$A758)),"")</f>
        <v/>
      </c>
      <c r="B758" s="15" t="str">
        <f aca="false">IF($A758="","",INDEX(PERLINE!$J$2:$J$3001,MATCH($A758,PERLINE!$N$2:$N$3001,0)))</f>
        <v/>
      </c>
      <c r="C758" s="16" t="str">
        <f aca="false">IF($A758="","",INDEX(PERLINE!$I$2:$I$3001,MATCH($A758,PERLINE!$N$2:$N$3001,0)))</f>
        <v/>
      </c>
      <c r="D758" s="17" t="str">
        <f aca="false">IF($A758="","",'كشف المطالبة'!$D$6)</f>
        <v/>
      </c>
      <c r="E758" s="18" t="str">
        <f aca="false">IF($A758="","",SUMIFS(PERLINE!$U$2:$U$3001,PERLINE!$N$2:$N$3001,$A758,PERLINE!$AK$2:$AK$3001,0))</f>
        <v/>
      </c>
      <c r="F758" s="19" t="str">
        <f aca="false">IF($A758="","",E758*D758)</f>
        <v/>
      </c>
      <c r="G758" s="17" t="str">
        <f aca="false">IF($A758="","",'كشف المطالبة'!$D$5)</f>
        <v/>
      </c>
      <c r="H758" s="18" t="str">
        <f aca="false">IF($A758="","",SUMIFS(PERLINE!$U$2:$U$3001,PERLINE!$N$2:$N$3001,$A758,PERLINE!$AK$2:$AK$3001,1))</f>
        <v/>
      </c>
      <c r="I758" s="19" t="str">
        <f aca="false">IF($A758="","",H758*G758)</f>
        <v/>
      </c>
      <c r="J758" s="19" t="str">
        <f aca="false">IF($A758="","",F758+I758)</f>
        <v/>
      </c>
      <c r="K758" s="19" t="str">
        <f aca="false">IF($A758="","",H758+E758)</f>
        <v/>
      </c>
      <c r="L758" s="20" t="str">
        <f aca="false">IF($A758="","",K758-J758-N758)</f>
        <v/>
      </c>
      <c r="M758" s="15" t="str">
        <f aca="false">IF($A758="","",INDEX(PERLINE!$A$2:$A$3001,MATCH($A758,PERLINE!$N$2:$N$3001,0)))</f>
        <v/>
      </c>
      <c r="N758" s="21" t="str">
        <f aca="false">IF($A758="","",SUMIFS(PERLINE!$M$2:$M$3001,PERLINE!$N$2:$N$3001,$A758))</f>
        <v/>
      </c>
    </row>
    <row r="759" customFormat="false" ht="15" hidden="false" customHeight="false" outlineLevel="0" collapsed="false">
      <c r="A759" s="15" t="str">
        <f aca="false">IF(ROWS($A$2:$A759)&lt;=Check!$C$4,SMALL(PERLINE!$AL$2:$AL$3001,ROWS($A$2:$A759)),"")</f>
        <v/>
      </c>
      <c r="B759" s="15" t="str">
        <f aca="false">IF($A759="","",INDEX(PERLINE!$J$2:$J$3001,MATCH($A759,PERLINE!$N$2:$N$3001,0)))</f>
        <v/>
      </c>
      <c r="C759" s="16" t="str">
        <f aca="false">IF($A759="","",INDEX(PERLINE!$I$2:$I$3001,MATCH($A759,PERLINE!$N$2:$N$3001,0)))</f>
        <v/>
      </c>
      <c r="D759" s="17" t="str">
        <f aca="false">IF($A759="","",'كشف المطالبة'!$D$6)</f>
        <v/>
      </c>
      <c r="E759" s="18" t="str">
        <f aca="false">IF($A759="","",SUMIFS(PERLINE!$U$2:$U$3001,PERLINE!$N$2:$N$3001,$A759,PERLINE!$AK$2:$AK$3001,0))</f>
        <v/>
      </c>
      <c r="F759" s="19" t="str">
        <f aca="false">IF($A759="","",E759*D759)</f>
        <v/>
      </c>
      <c r="G759" s="17" t="str">
        <f aca="false">IF($A759="","",'كشف المطالبة'!$D$5)</f>
        <v/>
      </c>
      <c r="H759" s="18" t="str">
        <f aca="false">IF($A759="","",SUMIFS(PERLINE!$U$2:$U$3001,PERLINE!$N$2:$N$3001,$A759,PERLINE!$AK$2:$AK$3001,1))</f>
        <v/>
      </c>
      <c r="I759" s="19" t="str">
        <f aca="false">IF($A759="","",H759*G759)</f>
        <v/>
      </c>
      <c r="J759" s="19" t="str">
        <f aca="false">IF($A759="","",F759+I759)</f>
        <v/>
      </c>
      <c r="K759" s="19" t="str">
        <f aca="false">IF($A759="","",H759+E759)</f>
        <v/>
      </c>
      <c r="L759" s="20" t="str">
        <f aca="false">IF($A759="","",K759-J759-N759)</f>
        <v/>
      </c>
      <c r="M759" s="15" t="str">
        <f aca="false">IF($A759="","",INDEX(PERLINE!$A$2:$A$3001,MATCH($A759,PERLINE!$N$2:$N$3001,0)))</f>
        <v/>
      </c>
      <c r="N759" s="21" t="str">
        <f aca="false">IF($A759="","",SUMIFS(PERLINE!$M$2:$M$3001,PERLINE!$N$2:$N$3001,$A759))</f>
        <v/>
      </c>
    </row>
    <row r="760" customFormat="false" ht="15" hidden="false" customHeight="false" outlineLevel="0" collapsed="false">
      <c r="A760" s="15" t="str">
        <f aca="false">IF(ROWS($A$2:$A760)&lt;=Check!$C$4,SMALL(PERLINE!$AL$2:$AL$3001,ROWS($A$2:$A760)),"")</f>
        <v/>
      </c>
      <c r="B760" s="15" t="str">
        <f aca="false">IF($A760="","",INDEX(PERLINE!$J$2:$J$3001,MATCH($A760,PERLINE!$N$2:$N$3001,0)))</f>
        <v/>
      </c>
      <c r="C760" s="16" t="str">
        <f aca="false">IF($A760="","",INDEX(PERLINE!$I$2:$I$3001,MATCH($A760,PERLINE!$N$2:$N$3001,0)))</f>
        <v/>
      </c>
      <c r="D760" s="17" t="str">
        <f aca="false">IF($A760="","",'كشف المطالبة'!$D$6)</f>
        <v/>
      </c>
      <c r="E760" s="18" t="str">
        <f aca="false">IF($A760="","",SUMIFS(PERLINE!$U$2:$U$3001,PERLINE!$N$2:$N$3001,$A760,PERLINE!$AK$2:$AK$3001,0))</f>
        <v/>
      </c>
      <c r="F760" s="19" t="str">
        <f aca="false">IF($A760="","",E760*D760)</f>
        <v/>
      </c>
      <c r="G760" s="17" t="str">
        <f aca="false">IF($A760="","",'كشف المطالبة'!$D$5)</f>
        <v/>
      </c>
      <c r="H760" s="18" t="str">
        <f aca="false">IF($A760="","",SUMIFS(PERLINE!$U$2:$U$3001,PERLINE!$N$2:$N$3001,$A760,PERLINE!$AK$2:$AK$3001,1))</f>
        <v/>
      </c>
      <c r="I760" s="19" t="str">
        <f aca="false">IF($A760="","",H760*G760)</f>
        <v/>
      </c>
      <c r="J760" s="19" t="str">
        <f aca="false">IF($A760="","",F760+I760)</f>
        <v/>
      </c>
      <c r="K760" s="19" t="str">
        <f aca="false">IF($A760="","",H760+E760)</f>
        <v/>
      </c>
      <c r="L760" s="20" t="str">
        <f aca="false">IF($A760="","",K760-J760-N760)</f>
        <v/>
      </c>
      <c r="M760" s="15" t="str">
        <f aca="false">IF($A760="","",INDEX(PERLINE!$A$2:$A$3001,MATCH($A760,PERLINE!$N$2:$N$3001,0)))</f>
        <v/>
      </c>
      <c r="N760" s="21" t="str">
        <f aca="false">IF($A760="","",SUMIFS(PERLINE!$M$2:$M$3001,PERLINE!$N$2:$N$3001,$A760))</f>
        <v/>
      </c>
    </row>
    <row r="761" customFormat="false" ht="15" hidden="false" customHeight="false" outlineLevel="0" collapsed="false">
      <c r="A761" s="15" t="str">
        <f aca="false">IF(ROWS($A$2:$A761)&lt;=Check!$C$4,SMALL(PERLINE!$AL$2:$AL$3001,ROWS($A$2:$A761)),"")</f>
        <v/>
      </c>
      <c r="B761" s="15" t="str">
        <f aca="false">IF($A761="","",INDEX(PERLINE!$J$2:$J$3001,MATCH($A761,PERLINE!$N$2:$N$3001,0)))</f>
        <v/>
      </c>
      <c r="C761" s="16" t="str">
        <f aca="false">IF($A761="","",INDEX(PERLINE!$I$2:$I$3001,MATCH($A761,PERLINE!$N$2:$N$3001,0)))</f>
        <v/>
      </c>
      <c r="D761" s="17" t="str">
        <f aca="false">IF($A761="","",'كشف المطالبة'!$D$6)</f>
        <v/>
      </c>
      <c r="E761" s="18" t="str">
        <f aca="false">IF($A761="","",SUMIFS(PERLINE!$U$2:$U$3001,PERLINE!$N$2:$N$3001,$A761,PERLINE!$AK$2:$AK$3001,0))</f>
        <v/>
      </c>
      <c r="F761" s="19" t="str">
        <f aca="false">IF($A761="","",E761*D761)</f>
        <v/>
      </c>
      <c r="G761" s="17" t="str">
        <f aca="false">IF($A761="","",'كشف المطالبة'!$D$5)</f>
        <v/>
      </c>
      <c r="H761" s="18" t="str">
        <f aca="false">IF($A761="","",SUMIFS(PERLINE!$U$2:$U$3001,PERLINE!$N$2:$N$3001,$A761,PERLINE!$AK$2:$AK$3001,1))</f>
        <v/>
      </c>
      <c r="I761" s="19" t="str">
        <f aca="false">IF($A761="","",H761*G761)</f>
        <v/>
      </c>
      <c r="J761" s="19" t="str">
        <f aca="false">IF($A761="","",F761+I761)</f>
        <v/>
      </c>
      <c r="K761" s="19" t="str">
        <f aca="false">IF($A761="","",H761+E761)</f>
        <v/>
      </c>
      <c r="L761" s="20" t="str">
        <f aca="false">IF($A761="","",K761-J761-N761)</f>
        <v/>
      </c>
      <c r="M761" s="15" t="str">
        <f aca="false">IF($A761="","",INDEX(PERLINE!$A$2:$A$3001,MATCH($A761,PERLINE!$N$2:$N$3001,0)))</f>
        <v/>
      </c>
      <c r="N761" s="21" t="str">
        <f aca="false">IF($A761="","",SUMIFS(PERLINE!$M$2:$M$3001,PERLINE!$N$2:$N$3001,$A761))</f>
        <v/>
      </c>
    </row>
    <row r="762" customFormat="false" ht="15" hidden="false" customHeight="false" outlineLevel="0" collapsed="false">
      <c r="A762" s="15" t="str">
        <f aca="false">IF(ROWS($A$2:$A762)&lt;=Check!$C$4,SMALL(PERLINE!$AL$2:$AL$3001,ROWS($A$2:$A762)),"")</f>
        <v/>
      </c>
      <c r="B762" s="15" t="str">
        <f aca="false">IF($A762="","",INDEX(PERLINE!$J$2:$J$3001,MATCH($A762,PERLINE!$N$2:$N$3001,0)))</f>
        <v/>
      </c>
      <c r="C762" s="16" t="str">
        <f aca="false">IF($A762="","",INDEX(PERLINE!$I$2:$I$3001,MATCH($A762,PERLINE!$N$2:$N$3001,0)))</f>
        <v/>
      </c>
      <c r="D762" s="17" t="str">
        <f aca="false">IF($A762="","",'كشف المطالبة'!$D$6)</f>
        <v/>
      </c>
      <c r="E762" s="18" t="str">
        <f aca="false">IF($A762="","",SUMIFS(PERLINE!$U$2:$U$3001,PERLINE!$N$2:$N$3001,$A762,PERLINE!$AK$2:$AK$3001,0))</f>
        <v/>
      </c>
      <c r="F762" s="19" t="str">
        <f aca="false">IF($A762="","",E762*D762)</f>
        <v/>
      </c>
      <c r="G762" s="17" t="str">
        <f aca="false">IF($A762="","",'كشف المطالبة'!$D$5)</f>
        <v/>
      </c>
      <c r="H762" s="18" t="str">
        <f aca="false">IF($A762="","",SUMIFS(PERLINE!$U$2:$U$3001,PERLINE!$N$2:$N$3001,$A762,PERLINE!$AK$2:$AK$3001,1))</f>
        <v/>
      </c>
      <c r="I762" s="19" t="str">
        <f aca="false">IF($A762="","",H762*G762)</f>
        <v/>
      </c>
      <c r="J762" s="19" t="str">
        <f aca="false">IF($A762="","",F762+I762)</f>
        <v/>
      </c>
      <c r="K762" s="19" t="str">
        <f aca="false">IF($A762="","",H762+E762)</f>
        <v/>
      </c>
      <c r="L762" s="20" t="str">
        <f aca="false">IF($A762="","",K762-J762-N762)</f>
        <v/>
      </c>
      <c r="M762" s="15" t="str">
        <f aca="false">IF($A762="","",INDEX(PERLINE!$A$2:$A$3001,MATCH($A762,PERLINE!$N$2:$N$3001,0)))</f>
        <v/>
      </c>
      <c r="N762" s="21" t="str">
        <f aca="false">IF($A762="","",SUMIFS(PERLINE!$M$2:$M$3001,PERLINE!$N$2:$N$3001,$A762))</f>
        <v/>
      </c>
    </row>
    <row r="763" customFormat="false" ht="15" hidden="false" customHeight="false" outlineLevel="0" collapsed="false">
      <c r="A763" s="15" t="str">
        <f aca="false">IF(ROWS($A$2:$A763)&lt;=Check!$C$4,SMALL(PERLINE!$AL$2:$AL$3001,ROWS($A$2:$A763)),"")</f>
        <v/>
      </c>
      <c r="B763" s="15" t="str">
        <f aca="false">IF($A763="","",INDEX(PERLINE!$J$2:$J$3001,MATCH($A763,PERLINE!$N$2:$N$3001,0)))</f>
        <v/>
      </c>
      <c r="C763" s="16" t="str">
        <f aca="false">IF($A763="","",INDEX(PERLINE!$I$2:$I$3001,MATCH($A763,PERLINE!$N$2:$N$3001,0)))</f>
        <v/>
      </c>
      <c r="D763" s="17" t="str">
        <f aca="false">IF($A763="","",'كشف المطالبة'!$D$6)</f>
        <v/>
      </c>
      <c r="E763" s="18" t="str">
        <f aca="false">IF($A763="","",SUMIFS(PERLINE!$U$2:$U$3001,PERLINE!$N$2:$N$3001,$A763,PERLINE!$AK$2:$AK$3001,0))</f>
        <v/>
      </c>
      <c r="F763" s="19" t="str">
        <f aca="false">IF($A763="","",E763*D763)</f>
        <v/>
      </c>
      <c r="G763" s="17" t="str">
        <f aca="false">IF($A763="","",'كشف المطالبة'!$D$5)</f>
        <v/>
      </c>
      <c r="H763" s="18" t="str">
        <f aca="false">IF($A763="","",SUMIFS(PERLINE!$U$2:$U$3001,PERLINE!$N$2:$N$3001,$A763,PERLINE!$AK$2:$AK$3001,1))</f>
        <v/>
      </c>
      <c r="I763" s="19" t="str">
        <f aca="false">IF($A763="","",H763*G763)</f>
        <v/>
      </c>
      <c r="J763" s="19" t="str">
        <f aca="false">IF($A763="","",F763+I763)</f>
        <v/>
      </c>
      <c r="K763" s="19" t="str">
        <f aca="false">IF($A763="","",H763+E763)</f>
        <v/>
      </c>
      <c r="L763" s="20" t="str">
        <f aca="false">IF($A763="","",K763-J763-N763)</f>
        <v/>
      </c>
      <c r="M763" s="15" t="str">
        <f aca="false">IF($A763="","",INDEX(PERLINE!$A$2:$A$3001,MATCH($A763,PERLINE!$N$2:$N$3001,0)))</f>
        <v/>
      </c>
      <c r="N763" s="21" t="str">
        <f aca="false">IF($A763="","",SUMIFS(PERLINE!$M$2:$M$3001,PERLINE!$N$2:$N$3001,$A763))</f>
        <v/>
      </c>
    </row>
    <row r="764" customFormat="false" ht="15" hidden="false" customHeight="false" outlineLevel="0" collapsed="false">
      <c r="A764" s="15" t="str">
        <f aca="false">IF(ROWS($A$2:$A764)&lt;=Check!$C$4,SMALL(PERLINE!$AL$2:$AL$3001,ROWS($A$2:$A764)),"")</f>
        <v/>
      </c>
      <c r="B764" s="15" t="str">
        <f aca="false">IF($A764="","",INDEX(PERLINE!$J$2:$J$3001,MATCH($A764,PERLINE!$N$2:$N$3001,0)))</f>
        <v/>
      </c>
      <c r="C764" s="16" t="str">
        <f aca="false">IF($A764="","",INDEX(PERLINE!$I$2:$I$3001,MATCH($A764,PERLINE!$N$2:$N$3001,0)))</f>
        <v/>
      </c>
      <c r="D764" s="17" t="str">
        <f aca="false">IF($A764="","",'كشف المطالبة'!$D$6)</f>
        <v/>
      </c>
      <c r="E764" s="18" t="str">
        <f aca="false">IF($A764="","",SUMIFS(PERLINE!$U$2:$U$3001,PERLINE!$N$2:$N$3001,$A764,PERLINE!$AK$2:$AK$3001,0))</f>
        <v/>
      </c>
      <c r="F764" s="19" t="str">
        <f aca="false">IF($A764="","",E764*D764)</f>
        <v/>
      </c>
      <c r="G764" s="17" t="str">
        <f aca="false">IF($A764="","",'كشف المطالبة'!$D$5)</f>
        <v/>
      </c>
      <c r="H764" s="18" t="str">
        <f aca="false">IF($A764="","",SUMIFS(PERLINE!$U$2:$U$3001,PERLINE!$N$2:$N$3001,$A764,PERLINE!$AK$2:$AK$3001,1))</f>
        <v/>
      </c>
      <c r="I764" s="19" t="str">
        <f aca="false">IF($A764="","",H764*G764)</f>
        <v/>
      </c>
      <c r="J764" s="19" t="str">
        <f aca="false">IF($A764="","",F764+I764)</f>
        <v/>
      </c>
      <c r="K764" s="19" t="str">
        <f aca="false">IF($A764="","",H764+E764)</f>
        <v/>
      </c>
      <c r="L764" s="20" t="str">
        <f aca="false">IF($A764="","",K764-J764-N764)</f>
        <v/>
      </c>
      <c r="M764" s="15" t="str">
        <f aca="false">IF($A764="","",INDEX(PERLINE!$A$2:$A$3001,MATCH($A764,PERLINE!$N$2:$N$3001,0)))</f>
        <v/>
      </c>
      <c r="N764" s="21" t="str">
        <f aca="false">IF($A764="","",SUMIFS(PERLINE!$M$2:$M$3001,PERLINE!$N$2:$N$3001,$A764))</f>
        <v/>
      </c>
    </row>
    <row r="765" customFormat="false" ht="15" hidden="false" customHeight="false" outlineLevel="0" collapsed="false">
      <c r="A765" s="15" t="str">
        <f aca="false">IF(ROWS($A$2:$A765)&lt;=Check!$C$4,SMALL(PERLINE!$AL$2:$AL$3001,ROWS($A$2:$A765)),"")</f>
        <v/>
      </c>
      <c r="B765" s="15" t="str">
        <f aca="false">IF($A765="","",INDEX(PERLINE!$J$2:$J$3001,MATCH($A765,PERLINE!$N$2:$N$3001,0)))</f>
        <v/>
      </c>
      <c r="C765" s="16" t="str">
        <f aca="false">IF($A765="","",INDEX(PERLINE!$I$2:$I$3001,MATCH($A765,PERLINE!$N$2:$N$3001,0)))</f>
        <v/>
      </c>
      <c r="D765" s="17" t="str">
        <f aca="false">IF($A765="","",'كشف المطالبة'!$D$6)</f>
        <v/>
      </c>
      <c r="E765" s="18" t="str">
        <f aca="false">IF($A765="","",SUMIFS(PERLINE!$U$2:$U$3001,PERLINE!$N$2:$N$3001,$A765,PERLINE!$AK$2:$AK$3001,0))</f>
        <v/>
      </c>
      <c r="F765" s="19" t="str">
        <f aca="false">IF($A765="","",E765*D765)</f>
        <v/>
      </c>
      <c r="G765" s="17" t="str">
        <f aca="false">IF($A765="","",'كشف المطالبة'!$D$5)</f>
        <v/>
      </c>
      <c r="H765" s="18" t="str">
        <f aca="false">IF($A765="","",SUMIFS(PERLINE!$U$2:$U$3001,PERLINE!$N$2:$N$3001,$A765,PERLINE!$AK$2:$AK$3001,1))</f>
        <v/>
      </c>
      <c r="I765" s="19" t="str">
        <f aca="false">IF($A765="","",H765*G765)</f>
        <v/>
      </c>
      <c r="J765" s="19" t="str">
        <f aca="false">IF($A765="","",F765+I765)</f>
        <v/>
      </c>
      <c r="K765" s="19" t="str">
        <f aca="false">IF($A765="","",H765+E765)</f>
        <v/>
      </c>
      <c r="L765" s="20" t="str">
        <f aca="false">IF($A765="","",K765-J765-N765)</f>
        <v/>
      </c>
      <c r="M765" s="15" t="str">
        <f aca="false">IF($A765="","",INDEX(PERLINE!$A$2:$A$3001,MATCH($A765,PERLINE!$N$2:$N$3001,0)))</f>
        <v/>
      </c>
      <c r="N765" s="21" t="str">
        <f aca="false">IF($A765="","",SUMIFS(PERLINE!$M$2:$M$3001,PERLINE!$N$2:$N$3001,$A765))</f>
        <v/>
      </c>
    </row>
    <row r="766" customFormat="false" ht="15" hidden="false" customHeight="false" outlineLevel="0" collapsed="false">
      <c r="A766" s="15" t="str">
        <f aca="false">IF(ROWS($A$2:$A766)&lt;=Check!$C$4,SMALL(PERLINE!$AL$2:$AL$3001,ROWS($A$2:$A766)),"")</f>
        <v/>
      </c>
      <c r="B766" s="15" t="str">
        <f aca="false">IF($A766="","",INDEX(PERLINE!$J$2:$J$3001,MATCH($A766,PERLINE!$N$2:$N$3001,0)))</f>
        <v/>
      </c>
      <c r="C766" s="16" t="str">
        <f aca="false">IF($A766="","",INDEX(PERLINE!$I$2:$I$3001,MATCH($A766,PERLINE!$N$2:$N$3001,0)))</f>
        <v/>
      </c>
      <c r="D766" s="17" t="str">
        <f aca="false">IF($A766="","",'كشف المطالبة'!$D$6)</f>
        <v/>
      </c>
      <c r="E766" s="18" t="str">
        <f aca="false">IF($A766="","",SUMIFS(PERLINE!$U$2:$U$3001,PERLINE!$N$2:$N$3001,$A766,PERLINE!$AK$2:$AK$3001,0))</f>
        <v/>
      </c>
      <c r="F766" s="19" t="str">
        <f aca="false">IF($A766="","",E766*D766)</f>
        <v/>
      </c>
      <c r="G766" s="17" t="str">
        <f aca="false">IF($A766="","",'كشف المطالبة'!$D$5)</f>
        <v/>
      </c>
      <c r="H766" s="18" t="str">
        <f aca="false">IF($A766="","",SUMIFS(PERLINE!$U$2:$U$3001,PERLINE!$N$2:$N$3001,$A766,PERLINE!$AK$2:$AK$3001,1))</f>
        <v/>
      </c>
      <c r="I766" s="19" t="str">
        <f aca="false">IF($A766="","",H766*G766)</f>
        <v/>
      </c>
      <c r="J766" s="19" t="str">
        <f aca="false">IF($A766="","",F766+I766)</f>
        <v/>
      </c>
      <c r="K766" s="19" t="str">
        <f aca="false">IF($A766="","",H766+E766)</f>
        <v/>
      </c>
      <c r="L766" s="20" t="str">
        <f aca="false">IF($A766="","",K766-J766-N766)</f>
        <v/>
      </c>
      <c r="M766" s="15" t="str">
        <f aca="false">IF($A766="","",INDEX(PERLINE!$A$2:$A$3001,MATCH($A766,PERLINE!$N$2:$N$3001,0)))</f>
        <v/>
      </c>
      <c r="N766" s="21" t="str">
        <f aca="false">IF($A766="","",SUMIFS(PERLINE!$M$2:$M$3001,PERLINE!$N$2:$N$3001,$A766))</f>
        <v/>
      </c>
    </row>
    <row r="767" customFormat="false" ht="15" hidden="false" customHeight="false" outlineLevel="0" collapsed="false">
      <c r="A767" s="15" t="str">
        <f aca="false">IF(ROWS($A$2:$A767)&lt;=Check!$C$4,SMALL(PERLINE!$AL$2:$AL$3001,ROWS($A$2:$A767)),"")</f>
        <v/>
      </c>
      <c r="B767" s="15" t="str">
        <f aca="false">IF($A767="","",INDEX(PERLINE!$J$2:$J$3001,MATCH($A767,PERLINE!$N$2:$N$3001,0)))</f>
        <v/>
      </c>
      <c r="C767" s="16" t="str">
        <f aca="false">IF($A767="","",INDEX(PERLINE!$I$2:$I$3001,MATCH($A767,PERLINE!$N$2:$N$3001,0)))</f>
        <v/>
      </c>
      <c r="D767" s="17" t="str">
        <f aca="false">IF($A767="","",'كشف المطالبة'!$D$6)</f>
        <v/>
      </c>
      <c r="E767" s="18" t="str">
        <f aca="false">IF($A767="","",SUMIFS(PERLINE!$U$2:$U$3001,PERLINE!$N$2:$N$3001,$A767,PERLINE!$AK$2:$AK$3001,0))</f>
        <v/>
      </c>
      <c r="F767" s="19" t="str">
        <f aca="false">IF($A767="","",E767*D767)</f>
        <v/>
      </c>
      <c r="G767" s="17" t="str">
        <f aca="false">IF($A767="","",'كشف المطالبة'!$D$5)</f>
        <v/>
      </c>
      <c r="H767" s="18" t="str">
        <f aca="false">IF($A767="","",SUMIFS(PERLINE!$U$2:$U$3001,PERLINE!$N$2:$N$3001,$A767,PERLINE!$AK$2:$AK$3001,1))</f>
        <v/>
      </c>
      <c r="I767" s="19" t="str">
        <f aca="false">IF($A767="","",H767*G767)</f>
        <v/>
      </c>
      <c r="J767" s="19" t="str">
        <f aca="false">IF($A767="","",F767+I767)</f>
        <v/>
      </c>
      <c r="K767" s="19" t="str">
        <f aca="false">IF($A767="","",H767+E767)</f>
        <v/>
      </c>
      <c r="L767" s="20" t="str">
        <f aca="false">IF($A767="","",K767-J767-N767)</f>
        <v/>
      </c>
      <c r="M767" s="15" t="str">
        <f aca="false">IF($A767="","",INDEX(PERLINE!$A$2:$A$3001,MATCH($A767,PERLINE!$N$2:$N$3001,0)))</f>
        <v/>
      </c>
      <c r="N767" s="21" t="str">
        <f aca="false">IF($A767="","",SUMIFS(PERLINE!$M$2:$M$3001,PERLINE!$N$2:$N$3001,$A767))</f>
        <v/>
      </c>
    </row>
    <row r="768" customFormat="false" ht="15" hidden="false" customHeight="false" outlineLevel="0" collapsed="false">
      <c r="A768" s="15" t="str">
        <f aca="false">IF(ROWS($A$2:$A768)&lt;=Check!$C$4,SMALL(PERLINE!$AL$2:$AL$3001,ROWS($A$2:$A768)),"")</f>
        <v/>
      </c>
      <c r="B768" s="15" t="str">
        <f aca="false">IF($A768="","",INDEX(PERLINE!$J$2:$J$3001,MATCH($A768,PERLINE!$N$2:$N$3001,0)))</f>
        <v/>
      </c>
      <c r="C768" s="16" t="str">
        <f aca="false">IF($A768="","",INDEX(PERLINE!$I$2:$I$3001,MATCH($A768,PERLINE!$N$2:$N$3001,0)))</f>
        <v/>
      </c>
      <c r="D768" s="17" t="str">
        <f aca="false">IF($A768="","",'كشف المطالبة'!$D$6)</f>
        <v/>
      </c>
      <c r="E768" s="18" t="str">
        <f aca="false">IF($A768="","",SUMIFS(PERLINE!$U$2:$U$3001,PERLINE!$N$2:$N$3001,$A768,PERLINE!$AK$2:$AK$3001,0))</f>
        <v/>
      </c>
      <c r="F768" s="19" t="str">
        <f aca="false">IF($A768="","",E768*D768)</f>
        <v/>
      </c>
      <c r="G768" s="17" t="str">
        <f aca="false">IF($A768="","",'كشف المطالبة'!$D$5)</f>
        <v/>
      </c>
      <c r="H768" s="18" t="str">
        <f aca="false">IF($A768="","",SUMIFS(PERLINE!$U$2:$U$3001,PERLINE!$N$2:$N$3001,$A768,PERLINE!$AK$2:$AK$3001,1))</f>
        <v/>
      </c>
      <c r="I768" s="19" t="str">
        <f aca="false">IF($A768="","",H768*G768)</f>
        <v/>
      </c>
      <c r="J768" s="19" t="str">
        <f aca="false">IF($A768="","",F768+I768)</f>
        <v/>
      </c>
      <c r="K768" s="19" t="str">
        <f aca="false">IF($A768="","",H768+E768)</f>
        <v/>
      </c>
      <c r="L768" s="20" t="str">
        <f aca="false">IF($A768="","",K768-J768-N768)</f>
        <v/>
      </c>
      <c r="M768" s="15" t="str">
        <f aca="false">IF($A768="","",INDEX(PERLINE!$A$2:$A$3001,MATCH($A768,PERLINE!$N$2:$N$3001,0)))</f>
        <v/>
      </c>
      <c r="N768" s="21" t="str">
        <f aca="false">IF($A768="","",SUMIFS(PERLINE!$M$2:$M$3001,PERLINE!$N$2:$N$3001,$A768))</f>
        <v/>
      </c>
    </row>
    <row r="769" customFormat="false" ht="15" hidden="false" customHeight="false" outlineLevel="0" collapsed="false">
      <c r="A769" s="15" t="str">
        <f aca="false">IF(ROWS($A$2:$A769)&lt;=Check!$C$4,SMALL(PERLINE!$AL$2:$AL$3001,ROWS($A$2:$A769)),"")</f>
        <v/>
      </c>
      <c r="B769" s="15" t="str">
        <f aca="false">IF($A769="","",INDEX(PERLINE!$J$2:$J$3001,MATCH($A769,PERLINE!$N$2:$N$3001,0)))</f>
        <v/>
      </c>
      <c r="C769" s="16" t="str">
        <f aca="false">IF($A769="","",INDEX(PERLINE!$I$2:$I$3001,MATCH($A769,PERLINE!$N$2:$N$3001,0)))</f>
        <v/>
      </c>
      <c r="D769" s="17" t="str">
        <f aca="false">IF($A769="","",'كشف المطالبة'!$D$6)</f>
        <v/>
      </c>
      <c r="E769" s="18" t="str">
        <f aca="false">IF($A769="","",SUMIFS(PERLINE!$U$2:$U$3001,PERLINE!$N$2:$N$3001,$A769,PERLINE!$AK$2:$AK$3001,0))</f>
        <v/>
      </c>
      <c r="F769" s="19" t="str">
        <f aca="false">IF($A769="","",E769*D769)</f>
        <v/>
      </c>
      <c r="G769" s="17" t="str">
        <f aca="false">IF($A769="","",'كشف المطالبة'!$D$5)</f>
        <v/>
      </c>
      <c r="H769" s="18" t="str">
        <f aca="false">IF($A769="","",SUMIFS(PERLINE!$U$2:$U$3001,PERLINE!$N$2:$N$3001,$A769,PERLINE!$AK$2:$AK$3001,1))</f>
        <v/>
      </c>
      <c r="I769" s="19" t="str">
        <f aca="false">IF($A769="","",H769*G769)</f>
        <v/>
      </c>
      <c r="J769" s="19" t="str">
        <f aca="false">IF($A769="","",F769+I769)</f>
        <v/>
      </c>
      <c r="K769" s="19" t="str">
        <f aca="false">IF($A769="","",H769+E769)</f>
        <v/>
      </c>
      <c r="L769" s="20" t="str">
        <f aca="false">IF($A769="","",K769-J769-N769)</f>
        <v/>
      </c>
      <c r="M769" s="15" t="str">
        <f aca="false">IF($A769="","",INDEX(PERLINE!$A$2:$A$3001,MATCH($A769,PERLINE!$N$2:$N$3001,0)))</f>
        <v/>
      </c>
      <c r="N769" s="21" t="str">
        <f aca="false">IF($A769="","",SUMIFS(PERLINE!$M$2:$M$3001,PERLINE!$N$2:$N$3001,$A769))</f>
        <v/>
      </c>
    </row>
    <row r="770" customFormat="false" ht="15" hidden="false" customHeight="false" outlineLevel="0" collapsed="false">
      <c r="A770" s="15" t="str">
        <f aca="false">IF(ROWS($A$2:$A770)&lt;=Check!$C$4,SMALL(PERLINE!$AL$2:$AL$3001,ROWS($A$2:$A770)),"")</f>
        <v/>
      </c>
      <c r="B770" s="15" t="str">
        <f aca="false">IF($A770="","",INDEX(PERLINE!$J$2:$J$3001,MATCH($A770,PERLINE!$N$2:$N$3001,0)))</f>
        <v/>
      </c>
      <c r="C770" s="16" t="str">
        <f aca="false">IF($A770="","",INDEX(PERLINE!$I$2:$I$3001,MATCH($A770,PERLINE!$N$2:$N$3001,0)))</f>
        <v/>
      </c>
      <c r="D770" s="17" t="str">
        <f aca="false">IF($A770="","",'كشف المطالبة'!$D$6)</f>
        <v/>
      </c>
      <c r="E770" s="18" t="str">
        <f aca="false">IF($A770="","",SUMIFS(PERLINE!$U$2:$U$3001,PERLINE!$N$2:$N$3001,$A770,PERLINE!$AK$2:$AK$3001,0))</f>
        <v/>
      </c>
      <c r="F770" s="19" t="str">
        <f aca="false">IF($A770="","",E770*D770)</f>
        <v/>
      </c>
      <c r="G770" s="17" t="str">
        <f aca="false">IF($A770="","",'كشف المطالبة'!$D$5)</f>
        <v/>
      </c>
      <c r="H770" s="18" t="str">
        <f aca="false">IF($A770="","",SUMIFS(PERLINE!$U$2:$U$3001,PERLINE!$N$2:$N$3001,$A770,PERLINE!$AK$2:$AK$3001,1))</f>
        <v/>
      </c>
      <c r="I770" s="19" t="str">
        <f aca="false">IF($A770="","",H770*G770)</f>
        <v/>
      </c>
      <c r="J770" s="19" t="str">
        <f aca="false">IF($A770="","",F770+I770)</f>
        <v/>
      </c>
      <c r="K770" s="19" t="str">
        <f aca="false">IF($A770="","",H770+E770)</f>
        <v/>
      </c>
      <c r="L770" s="20" t="str">
        <f aca="false">IF($A770="","",K770-J770-N770)</f>
        <v/>
      </c>
      <c r="M770" s="15" t="str">
        <f aca="false">IF($A770="","",INDEX(PERLINE!$A$2:$A$3001,MATCH($A770,PERLINE!$N$2:$N$3001,0)))</f>
        <v/>
      </c>
      <c r="N770" s="21" t="str">
        <f aca="false">IF($A770="","",SUMIFS(PERLINE!$M$2:$M$3001,PERLINE!$N$2:$N$3001,$A770))</f>
        <v/>
      </c>
    </row>
    <row r="771" customFormat="false" ht="15" hidden="false" customHeight="false" outlineLevel="0" collapsed="false">
      <c r="A771" s="15" t="str">
        <f aca="false">IF(ROWS($A$2:$A771)&lt;=Check!$C$4,SMALL(PERLINE!$AL$2:$AL$3001,ROWS($A$2:$A771)),"")</f>
        <v/>
      </c>
      <c r="B771" s="15" t="str">
        <f aca="false">IF($A771="","",INDEX(PERLINE!$J$2:$J$3001,MATCH($A771,PERLINE!$N$2:$N$3001,0)))</f>
        <v/>
      </c>
      <c r="C771" s="16" t="str">
        <f aca="false">IF($A771="","",INDEX(PERLINE!$I$2:$I$3001,MATCH($A771,PERLINE!$N$2:$N$3001,0)))</f>
        <v/>
      </c>
      <c r="D771" s="17" t="str">
        <f aca="false">IF($A771="","",'كشف المطالبة'!$D$6)</f>
        <v/>
      </c>
      <c r="E771" s="18" t="str">
        <f aca="false">IF($A771="","",SUMIFS(PERLINE!$U$2:$U$3001,PERLINE!$N$2:$N$3001,$A771,PERLINE!$AK$2:$AK$3001,0))</f>
        <v/>
      </c>
      <c r="F771" s="19" t="str">
        <f aca="false">IF($A771="","",E771*D771)</f>
        <v/>
      </c>
      <c r="G771" s="17" t="str">
        <f aca="false">IF($A771="","",'كشف المطالبة'!$D$5)</f>
        <v/>
      </c>
      <c r="H771" s="18" t="str">
        <f aca="false">IF($A771="","",SUMIFS(PERLINE!$U$2:$U$3001,PERLINE!$N$2:$N$3001,$A771,PERLINE!$AK$2:$AK$3001,1))</f>
        <v/>
      </c>
      <c r="I771" s="19" t="str">
        <f aca="false">IF($A771="","",H771*G771)</f>
        <v/>
      </c>
      <c r="J771" s="19" t="str">
        <f aca="false">IF($A771="","",F771+I771)</f>
        <v/>
      </c>
      <c r="K771" s="19" t="str">
        <f aca="false">IF($A771="","",H771+E771)</f>
        <v/>
      </c>
      <c r="L771" s="20" t="str">
        <f aca="false">IF($A771="","",K771-J771-N771)</f>
        <v/>
      </c>
      <c r="M771" s="15" t="str">
        <f aca="false">IF($A771="","",INDEX(PERLINE!$A$2:$A$3001,MATCH($A771,PERLINE!$N$2:$N$3001,0)))</f>
        <v/>
      </c>
      <c r="N771" s="21" t="str">
        <f aca="false">IF($A771="","",SUMIFS(PERLINE!$M$2:$M$3001,PERLINE!$N$2:$N$3001,$A771))</f>
        <v/>
      </c>
    </row>
    <row r="772" customFormat="false" ht="15" hidden="false" customHeight="false" outlineLevel="0" collapsed="false">
      <c r="A772" s="15" t="str">
        <f aca="false">IF(ROWS($A$2:$A772)&lt;=Check!$C$4,SMALL(PERLINE!$AL$2:$AL$3001,ROWS($A$2:$A772)),"")</f>
        <v/>
      </c>
      <c r="B772" s="15" t="str">
        <f aca="false">IF($A772="","",INDEX(PERLINE!$J$2:$J$3001,MATCH($A772,PERLINE!$N$2:$N$3001,0)))</f>
        <v/>
      </c>
      <c r="C772" s="16" t="str">
        <f aca="false">IF($A772="","",INDEX(PERLINE!$I$2:$I$3001,MATCH($A772,PERLINE!$N$2:$N$3001,0)))</f>
        <v/>
      </c>
      <c r="D772" s="17" t="str">
        <f aca="false">IF($A772="","",'كشف المطالبة'!$D$6)</f>
        <v/>
      </c>
      <c r="E772" s="18" t="str">
        <f aca="false">IF($A772="","",SUMIFS(PERLINE!$U$2:$U$3001,PERLINE!$N$2:$N$3001,$A772,PERLINE!$AK$2:$AK$3001,0))</f>
        <v/>
      </c>
      <c r="F772" s="19" t="str">
        <f aca="false">IF($A772="","",E772*D772)</f>
        <v/>
      </c>
      <c r="G772" s="17" t="str">
        <f aca="false">IF($A772="","",'كشف المطالبة'!$D$5)</f>
        <v/>
      </c>
      <c r="H772" s="18" t="str">
        <f aca="false">IF($A772="","",SUMIFS(PERLINE!$U$2:$U$3001,PERLINE!$N$2:$N$3001,$A772,PERLINE!$AK$2:$AK$3001,1))</f>
        <v/>
      </c>
      <c r="I772" s="19" t="str">
        <f aca="false">IF($A772="","",H772*G772)</f>
        <v/>
      </c>
      <c r="J772" s="19" t="str">
        <f aca="false">IF($A772="","",F772+I772)</f>
        <v/>
      </c>
      <c r="K772" s="19" t="str">
        <f aca="false">IF($A772="","",H772+E772)</f>
        <v/>
      </c>
      <c r="L772" s="20" t="str">
        <f aca="false">IF($A772="","",K772-J772-N772)</f>
        <v/>
      </c>
      <c r="M772" s="15" t="str">
        <f aca="false">IF($A772="","",INDEX(PERLINE!$A$2:$A$3001,MATCH($A772,PERLINE!$N$2:$N$3001,0)))</f>
        <v/>
      </c>
      <c r="N772" s="21" t="str">
        <f aca="false">IF($A772="","",SUMIFS(PERLINE!$M$2:$M$3001,PERLINE!$N$2:$N$3001,$A772))</f>
        <v/>
      </c>
    </row>
    <row r="773" customFormat="false" ht="15" hidden="false" customHeight="false" outlineLevel="0" collapsed="false">
      <c r="A773" s="15" t="str">
        <f aca="false">IF(ROWS($A$2:$A773)&lt;=Check!$C$4,SMALL(PERLINE!$AL$2:$AL$3001,ROWS($A$2:$A773)),"")</f>
        <v/>
      </c>
      <c r="B773" s="15" t="str">
        <f aca="false">IF($A773="","",INDEX(PERLINE!$J$2:$J$3001,MATCH($A773,PERLINE!$N$2:$N$3001,0)))</f>
        <v/>
      </c>
      <c r="C773" s="16" t="str">
        <f aca="false">IF($A773="","",INDEX(PERLINE!$I$2:$I$3001,MATCH($A773,PERLINE!$N$2:$N$3001,0)))</f>
        <v/>
      </c>
      <c r="D773" s="17" t="str">
        <f aca="false">IF($A773="","",'كشف المطالبة'!$D$6)</f>
        <v/>
      </c>
      <c r="E773" s="18" t="str">
        <f aca="false">IF($A773="","",SUMIFS(PERLINE!$U$2:$U$3001,PERLINE!$N$2:$N$3001,$A773,PERLINE!$AK$2:$AK$3001,0))</f>
        <v/>
      </c>
      <c r="F773" s="19" t="str">
        <f aca="false">IF($A773="","",E773*D773)</f>
        <v/>
      </c>
      <c r="G773" s="17" t="str">
        <f aca="false">IF($A773="","",'كشف المطالبة'!$D$5)</f>
        <v/>
      </c>
      <c r="H773" s="18" t="str">
        <f aca="false">IF($A773="","",SUMIFS(PERLINE!$U$2:$U$3001,PERLINE!$N$2:$N$3001,$A773,PERLINE!$AK$2:$AK$3001,1))</f>
        <v/>
      </c>
      <c r="I773" s="19" t="str">
        <f aca="false">IF($A773="","",H773*G773)</f>
        <v/>
      </c>
      <c r="J773" s="19" t="str">
        <f aca="false">IF($A773="","",F773+I773)</f>
        <v/>
      </c>
      <c r="K773" s="19" t="str">
        <f aca="false">IF($A773="","",H773+E773)</f>
        <v/>
      </c>
      <c r="L773" s="20" t="str">
        <f aca="false">IF($A773="","",K773-J773-N773)</f>
        <v/>
      </c>
      <c r="M773" s="15" t="str">
        <f aca="false">IF($A773="","",INDEX(PERLINE!$A$2:$A$3001,MATCH($A773,PERLINE!$N$2:$N$3001,0)))</f>
        <v/>
      </c>
      <c r="N773" s="21" t="str">
        <f aca="false">IF($A773="","",SUMIFS(PERLINE!$M$2:$M$3001,PERLINE!$N$2:$N$3001,$A773))</f>
        <v/>
      </c>
    </row>
    <row r="774" customFormat="false" ht="15" hidden="false" customHeight="false" outlineLevel="0" collapsed="false">
      <c r="A774" s="15" t="str">
        <f aca="false">IF(ROWS($A$2:$A774)&lt;=Check!$C$4,SMALL(PERLINE!$AL$2:$AL$3001,ROWS($A$2:$A774)),"")</f>
        <v/>
      </c>
      <c r="B774" s="15" t="str">
        <f aca="false">IF($A774="","",INDEX(PERLINE!$J$2:$J$3001,MATCH($A774,PERLINE!$N$2:$N$3001,0)))</f>
        <v/>
      </c>
      <c r="C774" s="16" t="str">
        <f aca="false">IF($A774="","",INDEX(PERLINE!$I$2:$I$3001,MATCH($A774,PERLINE!$N$2:$N$3001,0)))</f>
        <v/>
      </c>
      <c r="D774" s="17" t="str">
        <f aca="false">IF($A774="","",'كشف المطالبة'!$D$6)</f>
        <v/>
      </c>
      <c r="E774" s="18" t="str">
        <f aca="false">IF($A774="","",SUMIFS(PERLINE!$U$2:$U$3001,PERLINE!$N$2:$N$3001,$A774,PERLINE!$AK$2:$AK$3001,0))</f>
        <v/>
      </c>
      <c r="F774" s="19" t="str">
        <f aca="false">IF($A774="","",E774*D774)</f>
        <v/>
      </c>
      <c r="G774" s="17" t="str">
        <f aca="false">IF($A774="","",'كشف المطالبة'!$D$5)</f>
        <v/>
      </c>
      <c r="H774" s="18" t="str">
        <f aca="false">IF($A774="","",SUMIFS(PERLINE!$U$2:$U$3001,PERLINE!$N$2:$N$3001,$A774,PERLINE!$AK$2:$AK$3001,1))</f>
        <v/>
      </c>
      <c r="I774" s="19" t="str">
        <f aca="false">IF($A774="","",H774*G774)</f>
        <v/>
      </c>
      <c r="J774" s="19" t="str">
        <f aca="false">IF($A774="","",F774+I774)</f>
        <v/>
      </c>
      <c r="K774" s="19" t="str">
        <f aca="false">IF($A774="","",H774+E774)</f>
        <v/>
      </c>
      <c r="L774" s="20" t="str">
        <f aca="false">IF($A774="","",K774-J774-N774)</f>
        <v/>
      </c>
      <c r="M774" s="15" t="str">
        <f aca="false">IF($A774="","",INDEX(PERLINE!$A$2:$A$3001,MATCH($A774,PERLINE!$N$2:$N$3001,0)))</f>
        <v/>
      </c>
      <c r="N774" s="21" t="str">
        <f aca="false">IF($A774="","",SUMIFS(PERLINE!$M$2:$M$3001,PERLINE!$N$2:$N$3001,$A774))</f>
        <v/>
      </c>
    </row>
    <row r="775" customFormat="false" ht="15" hidden="false" customHeight="false" outlineLevel="0" collapsed="false">
      <c r="A775" s="15" t="str">
        <f aca="false">IF(ROWS($A$2:$A775)&lt;=Check!$C$4,SMALL(PERLINE!$AL$2:$AL$3001,ROWS($A$2:$A775)),"")</f>
        <v/>
      </c>
      <c r="B775" s="15" t="str">
        <f aca="false">IF($A775="","",INDEX(PERLINE!$J$2:$J$3001,MATCH($A775,PERLINE!$N$2:$N$3001,0)))</f>
        <v/>
      </c>
      <c r="C775" s="16" t="str">
        <f aca="false">IF($A775="","",INDEX(PERLINE!$I$2:$I$3001,MATCH($A775,PERLINE!$N$2:$N$3001,0)))</f>
        <v/>
      </c>
      <c r="D775" s="17" t="str">
        <f aca="false">IF($A775="","",'كشف المطالبة'!$D$6)</f>
        <v/>
      </c>
      <c r="E775" s="18" t="str">
        <f aca="false">IF($A775="","",SUMIFS(PERLINE!$U$2:$U$3001,PERLINE!$N$2:$N$3001,$A775,PERLINE!$AK$2:$AK$3001,0))</f>
        <v/>
      </c>
      <c r="F775" s="19" t="str">
        <f aca="false">IF($A775="","",E775*D775)</f>
        <v/>
      </c>
      <c r="G775" s="17" t="str">
        <f aca="false">IF($A775="","",'كشف المطالبة'!$D$5)</f>
        <v/>
      </c>
      <c r="H775" s="18" t="str">
        <f aca="false">IF($A775="","",SUMIFS(PERLINE!$U$2:$U$3001,PERLINE!$N$2:$N$3001,$A775,PERLINE!$AK$2:$AK$3001,1))</f>
        <v/>
      </c>
      <c r="I775" s="19" t="str">
        <f aca="false">IF($A775="","",H775*G775)</f>
        <v/>
      </c>
      <c r="J775" s="19" t="str">
        <f aca="false">IF($A775="","",F775+I775)</f>
        <v/>
      </c>
      <c r="K775" s="19" t="str">
        <f aca="false">IF($A775="","",H775+E775)</f>
        <v/>
      </c>
      <c r="L775" s="20" t="str">
        <f aca="false">IF($A775="","",K775-J775-N775)</f>
        <v/>
      </c>
      <c r="M775" s="15" t="str">
        <f aca="false">IF($A775="","",INDEX(PERLINE!$A$2:$A$3001,MATCH($A775,PERLINE!$N$2:$N$3001,0)))</f>
        <v/>
      </c>
      <c r="N775" s="21" t="str">
        <f aca="false">IF($A775="","",SUMIFS(PERLINE!$M$2:$M$3001,PERLINE!$N$2:$N$3001,$A775))</f>
        <v/>
      </c>
    </row>
    <row r="776" customFormat="false" ht="15" hidden="false" customHeight="false" outlineLevel="0" collapsed="false">
      <c r="A776" s="15" t="str">
        <f aca="false">IF(ROWS($A$2:$A776)&lt;=Check!$C$4,SMALL(PERLINE!$AL$2:$AL$3001,ROWS($A$2:$A776)),"")</f>
        <v/>
      </c>
      <c r="B776" s="15" t="str">
        <f aca="false">IF($A776="","",INDEX(PERLINE!$J$2:$J$3001,MATCH($A776,PERLINE!$N$2:$N$3001,0)))</f>
        <v/>
      </c>
      <c r="C776" s="16" t="str">
        <f aca="false">IF($A776="","",INDEX(PERLINE!$I$2:$I$3001,MATCH($A776,PERLINE!$N$2:$N$3001,0)))</f>
        <v/>
      </c>
      <c r="D776" s="17" t="str">
        <f aca="false">IF($A776="","",'كشف المطالبة'!$D$6)</f>
        <v/>
      </c>
      <c r="E776" s="18" t="str">
        <f aca="false">IF($A776="","",SUMIFS(PERLINE!$U$2:$U$3001,PERLINE!$N$2:$N$3001,$A776,PERLINE!$AK$2:$AK$3001,0))</f>
        <v/>
      </c>
      <c r="F776" s="19" t="str">
        <f aca="false">IF($A776="","",E776*D776)</f>
        <v/>
      </c>
      <c r="G776" s="17" t="str">
        <f aca="false">IF($A776="","",'كشف المطالبة'!$D$5)</f>
        <v/>
      </c>
      <c r="H776" s="18" t="str">
        <f aca="false">IF($A776="","",SUMIFS(PERLINE!$U$2:$U$3001,PERLINE!$N$2:$N$3001,$A776,PERLINE!$AK$2:$AK$3001,1))</f>
        <v/>
      </c>
      <c r="I776" s="19" t="str">
        <f aca="false">IF($A776="","",H776*G776)</f>
        <v/>
      </c>
      <c r="J776" s="19" t="str">
        <f aca="false">IF($A776="","",F776+I776)</f>
        <v/>
      </c>
      <c r="K776" s="19" t="str">
        <f aca="false">IF($A776="","",H776+E776)</f>
        <v/>
      </c>
      <c r="L776" s="20" t="str">
        <f aca="false">IF($A776="","",K776-J776-N776)</f>
        <v/>
      </c>
      <c r="M776" s="15" t="str">
        <f aca="false">IF($A776="","",INDEX(PERLINE!$A$2:$A$3001,MATCH($A776,PERLINE!$N$2:$N$3001,0)))</f>
        <v/>
      </c>
      <c r="N776" s="21" t="str">
        <f aca="false">IF($A776="","",SUMIFS(PERLINE!$M$2:$M$3001,PERLINE!$N$2:$N$3001,$A776))</f>
        <v/>
      </c>
    </row>
    <row r="777" customFormat="false" ht="15" hidden="false" customHeight="false" outlineLevel="0" collapsed="false">
      <c r="A777" s="15" t="str">
        <f aca="false">IF(ROWS($A$2:$A777)&lt;=Check!$C$4,SMALL(PERLINE!$AL$2:$AL$3001,ROWS($A$2:$A777)),"")</f>
        <v/>
      </c>
      <c r="B777" s="15" t="str">
        <f aca="false">IF($A777="","",INDEX(PERLINE!$J$2:$J$3001,MATCH($A777,PERLINE!$N$2:$N$3001,0)))</f>
        <v/>
      </c>
      <c r="C777" s="16" t="str">
        <f aca="false">IF($A777="","",INDEX(PERLINE!$I$2:$I$3001,MATCH($A777,PERLINE!$N$2:$N$3001,0)))</f>
        <v/>
      </c>
      <c r="D777" s="17" t="str">
        <f aca="false">IF($A777="","",'كشف المطالبة'!$D$6)</f>
        <v/>
      </c>
      <c r="E777" s="18" t="str">
        <f aca="false">IF($A777="","",SUMIFS(PERLINE!$U$2:$U$3001,PERLINE!$N$2:$N$3001,$A777,PERLINE!$AK$2:$AK$3001,0))</f>
        <v/>
      </c>
      <c r="F777" s="19" t="str">
        <f aca="false">IF($A777="","",E777*D777)</f>
        <v/>
      </c>
      <c r="G777" s="17" t="str">
        <f aca="false">IF($A777="","",'كشف المطالبة'!$D$5)</f>
        <v/>
      </c>
      <c r="H777" s="18" t="str">
        <f aca="false">IF($A777="","",SUMIFS(PERLINE!$U$2:$U$3001,PERLINE!$N$2:$N$3001,$A777,PERLINE!$AK$2:$AK$3001,1))</f>
        <v/>
      </c>
      <c r="I777" s="19" t="str">
        <f aca="false">IF($A777="","",H777*G777)</f>
        <v/>
      </c>
      <c r="J777" s="19" t="str">
        <f aca="false">IF($A777="","",F777+I777)</f>
        <v/>
      </c>
      <c r="K777" s="19" t="str">
        <f aca="false">IF($A777="","",H777+E777)</f>
        <v/>
      </c>
      <c r="L777" s="20" t="str">
        <f aca="false">IF($A777="","",K777-J777-N777)</f>
        <v/>
      </c>
      <c r="M777" s="15" t="str">
        <f aca="false">IF($A777="","",INDEX(PERLINE!$A$2:$A$3001,MATCH($A777,PERLINE!$N$2:$N$3001,0)))</f>
        <v/>
      </c>
      <c r="N777" s="21" t="str">
        <f aca="false">IF($A777="","",SUMIFS(PERLINE!$M$2:$M$3001,PERLINE!$N$2:$N$3001,$A777))</f>
        <v/>
      </c>
    </row>
    <row r="778" customFormat="false" ht="15" hidden="false" customHeight="false" outlineLevel="0" collapsed="false">
      <c r="A778" s="15" t="str">
        <f aca="false">IF(ROWS($A$2:$A778)&lt;=Check!$C$4,SMALL(PERLINE!$AL$2:$AL$3001,ROWS($A$2:$A778)),"")</f>
        <v/>
      </c>
      <c r="B778" s="15" t="str">
        <f aca="false">IF($A778="","",INDEX(PERLINE!$J$2:$J$3001,MATCH($A778,PERLINE!$N$2:$N$3001,0)))</f>
        <v/>
      </c>
      <c r="C778" s="16" t="str">
        <f aca="false">IF($A778="","",INDEX(PERLINE!$I$2:$I$3001,MATCH($A778,PERLINE!$N$2:$N$3001,0)))</f>
        <v/>
      </c>
      <c r="D778" s="17" t="str">
        <f aca="false">IF($A778="","",'كشف المطالبة'!$D$6)</f>
        <v/>
      </c>
      <c r="E778" s="18" t="str">
        <f aca="false">IF($A778="","",SUMIFS(PERLINE!$U$2:$U$3001,PERLINE!$N$2:$N$3001,$A778,PERLINE!$AK$2:$AK$3001,0))</f>
        <v/>
      </c>
      <c r="F778" s="19" t="str">
        <f aca="false">IF($A778="","",E778*D778)</f>
        <v/>
      </c>
      <c r="G778" s="17" t="str">
        <f aca="false">IF($A778="","",'كشف المطالبة'!$D$5)</f>
        <v/>
      </c>
      <c r="H778" s="18" t="str">
        <f aca="false">IF($A778="","",SUMIFS(PERLINE!$U$2:$U$3001,PERLINE!$N$2:$N$3001,$A778,PERLINE!$AK$2:$AK$3001,1))</f>
        <v/>
      </c>
      <c r="I778" s="19" t="str">
        <f aca="false">IF($A778="","",H778*G778)</f>
        <v/>
      </c>
      <c r="J778" s="19" t="str">
        <f aca="false">IF($A778="","",F778+I778)</f>
        <v/>
      </c>
      <c r="K778" s="19" t="str">
        <f aca="false">IF($A778="","",H778+E778)</f>
        <v/>
      </c>
      <c r="L778" s="20" t="str">
        <f aca="false">IF($A778="","",K778-J778-N778)</f>
        <v/>
      </c>
      <c r="M778" s="15" t="str">
        <f aca="false">IF($A778="","",INDEX(PERLINE!$A$2:$A$3001,MATCH($A778,PERLINE!$N$2:$N$3001,0)))</f>
        <v/>
      </c>
      <c r="N778" s="21" t="str">
        <f aca="false">IF($A778="","",SUMIFS(PERLINE!$M$2:$M$3001,PERLINE!$N$2:$N$3001,$A778))</f>
        <v/>
      </c>
    </row>
    <row r="779" customFormat="false" ht="15" hidden="false" customHeight="false" outlineLevel="0" collapsed="false">
      <c r="A779" s="15" t="str">
        <f aca="false">IF(ROWS($A$2:$A779)&lt;=Check!$C$4,SMALL(PERLINE!$AL$2:$AL$3001,ROWS($A$2:$A779)),"")</f>
        <v/>
      </c>
      <c r="B779" s="15" t="str">
        <f aca="false">IF($A779="","",INDEX(PERLINE!$J$2:$J$3001,MATCH($A779,PERLINE!$N$2:$N$3001,0)))</f>
        <v/>
      </c>
      <c r="C779" s="16" t="str">
        <f aca="false">IF($A779="","",INDEX(PERLINE!$I$2:$I$3001,MATCH($A779,PERLINE!$N$2:$N$3001,0)))</f>
        <v/>
      </c>
      <c r="D779" s="17" t="str">
        <f aca="false">IF($A779="","",'كشف المطالبة'!$D$6)</f>
        <v/>
      </c>
      <c r="E779" s="18" t="str">
        <f aca="false">IF($A779="","",SUMIFS(PERLINE!$U$2:$U$3001,PERLINE!$N$2:$N$3001,$A779,PERLINE!$AK$2:$AK$3001,0))</f>
        <v/>
      </c>
      <c r="F779" s="19" t="str">
        <f aca="false">IF($A779="","",E779*D779)</f>
        <v/>
      </c>
      <c r="G779" s="17" t="str">
        <f aca="false">IF($A779="","",'كشف المطالبة'!$D$5)</f>
        <v/>
      </c>
      <c r="H779" s="18" t="str">
        <f aca="false">IF($A779="","",SUMIFS(PERLINE!$U$2:$U$3001,PERLINE!$N$2:$N$3001,$A779,PERLINE!$AK$2:$AK$3001,1))</f>
        <v/>
      </c>
      <c r="I779" s="19" t="str">
        <f aca="false">IF($A779="","",H779*G779)</f>
        <v/>
      </c>
      <c r="J779" s="19" t="str">
        <f aca="false">IF($A779="","",F779+I779)</f>
        <v/>
      </c>
      <c r="K779" s="19" t="str">
        <f aca="false">IF($A779="","",H779+E779)</f>
        <v/>
      </c>
      <c r="L779" s="20" t="str">
        <f aca="false">IF($A779="","",K779-J779-N779)</f>
        <v/>
      </c>
      <c r="M779" s="15" t="str">
        <f aca="false">IF($A779="","",INDEX(PERLINE!$A$2:$A$3001,MATCH($A779,PERLINE!$N$2:$N$3001,0)))</f>
        <v/>
      </c>
      <c r="N779" s="21" t="str">
        <f aca="false">IF($A779="","",SUMIFS(PERLINE!$M$2:$M$3001,PERLINE!$N$2:$N$3001,$A779))</f>
        <v/>
      </c>
    </row>
    <row r="780" customFormat="false" ht="15" hidden="false" customHeight="false" outlineLevel="0" collapsed="false">
      <c r="A780" s="15" t="str">
        <f aca="false">IF(ROWS($A$2:$A780)&lt;=Check!$C$4,SMALL(PERLINE!$AL$2:$AL$3001,ROWS($A$2:$A780)),"")</f>
        <v/>
      </c>
      <c r="B780" s="15" t="str">
        <f aca="false">IF($A780="","",INDEX(PERLINE!$J$2:$J$3001,MATCH($A780,PERLINE!$N$2:$N$3001,0)))</f>
        <v/>
      </c>
      <c r="C780" s="16" t="str">
        <f aca="false">IF($A780="","",INDEX(PERLINE!$I$2:$I$3001,MATCH($A780,PERLINE!$N$2:$N$3001,0)))</f>
        <v/>
      </c>
      <c r="D780" s="17" t="str">
        <f aca="false">IF($A780="","",'كشف المطالبة'!$D$6)</f>
        <v/>
      </c>
      <c r="E780" s="18" t="str">
        <f aca="false">IF($A780="","",SUMIFS(PERLINE!$U$2:$U$3001,PERLINE!$N$2:$N$3001,$A780,PERLINE!$AK$2:$AK$3001,0))</f>
        <v/>
      </c>
      <c r="F780" s="19" t="str">
        <f aca="false">IF($A780="","",E780*D780)</f>
        <v/>
      </c>
      <c r="G780" s="17" t="str">
        <f aca="false">IF($A780="","",'كشف المطالبة'!$D$5)</f>
        <v/>
      </c>
      <c r="H780" s="18" t="str">
        <f aca="false">IF($A780="","",SUMIFS(PERLINE!$U$2:$U$3001,PERLINE!$N$2:$N$3001,$A780,PERLINE!$AK$2:$AK$3001,1))</f>
        <v/>
      </c>
      <c r="I780" s="19" t="str">
        <f aca="false">IF($A780="","",H780*G780)</f>
        <v/>
      </c>
      <c r="J780" s="19" t="str">
        <f aca="false">IF($A780="","",F780+I780)</f>
        <v/>
      </c>
      <c r="K780" s="19" t="str">
        <f aca="false">IF($A780="","",H780+E780)</f>
        <v/>
      </c>
      <c r="L780" s="20" t="str">
        <f aca="false">IF($A780="","",K780-J780-N780)</f>
        <v/>
      </c>
      <c r="M780" s="15" t="str">
        <f aca="false">IF($A780="","",INDEX(PERLINE!$A$2:$A$3001,MATCH($A780,PERLINE!$N$2:$N$3001,0)))</f>
        <v/>
      </c>
      <c r="N780" s="21" t="str">
        <f aca="false">IF($A780="","",SUMIFS(PERLINE!$M$2:$M$3001,PERLINE!$N$2:$N$3001,$A780))</f>
        <v/>
      </c>
    </row>
    <row r="781" customFormat="false" ht="15" hidden="false" customHeight="false" outlineLevel="0" collapsed="false">
      <c r="A781" s="15" t="str">
        <f aca="false">IF(ROWS($A$2:$A781)&lt;=Check!$C$4,SMALL(PERLINE!$AL$2:$AL$3001,ROWS($A$2:$A781)),"")</f>
        <v/>
      </c>
      <c r="B781" s="15" t="str">
        <f aca="false">IF($A781="","",INDEX(PERLINE!$J$2:$J$3001,MATCH($A781,PERLINE!$N$2:$N$3001,0)))</f>
        <v/>
      </c>
      <c r="C781" s="16" t="str">
        <f aca="false">IF($A781="","",INDEX(PERLINE!$I$2:$I$3001,MATCH($A781,PERLINE!$N$2:$N$3001,0)))</f>
        <v/>
      </c>
      <c r="D781" s="17" t="str">
        <f aca="false">IF($A781="","",'كشف المطالبة'!$D$6)</f>
        <v/>
      </c>
      <c r="E781" s="18" t="str">
        <f aca="false">IF($A781="","",SUMIFS(PERLINE!$U$2:$U$3001,PERLINE!$N$2:$N$3001,$A781,PERLINE!$AK$2:$AK$3001,0))</f>
        <v/>
      </c>
      <c r="F781" s="19" t="str">
        <f aca="false">IF($A781="","",E781*D781)</f>
        <v/>
      </c>
      <c r="G781" s="17" t="str">
        <f aca="false">IF($A781="","",'كشف المطالبة'!$D$5)</f>
        <v/>
      </c>
      <c r="H781" s="18" t="str">
        <f aca="false">IF($A781="","",SUMIFS(PERLINE!$U$2:$U$3001,PERLINE!$N$2:$N$3001,$A781,PERLINE!$AK$2:$AK$3001,1))</f>
        <v/>
      </c>
      <c r="I781" s="19" t="str">
        <f aca="false">IF($A781="","",H781*G781)</f>
        <v/>
      </c>
      <c r="J781" s="19" t="str">
        <f aca="false">IF($A781="","",F781+I781)</f>
        <v/>
      </c>
      <c r="K781" s="19" t="str">
        <f aca="false">IF($A781="","",H781+E781)</f>
        <v/>
      </c>
      <c r="L781" s="20" t="str">
        <f aca="false">IF($A781="","",K781-J781-N781)</f>
        <v/>
      </c>
      <c r="M781" s="15" t="str">
        <f aca="false">IF($A781="","",INDEX(PERLINE!$A$2:$A$3001,MATCH($A781,PERLINE!$N$2:$N$3001,0)))</f>
        <v/>
      </c>
      <c r="N781" s="21" t="str">
        <f aca="false">IF($A781="","",SUMIFS(PERLINE!$M$2:$M$3001,PERLINE!$N$2:$N$3001,$A781))</f>
        <v/>
      </c>
    </row>
    <row r="782" customFormat="false" ht="15" hidden="false" customHeight="false" outlineLevel="0" collapsed="false">
      <c r="A782" s="15" t="str">
        <f aca="false">IF(ROWS($A$2:$A782)&lt;=Check!$C$4,SMALL(PERLINE!$AL$2:$AL$3001,ROWS($A$2:$A782)),"")</f>
        <v/>
      </c>
      <c r="B782" s="15" t="str">
        <f aca="false">IF($A782="","",INDEX(PERLINE!$J$2:$J$3001,MATCH($A782,PERLINE!$N$2:$N$3001,0)))</f>
        <v/>
      </c>
      <c r="C782" s="16" t="str">
        <f aca="false">IF($A782="","",INDEX(PERLINE!$I$2:$I$3001,MATCH($A782,PERLINE!$N$2:$N$3001,0)))</f>
        <v/>
      </c>
      <c r="D782" s="17" t="str">
        <f aca="false">IF($A782="","",'كشف المطالبة'!$D$6)</f>
        <v/>
      </c>
      <c r="E782" s="18" t="str">
        <f aca="false">IF($A782="","",SUMIFS(PERLINE!$U$2:$U$3001,PERLINE!$N$2:$N$3001,$A782,PERLINE!$AK$2:$AK$3001,0))</f>
        <v/>
      </c>
      <c r="F782" s="19" t="str">
        <f aca="false">IF($A782="","",E782*D782)</f>
        <v/>
      </c>
      <c r="G782" s="17" t="str">
        <f aca="false">IF($A782="","",'كشف المطالبة'!$D$5)</f>
        <v/>
      </c>
      <c r="H782" s="18" t="str">
        <f aca="false">IF($A782="","",SUMIFS(PERLINE!$U$2:$U$3001,PERLINE!$N$2:$N$3001,$A782,PERLINE!$AK$2:$AK$3001,1))</f>
        <v/>
      </c>
      <c r="I782" s="19" t="str">
        <f aca="false">IF($A782="","",H782*G782)</f>
        <v/>
      </c>
      <c r="J782" s="19" t="str">
        <f aca="false">IF($A782="","",F782+I782)</f>
        <v/>
      </c>
      <c r="K782" s="19" t="str">
        <f aca="false">IF($A782="","",H782+E782)</f>
        <v/>
      </c>
      <c r="L782" s="20" t="str">
        <f aca="false">IF($A782="","",K782-J782-N782)</f>
        <v/>
      </c>
      <c r="M782" s="15" t="str">
        <f aca="false">IF($A782="","",INDEX(PERLINE!$A$2:$A$3001,MATCH($A782,PERLINE!$N$2:$N$3001,0)))</f>
        <v/>
      </c>
      <c r="N782" s="21" t="str">
        <f aca="false">IF($A782="","",SUMIFS(PERLINE!$M$2:$M$3001,PERLINE!$N$2:$N$3001,$A782))</f>
        <v/>
      </c>
    </row>
    <row r="783" customFormat="false" ht="15" hidden="false" customHeight="false" outlineLevel="0" collapsed="false">
      <c r="A783" s="15" t="str">
        <f aca="false">IF(ROWS($A$2:$A783)&lt;=Check!$C$4,SMALL(PERLINE!$AL$2:$AL$3001,ROWS($A$2:$A783)),"")</f>
        <v/>
      </c>
      <c r="B783" s="15" t="str">
        <f aca="false">IF($A783="","",INDEX(PERLINE!$J$2:$J$3001,MATCH($A783,PERLINE!$N$2:$N$3001,0)))</f>
        <v/>
      </c>
      <c r="C783" s="16" t="str">
        <f aca="false">IF($A783="","",INDEX(PERLINE!$I$2:$I$3001,MATCH($A783,PERLINE!$N$2:$N$3001,0)))</f>
        <v/>
      </c>
      <c r="D783" s="17" t="str">
        <f aca="false">IF($A783="","",'كشف المطالبة'!$D$6)</f>
        <v/>
      </c>
      <c r="E783" s="18" t="str">
        <f aca="false">IF($A783="","",SUMIFS(PERLINE!$U$2:$U$3001,PERLINE!$N$2:$N$3001,$A783,PERLINE!$AK$2:$AK$3001,0))</f>
        <v/>
      </c>
      <c r="F783" s="19" t="str">
        <f aca="false">IF($A783="","",E783*D783)</f>
        <v/>
      </c>
      <c r="G783" s="17" t="str">
        <f aca="false">IF($A783="","",'كشف المطالبة'!$D$5)</f>
        <v/>
      </c>
      <c r="H783" s="18" t="str">
        <f aca="false">IF($A783="","",SUMIFS(PERLINE!$U$2:$U$3001,PERLINE!$N$2:$N$3001,$A783,PERLINE!$AK$2:$AK$3001,1))</f>
        <v/>
      </c>
      <c r="I783" s="19" t="str">
        <f aca="false">IF($A783="","",H783*G783)</f>
        <v/>
      </c>
      <c r="J783" s="19" t="str">
        <f aca="false">IF($A783="","",F783+I783)</f>
        <v/>
      </c>
      <c r="K783" s="19" t="str">
        <f aca="false">IF($A783="","",H783+E783)</f>
        <v/>
      </c>
      <c r="L783" s="20" t="str">
        <f aca="false">IF($A783="","",K783-J783-N783)</f>
        <v/>
      </c>
      <c r="M783" s="15" t="str">
        <f aca="false">IF($A783="","",INDEX(PERLINE!$A$2:$A$3001,MATCH($A783,PERLINE!$N$2:$N$3001,0)))</f>
        <v/>
      </c>
      <c r="N783" s="21" t="str">
        <f aca="false">IF($A783="","",SUMIFS(PERLINE!$M$2:$M$3001,PERLINE!$N$2:$N$3001,$A783))</f>
        <v/>
      </c>
    </row>
    <row r="784" customFormat="false" ht="15" hidden="false" customHeight="false" outlineLevel="0" collapsed="false">
      <c r="A784" s="15" t="str">
        <f aca="false">IF(ROWS($A$2:$A784)&lt;=Check!$C$4,SMALL(PERLINE!$AL$2:$AL$3001,ROWS($A$2:$A784)),"")</f>
        <v/>
      </c>
      <c r="B784" s="15" t="str">
        <f aca="false">IF($A784="","",INDEX(PERLINE!$J$2:$J$3001,MATCH($A784,PERLINE!$N$2:$N$3001,0)))</f>
        <v/>
      </c>
      <c r="C784" s="16" t="str">
        <f aca="false">IF($A784="","",INDEX(PERLINE!$I$2:$I$3001,MATCH($A784,PERLINE!$N$2:$N$3001,0)))</f>
        <v/>
      </c>
      <c r="D784" s="17" t="str">
        <f aca="false">IF($A784="","",'كشف المطالبة'!$D$6)</f>
        <v/>
      </c>
      <c r="E784" s="18" t="str">
        <f aca="false">IF($A784="","",SUMIFS(PERLINE!$U$2:$U$3001,PERLINE!$N$2:$N$3001,$A784,PERLINE!$AK$2:$AK$3001,0))</f>
        <v/>
      </c>
      <c r="F784" s="19" t="str">
        <f aca="false">IF($A784="","",E784*D784)</f>
        <v/>
      </c>
      <c r="G784" s="17" t="str">
        <f aca="false">IF($A784="","",'كشف المطالبة'!$D$5)</f>
        <v/>
      </c>
      <c r="H784" s="18" t="str">
        <f aca="false">IF($A784="","",SUMIFS(PERLINE!$U$2:$U$3001,PERLINE!$N$2:$N$3001,$A784,PERLINE!$AK$2:$AK$3001,1))</f>
        <v/>
      </c>
      <c r="I784" s="19" t="str">
        <f aca="false">IF($A784="","",H784*G784)</f>
        <v/>
      </c>
      <c r="J784" s="19" t="str">
        <f aca="false">IF($A784="","",F784+I784)</f>
        <v/>
      </c>
      <c r="K784" s="19" t="str">
        <f aca="false">IF($A784="","",H784+E784)</f>
        <v/>
      </c>
      <c r="L784" s="20" t="str">
        <f aca="false">IF($A784="","",K784-J784-N784)</f>
        <v/>
      </c>
      <c r="M784" s="15" t="str">
        <f aca="false">IF($A784="","",INDEX(PERLINE!$A$2:$A$3001,MATCH($A784,PERLINE!$N$2:$N$3001,0)))</f>
        <v/>
      </c>
      <c r="N784" s="21" t="str">
        <f aca="false">IF($A784="","",SUMIFS(PERLINE!$M$2:$M$3001,PERLINE!$N$2:$N$3001,$A784))</f>
        <v/>
      </c>
    </row>
    <row r="785" customFormat="false" ht="15" hidden="false" customHeight="false" outlineLevel="0" collapsed="false">
      <c r="A785" s="15" t="str">
        <f aca="false">IF(ROWS($A$2:$A785)&lt;=Check!$C$4,SMALL(PERLINE!$AL$2:$AL$3001,ROWS($A$2:$A785)),"")</f>
        <v/>
      </c>
      <c r="B785" s="15" t="str">
        <f aca="false">IF($A785="","",INDEX(PERLINE!$J$2:$J$3001,MATCH($A785,PERLINE!$N$2:$N$3001,0)))</f>
        <v/>
      </c>
      <c r="C785" s="16" t="str">
        <f aca="false">IF($A785="","",INDEX(PERLINE!$I$2:$I$3001,MATCH($A785,PERLINE!$N$2:$N$3001,0)))</f>
        <v/>
      </c>
      <c r="D785" s="17" t="str">
        <f aca="false">IF($A785="","",'كشف المطالبة'!$D$6)</f>
        <v/>
      </c>
      <c r="E785" s="18" t="str">
        <f aca="false">IF($A785="","",SUMIFS(PERLINE!$U$2:$U$3001,PERLINE!$N$2:$N$3001,$A785,PERLINE!$AK$2:$AK$3001,0))</f>
        <v/>
      </c>
      <c r="F785" s="19" t="str">
        <f aca="false">IF($A785="","",E785*D785)</f>
        <v/>
      </c>
      <c r="G785" s="17" t="str">
        <f aca="false">IF($A785="","",'كشف المطالبة'!$D$5)</f>
        <v/>
      </c>
      <c r="H785" s="18" t="str">
        <f aca="false">IF($A785="","",SUMIFS(PERLINE!$U$2:$U$3001,PERLINE!$N$2:$N$3001,$A785,PERLINE!$AK$2:$AK$3001,1))</f>
        <v/>
      </c>
      <c r="I785" s="19" t="str">
        <f aca="false">IF($A785="","",H785*G785)</f>
        <v/>
      </c>
      <c r="J785" s="19" t="str">
        <f aca="false">IF($A785="","",F785+I785)</f>
        <v/>
      </c>
      <c r="K785" s="19" t="str">
        <f aca="false">IF($A785="","",H785+E785)</f>
        <v/>
      </c>
      <c r="L785" s="20" t="str">
        <f aca="false">IF($A785="","",K785-J785-N785)</f>
        <v/>
      </c>
      <c r="M785" s="15" t="str">
        <f aca="false">IF($A785="","",INDEX(PERLINE!$A$2:$A$3001,MATCH($A785,PERLINE!$N$2:$N$3001,0)))</f>
        <v/>
      </c>
      <c r="N785" s="21" t="str">
        <f aca="false">IF($A785="","",SUMIFS(PERLINE!$M$2:$M$3001,PERLINE!$N$2:$N$3001,$A785))</f>
        <v/>
      </c>
    </row>
    <row r="786" customFormat="false" ht="15" hidden="false" customHeight="false" outlineLevel="0" collapsed="false">
      <c r="A786" s="15" t="str">
        <f aca="false">IF(ROWS($A$2:$A786)&lt;=Check!$C$4,SMALL(PERLINE!$AL$2:$AL$3001,ROWS($A$2:$A786)),"")</f>
        <v/>
      </c>
      <c r="B786" s="15" t="str">
        <f aca="false">IF($A786="","",INDEX(PERLINE!$J$2:$J$3001,MATCH($A786,PERLINE!$N$2:$N$3001,0)))</f>
        <v/>
      </c>
      <c r="C786" s="16" t="str">
        <f aca="false">IF($A786="","",INDEX(PERLINE!$I$2:$I$3001,MATCH($A786,PERLINE!$N$2:$N$3001,0)))</f>
        <v/>
      </c>
      <c r="D786" s="17" t="str">
        <f aca="false">IF($A786="","",'كشف المطالبة'!$D$6)</f>
        <v/>
      </c>
      <c r="E786" s="18" t="str">
        <f aca="false">IF($A786="","",SUMIFS(PERLINE!$U$2:$U$3001,PERLINE!$N$2:$N$3001,$A786,PERLINE!$AK$2:$AK$3001,0))</f>
        <v/>
      </c>
      <c r="F786" s="19" t="str">
        <f aca="false">IF($A786="","",E786*D786)</f>
        <v/>
      </c>
      <c r="G786" s="17" t="str">
        <f aca="false">IF($A786="","",'كشف المطالبة'!$D$5)</f>
        <v/>
      </c>
      <c r="H786" s="18" t="str">
        <f aca="false">IF($A786="","",SUMIFS(PERLINE!$U$2:$U$3001,PERLINE!$N$2:$N$3001,$A786,PERLINE!$AK$2:$AK$3001,1))</f>
        <v/>
      </c>
      <c r="I786" s="19" t="str">
        <f aca="false">IF($A786="","",H786*G786)</f>
        <v/>
      </c>
      <c r="J786" s="19" t="str">
        <f aca="false">IF($A786="","",F786+I786)</f>
        <v/>
      </c>
      <c r="K786" s="19" t="str">
        <f aca="false">IF($A786="","",H786+E786)</f>
        <v/>
      </c>
      <c r="L786" s="20" t="str">
        <f aca="false">IF($A786="","",K786-J786-N786)</f>
        <v/>
      </c>
      <c r="M786" s="15" t="str">
        <f aca="false">IF($A786="","",INDEX(PERLINE!$A$2:$A$3001,MATCH($A786,PERLINE!$N$2:$N$3001,0)))</f>
        <v/>
      </c>
      <c r="N786" s="21" t="str">
        <f aca="false">IF($A786="","",SUMIFS(PERLINE!$M$2:$M$3001,PERLINE!$N$2:$N$3001,$A786))</f>
        <v/>
      </c>
    </row>
    <row r="787" customFormat="false" ht="15" hidden="false" customHeight="false" outlineLevel="0" collapsed="false">
      <c r="A787" s="15" t="str">
        <f aca="false">IF(ROWS($A$2:$A787)&lt;=Check!$C$4,SMALL(PERLINE!$AL$2:$AL$3001,ROWS($A$2:$A787)),"")</f>
        <v/>
      </c>
      <c r="B787" s="15" t="str">
        <f aca="false">IF($A787="","",INDEX(PERLINE!$J$2:$J$3001,MATCH($A787,PERLINE!$N$2:$N$3001,0)))</f>
        <v/>
      </c>
      <c r="C787" s="16" t="str">
        <f aca="false">IF($A787="","",INDEX(PERLINE!$I$2:$I$3001,MATCH($A787,PERLINE!$N$2:$N$3001,0)))</f>
        <v/>
      </c>
      <c r="D787" s="17" t="str">
        <f aca="false">IF($A787="","",'كشف المطالبة'!$D$6)</f>
        <v/>
      </c>
      <c r="E787" s="18" t="str">
        <f aca="false">IF($A787="","",SUMIFS(PERLINE!$U$2:$U$3001,PERLINE!$N$2:$N$3001,$A787,PERLINE!$AK$2:$AK$3001,0))</f>
        <v/>
      </c>
      <c r="F787" s="19" t="str">
        <f aca="false">IF($A787="","",E787*D787)</f>
        <v/>
      </c>
      <c r="G787" s="17" t="str">
        <f aca="false">IF($A787="","",'كشف المطالبة'!$D$5)</f>
        <v/>
      </c>
      <c r="H787" s="18" t="str">
        <f aca="false">IF($A787="","",SUMIFS(PERLINE!$U$2:$U$3001,PERLINE!$N$2:$N$3001,$A787,PERLINE!$AK$2:$AK$3001,1))</f>
        <v/>
      </c>
      <c r="I787" s="19" t="str">
        <f aca="false">IF($A787="","",H787*G787)</f>
        <v/>
      </c>
      <c r="J787" s="19" t="str">
        <f aca="false">IF($A787="","",F787+I787)</f>
        <v/>
      </c>
      <c r="K787" s="19" t="str">
        <f aca="false">IF($A787="","",H787+E787)</f>
        <v/>
      </c>
      <c r="L787" s="20" t="str">
        <f aca="false">IF($A787="","",K787-J787-N787)</f>
        <v/>
      </c>
      <c r="M787" s="15" t="str">
        <f aca="false">IF($A787="","",INDEX(PERLINE!$A$2:$A$3001,MATCH($A787,PERLINE!$N$2:$N$3001,0)))</f>
        <v/>
      </c>
      <c r="N787" s="21" t="str">
        <f aca="false">IF($A787="","",SUMIFS(PERLINE!$M$2:$M$3001,PERLINE!$N$2:$N$3001,$A787))</f>
        <v/>
      </c>
    </row>
    <row r="788" customFormat="false" ht="15" hidden="false" customHeight="false" outlineLevel="0" collapsed="false">
      <c r="A788" s="15" t="str">
        <f aca="false">IF(ROWS($A$2:$A788)&lt;=Check!$C$4,SMALL(PERLINE!$AL$2:$AL$3001,ROWS($A$2:$A788)),"")</f>
        <v/>
      </c>
      <c r="B788" s="15" t="str">
        <f aca="false">IF($A788="","",INDEX(PERLINE!$J$2:$J$3001,MATCH($A788,PERLINE!$N$2:$N$3001,0)))</f>
        <v/>
      </c>
      <c r="C788" s="16" t="str">
        <f aca="false">IF($A788="","",INDEX(PERLINE!$I$2:$I$3001,MATCH($A788,PERLINE!$N$2:$N$3001,0)))</f>
        <v/>
      </c>
      <c r="D788" s="17" t="str">
        <f aca="false">IF($A788="","",'كشف المطالبة'!$D$6)</f>
        <v/>
      </c>
      <c r="E788" s="18" t="str">
        <f aca="false">IF($A788="","",SUMIFS(PERLINE!$U$2:$U$3001,PERLINE!$N$2:$N$3001,$A788,PERLINE!$AK$2:$AK$3001,0))</f>
        <v/>
      </c>
      <c r="F788" s="19" t="str">
        <f aca="false">IF($A788="","",E788*D788)</f>
        <v/>
      </c>
      <c r="G788" s="17" t="str">
        <f aca="false">IF($A788="","",'كشف المطالبة'!$D$5)</f>
        <v/>
      </c>
      <c r="H788" s="18" t="str">
        <f aca="false">IF($A788="","",SUMIFS(PERLINE!$U$2:$U$3001,PERLINE!$N$2:$N$3001,$A788,PERLINE!$AK$2:$AK$3001,1))</f>
        <v/>
      </c>
      <c r="I788" s="19" t="str">
        <f aca="false">IF($A788="","",H788*G788)</f>
        <v/>
      </c>
      <c r="J788" s="19" t="str">
        <f aca="false">IF($A788="","",F788+I788)</f>
        <v/>
      </c>
      <c r="K788" s="19" t="str">
        <f aca="false">IF($A788="","",H788+E788)</f>
        <v/>
      </c>
      <c r="L788" s="20" t="str">
        <f aca="false">IF($A788="","",K788-J788-N788)</f>
        <v/>
      </c>
      <c r="M788" s="15" t="str">
        <f aca="false">IF($A788="","",INDEX(PERLINE!$A$2:$A$3001,MATCH($A788,PERLINE!$N$2:$N$3001,0)))</f>
        <v/>
      </c>
      <c r="N788" s="21" t="str">
        <f aca="false">IF($A788="","",SUMIFS(PERLINE!$M$2:$M$3001,PERLINE!$N$2:$N$3001,$A788))</f>
        <v/>
      </c>
    </row>
    <row r="789" customFormat="false" ht="15" hidden="false" customHeight="false" outlineLevel="0" collapsed="false">
      <c r="A789" s="15" t="str">
        <f aca="false">IF(ROWS($A$2:$A789)&lt;=Check!$C$4,SMALL(PERLINE!$AL$2:$AL$3001,ROWS($A$2:$A789)),"")</f>
        <v/>
      </c>
      <c r="B789" s="15" t="str">
        <f aca="false">IF($A789="","",INDEX(PERLINE!$J$2:$J$3001,MATCH($A789,PERLINE!$N$2:$N$3001,0)))</f>
        <v/>
      </c>
      <c r="C789" s="16" t="str">
        <f aca="false">IF($A789="","",INDEX(PERLINE!$I$2:$I$3001,MATCH($A789,PERLINE!$N$2:$N$3001,0)))</f>
        <v/>
      </c>
      <c r="D789" s="17" t="str">
        <f aca="false">IF($A789="","",'كشف المطالبة'!$D$6)</f>
        <v/>
      </c>
      <c r="E789" s="18" t="str">
        <f aca="false">IF($A789="","",SUMIFS(PERLINE!$U$2:$U$3001,PERLINE!$N$2:$N$3001,$A789,PERLINE!$AK$2:$AK$3001,0))</f>
        <v/>
      </c>
      <c r="F789" s="19" t="str">
        <f aca="false">IF($A789="","",E789*D789)</f>
        <v/>
      </c>
      <c r="G789" s="17" t="str">
        <f aca="false">IF($A789="","",'كشف المطالبة'!$D$5)</f>
        <v/>
      </c>
      <c r="H789" s="18" t="str">
        <f aca="false">IF($A789="","",SUMIFS(PERLINE!$U$2:$U$3001,PERLINE!$N$2:$N$3001,$A789,PERLINE!$AK$2:$AK$3001,1))</f>
        <v/>
      </c>
      <c r="I789" s="19" t="str">
        <f aca="false">IF($A789="","",H789*G789)</f>
        <v/>
      </c>
      <c r="J789" s="19" t="str">
        <f aca="false">IF($A789="","",F789+I789)</f>
        <v/>
      </c>
      <c r="K789" s="19" t="str">
        <f aca="false">IF($A789="","",H789+E789)</f>
        <v/>
      </c>
      <c r="L789" s="20" t="str">
        <f aca="false">IF($A789="","",K789-J789-N789)</f>
        <v/>
      </c>
      <c r="M789" s="15" t="str">
        <f aca="false">IF($A789="","",INDEX(PERLINE!$A$2:$A$3001,MATCH($A789,PERLINE!$N$2:$N$3001,0)))</f>
        <v/>
      </c>
      <c r="N789" s="21" t="str">
        <f aca="false">IF($A789="","",SUMIFS(PERLINE!$M$2:$M$3001,PERLINE!$N$2:$N$3001,$A789))</f>
        <v/>
      </c>
    </row>
    <row r="790" customFormat="false" ht="15" hidden="false" customHeight="false" outlineLevel="0" collapsed="false">
      <c r="A790" s="15" t="str">
        <f aca="false">IF(ROWS($A$2:$A790)&lt;=Check!$C$4,SMALL(PERLINE!$AL$2:$AL$3001,ROWS($A$2:$A790)),"")</f>
        <v/>
      </c>
      <c r="B790" s="15" t="str">
        <f aca="false">IF($A790="","",INDEX(PERLINE!$J$2:$J$3001,MATCH($A790,PERLINE!$N$2:$N$3001,0)))</f>
        <v/>
      </c>
      <c r="C790" s="16" t="str">
        <f aca="false">IF($A790="","",INDEX(PERLINE!$I$2:$I$3001,MATCH($A790,PERLINE!$N$2:$N$3001,0)))</f>
        <v/>
      </c>
      <c r="D790" s="17" t="str">
        <f aca="false">IF($A790="","",'كشف المطالبة'!$D$6)</f>
        <v/>
      </c>
      <c r="E790" s="18" t="str">
        <f aca="false">IF($A790="","",SUMIFS(PERLINE!$U$2:$U$3001,PERLINE!$N$2:$N$3001,$A790,PERLINE!$AK$2:$AK$3001,0))</f>
        <v/>
      </c>
      <c r="F790" s="19" t="str">
        <f aca="false">IF($A790="","",E790*D790)</f>
        <v/>
      </c>
      <c r="G790" s="17" t="str">
        <f aca="false">IF($A790="","",'كشف المطالبة'!$D$5)</f>
        <v/>
      </c>
      <c r="H790" s="18" t="str">
        <f aca="false">IF($A790="","",SUMIFS(PERLINE!$U$2:$U$3001,PERLINE!$N$2:$N$3001,$A790,PERLINE!$AK$2:$AK$3001,1))</f>
        <v/>
      </c>
      <c r="I790" s="19" t="str">
        <f aca="false">IF($A790="","",H790*G790)</f>
        <v/>
      </c>
      <c r="J790" s="19" t="str">
        <f aca="false">IF($A790="","",F790+I790)</f>
        <v/>
      </c>
      <c r="K790" s="19" t="str">
        <f aca="false">IF($A790="","",H790+E790)</f>
        <v/>
      </c>
      <c r="L790" s="20" t="str">
        <f aca="false">IF($A790="","",K790-J790-N790)</f>
        <v/>
      </c>
      <c r="M790" s="15" t="str">
        <f aca="false">IF($A790="","",INDEX(PERLINE!$A$2:$A$3001,MATCH($A790,PERLINE!$N$2:$N$3001,0)))</f>
        <v/>
      </c>
      <c r="N790" s="21" t="str">
        <f aca="false">IF($A790="","",SUMIFS(PERLINE!$M$2:$M$3001,PERLINE!$N$2:$N$3001,$A790))</f>
        <v/>
      </c>
    </row>
    <row r="791" customFormat="false" ht="15" hidden="false" customHeight="false" outlineLevel="0" collapsed="false">
      <c r="A791" s="15" t="str">
        <f aca="false">IF(ROWS($A$2:$A791)&lt;=Check!$C$4,SMALL(PERLINE!$AL$2:$AL$3001,ROWS($A$2:$A791)),"")</f>
        <v/>
      </c>
      <c r="B791" s="15" t="str">
        <f aca="false">IF($A791="","",INDEX(PERLINE!$J$2:$J$3001,MATCH($A791,PERLINE!$N$2:$N$3001,0)))</f>
        <v/>
      </c>
      <c r="C791" s="16" t="str">
        <f aca="false">IF($A791="","",INDEX(PERLINE!$I$2:$I$3001,MATCH($A791,PERLINE!$N$2:$N$3001,0)))</f>
        <v/>
      </c>
      <c r="D791" s="17" t="str">
        <f aca="false">IF($A791="","",'كشف المطالبة'!$D$6)</f>
        <v/>
      </c>
      <c r="E791" s="18" t="str">
        <f aca="false">IF($A791="","",SUMIFS(PERLINE!$U$2:$U$3001,PERLINE!$N$2:$N$3001,$A791,PERLINE!$AK$2:$AK$3001,0))</f>
        <v/>
      </c>
      <c r="F791" s="19" t="str">
        <f aca="false">IF($A791="","",E791*D791)</f>
        <v/>
      </c>
      <c r="G791" s="17" t="str">
        <f aca="false">IF($A791="","",'كشف المطالبة'!$D$5)</f>
        <v/>
      </c>
      <c r="H791" s="18" t="str">
        <f aca="false">IF($A791="","",SUMIFS(PERLINE!$U$2:$U$3001,PERLINE!$N$2:$N$3001,$A791,PERLINE!$AK$2:$AK$3001,1))</f>
        <v/>
      </c>
      <c r="I791" s="19" t="str">
        <f aca="false">IF($A791="","",H791*G791)</f>
        <v/>
      </c>
      <c r="J791" s="19" t="str">
        <f aca="false">IF($A791="","",F791+I791)</f>
        <v/>
      </c>
      <c r="K791" s="19" t="str">
        <f aca="false">IF($A791="","",H791+E791)</f>
        <v/>
      </c>
      <c r="L791" s="20" t="str">
        <f aca="false">IF($A791="","",K791-J791-N791)</f>
        <v/>
      </c>
      <c r="M791" s="15" t="str">
        <f aca="false">IF($A791="","",INDEX(PERLINE!$A$2:$A$3001,MATCH($A791,PERLINE!$N$2:$N$3001,0)))</f>
        <v/>
      </c>
      <c r="N791" s="21" t="str">
        <f aca="false">IF($A791="","",SUMIFS(PERLINE!$M$2:$M$3001,PERLINE!$N$2:$N$3001,$A791))</f>
        <v/>
      </c>
    </row>
    <row r="792" customFormat="false" ht="15" hidden="false" customHeight="false" outlineLevel="0" collapsed="false">
      <c r="A792" s="15" t="str">
        <f aca="false">IF(ROWS($A$2:$A792)&lt;=Check!$C$4,SMALL(PERLINE!$AL$2:$AL$3001,ROWS($A$2:$A792)),"")</f>
        <v/>
      </c>
      <c r="B792" s="15" t="str">
        <f aca="false">IF($A792="","",INDEX(PERLINE!$J$2:$J$3001,MATCH($A792,PERLINE!$N$2:$N$3001,0)))</f>
        <v/>
      </c>
      <c r="C792" s="16" t="str">
        <f aca="false">IF($A792="","",INDEX(PERLINE!$I$2:$I$3001,MATCH($A792,PERLINE!$N$2:$N$3001,0)))</f>
        <v/>
      </c>
      <c r="D792" s="17" t="str">
        <f aca="false">IF($A792="","",'كشف المطالبة'!$D$6)</f>
        <v/>
      </c>
      <c r="E792" s="18" t="str">
        <f aca="false">IF($A792="","",SUMIFS(PERLINE!$U$2:$U$3001,PERLINE!$N$2:$N$3001,$A792,PERLINE!$AK$2:$AK$3001,0))</f>
        <v/>
      </c>
      <c r="F792" s="19" t="str">
        <f aca="false">IF($A792="","",E792*D792)</f>
        <v/>
      </c>
      <c r="G792" s="17" t="str">
        <f aca="false">IF($A792="","",'كشف المطالبة'!$D$5)</f>
        <v/>
      </c>
      <c r="H792" s="18" t="str">
        <f aca="false">IF($A792="","",SUMIFS(PERLINE!$U$2:$U$3001,PERLINE!$N$2:$N$3001,$A792,PERLINE!$AK$2:$AK$3001,1))</f>
        <v/>
      </c>
      <c r="I792" s="19" t="str">
        <f aca="false">IF($A792="","",H792*G792)</f>
        <v/>
      </c>
      <c r="J792" s="19" t="str">
        <f aca="false">IF($A792="","",F792+I792)</f>
        <v/>
      </c>
      <c r="K792" s="19" t="str">
        <f aca="false">IF($A792="","",H792+E792)</f>
        <v/>
      </c>
      <c r="L792" s="20" t="str">
        <f aca="false">IF($A792="","",K792-J792-N792)</f>
        <v/>
      </c>
      <c r="M792" s="15" t="str">
        <f aca="false">IF($A792="","",INDEX(PERLINE!$A$2:$A$3001,MATCH($A792,PERLINE!$N$2:$N$3001,0)))</f>
        <v/>
      </c>
      <c r="N792" s="21" t="str">
        <f aca="false">IF($A792="","",SUMIFS(PERLINE!$M$2:$M$3001,PERLINE!$N$2:$N$3001,$A792))</f>
        <v/>
      </c>
    </row>
    <row r="793" customFormat="false" ht="15" hidden="false" customHeight="false" outlineLevel="0" collapsed="false">
      <c r="A793" s="15" t="str">
        <f aca="false">IF(ROWS($A$2:$A793)&lt;=Check!$C$4,SMALL(PERLINE!$AL$2:$AL$3001,ROWS($A$2:$A793)),"")</f>
        <v/>
      </c>
      <c r="B793" s="15" t="str">
        <f aca="false">IF($A793="","",INDEX(PERLINE!$J$2:$J$3001,MATCH($A793,PERLINE!$N$2:$N$3001,0)))</f>
        <v/>
      </c>
      <c r="C793" s="16" t="str">
        <f aca="false">IF($A793="","",INDEX(PERLINE!$I$2:$I$3001,MATCH($A793,PERLINE!$N$2:$N$3001,0)))</f>
        <v/>
      </c>
      <c r="D793" s="17" t="str">
        <f aca="false">IF($A793="","",'كشف المطالبة'!$D$6)</f>
        <v/>
      </c>
      <c r="E793" s="18" t="str">
        <f aca="false">IF($A793="","",SUMIFS(PERLINE!$U$2:$U$3001,PERLINE!$N$2:$N$3001,$A793,PERLINE!$AK$2:$AK$3001,0))</f>
        <v/>
      </c>
      <c r="F793" s="19" t="str">
        <f aca="false">IF($A793="","",E793*D793)</f>
        <v/>
      </c>
      <c r="G793" s="17" t="str">
        <f aca="false">IF($A793="","",'كشف المطالبة'!$D$5)</f>
        <v/>
      </c>
      <c r="H793" s="18" t="str">
        <f aca="false">IF($A793="","",SUMIFS(PERLINE!$U$2:$U$3001,PERLINE!$N$2:$N$3001,$A793,PERLINE!$AK$2:$AK$3001,1))</f>
        <v/>
      </c>
      <c r="I793" s="19" t="str">
        <f aca="false">IF($A793="","",H793*G793)</f>
        <v/>
      </c>
      <c r="J793" s="19" t="str">
        <f aca="false">IF($A793="","",F793+I793)</f>
        <v/>
      </c>
      <c r="K793" s="19" t="str">
        <f aca="false">IF($A793="","",H793+E793)</f>
        <v/>
      </c>
      <c r="L793" s="20" t="str">
        <f aca="false">IF($A793="","",K793-J793-N793)</f>
        <v/>
      </c>
      <c r="M793" s="15" t="str">
        <f aca="false">IF($A793="","",INDEX(PERLINE!$A$2:$A$3001,MATCH($A793,PERLINE!$N$2:$N$3001,0)))</f>
        <v/>
      </c>
      <c r="N793" s="21" t="str">
        <f aca="false">IF($A793="","",SUMIFS(PERLINE!$M$2:$M$3001,PERLINE!$N$2:$N$3001,$A793))</f>
        <v/>
      </c>
    </row>
    <row r="794" customFormat="false" ht="15" hidden="false" customHeight="false" outlineLevel="0" collapsed="false">
      <c r="A794" s="15" t="str">
        <f aca="false">IF(ROWS($A$2:$A794)&lt;=Check!$C$4,SMALL(PERLINE!$AL$2:$AL$3001,ROWS($A$2:$A794)),"")</f>
        <v/>
      </c>
      <c r="B794" s="15" t="str">
        <f aca="false">IF($A794="","",INDEX(PERLINE!$J$2:$J$3001,MATCH($A794,PERLINE!$N$2:$N$3001,0)))</f>
        <v/>
      </c>
      <c r="C794" s="16" t="str">
        <f aca="false">IF($A794="","",INDEX(PERLINE!$I$2:$I$3001,MATCH($A794,PERLINE!$N$2:$N$3001,0)))</f>
        <v/>
      </c>
      <c r="D794" s="17" t="str">
        <f aca="false">IF($A794="","",'كشف المطالبة'!$D$6)</f>
        <v/>
      </c>
      <c r="E794" s="18" t="str">
        <f aca="false">IF($A794="","",SUMIFS(PERLINE!$U$2:$U$3001,PERLINE!$N$2:$N$3001,$A794,PERLINE!$AK$2:$AK$3001,0))</f>
        <v/>
      </c>
      <c r="F794" s="19" t="str">
        <f aca="false">IF($A794="","",E794*D794)</f>
        <v/>
      </c>
      <c r="G794" s="17" t="str">
        <f aca="false">IF($A794="","",'كشف المطالبة'!$D$5)</f>
        <v/>
      </c>
      <c r="H794" s="18" t="str">
        <f aca="false">IF($A794="","",SUMIFS(PERLINE!$U$2:$U$3001,PERLINE!$N$2:$N$3001,$A794,PERLINE!$AK$2:$AK$3001,1))</f>
        <v/>
      </c>
      <c r="I794" s="19" t="str">
        <f aca="false">IF($A794="","",H794*G794)</f>
        <v/>
      </c>
      <c r="J794" s="19" t="str">
        <f aca="false">IF($A794="","",F794+I794)</f>
        <v/>
      </c>
      <c r="K794" s="19" t="str">
        <f aca="false">IF($A794="","",H794+E794)</f>
        <v/>
      </c>
      <c r="L794" s="20" t="str">
        <f aca="false">IF($A794="","",K794-J794-N794)</f>
        <v/>
      </c>
      <c r="M794" s="15" t="str">
        <f aca="false">IF($A794="","",INDEX(PERLINE!$A$2:$A$3001,MATCH($A794,PERLINE!$N$2:$N$3001,0)))</f>
        <v/>
      </c>
      <c r="N794" s="21" t="str">
        <f aca="false">IF($A794="","",SUMIFS(PERLINE!$M$2:$M$3001,PERLINE!$N$2:$N$3001,$A794))</f>
        <v/>
      </c>
    </row>
    <row r="795" customFormat="false" ht="15" hidden="false" customHeight="false" outlineLevel="0" collapsed="false">
      <c r="A795" s="15" t="str">
        <f aca="false">IF(ROWS($A$2:$A795)&lt;=Check!$C$4,SMALL(PERLINE!$AL$2:$AL$3001,ROWS($A$2:$A795)),"")</f>
        <v/>
      </c>
      <c r="B795" s="15" t="str">
        <f aca="false">IF($A795="","",INDEX(PERLINE!$J$2:$J$3001,MATCH($A795,PERLINE!$N$2:$N$3001,0)))</f>
        <v/>
      </c>
      <c r="C795" s="16" t="str">
        <f aca="false">IF($A795="","",INDEX(PERLINE!$I$2:$I$3001,MATCH($A795,PERLINE!$N$2:$N$3001,0)))</f>
        <v/>
      </c>
      <c r="D795" s="17" t="str">
        <f aca="false">IF($A795="","",'كشف المطالبة'!$D$6)</f>
        <v/>
      </c>
      <c r="E795" s="18" t="str">
        <f aca="false">IF($A795="","",SUMIFS(PERLINE!$U$2:$U$3001,PERLINE!$N$2:$N$3001,$A795,PERLINE!$AK$2:$AK$3001,0))</f>
        <v/>
      </c>
      <c r="F795" s="19" t="str">
        <f aca="false">IF($A795="","",E795*D795)</f>
        <v/>
      </c>
      <c r="G795" s="17" t="str">
        <f aca="false">IF($A795="","",'كشف المطالبة'!$D$5)</f>
        <v/>
      </c>
      <c r="H795" s="18" t="str">
        <f aca="false">IF($A795="","",SUMIFS(PERLINE!$U$2:$U$3001,PERLINE!$N$2:$N$3001,$A795,PERLINE!$AK$2:$AK$3001,1))</f>
        <v/>
      </c>
      <c r="I795" s="19" t="str">
        <f aca="false">IF($A795="","",H795*G795)</f>
        <v/>
      </c>
      <c r="J795" s="19" t="str">
        <f aca="false">IF($A795="","",F795+I795)</f>
        <v/>
      </c>
      <c r="K795" s="19" t="str">
        <f aca="false">IF($A795="","",H795+E795)</f>
        <v/>
      </c>
      <c r="L795" s="20" t="str">
        <f aca="false">IF($A795="","",K795-J795-N795)</f>
        <v/>
      </c>
      <c r="M795" s="15" t="str">
        <f aca="false">IF($A795="","",INDEX(PERLINE!$A$2:$A$3001,MATCH($A795,PERLINE!$N$2:$N$3001,0)))</f>
        <v/>
      </c>
      <c r="N795" s="21" t="str">
        <f aca="false">IF($A795="","",SUMIFS(PERLINE!$M$2:$M$3001,PERLINE!$N$2:$N$3001,$A795))</f>
        <v/>
      </c>
    </row>
    <row r="796" customFormat="false" ht="15" hidden="false" customHeight="false" outlineLevel="0" collapsed="false">
      <c r="A796" s="15" t="str">
        <f aca="false">IF(ROWS($A$2:$A796)&lt;=Check!$C$4,SMALL(PERLINE!$AL$2:$AL$3001,ROWS($A$2:$A796)),"")</f>
        <v/>
      </c>
      <c r="B796" s="15" t="str">
        <f aca="false">IF($A796="","",INDEX(PERLINE!$J$2:$J$3001,MATCH($A796,PERLINE!$N$2:$N$3001,0)))</f>
        <v/>
      </c>
      <c r="C796" s="16" t="str">
        <f aca="false">IF($A796="","",INDEX(PERLINE!$I$2:$I$3001,MATCH($A796,PERLINE!$N$2:$N$3001,0)))</f>
        <v/>
      </c>
      <c r="D796" s="17" t="str">
        <f aca="false">IF($A796="","",'كشف المطالبة'!$D$6)</f>
        <v/>
      </c>
      <c r="E796" s="18" t="str">
        <f aca="false">IF($A796="","",SUMIFS(PERLINE!$U$2:$U$3001,PERLINE!$N$2:$N$3001,$A796,PERLINE!$AK$2:$AK$3001,0))</f>
        <v/>
      </c>
      <c r="F796" s="19" t="str">
        <f aca="false">IF($A796="","",E796*D796)</f>
        <v/>
      </c>
      <c r="G796" s="17" t="str">
        <f aca="false">IF($A796="","",'كشف المطالبة'!$D$5)</f>
        <v/>
      </c>
      <c r="H796" s="18" t="str">
        <f aca="false">IF($A796="","",SUMIFS(PERLINE!$U$2:$U$3001,PERLINE!$N$2:$N$3001,$A796,PERLINE!$AK$2:$AK$3001,1))</f>
        <v/>
      </c>
      <c r="I796" s="19" t="str">
        <f aca="false">IF($A796="","",H796*G796)</f>
        <v/>
      </c>
      <c r="J796" s="19" t="str">
        <f aca="false">IF($A796="","",F796+I796)</f>
        <v/>
      </c>
      <c r="K796" s="19" t="str">
        <f aca="false">IF($A796="","",H796+E796)</f>
        <v/>
      </c>
      <c r="L796" s="20" t="str">
        <f aca="false">IF($A796="","",K796-J796-N796)</f>
        <v/>
      </c>
      <c r="M796" s="15" t="str">
        <f aca="false">IF($A796="","",INDEX(PERLINE!$A$2:$A$3001,MATCH($A796,PERLINE!$N$2:$N$3001,0)))</f>
        <v/>
      </c>
      <c r="N796" s="21" t="str">
        <f aca="false">IF($A796="","",SUMIFS(PERLINE!$M$2:$M$3001,PERLINE!$N$2:$N$3001,$A796))</f>
        <v/>
      </c>
    </row>
    <row r="797" customFormat="false" ht="15" hidden="false" customHeight="false" outlineLevel="0" collapsed="false">
      <c r="A797" s="15" t="str">
        <f aca="false">IF(ROWS($A$2:$A797)&lt;=Check!$C$4,SMALL(PERLINE!$AL$2:$AL$3001,ROWS($A$2:$A797)),"")</f>
        <v/>
      </c>
      <c r="B797" s="15" t="str">
        <f aca="false">IF($A797="","",INDEX(PERLINE!$J$2:$J$3001,MATCH($A797,PERLINE!$N$2:$N$3001,0)))</f>
        <v/>
      </c>
      <c r="C797" s="16" t="str">
        <f aca="false">IF($A797="","",INDEX(PERLINE!$I$2:$I$3001,MATCH($A797,PERLINE!$N$2:$N$3001,0)))</f>
        <v/>
      </c>
      <c r="D797" s="17" t="str">
        <f aca="false">IF($A797="","",'كشف المطالبة'!$D$6)</f>
        <v/>
      </c>
      <c r="E797" s="18" t="str">
        <f aca="false">IF($A797="","",SUMIFS(PERLINE!$U$2:$U$3001,PERLINE!$N$2:$N$3001,$A797,PERLINE!$AK$2:$AK$3001,0))</f>
        <v/>
      </c>
      <c r="F797" s="19" t="str">
        <f aca="false">IF($A797="","",E797*D797)</f>
        <v/>
      </c>
      <c r="G797" s="17" t="str">
        <f aca="false">IF($A797="","",'كشف المطالبة'!$D$5)</f>
        <v/>
      </c>
      <c r="H797" s="18" t="str">
        <f aca="false">IF($A797="","",SUMIFS(PERLINE!$U$2:$U$3001,PERLINE!$N$2:$N$3001,$A797,PERLINE!$AK$2:$AK$3001,1))</f>
        <v/>
      </c>
      <c r="I797" s="19" t="str">
        <f aca="false">IF($A797="","",H797*G797)</f>
        <v/>
      </c>
      <c r="J797" s="19" t="str">
        <f aca="false">IF($A797="","",F797+I797)</f>
        <v/>
      </c>
      <c r="K797" s="19" t="str">
        <f aca="false">IF($A797="","",H797+E797)</f>
        <v/>
      </c>
      <c r="L797" s="20" t="str">
        <f aca="false">IF($A797="","",K797-J797-N797)</f>
        <v/>
      </c>
      <c r="M797" s="15" t="str">
        <f aca="false">IF($A797="","",INDEX(PERLINE!$A$2:$A$3001,MATCH($A797,PERLINE!$N$2:$N$3001,0)))</f>
        <v/>
      </c>
      <c r="N797" s="21" t="str">
        <f aca="false">IF($A797="","",SUMIFS(PERLINE!$M$2:$M$3001,PERLINE!$N$2:$N$3001,$A797))</f>
        <v/>
      </c>
    </row>
    <row r="798" customFormat="false" ht="15" hidden="false" customHeight="false" outlineLevel="0" collapsed="false">
      <c r="A798" s="15" t="str">
        <f aca="false">IF(ROWS($A$2:$A798)&lt;=Check!$C$4,SMALL(PERLINE!$AL$2:$AL$3001,ROWS($A$2:$A798)),"")</f>
        <v/>
      </c>
      <c r="B798" s="15" t="str">
        <f aca="false">IF($A798="","",INDEX(PERLINE!$J$2:$J$3001,MATCH($A798,PERLINE!$N$2:$N$3001,0)))</f>
        <v/>
      </c>
      <c r="C798" s="16" t="str">
        <f aca="false">IF($A798="","",INDEX(PERLINE!$I$2:$I$3001,MATCH($A798,PERLINE!$N$2:$N$3001,0)))</f>
        <v/>
      </c>
      <c r="D798" s="17" t="str">
        <f aca="false">IF($A798="","",'كشف المطالبة'!$D$6)</f>
        <v/>
      </c>
      <c r="E798" s="18" t="str">
        <f aca="false">IF($A798="","",SUMIFS(PERLINE!$U$2:$U$3001,PERLINE!$N$2:$N$3001,$A798,PERLINE!$AK$2:$AK$3001,0))</f>
        <v/>
      </c>
      <c r="F798" s="19" t="str">
        <f aca="false">IF($A798="","",E798*D798)</f>
        <v/>
      </c>
      <c r="G798" s="17" t="str">
        <f aca="false">IF($A798="","",'كشف المطالبة'!$D$5)</f>
        <v/>
      </c>
      <c r="H798" s="18" t="str">
        <f aca="false">IF($A798="","",SUMIFS(PERLINE!$U$2:$U$3001,PERLINE!$N$2:$N$3001,$A798,PERLINE!$AK$2:$AK$3001,1))</f>
        <v/>
      </c>
      <c r="I798" s="19" t="str">
        <f aca="false">IF($A798="","",H798*G798)</f>
        <v/>
      </c>
      <c r="J798" s="19" t="str">
        <f aca="false">IF($A798="","",F798+I798)</f>
        <v/>
      </c>
      <c r="K798" s="19" t="str">
        <f aca="false">IF($A798="","",H798+E798)</f>
        <v/>
      </c>
      <c r="L798" s="20" t="str">
        <f aca="false">IF($A798="","",K798-J798-N798)</f>
        <v/>
      </c>
      <c r="M798" s="15" t="str">
        <f aca="false">IF($A798="","",INDEX(PERLINE!$A$2:$A$3001,MATCH($A798,PERLINE!$N$2:$N$3001,0)))</f>
        <v/>
      </c>
      <c r="N798" s="21" t="str">
        <f aca="false">IF($A798="","",SUMIFS(PERLINE!$M$2:$M$3001,PERLINE!$N$2:$N$3001,$A798))</f>
        <v/>
      </c>
    </row>
    <row r="799" customFormat="false" ht="15" hidden="false" customHeight="false" outlineLevel="0" collapsed="false">
      <c r="A799" s="15" t="str">
        <f aca="false">IF(ROWS($A$2:$A799)&lt;=Check!$C$4,SMALL(PERLINE!$AL$2:$AL$3001,ROWS($A$2:$A799)),"")</f>
        <v/>
      </c>
      <c r="B799" s="15" t="str">
        <f aca="false">IF($A799="","",INDEX(PERLINE!$J$2:$J$3001,MATCH($A799,PERLINE!$N$2:$N$3001,0)))</f>
        <v/>
      </c>
      <c r="C799" s="16" t="str">
        <f aca="false">IF($A799="","",INDEX(PERLINE!$I$2:$I$3001,MATCH($A799,PERLINE!$N$2:$N$3001,0)))</f>
        <v/>
      </c>
      <c r="D799" s="17" t="str">
        <f aca="false">IF($A799="","",'كشف المطالبة'!$D$6)</f>
        <v/>
      </c>
      <c r="E799" s="18" t="str">
        <f aca="false">IF($A799="","",SUMIFS(PERLINE!$U$2:$U$3001,PERLINE!$N$2:$N$3001,$A799,PERLINE!$AK$2:$AK$3001,0))</f>
        <v/>
      </c>
      <c r="F799" s="19" t="str">
        <f aca="false">IF($A799="","",E799*D799)</f>
        <v/>
      </c>
      <c r="G799" s="17" t="str">
        <f aca="false">IF($A799="","",'كشف المطالبة'!$D$5)</f>
        <v/>
      </c>
      <c r="H799" s="18" t="str">
        <f aca="false">IF($A799="","",SUMIFS(PERLINE!$U$2:$U$3001,PERLINE!$N$2:$N$3001,$A799,PERLINE!$AK$2:$AK$3001,1))</f>
        <v/>
      </c>
      <c r="I799" s="19" t="str">
        <f aca="false">IF($A799="","",H799*G799)</f>
        <v/>
      </c>
      <c r="J799" s="19" t="str">
        <f aca="false">IF($A799="","",F799+I799)</f>
        <v/>
      </c>
      <c r="K799" s="19" t="str">
        <f aca="false">IF($A799="","",H799+E799)</f>
        <v/>
      </c>
      <c r="L799" s="20" t="str">
        <f aca="false">IF($A799="","",K799-J799-N799)</f>
        <v/>
      </c>
      <c r="M799" s="15" t="str">
        <f aca="false">IF($A799="","",INDEX(PERLINE!$A$2:$A$3001,MATCH($A799,PERLINE!$N$2:$N$3001,0)))</f>
        <v/>
      </c>
      <c r="N799" s="21" t="str">
        <f aca="false">IF($A799="","",SUMIFS(PERLINE!$M$2:$M$3001,PERLINE!$N$2:$N$3001,$A799))</f>
        <v/>
      </c>
    </row>
    <row r="800" customFormat="false" ht="15" hidden="false" customHeight="false" outlineLevel="0" collapsed="false">
      <c r="A800" s="15" t="str">
        <f aca="false">IF(ROWS($A$2:$A800)&lt;=Check!$C$4,SMALL(PERLINE!$AL$2:$AL$3001,ROWS($A$2:$A800)),"")</f>
        <v/>
      </c>
      <c r="B800" s="15" t="str">
        <f aca="false">IF($A800="","",INDEX(PERLINE!$J$2:$J$3001,MATCH($A800,PERLINE!$N$2:$N$3001,0)))</f>
        <v/>
      </c>
      <c r="C800" s="16" t="str">
        <f aca="false">IF($A800="","",INDEX(PERLINE!$I$2:$I$3001,MATCH($A800,PERLINE!$N$2:$N$3001,0)))</f>
        <v/>
      </c>
      <c r="D800" s="17" t="str">
        <f aca="false">IF($A800="","",'كشف المطالبة'!$D$6)</f>
        <v/>
      </c>
      <c r="E800" s="18" t="str">
        <f aca="false">IF($A800="","",SUMIFS(PERLINE!$U$2:$U$3001,PERLINE!$N$2:$N$3001,$A800,PERLINE!$AK$2:$AK$3001,0))</f>
        <v/>
      </c>
      <c r="F800" s="19" t="str">
        <f aca="false">IF($A800="","",E800*D800)</f>
        <v/>
      </c>
      <c r="G800" s="17" t="str">
        <f aca="false">IF($A800="","",'كشف المطالبة'!$D$5)</f>
        <v/>
      </c>
      <c r="H800" s="18" t="str">
        <f aca="false">IF($A800="","",SUMIFS(PERLINE!$U$2:$U$3001,PERLINE!$N$2:$N$3001,$A800,PERLINE!$AK$2:$AK$3001,1))</f>
        <v/>
      </c>
      <c r="I800" s="19" t="str">
        <f aca="false">IF($A800="","",H800*G800)</f>
        <v/>
      </c>
      <c r="J800" s="19" t="str">
        <f aca="false">IF($A800="","",F800+I800)</f>
        <v/>
      </c>
      <c r="K800" s="19" t="str">
        <f aca="false">IF($A800="","",H800+E800)</f>
        <v/>
      </c>
      <c r="L800" s="20" t="str">
        <f aca="false">IF($A800="","",K800-J800-N800)</f>
        <v/>
      </c>
      <c r="M800" s="15" t="str">
        <f aca="false">IF($A800="","",INDEX(PERLINE!$A$2:$A$3001,MATCH($A800,PERLINE!$N$2:$N$3001,0)))</f>
        <v/>
      </c>
      <c r="N800" s="21" t="str">
        <f aca="false">IF($A800="","",SUMIFS(PERLINE!$M$2:$M$3001,PERLINE!$N$2:$N$3001,$A800))</f>
        <v/>
      </c>
    </row>
    <row r="801" customFormat="false" ht="15" hidden="false" customHeight="false" outlineLevel="0" collapsed="false">
      <c r="A801" s="15" t="str">
        <f aca="false">IF(ROWS($A$2:$A801)&lt;=Check!$C$4,SMALL(PERLINE!$AL$2:$AL$3001,ROWS($A$2:$A801)),"")</f>
        <v/>
      </c>
      <c r="B801" s="15" t="str">
        <f aca="false">IF($A801="","",INDEX(PERLINE!$J$2:$J$3001,MATCH($A801,PERLINE!$N$2:$N$3001,0)))</f>
        <v/>
      </c>
      <c r="C801" s="16" t="str">
        <f aca="false">IF($A801="","",INDEX(PERLINE!$I$2:$I$3001,MATCH($A801,PERLINE!$N$2:$N$3001,0)))</f>
        <v/>
      </c>
      <c r="D801" s="17" t="str">
        <f aca="false">IF($A801="","",'كشف المطالبة'!$D$6)</f>
        <v/>
      </c>
      <c r="E801" s="18" t="str">
        <f aca="false">IF($A801="","",SUMIFS(PERLINE!$U$2:$U$3001,PERLINE!$N$2:$N$3001,$A801,PERLINE!$AK$2:$AK$3001,0))</f>
        <v/>
      </c>
      <c r="F801" s="19" t="str">
        <f aca="false">IF($A801="","",E801*D801)</f>
        <v/>
      </c>
      <c r="G801" s="17" t="str">
        <f aca="false">IF($A801="","",'كشف المطالبة'!$D$5)</f>
        <v/>
      </c>
      <c r="H801" s="18" t="str">
        <f aca="false">IF($A801="","",SUMIFS(PERLINE!$U$2:$U$3001,PERLINE!$N$2:$N$3001,$A801,PERLINE!$AK$2:$AK$3001,1))</f>
        <v/>
      </c>
      <c r="I801" s="19" t="str">
        <f aca="false">IF($A801="","",H801*G801)</f>
        <v/>
      </c>
      <c r="J801" s="19" t="str">
        <f aca="false">IF($A801="","",F801+I801)</f>
        <v/>
      </c>
      <c r="K801" s="19" t="str">
        <f aca="false">IF($A801="","",H801+E801)</f>
        <v/>
      </c>
      <c r="L801" s="20" t="str">
        <f aca="false">IF($A801="","",K801-J801-N801)</f>
        <v/>
      </c>
      <c r="M801" s="15" t="str">
        <f aca="false">IF($A801="","",INDEX(PERLINE!$A$2:$A$3001,MATCH($A801,PERLINE!$N$2:$N$3001,0)))</f>
        <v/>
      </c>
      <c r="N801" s="21" t="str">
        <f aca="false">IF($A801="","",SUMIFS(PERLINE!$M$2:$M$3001,PERLINE!$N$2:$N$3001,$A801))</f>
        <v/>
      </c>
    </row>
    <row r="802" customFormat="false" ht="15" hidden="false" customHeight="false" outlineLevel="0" collapsed="false">
      <c r="A802" s="15" t="str">
        <f aca="false">IF(ROWS($A$2:$A802)&lt;=Check!$C$4,SMALL(PERLINE!$AL$2:$AL$3001,ROWS($A$2:$A802)),"")</f>
        <v/>
      </c>
      <c r="B802" s="15" t="str">
        <f aca="false">IF($A802="","",INDEX(PERLINE!$J$2:$J$3001,MATCH($A802,PERLINE!$N$2:$N$3001,0)))</f>
        <v/>
      </c>
      <c r="C802" s="16" t="str">
        <f aca="false">IF($A802="","",INDEX(PERLINE!$I$2:$I$3001,MATCH($A802,PERLINE!$N$2:$N$3001,0)))</f>
        <v/>
      </c>
      <c r="D802" s="17" t="str">
        <f aca="false">IF($A802="","",'كشف المطالبة'!$D$6)</f>
        <v/>
      </c>
      <c r="E802" s="18" t="str">
        <f aca="false">IF($A802="","",SUMIFS(PERLINE!$U$2:$U$3001,PERLINE!$N$2:$N$3001,$A802,PERLINE!$AK$2:$AK$3001,0))</f>
        <v/>
      </c>
      <c r="F802" s="19" t="str">
        <f aca="false">IF($A802="","",E802*D802)</f>
        <v/>
      </c>
      <c r="G802" s="17" t="str">
        <f aca="false">IF($A802="","",'كشف المطالبة'!$D$5)</f>
        <v/>
      </c>
      <c r="H802" s="18" t="str">
        <f aca="false">IF($A802="","",SUMIFS(PERLINE!$U$2:$U$3001,PERLINE!$N$2:$N$3001,$A802,PERLINE!$AK$2:$AK$3001,1))</f>
        <v/>
      </c>
      <c r="I802" s="19" t="str">
        <f aca="false">IF($A802="","",H802*G802)</f>
        <v/>
      </c>
      <c r="J802" s="19" t="str">
        <f aca="false">IF($A802="","",F802+I802)</f>
        <v/>
      </c>
      <c r="K802" s="19" t="str">
        <f aca="false">IF($A802="","",H802+E802)</f>
        <v/>
      </c>
      <c r="L802" s="20" t="str">
        <f aca="false">IF($A802="","",K802-J802-N802)</f>
        <v/>
      </c>
      <c r="M802" s="15" t="str">
        <f aca="false">IF($A802="","",INDEX(PERLINE!$A$2:$A$3001,MATCH($A802,PERLINE!$N$2:$N$3001,0)))</f>
        <v/>
      </c>
      <c r="N802" s="21" t="str">
        <f aca="false">IF($A802="","",SUMIFS(PERLINE!$M$2:$M$3001,PERLINE!$N$2:$N$3001,$A802))</f>
        <v/>
      </c>
    </row>
    <row r="803" customFormat="false" ht="15" hidden="false" customHeight="false" outlineLevel="0" collapsed="false">
      <c r="A803" s="15" t="str">
        <f aca="false">IF(ROWS($A$2:$A803)&lt;=Check!$C$4,SMALL(PERLINE!$AL$2:$AL$3001,ROWS($A$2:$A803)),"")</f>
        <v/>
      </c>
      <c r="B803" s="15" t="str">
        <f aca="false">IF($A803="","",INDEX(PERLINE!$J$2:$J$3001,MATCH($A803,PERLINE!$N$2:$N$3001,0)))</f>
        <v/>
      </c>
      <c r="C803" s="16" t="str">
        <f aca="false">IF($A803="","",INDEX(PERLINE!$I$2:$I$3001,MATCH($A803,PERLINE!$N$2:$N$3001,0)))</f>
        <v/>
      </c>
      <c r="D803" s="17" t="str">
        <f aca="false">IF($A803="","",'كشف المطالبة'!$D$6)</f>
        <v/>
      </c>
      <c r="E803" s="18" t="str">
        <f aca="false">IF($A803="","",SUMIFS(PERLINE!$U$2:$U$3001,PERLINE!$N$2:$N$3001,$A803,PERLINE!$AK$2:$AK$3001,0))</f>
        <v/>
      </c>
      <c r="F803" s="19" t="str">
        <f aca="false">IF($A803="","",E803*D803)</f>
        <v/>
      </c>
      <c r="G803" s="17" t="str">
        <f aca="false">IF($A803="","",'كشف المطالبة'!$D$5)</f>
        <v/>
      </c>
      <c r="H803" s="18" t="str">
        <f aca="false">IF($A803="","",SUMIFS(PERLINE!$U$2:$U$3001,PERLINE!$N$2:$N$3001,$A803,PERLINE!$AK$2:$AK$3001,1))</f>
        <v/>
      </c>
      <c r="I803" s="19" t="str">
        <f aca="false">IF($A803="","",H803*G803)</f>
        <v/>
      </c>
      <c r="J803" s="19" t="str">
        <f aca="false">IF($A803="","",F803+I803)</f>
        <v/>
      </c>
      <c r="K803" s="19" t="str">
        <f aca="false">IF($A803="","",H803+E803)</f>
        <v/>
      </c>
      <c r="L803" s="20" t="str">
        <f aca="false">IF($A803="","",K803-J803-N803)</f>
        <v/>
      </c>
      <c r="M803" s="15" t="str">
        <f aca="false">IF($A803="","",INDEX(PERLINE!$A$2:$A$3001,MATCH($A803,PERLINE!$N$2:$N$3001,0)))</f>
        <v/>
      </c>
      <c r="N803" s="21" t="str">
        <f aca="false">IF($A803="","",SUMIFS(PERLINE!$M$2:$M$3001,PERLINE!$N$2:$N$3001,$A803))</f>
        <v/>
      </c>
    </row>
    <row r="804" customFormat="false" ht="15" hidden="false" customHeight="false" outlineLevel="0" collapsed="false">
      <c r="A804" s="15" t="str">
        <f aca="false">IF(ROWS($A$2:$A804)&lt;=Check!$C$4,SMALL(PERLINE!$AL$2:$AL$3001,ROWS($A$2:$A804)),"")</f>
        <v/>
      </c>
      <c r="B804" s="15" t="str">
        <f aca="false">IF($A804="","",INDEX(PERLINE!$J$2:$J$3001,MATCH($A804,PERLINE!$N$2:$N$3001,0)))</f>
        <v/>
      </c>
      <c r="C804" s="16" t="str">
        <f aca="false">IF($A804="","",INDEX(PERLINE!$I$2:$I$3001,MATCH($A804,PERLINE!$N$2:$N$3001,0)))</f>
        <v/>
      </c>
      <c r="D804" s="17" t="str">
        <f aca="false">IF($A804="","",'كشف المطالبة'!$D$6)</f>
        <v/>
      </c>
      <c r="E804" s="18" t="str">
        <f aca="false">IF($A804="","",SUMIFS(PERLINE!$U$2:$U$3001,PERLINE!$N$2:$N$3001,$A804,PERLINE!$AK$2:$AK$3001,0))</f>
        <v/>
      </c>
      <c r="F804" s="19" t="str">
        <f aca="false">IF($A804="","",E804*D804)</f>
        <v/>
      </c>
      <c r="G804" s="17" t="str">
        <f aca="false">IF($A804="","",'كشف المطالبة'!$D$5)</f>
        <v/>
      </c>
      <c r="H804" s="18" t="str">
        <f aca="false">IF($A804="","",SUMIFS(PERLINE!$U$2:$U$3001,PERLINE!$N$2:$N$3001,$A804,PERLINE!$AK$2:$AK$3001,1))</f>
        <v/>
      </c>
      <c r="I804" s="19" t="str">
        <f aca="false">IF($A804="","",H804*G804)</f>
        <v/>
      </c>
      <c r="J804" s="19" t="str">
        <f aca="false">IF($A804="","",F804+I804)</f>
        <v/>
      </c>
      <c r="K804" s="19" t="str">
        <f aca="false">IF($A804="","",H804+E804)</f>
        <v/>
      </c>
      <c r="L804" s="20" t="str">
        <f aca="false">IF($A804="","",K804-J804-N804)</f>
        <v/>
      </c>
      <c r="M804" s="15" t="str">
        <f aca="false">IF($A804="","",INDEX(PERLINE!$A$2:$A$3001,MATCH($A804,PERLINE!$N$2:$N$3001,0)))</f>
        <v/>
      </c>
      <c r="N804" s="21" t="str">
        <f aca="false">IF($A804="","",SUMIFS(PERLINE!$M$2:$M$3001,PERLINE!$N$2:$N$3001,$A804))</f>
        <v/>
      </c>
    </row>
    <row r="805" customFormat="false" ht="15" hidden="false" customHeight="false" outlineLevel="0" collapsed="false">
      <c r="A805" s="15" t="str">
        <f aca="false">IF(ROWS($A$2:$A805)&lt;=Check!$C$4,SMALL(PERLINE!$AL$2:$AL$3001,ROWS($A$2:$A805)),"")</f>
        <v/>
      </c>
      <c r="B805" s="15" t="str">
        <f aca="false">IF($A805="","",INDEX(PERLINE!$J$2:$J$3001,MATCH($A805,PERLINE!$N$2:$N$3001,0)))</f>
        <v/>
      </c>
      <c r="C805" s="16" t="str">
        <f aca="false">IF($A805="","",INDEX(PERLINE!$I$2:$I$3001,MATCH($A805,PERLINE!$N$2:$N$3001,0)))</f>
        <v/>
      </c>
      <c r="D805" s="17" t="str">
        <f aca="false">IF($A805="","",'كشف المطالبة'!$D$6)</f>
        <v/>
      </c>
      <c r="E805" s="18" t="str">
        <f aca="false">IF($A805="","",SUMIFS(PERLINE!$U$2:$U$3001,PERLINE!$N$2:$N$3001,$A805,PERLINE!$AK$2:$AK$3001,0))</f>
        <v/>
      </c>
      <c r="F805" s="19" t="str">
        <f aca="false">IF($A805="","",E805*D805)</f>
        <v/>
      </c>
      <c r="G805" s="17" t="str">
        <f aca="false">IF($A805="","",'كشف المطالبة'!$D$5)</f>
        <v/>
      </c>
      <c r="H805" s="18" t="str">
        <f aca="false">IF($A805="","",SUMIFS(PERLINE!$U$2:$U$3001,PERLINE!$N$2:$N$3001,$A805,PERLINE!$AK$2:$AK$3001,1))</f>
        <v/>
      </c>
      <c r="I805" s="19" t="str">
        <f aca="false">IF($A805="","",H805*G805)</f>
        <v/>
      </c>
      <c r="J805" s="19" t="str">
        <f aca="false">IF($A805="","",F805+I805)</f>
        <v/>
      </c>
      <c r="K805" s="19" t="str">
        <f aca="false">IF($A805="","",H805+E805)</f>
        <v/>
      </c>
      <c r="L805" s="20" t="str">
        <f aca="false">IF($A805="","",K805-J805-N805)</f>
        <v/>
      </c>
      <c r="M805" s="15" t="str">
        <f aca="false">IF($A805="","",INDEX(PERLINE!$A$2:$A$3001,MATCH($A805,PERLINE!$N$2:$N$3001,0)))</f>
        <v/>
      </c>
      <c r="N805" s="21" t="str">
        <f aca="false">IF($A805="","",SUMIFS(PERLINE!$M$2:$M$3001,PERLINE!$N$2:$N$3001,$A805))</f>
        <v/>
      </c>
    </row>
    <row r="806" customFormat="false" ht="15" hidden="false" customHeight="false" outlineLevel="0" collapsed="false">
      <c r="A806" s="15" t="str">
        <f aca="false">IF(ROWS($A$2:$A806)&lt;=Check!$C$4,SMALL(PERLINE!$AL$2:$AL$3001,ROWS($A$2:$A806)),"")</f>
        <v/>
      </c>
      <c r="B806" s="15" t="str">
        <f aca="false">IF($A806="","",INDEX(PERLINE!$J$2:$J$3001,MATCH($A806,PERLINE!$N$2:$N$3001,0)))</f>
        <v/>
      </c>
      <c r="C806" s="16" t="str">
        <f aca="false">IF($A806="","",INDEX(PERLINE!$I$2:$I$3001,MATCH($A806,PERLINE!$N$2:$N$3001,0)))</f>
        <v/>
      </c>
      <c r="D806" s="17" t="str">
        <f aca="false">IF($A806="","",'كشف المطالبة'!$D$6)</f>
        <v/>
      </c>
      <c r="E806" s="18" t="str">
        <f aca="false">IF($A806="","",SUMIFS(PERLINE!$U$2:$U$3001,PERLINE!$N$2:$N$3001,$A806,PERLINE!$AK$2:$AK$3001,0))</f>
        <v/>
      </c>
      <c r="F806" s="19" t="str">
        <f aca="false">IF($A806="","",E806*D806)</f>
        <v/>
      </c>
      <c r="G806" s="17" t="str">
        <f aca="false">IF($A806="","",'كشف المطالبة'!$D$5)</f>
        <v/>
      </c>
      <c r="H806" s="18" t="str">
        <f aca="false">IF($A806="","",SUMIFS(PERLINE!$U$2:$U$3001,PERLINE!$N$2:$N$3001,$A806,PERLINE!$AK$2:$AK$3001,1))</f>
        <v/>
      </c>
      <c r="I806" s="19" t="str">
        <f aca="false">IF($A806="","",H806*G806)</f>
        <v/>
      </c>
      <c r="J806" s="19" t="str">
        <f aca="false">IF($A806="","",F806+I806)</f>
        <v/>
      </c>
      <c r="K806" s="19" t="str">
        <f aca="false">IF($A806="","",H806+E806)</f>
        <v/>
      </c>
      <c r="L806" s="20" t="str">
        <f aca="false">IF($A806="","",K806-J806-N806)</f>
        <v/>
      </c>
      <c r="M806" s="15" t="str">
        <f aca="false">IF($A806="","",INDEX(PERLINE!$A$2:$A$3001,MATCH($A806,PERLINE!$N$2:$N$3001,0)))</f>
        <v/>
      </c>
      <c r="N806" s="21" t="str">
        <f aca="false">IF($A806="","",SUMIFS(PERLINE!$M$2:$M$3001,PERLINE!$N$2:$N$3001,$A806))</f>
        <v/>
      </c>
    </row>
    <row r="807" customFormat="false" ht="15" hidden="false" customHeight="false" outlineLevel="0" collapsed="false">
      <c r="A807" s="15" t="str">
        <f aca="false">IF(ROWS($A$2:$A807)&lt;=Check!$C$4,SMALL(PERLINE!$AL$2:$AL$3001,ROWS($A$2:$A807)),"")</f>
        <v/>
      </c>
      <c r="B807" s="15" t="str">
        <f aca="false">IF($A807="","",INDEX(PERLINE!$J$2:$J$3001,MATCH($A807,PERLINE!$N$2:$N$3001,0)))</f>
        <v/>
      </c>
      <c r="C807" s="16" t="str">
        <f aca="false">IF($A807="","",INDEX(PERLINE!$I$2:$I$3001,MATCH($A807,PERLINE!$N$2:$N$3001,0)))</f>
        <v/>
      </c>
      <c r="D807" s="17" t="str">
        <f aca="false">IF($A807="","",'كشف المطالبة'!$D$6)</f>
        <v/>
      </c>
      <c r="E807" s="18" t="str">
        <f aca="false">IF($A807="","",SUMIFS(PERLINE!$U$2:$U$3001,PERLINE!$N$2:$N$3001,$A807,PERLINE!$AK$2:$AK$3001,0))</f>
        <v/>
      </c>
      <c r="F807" s="19" t="str">
        <f aca="false">IF($A807="","",E807*D807)</f>
        <v/>
      </c>
      <c r="G807" s="17" t="str">
        <f aca="false">IF($A807="","",'كشف المطالبة'!$D$5)</f>
        <v/>
      </c>
      <c r="H807" s="18" t="str">
        <f aca="false">IF($A807="","",SUMIFS(PERLINE!$U$2:$U$3001,PERLINE!$N$2:$N$3001,$A807,PERLINE!$AK$2:$AK$3001,1))</f>
        <v/>
      </c>
      <c r="I807" s="19" t="str">
        <f aca="false">IF($A807="","",H807*G807)</f>
        <v/>
      </c>
      <c r="J807" s="19" t="str">
        <f aca="false">IF($A807="","",F807+I807)</f>
        <v/>
      </c>
      <c r="K807" s="19" t="str">
        <f aca="false">IF($A807="","",H807+E807)</f>
        <v/>
      </c>
      <c r="L807" s="20" t="str">
        <f aca="false">IF($A807="","",K807-J807-N807)</f>
        <v/>
      </c>
      <c r="M807" s="15" t="str">
        <f aca="false">IF($A807="","",INDEX(PERLINE!$A$2:$A$3001,MATCH($A807,PERLINE!$N$2:$N$3001,0)))</f>
        <v/>
      </c>
      <c r="N807" s="21" t="str">
        <f aca="false">IF($A807="","",SUMIFS(PERLINE!$M$2:$M$3001,PERLINE!$N$2:$N$3001,$A807))</f>
        <v/>
      </c>
    </row>
    <row r="808" customFormat="false" ht="15" hidden="false" customHeight="false" outlineLevel="0" collapsed="false">
      <c r="A808" s="15" t="str">
        <f aca="false">IF(ROWS($A$2:$A808)&lt;=Check!$C$4,SMALL(PERLINE!$AL$2:$AL$3001,ROWS($A$2:$A808)),"")</f>
        <v/>
      </c>
      <c r="B808" s="15" t="str">
        <f aca="false">IF($A808="","",INDEX(PERLINE!$J$2:$J$3001,MATCH($A808,PERLINE!$N$2:$N$3001,0)))</f>
        <v/>
      </c>
      <c r="C808" s="16" t="str">
        <f aca="false">IF($A808="","",INDEX(PERLINE!$I$2:$I$3001,MATCH($A808,PERLINE!$N$2:$N$3001,0)))</f>
        <v/>
      </c>
      <c r="D808" s="17" t="str">
        <f aca="false">IF($A808="","",'كشف المطالبة'!$D$6)</f>
        <v/>
      </c>
      <c r="E808" s="18" t="str">
        <f aca="false">IF($A808="","",SUMIFS(PERLINE!$U$2:$U$3001,PERLINE!$N$2:$N$3001,$A808,PERLINE!$AK$2:$AK$3001,0))</f>
        <v/>
      </c>
      <c r="F808" s="19" t="str">
        <f aca="false">IF($A808="","",E808*D808)</f>
        <v/>
      </c>
      <c r="G808" s="17" t="str">
        <f aca="false">IF($A808="","",'كشف المطالبة'!$D$5)</f>
        <v/>
      </c>
      <c r="H808" s="18" t="str">
        <f aca="false">IF($A808="","",SUMIFS(PERLINE!$U$2:$U$3001,PERLINE!$N$2:$N$3001,$A808,PERLINE!$AK$2:$AK$3001,1))</f>
        <v/>
      </c>
      <c r="I808" s="19" t="str">
        <f aca="false">IF($A808="","",H808*G808)</f>
        <v/>
      </c>
      <c r="J808" s="19" t="str">
        <f aca="false">IF($A808="","",F808+I808)</f>
        <v/>
      </c>
      <c r="K808" s="19" t="str">
        <f aca="false">IF($A808="","",H808+E808)</f>
        <v/>
      </c>
      <c r="L808" s="20" t="str">
        <f aca="false">IF($A808="","",K808-J808-N808)</f>
        <v/>
      </c>
      <c r="M808" s="15" t="str">
        <f aca="false">IF($A808="","",INDEX(PERLINE!$A$2:$A$3001,MATCH($A808,PERLINE!$N$2:$N$3001,0)))</f>
        <v/>
      </c>
      <c r="N808" s="21" t="str">
        <f aca="false">IF($A808="","",SUMIFS(PERLINE!$M$2:$M$3001,PERLINE!$N$2:$N$3001,$A808))</f>
        <v/>
      </c>
    </row>
    <row r="809" customFormat="false" ht="15" hidden="false" customHeight="false" outlineLevel="0" collapsed="false">
      <c r="A809" s="15" t="str">
        <f aca="false">IF(ROWS($A$2:$A809)&lt;=Check!$C$4,SMALL(PERLINE!$AL$2:$AL$3001,ROWS($A$2:$A809)),"")</f>
        <v/>
      </c>
      <c r="B809" s="15" t="str">
        <f aca="false">IF($A809="","",INDEX(PERLINE!$J$2:$J$3001,MATCH($A809,PERLINE!$N$2:$N$3001,0)))</f>
        <v/>
      </c>
      <c r="C809" s="16" t="str">
        <f aca="false">IF($A809="","",INDEX(PERLINE!$I$2:$I$3001,MATCH($A809,PERLINE!$N$2:$N$3001,0)))</f>
        <v/>
      </c>
      <c r="D809" s="17" t="str">
        <f aca="false">IF($A809="","",'كشف المطالبة'!$D$6)</f>
        <v/>
      </c>
      <c r="E809" s="18" t="str">
        <f aca="false">IF($A809="","",SUMIFS(PERLINE!$U$2:$U$3001,PERLINE!$N$2:$N$3001,$A809,PERLINE!$AK$2:$AK$3001,0))</f>
        <v/>
      </c>
      <c r="F809" s="19" t="str">
        <f aca="false">IF($A809="","",E809*D809)</f>
        <v/>
      </c>
      <c r="G809" s="17" t="str">
        <f aca="false">IF($A809="","",'كشف المطالبة'!$D$5)</f>
        <v/>
      </c>
      <c r="H809" s="18" t="str">
        <f aca="false">IF($A809="","",SUMIFS(PERLINE!$U$2:$U$3001,PERLINE!$N$2:$N$3001,$A809,PERLINE!$AK$2:$AK$3001,1))</f>
        <v/>
      </c>
      <c r="I809" s="19" t="str">
        <f aca="false">IF($A809="","",H809*G809)</f>
        <v/>
      </c>
      <c r="J809" s="19" t="str">
        <f aca="false">IF($A809="","",F809+I809)</f>
        <v/>
      </c>
      <c r="K809" s="19" t="str">
        <f aca="false">IF($A809="","",H809+E809)</f>
        <v/>
      </c>
      <c r="L809" s="20" t="str">
        <f aca="false">IF($A809="","",K809-J809-N809)</f>
        <v/>
      </c>
      <c r="M809" s="15" t="str">
        <f aca="false">IF($A809="","",INDEX(PERLINE!$A$2:$A$3001,MATCH($A809,PERLINE!$N$2:$N$3001,0)))</f>
        <v/>
      </c>
      <c r="N809" s="21" t="str">
        <f aca="false">IF($A809="","",SUMIFS(PERLINE!$M$2:$M$3001,PERLINE!$N$2:$N$3001,$A809))</f>
        <v/>
      </c>
    </row>
    <row r="810" customFormat="false" ht="15" hidden="false" customHeight="false" outlineLevel="0" collapsed="false">
      <c r="A810" s="15" t="str">
        <f aca="false">IF(ROWS($A$2:$A810)&lt;=Check!$C$4,SMALL(PERLINE!$AL$2:$AL$3001,ROWS($A$2:$A810)),"")</f>
        <v/>
      </c>
      <c r="B810" s="15" t="str">
        <f aca="false">IF($A810="","",INDEX(PERLINE!$J$2:$J$3001,MATCH($A810,PERLINE!$N$2:$N$3001,0)))</f>
        <v/>
      </c>
      <c r="C810" s="16" t="str">
        <f aca="false">IF($A810="","",INDEX(PERLINE!$I$2:$I$3001,MATCH($A810,PERLINE!$N$2:$N$3001,0)))</f>
        <v/>
      </c>
      <c r="D810" s="17" t="str">
        <f aca="false">IF($A810="","",'كشف المطالبة'!$D$6)</f>
        <v/>
      </c>
      <c r="E810" s="18" t="str">
        <f aca="false">IF($A810="","",SUMIFS(PERLINE!$U$2:$U$3001,PERLINE!$N$2:$N$3001,$A810,PERLINE!$AK$2:$AK$3001,0))</f>
        <v/>
      </c>
      <c r="F810" s="19" t="str">
        <f aca="false">IF($A810="","",E810*D810)</f>
        <v/>
      </c>
      <c r="G810" s="17" t="str">
        <f aca="false">IF($A810="","",'كشف المطالبة'!$D$5)</f>
        <v/>
      </c>
      <c r="H810" s="18" t="str">
        <f aca="false">IF($A810="","",SUMIFS(PERLINE!$U$2:$U$3001,PERLINE!$N$2:$N$3001,$A810,PERLINE!$AK$2:$AK$3001,1))</f>
        <v/>
      </c>
      <c r="I810" s="19" t="str">
        <f aca="false">IF($A810="","",H810*G810)</f>
        <v/>
      </c>
      <c r="J810" s="19" t="str">
        <f aca="false">IF($A810="","",F810+I810)</f>
        <v/>
      </c>
      <c r="K810" s="19" t="str">
        <f aca="false">IF($A810="","",H810+E810)</f>
        <v/>
      </c>
      <c r="L810" s="20" t="str">
        <f aca="false">IF($A810="","",K810-J810-N810)</f>
        <v/>
      </c>
      <c r="M810" s="15" t="str">
        <f aca="false">IF($A810="","",INDEX(PERLINE!$A$2:$A$3001,MATCH($A810,PERLINE!$N$2:$N$3001,0)))</f>
        <v/>
      </c>
      <c r="N810" s="21" t="str">
        <f aca="false">IF($A810="","",SUMIFS(PERLINE!$M$2:$M$3001,PERLINE!$N$2:$N$3001,$A810))</f>
        <v/>
      </c>
    </row>
    <row r="811" customFormat="false" ht="15" hidden="false" customHeight="false" outlineLevel="0" collapsed="false">
      <c r="A811" s="15" t="str">
        <f aca="false">IF(ROWS($A$2:$A811)&lt;=Check!$C$4,SMALL(PERLINE!$AL$2:$AL$3001,ROWS($A$2:$A811)),"")</f>
        <v/>
      </c>
      <c r="B811" s="15" t="str">
        <f aca="false">IF($A811="","",INDEX(PERLINE!$J$2:$J$3001,MATCH($A811,PERLINE!$N$2:$N$3001,0)))</f>
        <v/>
      </c>
      <c r="C811" s="16" t="str">
        <f aca="false">IF($A811="","",INDEX(PERLINE!$I$2:$I$3001,MATCH($A811,PERLINE!$N$2:$N$3001,0)))</f>
        <v/>
      </c>
      <c r="D811" s="17" t="str">
        <f aca="false">IF($A811="","",'كشف المطالبة'!$D$6)</f>
        <v/>
      </c>
      <c r="E811" s="18" t="str">
        <f aca="false">IF($A811="","",SUMIFS(PERLINE!$U$2:$U$3001,PERLINE!$N$2:$N$3001,$A811,PERLINE!$AK$2:$AK$3001,0))</f>
        <v/>
      </c>
      <c r="F811" s="19" t="str">
        <f aca="false">IF($A811="","",E811*D811)</f>
        <v/>
      </c>
      <c r="G811" s="17" t="str">
        <f aca="false">IF($A811="","",'كشف المطالبة'!$D$5)</f>
        <v/>
      </c>
      <c r="H811" s="18" t="str">
        <f aca="false">IF($A811="","",SUMIFS(PERLINE!$U$2:$U$3001,PERLINE!$N$2:$N$3001,$A811,PERLINE!$AK$2:$AK$3001,1))</f>
        <v/>
      </c>
      <c r="I811" s="19" t="str">
        <f aca="false">IF($A811="","",H811*G811)</f>
        <v/>
      </c>
      <c r="J811" s="19" t="str">
        <f aca="false">IF($A811="","",F811+I811)</f>
        <v/>
      </c>
      <c r="K811" s="19" t="str">
        <f aca="false">IF($A811="","",H811+E811)</f>
        <v/>
      </c>
      <c r="L811" s="20" t="str">
        <f aca="false">IF($A811="","",K811-J811-N811)</f>
        <v/>
      </c>
      <c r="M811" s="15" t="str">
        <f aca="false">IF($A811="","",INDEX(PERLINE!$A$2:$A$3001,MATCH($A811,PERLINE!$N$2:$N$3001,0)))</f>
        <v/>
      </c>
      <c r="N811" s="21" t="str">
        <f aca="false">IF($A811="","",SUMIFS(PERLINE!$M$2:$M$3001,PERLINE!$N$2:$N$3001,$A811))</f>
        <v/>
      </c>
    </row>
    <row r="812" customFormat="false" ht="15" hidden="false" customHeight="false" outlineLevel="0" collapsed="false">
      <c r="A812" s="15" t="str">
        <f aca="false">IF(ROWS($A$2:$A812)&lt;=Check!$C$4,SMALL(PERLINE!$AL$2:$AL$3001,ROWS($A$2:$A812)),"")</f>
        <v/>
      </c>
      <c r="B812" s="15" t="str">
        <f aca="false">IF($A812="","",INDEX(PERLINE!$J$2:$J$3001,MATCH($A812,PERLINE!$N$2:$N$3001,0)))</f>
        <v/>
      </c>
      <c r="C812" s="16" t="str">
        <f aca="false">IF($A812="","",INDEX(PERLINE!$I$2:$I$3001,MATCH($A812,PERLINE!$N$2:$N$3001,0)))</f>
        <v/>
      </c>
      <c r="D812" s="17" t="str">
        <f aca="false">IF($A812="","",'كشف المطالبة'!$D$6)</f>
        <v/>
      </c>
      <c r="E812" s="18" t="str">
        <f aca="false">IF($A812="","",SUMIFS(PERLINE!$U$2:$U$3001,PERLINE!$N$2:$N$3001,$A812,PERLINE!$AK$2:$AK$3001,0))</f>
        <v/>
      </c>
      <c r="F812" s="19" t="str">
        <f aca="false">IF($A812="","",E812*D812)</f>
        <v/>
      </c>
      <c r="G812" s="17" t="str">
        <f aca="false">IF($A812="","",'كشف المطالبة'!$D$5)</f>
        <v/>
      </c>
      <c r="H812" s="18" t="str">
        <f aca="false">IF($A812="","",SUMIFS(PERLINE!$U$2:$U$3001,PERLINE!$N$2:$N$3001,$A812,PERLINE!$AK$2:$AK$3001,1))</f>
        <v/>
      </c>
      <c r="I812" s="19" t="str">
        <f aca="false">IF($A812="","",H812*G812)</f>
        <v/>
      </c>
      <c r="J812" s="19" t="str">
        <f aca="false">IF($A812="","",F812+I812)</f>
        <v/>
      </c>
      <c r="K812" s="19" t="str">
        <f aca="false">IF($A812="","",H812+E812)</f>
        <v/>
      </c>
      <c r="L812" s="20" t="str">
        <f aca="false">IF($A812="","",K812-J812-N812)</f>
        <v/>
      </c>
      <c r="M812" s="15" t="str">
        <f aca="false">IF($A812="","",INDEX(PERLINE!$A$2:$A$3001,MATCH($A812,PERLINE!$N$2:$N$3001,0)))</f>
        <v/>
      </c>
      <c r="N812" s="21" t="str">
        <f aca="false">IF($A812="","",SUMIFS(PERLINE!$M$2:$M$3001,PERLINE!$N$2:$N$3001,$A812))</f>
        <v/>
      </c>
    </row>
    <row r="813" customFormat="false" ht="15" hidden="false" customHeight="false" outlineLevel="0" collapsed="false">
      <c r="A813" s="15" t="str">
        <f aca="false">IF(ROWS($A$2:$A813)&lt;=Check!$C$4,SMALL(PERLINE!$AL$2:$AL$3001,ROWS($A$2:$A813)),"")</f>
        <v/>
      </c>
      <c r="B813" s="15" t="str">
        <f aca="false">IF($A813="","",INDEX(PERLINE!$J$2:$J$3001,MATCH($A813,PERLINE!$N$2:$N$3001,0)))</f>
        <v/>
      </c>
      <c r="C813" s="16" t="str">
        <f aca="false">IF($A813="","",INDEX(PERLINE!$I$2:$I$3001,MATCH($A813,PERLINE!$N$2:$N$3001,0)))</f>
        <v/>
      </c>
      <c r="D813" s="17" t="str">
        <f aca="false">IF($A813="","",'كشف المطالبة'!$D$6)</f>
        <v/>
      </c>
      <c r="E813" s="18" t="str">
        <f aca="false">IF($A813="","",SUMIFS(PERLINE!$U$2:$U$3001,PERLINE!$N$2:$N$3001,$A813,PERLINE!$AK$2:$AK$3001,0))</f>
        <v/>
      </c>
      <c r="F813" s="19" t="str">
        <f aca="false">IF($A813="","",E813*D813)</f>
        <v/>
      </c>
      <c r="G813" s="17" t="str">
        <f aca="false">IF($A813="","",'كشف المطالبة'!$D$5)</f>
        <v/>
      </c>
      <c r="H813" s="18" t="str">
        <f aca="false">IF($A813="","",SUMIFS(PERLINE!$U$2:$U$3001,PERLINE!$N$2:$N$3001,$A813,PERLINE!$AK$2:$AK$3001,1))</f>
        <v/>
      </c>
      <c r="I813" s="19" t="str">
        <f aca="false">IF($A813="","",H813*G813)</f>
        <v/>
      </c>
      <c r="J813" s="19" t="str">
        <f aca="false">IF($A813="","",F813+I813)</f>
        <v/>
      </c>
      <c r="K813" s="19" t="str">
        <f aca="false">IF($A813="","",H813+E813)</f>
        <v/>
      </c>
      <c r="L813" s="20" t="str">
        <f aca="false">IF($A813="","",K813-J813-N813)</f>
        <v/>
      </c>
      <c r="M813" s="15" t="str">
        <f aca="false">IF($A813="","",INDEX(PERLINE!$A$2:$A$3001,MATCH($A813,PERLINE!$N$2:$N$3001,0)))</f>
        <v/>
      </c>
      <c r="N813" s="21" t="str">
        <f aca="false">IF($A813="","",SUMIFS(PERLINE!$M$2:$M$3001,PERLINE!$N$2:$N$3001,$A813))</f>
        <v/>
      </c>
    </row>
    <row r="814" customFormat="false" ht="15" hidden="false" customHeight="false" outlineLevel="0" collapsed="false">
      <c r="A814" s="15" t="str">
        <f aca="false">IF(ROWS($A$2:$A814)&lt;=Check!$C$4,SMALL(PERLINE!$AL$2:$AL$3001,ROWS($A$2:$A814)),"")</f>
        <v/>
      </c>
      <c r="B814" s="15" t="str">
        <f aca="false">IF($A814="","",INDEX(PERLINE!$J$2:$J$3001,MATCH($A814,PERLINE!$N$2:$N$3001,0)))</f>
        <v/>
      </c>
      <c r="C814" s="16" t="str">
        <f aca="false">IF($A814="","",INDEX(PERLINE!$I$2:$I$3001,MATCH($A814,PERLINE!$N$2:$N$3001,0)))</f>
        <v/>
      </c>
      <c r="D814" s="17" t="str">
        <f aca="false">IF($A814="","",'كشف المطالبة'!$D$6)</f>
        <v/>
      </c>
      <c r="E814" s="18" t="str">
        <f aca="false">IF($A814="","",SUMIFS(PERLINE!$U$2:$U$3001,PERLINE!$N$2:$N$3001,$A814,PERLINE!$AK$2:$AK$3001,0))</f>
        <v/>
      </c>
      <c r="F814" s="19" t="str">
        <f aca="false">IF($A814="","",E814*D814)</f>
        <v/>
      </c>
      <c r="G814" s="17" t="str">
        <f aca="false">IF($A814="","",'كشف المطالبة'!$D$5)</f>
        <v/>
      </c>
      <c r="H814" s="18" t="str">
        <f aca="false">IF($A814="","",SUMIFS(PERLINE!$U$2:$U$3001,PERLINE!$N$2:$N$3001,$A814,PERLINE!$AK$2:$AK$3001,1))</f>
        <v/>
      </c>
      <c r="I814" s="19" t="str">
        <f aca="false">IF($A814="","",H814*G814)</f>
        <v/>
      </c>
      <c r="J814" s="19" t="str">
        <f aca="false">IF($A814="","",F814+I814)</f>
        <v/>
      </c>
      <c r="K814" s="19" t="str">
        <f aca="false">IF($A814="","",H814+E814)</f>
        <v/>
      </c>
      <c r="L814" s="20" t="str">
        <f aca="false">IF($A814="","",K814-J814-N814)</f>
        <v/>
      </c>
      <c r="M814" s="15" t="str">
        <f aca="false">IF($A814="","",INDEX(PERLINE!$A$2:$A$3001,MATCH($A814,PERLINE!$N$2:$N$3001,0)))</f>
        <v/>
      </c>
      <c r="N814" s="21" t="str">
        <f aca="false">IF($A814="","",SUMIFS(PERLINE!$M$2:$M$3001,PERLINE!$N$2:$N$3001,$A814))</f>
        <v/>
      </c>
    </row>
    <row r="815" customFormat="false" ht="15" hidden="false" customHeight="false" outlineLevel="0" collapsed="false">
      <c r="A815" s="15" t="str">
        <f aca="false">IF(ROWS($A$2:$A815)&lt;=Check!$C$4,SMALL(PERLINE!$AL$2:$AL$3001,ROWS($A$2:$A815)),"")</f>
        <v/>
      </c>
      <c r="B815" s="15" t="str">
        <f aca="false">IF($A815="","",INDEX(PERLINE!$J$2:$J$3001,MATCH($A815,PERLINE!$N$2:$N$3001,0)))</f>
        <v/>
      </c>
      <c r="C815" s="16" t="str">
        <f aca="false">IF($A815="","",INDEX(PERLINE!$I$2:$I$3001,MATCH($A815,PERLINE!$N$2:$N$3001,0)))</f>
        <v/>
      </c>
      <c r="D815" s="17" t="str">
        <f aca="false">IF($A815="","",'كشف المطالبة'!$D$6)</f>
        <v/>
      </c>
      <c r="E815" s="18" t="str">
        <f aca="false">IF($A815="","",SUMIFS(PERLINE!$U$2:$U$3001,PERLINE!$N$2:$N$3001,$A815,PERLINE!$AK$2:$AK$3001,0))</f>
        <v/>
      </c>
      <c r="F815" s="19" t="str">
        <f aca="false">IF($A815="","",E815*D815)</f>
        <v/>
      </c>
      <c r="G815" s="17" t="str">
        <f aca="false">IF($A815="","",'كشف المطالبة'!$D$5)</f>
        <v/>
      </c>
      <c r="H815" s="18" t="str">
        <f aca="false">IF($A815="","",SUMIFS(PERLINE!$U$2:$U$3001,PERLINE!$N$2:$N$3001,$A815,PERLINE!$AK$2:$AK$3001,1))</f>
        <v/>
      </c>
      <c r="I815" s="19" t="str">
        <f aca="false">IF($A815="","",H815*G815)</f>
        <v/>
      </c>
      <c r="J815" s="19" t="str">
        <f aca="false">IF($A815="","",F815+I815)</f>
        <v/>
      </c>
      <c r="K815" s="19" t="str">
        <f aca="false">IF($A815="","",H815+E815)</f>
        <v/>
      </c>
      <c r="L815" s="20" t="str">
        <f aca="false">IF($A815="","",K815-J815-N815)</f>
        <v/>
      </c>
      <c r="M815" s="15" t="str">
        <f aca="false">IF($A815="","",INDEX(PERLINE!$A$2:$A$3001,MATCH($A815,PERLINE!$N$2:$N$3001,0)))</f>
        <v/>
      </c>
      <c r="N815" s="21" t="str">
        <f aca="false">IF($A815="","",SUMIFS(PERLINE!$M$2:$M$3001,PERLINE!$N$2:$N$3001,$A815))</f>
        <v/>
      </c>
    </row>
    <row r="816" customFormat="false" ht="15" hidden="false" customHeight="false" outlineLevel="0" collapsed="false">
      <c r="A816" s="15" t="str">
        <f aca="false">IF(ROWS($A$2:$A816)&lt;=Check!$C$4,SMALL(PERLINE!$AL$2:$AL$3001,ROWS($A$2:$A816)),"")</f>
        <v/>
      </c>
      <c r="B816" s="15" t="str">
        <f aca="false">IF($A816="","",INDEX(PERLINE!$J$2:$J$3001,MATCH($A816,PERLINE!$N$2:$N$3001,0)))</f>
        <v/>
      </c>
      <c r="C816" s="16" t="str">
        <f aca="false">IF($A816="","",INDEX(PERLINE!$I$2:$I$3001,MATCH($A816,PERLINE!$N$2:$N$3001,0)))</f>
        <v/>
      </c>
      <c r="D816" s="17" t="str">
        <f aca="false">IF($A816="","",'كشف المطالبة'!$D$6)</f>
        <v/>
      </c>
      <c r="E816" s="18" t="str">
        <f aca="false">IF($A816="","",SUMIFS(PERLINE!$U$2:$U$3001,PERLINE!$N$2:$N$3001,$A816,PERLINE!$AK$2:$AK$3001,0))</f>
        <v/>
      </c>
      <c r="F816" s="19" t="str">
        <f aca="false">IF($A816="","",E816*D816)</f>
        <v/>
      </c>
      <c r="G816" s="17" t="str">
        <f aca="false">IF($A816="","",'كشف المطالبة'!$D$5)</f>
        <v/>
      </c>
      <c r="H816" s="18" t="str">
        <f aca="false">IF($A816="","",SUMIFS(PERLINE!$U$2:$U$3001,PERLINE!$N$2:$N$3001,$A816,PERLINE!$AK$2:$AK$3001,1))</f>
        <v/>
      </c>
      <c r="I816" s="19" t="str">
        <f aca="false">IF($A816="","",H816*G816)</f>
        <v/>
      </c>
      <c r="J816" s="19" t="str">
        <f aca="false">IF($A816="","",F816+I816)</f>
        <v/>
      </c>
      <c r="K816" s="19" t="str">
        <f aca="false">IF($A816="","",H816+E816)</f>
        <v/>
      </c>
      <c r="L816" s="20" t="str">
        <f aca="false">IF($A816="","",K816-J816-N816)</f>
        <v/>
      </c>
      <c r="M816" s="15" t="str">
        <f aca="false">IF($A816="","",INDEX(PERLINE!$A$2:$A$3001,MATCH($A816,PERLINE!$N$2:$N$3001,0)))</f>
        <v/>
      </c>
      <c r="N816" s="21" t="str">
        <f aca="false">IF($A816="","",SUMIFS(PERLINE!$M$2:$M$3001,PERLINE!$N$2:$N$3001,$A816))</f>
        <v/>
      </c>
    </row>
    <row r="817" customFormat="false" ht="15" hidden="false" customHeight="false" outlineLevel="0" collapsed="false">
      <c r="A817" s="15" t="str">
        <f aca="false">IF(ROWS($A$2:$A817)&lt;=Check!$C$4,SMALL(PERLINE!$AL$2:$AL$3001,ROWS($A$2:$A817)),"")</f>
        <v/>
      </c>
      <c r="B817" s="15" t="str">
        <f aca="false">IF($A817="","",INDEX(PERLINE!$J$2:$J$3001,MATCH($A817,PERLINE!$N$2:$N$3001,0)))</f>
        <v/>
      </c>
      <c r="C817" s="16" t="str">
        <f aca="false">IF($A817="","",INDEX(PERLINE!$I$2:$I$3001,MATCH($A817,PERLINE!$N$2:$N$3001,0)))</f>
        <v/>
      </c>
      <c r="D817" s="17" t="str">
        <f aca="false">IF($A817="","",'كشف المطالبة'!$D$6)</f>
        <v/>
      </c>
      <c r="E817" s="18" t="str">
        <f aca="false">IF($A817="","",SUMIFS(PERLINE!$U$2:$U$3001,PERLINE!$N$2:$N$3001,$A817,PERLINE!$AK$2:$AK$3001,0))</f>
        <v/>
      </c>
      <c r="F817" s="19" t="str">
        <f aca="false">IF($A817="","",E817*D817)</f>
        <v/>
      </c>
      <c r="G817" s="17" t="str">
        <f aca="false">IF($A817="","",'كشف المطالبة'!$D$5)</f>
        <v/>
      </c>
      <c r="H817" s="18" t="str">
        <f aca="false">IF($A817="","",SUMIFS(PERLINE!$U$2:$U$3001,PERLINE!$N$2:$N$3001,$A817,PERLINE!$AK$2:$AK$3001,1))</f>
        <v/>
      </c>
      <c r="I817" s="19" t="str">
        <f aca="false">IF($A817="","",H817*G817)</f>
        <v/>
      </c>
      <c r="J817" s="19" t="str">
        <f aca="false">IF($A817="","",F817+I817)</f>
        <v/>
      </c>
      <c r="K817" s="19" t="str">
        <f aca="false">IF($A817="","",H817+E817)</f>
        <v/>
      </c>
      <c r="L817" s="20" t="str">
        <f aca="false">IF($A817="","",K817-J817-N817)</f>
        <v/>
      </c>
      <c r="M817" s="15" t="str">
        <f aca="false">IF($A817="","",INDEX(PERLINE!$A$2:$A$3001,MATCH($A817,PERLINE!$N$2:$N$3001,0)))</f>
        <v/>
      </c>
      <c r="N817" s="21" t="str">
        <f aca="false">IF($A817="","",SUMIFS(PERLINE!$M$2:$M$3001,PERLINE!$N$2:$N$3001,$A817))</f>
        <v/>
      </c>
    </row>
    <row r="818" customFormat="false" ht="15" hidden="false" customHeight="false" outlineLevel="0" collapsed="false">
      <c r="A818" s="15" t="str">
        <f aca="false">IF(ROWS($A$2:$A818)&lt;=Check!$C$4,SMALL(PERLINE!$AL$2:$AL$3001,ROWS($A$2:$A818)),"")</f>
        <v/>
      </c>
      <c r="B818" s="15" t="str">
        <f aca="false">IF($A818="","",INDEX(PERLINE!$J$2:$J$3001,MATCH($A818,PERLINE!$N$2:$N$3001,0)))</f>
        <v/>
      </c>
      <c r="C818" s="16" t="str">
        <f aca="false">IF($A818="","",INDEX(PERLINE!$I$2:$I$3001,MATCH($A818,PERLINE!$N$2:$N$3001,0)))</f>
        <v/>
      </c>
      <c r="D818" s="17" t="str">
        <f aca="false">IF($A818="","",'كشف المطالبة'!$D$6)</f>
        <v/>
      </c>
      <c r="E818" s="18" t="str">
        <f aca="false">IF($A818="","",SUMIFS(PERLINE!$U$2:$U$3001,PERLINE!$N$2:$N$3001,$A818,PERLINE!$AK$2:$AK$3001,0))</f>
        <v/>
      </c>
      <c r="F818" s="19" t="str">
        <f aca="false">IF($A818="","",E818*D818)</f>
        <v/>
      </c>
      <c r="G818" s="17" t="str">
        <f aca="false">IF($A818="","",'كشف المطالبة'!$D$5)</f>
        <v/>
      </c>
      <c r="H818" s="18" t="str">
        <f aca="false">IF($A818="","",SUMIFS(PERLINE!$U$2:$U$3001,PERLINE!$N$2:$N$3001,$A818,PERLINE!$AK$2:$AK$3001,1))</f>
        <v/>
      </c>
      <c r="I818" s="19" t="str">
        <f aca="false">IF($A818="","",H818*G818)</f>
        <v/>
      </c>
      <c r="J818" s="19" t="str">
        <f aca="false">IF($A818="","",F818+I818)</f>
        <v/>
      </c>
      <c r="K818" s="19" t="str">
        <f aca="false">IF($A818="","",H818+E818)</f>
        <v/>
      </c>
      <c r="L818" s="20" t="str">
        <f aca="false">IF($A818="","",K818-J818-N818)</f>
        <v/>
      </c>
      <c r="M818" s="15" t="str">
        <f aca="false">IF($A818="","",INDEX(PERLINE!$A$2:$A$3001,MATCH($A818,PERLINE!$N$2:$N$3001,0)))</f>
        <v/>
      </c>
      <c r="N818" s="21" t="str">
        <f aca="false">IF($A818="","",SUMIFS(PERLINE!$M$2:$M$3001,PERLINE!$N$2:$N$3001,$A818))</f>
        <v/>
      </c>
    </row>
    <row r="819" customFormat="false" ht="15" hidden="false" customHeight="false" outlineLevel="0" collapsed="false">
      <c r="A819" s="15" t="str">
        <f aca="false">IF(ROWS($A$2:$A819)&lt;=Check!$C$4,SMALL(PERLINE!$AL$2:$AL$3001,ROWS($A$2:$A819)),"")</f>
        <v/>
      </c>
      <c r="B819" s="15" t="str">
        <f aca="false">IF($A819="","",INDEX(PERLINE!$J$2:$J$3001,MATCH($A819,PERLINE!$N$2:$N$3001,0)))</f>
        <v/>
      </c>
      <c r="C819" s="16" t="str">
        <f aca="false">IF($A819="","",INDEX(PERLINE!$I$2:$I$3001,MATCH($A819,PERLINE!$N$2:$N$3001,0)))</f>
        <v/>
      </c>
      <c r="D819" s="17" t="str">
        <f aca="false">IF($A819="","",'كشف المطالبة'!$D$6)</f>
        <v/>
      </c>
      <c r="E819" s="18" t="str">
        <f aca="false">IF($A819="","",SUMIFS(PERLINE!$U$2:$U$3001,PERLINE!$N$2:$N$3001,$A819,PERLINE!$AK$2:$AK$3001,0))</f>
        <v/>
      </c>
      <c r="F819" s="19" t="str">
        <f aca="false">IF($A819="","",E819*D819)</f>
        <v/>
      </c>
      <c r="G819" s="17" t="str">
        <f aca="false">IF($A819="","",'كشف المطالبة'!$D$5)</f>
        <v/>
      </c>
      <c r="H819" s="18" t="str">
        <f aca="false">IF($A819="","",SUMIFS(PERLINE!$U$2:$U$3001,PERLINE!$N$2:$N$3001,$A819,PERLINE!$AK$2:$AK$3001,1))</f>
        <v/>
      </c>
      <c r="I819" s="19" t="str">
        <f aca="false">IF($A819="","",H819*G819)</f>
        <v/>
      </c>
      <c r="J819" s="19" t="str">
        <f aca="false">IF($A819="","",F819+I819)</f>
        <v/>
      </c>
      <c r="K819" s="19" t="str">
        <f aca="false">IF($A819="","",H819+E819)</f>
        <v/>
      </c>
      <c r="L819" s="20" t="str">
        <f aca="false">IF($A819="","",K819-J819-N819)</f>
        <v/>
      </c>
      <c r="M819" s="15" t="str">
        <f aca="false">IF($A819="","",INDEX(PERLINE!$A$2:$A$3001,MATCH($A819,PERLINE!$N$2:$N$3001,0)))</f>
        <v/>
      </c>
      <c r="N819" s="21" t="str">
        <f aca="false">IF($A819="","",SUMIFS(PERLINE!$M$2:$M$3001,PERLINE!$N$2:$N$3001,$A819))</f>
        <v/>
      </c>
    </row>
    <row r="820" customFormat="false" ht="15" hidden="false" customHeight="false" outlineLevel="0" collapsed="false">
      <c r="A820" s="15" t="str">
        <f aca="false">IF(ROWS($A$2:$A820)&lt;=Check!$C$4,SMALL(PERLINE!$AL$2:$AL$3001,ROWS($A$2:$A820)),"")</f>
        <v/>
      </c>
      <c r="B820" s="15" t="str">
        <f aca="false">IF($A820="","",INDEX(PERLINE!$J$2:$J$3001,MATCH($A820,PERLINE!$N$2:$N$3001,0)))</f>
        <v/>
      </c>
      <c r="C820" s="16" t="str">
        <f aca="false">IF($A820="","",INDEX(PERLINE!$I$2:$I$3001,MATCH($A820,PERLINE!$N$2:$N$3001,0)))</f>
        <v/>
      </c>
      <c r="D820" s="17" t="str">
        <f aca="false">IF($A820="","",'كشف المطالبة'!$D$6)</f>
        <v/>
      </c>
      <c r="E820" s="18" t="str">
        <f aca="false">IF($A820="","",SUMIFS(PERLINE!$U$2:$U$3001,PERLINE!$N$2:$N$3001,$A820,PERLINE!$AK$2:$AK$3001,0))</f>
        <v/>
      </c>
      <c r="F820" s="19" t="str">
        <f aca="false">IF($A820="","",E820*D820)</f>
        <v/>
      </c>
      <c r="G820" s="17" t="str">
        <f aca="false">IF($A820="","",'كشف المطالبة'!$D$5)</f>
        <v/>
      </c>
      <c r="H820" s="18" t="str">
        <f aca="false">IF($A820="","",SUMIFS(PERLINE!$U$2:$U$3001,PERLINE!$N$2:$N$3001,$A820,PERLINE!$AK$2:$AK$3001,1))</f>
        <v/>
      </c>
      <c r="I820" s="19" t="str">
        <f aca="false">IF($A820="","",H820*G820)</f>
        <v/>
      </c>
      <c r="J820" s="19" t="str">
        <f aca="false">IF($A820="","",F820+I820)</f>
        <v/>
      </c>
      <c r="K820" s="19" t="str">
        <f aca="false">IF($A820="","",H820+E820)</f>
        <v/>
      </c>
      <c r="L820" s="20" t="str">
        <f aca="false">IF($A820="","",K820-J820-N820)</f>
        <v/>
      </c>
      <c r="M820" s="15" t="str">
        <f aca="false">IF($A820="","",INDEX(PERLINE!$A$2:$A$3001,MATCH($A820,PERLINE!$N$2:$N$3001,0)))</f>
        <v/>
      </c>
      <c r="N820" s="21" t="str">
        <f aca="false">IF($A820="","",SUMIFS(PERLINE!$M$2:$M$3001,PERLINE!$N$2:$N$3001,$A820))</f>
        <v/>
      </c>
    </row>
    <row r="821" customFormat="false" ht="15" hidden="false" customHeight="false" outlineLevel="0" collapsed="false">
      <c r="A821" s="15" t="str">
        <f aca="false">IF(ROWS($A$2:$A821)&lt;=Check!$C$4,SMALL(PERLINE!$AL$2:$AL$3001,ROWS($A$2:$A821)),"")</f>
        <v/>
      </c>
      <c r="B821" s="15" t="str">
        <f aca="false">IF($A821="","",INDEX(PERLINE!$J$2:$J$3001,MATCH($A821,PERLINE!$N$2:$N$3001,0)))</f>
        <v/>
      </c>
      <c r="C821" s="16" t="str">
        <f aca="false">IF($A821="","",INDEX(PERLINE!$I$2:$I$3001,MATCH($A821,PERLINE!$N$2:$N$3001,0)))</f>
        <v/>
      </c>
      <c r="D821" s="17" t="str">
        <f aca="false">IF($A821="","",'كشف المطالبة'!$D$6)</f>
        <v/>
      </c>
      <c r="E821" s="18" t="str">
        <f aca="false">IF($A821="","",SUMIFS(PERLINE!$U$2:$U$3001,PERLINE!$N$2:$N$3001,$A821,PERLINE!$AK$2:$AK$3001,0))</f>
        <v/>
      </c>
      <c r="F821" s="19" t="str">
        <f aca="false">IF($A821="","",E821*D821)</f>
        <v/>
      </c>
      <c r="G821" s="17" t="str">
        <f aca="false">IF($A821="","",'كشف المطالبة'!$D$5)</f>
        <v/>
      </c>
      <c r="H821" s="18" t="str">
        <f aca="false">IF($A821="","",SUMIFS(PERLINE!$U$2:$U$3001,PERLINE!$N$2:$N$3001,$A821,PERLINE!$AK$2:$AK$3001,1))</f>
        <v/>
      </c>
      <c r="I821" s="19" t="str">
        <f aca="false">IF($A821="","",H821*G821)</f>
        <v/>
      </c>
      <c r="J821" s="19" t="str">
        <f aca="false">IF($A821="","",F821+I821)</f>
        <v/>
      </c>
      <c r="K821" s="19" t="str">
        <f aca="false">IF($A821="","",H821+E821)</f>
        <v/>
      </c>
      <c r="L821" s="20" t="str">
        <f aca="false">IF($A821="","",K821-J821-N821)</f>
        <v/>
      </c>
      <c r="M821" s="15" t="str">
        <f aca="false">IF($A821="","",INDEX(PERLINE!$A$2:$A$3001,MATCH($A821,PERLINE!$N$2:$N$3001,0)))</f>
        <v/>
      </c>
      <c r="N821" s="21" t="str">
        <f aca="false">IF($A821="","",SUMIFS(PERLINE!$M$2:$M$3001,PERLINE!$N$2:$N$3001,$A821))</f>
        <v/>
      </c>
    </row>
    <row r="822" customFormat="false" ht="15" hidden="false" customHeight="false" outlineLevel="0" collapsed="false">
      <c r="A822" s="15" t="str">
        <f aca="false">IF(ROWS($A$2:$A822)&lt;=Check!$C$4,SMALL(PERLINE!$AL$2:$AL$3001,ROWS($A$2:$A822)),"")</f>
        <v/>
      </c>
      <c r="B822" s="15" t="str">
        <f aca="false">IF($A822="","",INDEX(PERLINE!$J$2:$J$3001,MATCH($A822,PERLINE!$N$2:$N$3001,0)))</f>
        <v/>
      </c>
      <c r="C822" s="16" t="str">
        <f aca="false">IF($A822="","",INDEX(PERLINE!$I$2:$I$3001,MATCH($A822,PERLINE!$N$2:$N$3001,0)))</f>
        <v/>
      </c>
      <c r="D822" s="17" t="str">
        <f aca="false">IF($A822="","",'كشف المطالبة'!$D$6)</f>
        <v/>
      </c>
      <c r="E822" s="18" t="str">
        <f aca="false">IF($A822="","",SUMIFS(PERLINE!$U$2:$U$3001,PERLINE!$N$2:$N$3001,$A822,PERLINE!$AK$2:$AK$3001,0))</f>
        <v/>
      </c>
      <c r="F822" s="19" t="str">
        <f aca="false">IF($A822="","",E822*D822)</f>
        <v/>
      </c>
      <c r="G822" s="17" t="str">
        <f aca="false">IF($A822="","",'كشف المطالبة'!$D$5)</f>
        <v/>
      </c>
      <c r="H822" s="18" t="str">
        <f aca="false">IF($A822="","",SUMIFS(PERLINE!$U$2:$U$3001,PERLINE!$N$2:$N$3001,$A822,PERLINE!$AK$2:$AK$3001,1))</f>
        <v/>
      </c>
      <c r="I822" s="19" t="str">
        <f aca="false">IF($A822="","",H822*G822)</f>
        <v/>
      </c>
      <c r="J822" s="19" t="str">
        <f aca="false">IF($A822="","",F822+I822)</f>
        <v/>
      </c>
      <c r="K822" s="19" t="str">
        <f aca="false">IF($A822="","",H822+E822)</f>
        <v/>
      </c>
      <c r="L822" s="20" t="str">
        <f aca="false">IF($A822="","",K822-J822-N822)</f>
        <v/>
      </c>
      <c r="M822" s="15" t="str">
        <f aca="false">IF($A822="","",INDEX(PERLINE!$A$2:$A$3001,MATCH($A822,PERLINE!$N$2:$N$3001,0)))</f>
        <v/>
      </c>
      <c r="N822" s="21" t="str">
        <f aca="false">IF($A822="","",SUMIFS(PERLINE!$M$2:$M$3001,PERLINE!$N$2:$N$3001,$A822))</f>
        <v/>
      </c>
    </row>
    <row r="823" customFormat="false" ht="15" hidden="false" customHeight="false" outlineLevel="0" collapsed="false">
      <c r="A823" s="15" t="str">
        <f aca="false">IF(ROWS($A$2:$A823)&lt;=Check!$C$4,SMALL(PERLINE!$AL$2:$AL$3001,ROWS($A$2:$A823)),"")</f>
        <v/>
      </c>
      <c r="B823" s="15" t="str">
        <f aca="false">IF($A823="","",INDEX(PERLINE!$J$2:$J$3001,MATCH($A823,PERLINE!$N$2:$N$3001,0)))</f>
        <v/>
      </c>
      <c r="C823" s="16" t="str">
        <f aca="false">IF($A823="","",INDEX(PERLINE!$I$2:$I$3001,MATCH($A823,PERLINE!$N$2:$N$3001,0)))</f>
        <v/>
      </c>
      <c r="D823" s="17" t="str">
        <f aca="false">IF($A823="","",'كشف المطالبة'!$D$6)</f>
        <v/>
      </c>
      <c r="E823" s="18" t="str">
        <f aca="false">IF($A823="","",SUMIFS(PERLINE!$U$2:$U$3001,PERLINE!$N$2:$N$3001,$A823,PERLINE!$AK$2:$AK$3001,0))</f>
        <v/>
      </c>
      <c r="F823" s="19" t="str">
        <f aca="false">IF($A823="","",E823*D823)</f>
        <v/>
      </c>
      <c r="G823" s="17" t="str">
        <f aca="false">IF($A823="","",'كشف المطالبة'!$D$5)</f>
        <v/>
      </c>
      <c r="H823" s="18" t="str">
        <f aca="false">IF($A823="","",SUMIFS(PERLINE!$U$2:$U$3001,PERLINE!$N$2:$N$3001,$A823,PERLINE!$AK$2:$AK$3001,1))</f>
        <v/>
      </c>
      <c r="I823" s="19" t="str">
        <f aca="false">IF($A823="","",H823*G823)</f>
        <v/>
      </c>
      <c r="J823" s="19" t="str">
        <f aca="false">IF($A823="","",F823+I823)</f>
        <v/>
      </c>
      <c r="K823" s="19" t="str">
        <f aca="false">IF($A823="","",H823+E823)</f>
        <v/>
      </c>
      <c r="L823" s="20" t="str">
        <f aca="false">IF($A823="","",K823-J823-N823)</f>
        <v/>
      </c>
      <c r="M823" s="15" t="str">
        <f aca="false">IF($A823="","",INDEX(PERLINE!$A$2:$A$3001,MATCH($A823,PERLINE!$N$2:$N$3001,0)))</f>
        <v/>
      </c>
      <c r="N823" s="21" t="str">
        <f aca="false">IF($A823="","",SUMIFS(PERLINE!$M$2:$M$3001,PERLINE!$N$2:$N$3001,$A823))</f>
        <v/>
      </c>
    </row>
    <row r="824" customFormat="false" ht="15" hidden="false" customHeight="false" outlineLevel="0" collapsed="false">
      <c r="A824" s="15" t="str">
        <f aca="false">IF(ROWS($A$2:$A824)&lt;=Check!$C$4,SMALL(PERLINE!$AL$2:$AL$3001,ROWS($A$2:$A824)),"")</f>
        <v/>
      </c>
      <c r="B824" s="15" t="str">
        <f aca="false">IF($A824="","",INDEX(PERLINE!$J$2:$J$3001,MATCH($A824,PERLINE!$N$2:$N$3001,0)))</f>
        <v/>
      </c>
      <c r="C824" s="16" t="str">
        <f aca="false">IF($A824="","",INDEX(PERLINE!$I$2:$I$3001,MATCH($A824,PERLINE!$N$2:$N$3001,0)))</f>
        <v/>
      </c>
      <c r="D824" s="17" t="str">
        <f aca="false">IF($A824="","",'كشف المطالبة'!$D$6)</f>
        <v/>
      </c>
      <c r="E824" s="18" t="str">
        <f aca="false">IF($A824="","",SUMIFS(PERLINE!$U$2:$U$3001,PERLINE!$N$2:$N$3001,$A824,PERLINE!$AK$2:$AK$3001,0))</f>
        <v/>
      </c>
      <c r="F824" s="19" t="str">
        <f aca="false">IF($A824="","",E824*D824)</f>
        <v/>
      </c>
      <c r="G824" s="17" t="str">
        <f aca="false">IF($A824="","",'كشف المطالبة'!$D$5)</f>
        <v/>
      </c>
      <c r="H824" s="18" t="str">
        <f aca="false">IF($A824="","",SUMIFS(PERLINE!$U$2:$U$3001,PERLINE!$N$2:$N$3001,$A824,PERLINE!$AK$2:$AK$3001,1))</f>
        <v/>
      </c>
      <c r="I824" s="19" t="str">
        <f aca="false">IF($A824="","",H824*G824)</f>
        <v/>
      </c>
      <c r="J824" s="19" t="str">
        <f aca="false">IF($A824="","",F824+I824)</f>
        <v/>
      </c>
      <c r="K824" s="19" t="str">
        <f aca="false">IF($A824="","",H824+E824)</f>
        <v/>
      </c>
      <c r="L824" s="20" t="str">
        <f aca="false">IF($A824="","",K824-J824-N824)</f>
        <v/>
      </c>
      <c r="M824" s="15" t="str">
        <f aca="false">IF($A824="","",INDEX(PERLINE!$A$2:$A$3001,MATCH($A824,PERLINE!$N$2:$N$3001,0)))</f>
        <v/>
      </c>
      <c r="N824" s="21" t="str">
        <f aca="false">IF($A824="","",SUMIFS(PERLINE!$M$2:$M$3001,PERLINE!$N$2:$N$3001,$A824))</f>
        <v/>
      </c>
    </row>
    <row r="825" customFormat="false" ht="15" hidden="false" customHeight="false" outlineLevel="0" collapsed="false">
      <c r="A825" s="15" t="str">
        <f aca="false">IF(ROWS($A$2:$A825)&lt;=Check!$C$4,SMALL(PERLINE!$AL$2:$AL$3001,ROWS($A$2:$A825)),"")</f>
        <v/>
      </c>
      <c r="B825" s="15" t="str">
        <f aca="false">IF($A825="","",INDEX(PERLINE!$J$2:$J$3001,MATCH($A825,PERLINE!$N$2:$N$3001,0)))</f>
        <v/>
      </c>
      <c r="C825" s="16" t="str">
        <f aca="false">IF($A825="","",INDEX(PERLINE!$I$2:$I$3001,MATCH($A825,PERLINE!$N$2:$N$3001,0)))</f>
        <v/>
      </c>
      <c r="D825" s="17" t="str">
        <f aca="false">IF($A825="","",'كشف المطالبة'!$D$6)</f>
        <v/>
      </c>
      <c r="E825" s="18" t="str">
        <f aca="false">IF($A825="","",SUMIFS(PERLINE!$U$2:$U$3001,PERLINE!$N$2:$N$3001,$A825,PERLINE!$AK$2:$AK$3001,0))</f>
        <v/>
      </c>
      <c r="F825" s="19" t="str">
        <f aca="false">IF($A825="","",E825*D825)</f>
        <v/>
      </c>
      <c r="G825" s="17" t="str">
        <f aca="false">IF($A825="","",'كشف المطالبة'!$D$5)</f>
        <v/>
      </c>
      <c r="H825" s="18" t="str">
        <f aca="false">IF($A825="","",SUMIFS(PERLINE!$U$2:$U$3001,PERLINE!$N$2:$N$3001,$A825,PERLINE!$AK$2:$AK$3001,1))</f>
        <v/>
      </c>
      <c r="I825" s="19" t="str">
        <f aca="false">IF($A825="","",H825*G825)</f>
        <v/>
      </c>
      <c r="J825" s="19" t="str">
        <f aca="false">IF($A825="","",F825+I825)</f>
        <v/>
      </c>
      <c r="K825" s="19" t="str">
        <f aca="false">IF($A825="","",H825+E825)</f>
        <v/>
      </c>
      <c r="L825" s="20" t="str">
        <f aca="false">IF($A825="","",K825-J825-N825)</f>
        <v/>
      </c>
      <c r="M825" s="15" t="str">
        <f aca="false">IF($A825="","",INDEX(PERLINE!$A$2:$A$3001,MATCH($A825,PERLINE!$N$2:$N$3001,0)))</f>
        <v/>
      </c>
      <c r="N825" s="21" t="str">
        <f aca="false">IF($A825="","",SUMIFS(PERLINE!$M$2:$M$3001,PERLINE!$N$2:$N$3001,$A825))</f>
        <v/>
      </c>
    </row>
    <row r="826" customFormat="false" ht="15" hidden="false" customHeight="false" outlineLevel="0" collapsed="false">
      <c r="A826" s="15" t="str">
        <f aca="false">IF(ROWS($A$2:$A826)&lt;=Check!$C$4,SMALL(PERLINE!$AL$2:$AL$3001,ROWS($A$2:$A826)),"")</f>
        <v/>
      </c>
      <c r="B826" s="15" t="str">
        <f aca="false">IF($A826="","",INDEX(PERLINE!$J$2:$J$3001,MATCH($A826,PERLINE!$N$2:$N$3001,0)))</f>
        <v/>
      </c>
      <c r="C826" s="16" t="str">
        <f aca="false">IF($A826="","",INDEX(PERLINE!$I$2:$I$3001,MATCH($A826,PERLINE!$N$2:$N$3001,0)))</f>
        <v/>
      </c>
      <c r="D826" s="17" t="str">
        <f aca="false">IF($A826="","",'كشف المطالبة'!$D$6)</f>
        <v/>
      </c>
      <c r="E826" s="18" t="str">
        <f aca="false">IF($A826="","",SUMIFS(PERLINE!$U$2:$U$3001,PERLINE!$N$2:$N$3001,$A826,PERLINE!$AK$2:$AK$3001,0))</f>
        <v/>
      </c>
      <c r="F826" s="19" t="str">
        <f aca="false">IF($A826="","",E826*D826)</f>
        <v/>
      </c>
      <c r="G826" s="17" t="str">
        <f aca="false">IF($A826="","",'كشف المطالبة'!$D$5)</f>
        <v/>
      </c>
      <c r="H826" s="18" t="str">
        <f aca="false">IF($A826="","",SUMIFS(PERLINE!$U$2:$U$3001,PERLINE!$N$2:$N$3001,$A826,PERLINE!$AK$2:$AK$3001,1))</f>
        <v/>
      </c>
      <c r="I826" s="19" t="str">
        <f aca="false">IF($A826="","",H826*G826)</f>
        <v/>
      </c>
      <c r="J826" s="19" t="str">
        <f aca="false">IF($A826="","",F826+I826)</f>
        <v/>
      </c>
      <c r="K826" s="19" t="str">
        <f aca="false">IF($A826="","",H826+E826)</f>
        <v/>
      </c>
      <c r="L826" s="20" t="str">
        <f aca="false">IF($A826="","",K826-J826-N826)</f>
        <v/>
      </c>
      <c r="M826" s="15" t="str">
        <f aca="false">IF($A826="","",INDEX(PERLINE!$A$2:$A$3001,MATCH($A826,PERLINE!$N$2:$N$3001,0)))</f>
        <v/>
      </c>
      <c r="N826" s="21" t="str">
        <f aca="false">IF($A826="","",SUMIFS(PERLINE!$M$2:$M$3001,PERLINE!$N$2:$N$3001,$A826))</f>
        <v/>
      </c>
    </row>
    <row r="827" customFormat="false" ht="15" hidden="false" customHeight="false" outlineLevel="0" collapsed="false">
      <c r="A827" s="15" t="str">
        <f aca="false">IF(ROWS($A$2:$A827)&lt;=Check!$C$4,SMALL(PERLINE!$AL$2:$AL$3001,ROWS($A$2:$A827)),"")</f>
        <v/>
      </c>
      <c r="B827" s="15" t="str">
        <f aca="false">IF($A827="","",INDEX(PERLINE!$J$2:$J$3001,MATCH($A827,PERLINE!$N$2:$N$3001,0)))</f>
        <v/>
      </c>
      <c r="C827" s="16" t="str">
        <f aca="false">IF($A827="","",INDEX(PERLINE!$I$2:$I$3001,MATCH($A827,PERLINE!$N$2:$N$3001,0)))</f>
        <v/>
      </c>
      <c r="D827" s="17" t="str">
        <f aca="false">IF($A827="","",'كشف المطالبة'!$D$6)</f>
        <v/>
      </c>
      <c r="E827" s="18" t="str">
        <f aca="false">IF($A827="","",SUMIFS(PERLINE!$U$2:$U$3001,PERLINE!$N$2:$N$3001,$A827,PERLINE!$AK$2:$AK$3001,0))</f>
        <v/>
      </c>
      <c r="F827" s="19" t="str">
        <f aca="false">IF($A827="","",E827*D827)</f>
        <v/>
      </c>
      <c r="G827" s="17" t="str">
        <f aca="false">IF($A827="","",'كشف المطالبة'!$D$5)</f>
        <v/>
      </c>
      <c r="H827" s="18" t="str">
        <f aca="false">IF($A827="","",SUMIFS(PERLINE!$U$2:$U$3001,PERLINE!$N$2:$N$3001,$A827,PERLINE!$AK$2:$AK$3001,1))</f>
        <v/>
      </c>
      <c r="I827" s="19" t="str">
        <f aca="false">IF($A827="","",H827*G827)</f>
        <v/>
      </c>
      <c r="J827" s="19" t="str">
        <f aca="false">IF($A827="","",F827+I827)</f>
        <v/>
      </c>
      <c r="K827" s="19" t="str">
        <f aca="false">IF($A827="","",H827+E827)</f>
        <v/>
      </c>
      <c r="L827" s="20" t="str">
        <f aca="false">IF($A827="","",K827-J827-N827)</f>
        <v/>
      </c>
      <c r="M827" s="15" t="str">
        <f aca="false">IF($A827="","",INDEX(PERLINE!$A$2:$A$3001,MATCH($A827,PERLINE!$N$2:$N$3001,0)))</f>
        <v/>
      </c>
      <c r="N827" s="21" t="str">
        <f aca="false">IF($A827="","",SUMIFS(PERLINE!$M$2:$M$3001,PERLINE!$N$2:$N$3001,$A827))</f>
        <v/>
      </c>
    </row>
    <row r="828" customFormat="false" ht="15" hidden="false" customHeight="false" outlineLevel="0" collapsed="false">
      <c r="A828" s="15" t="str">
        <f aca="false">IF(ROWS($A$2:$A828)&lt;=Check!$C$4,SMALL(PERLINE!$AL$2:$AL$3001,ROWS($A$2:$A828)),"")</f>
        <v/>
      </c>
      <c r="B828" s="15" t="str">
        <f aca="false">IF($A828="","",INDEX(PERLINE!$J$2:$J$3001,MATCH($A828,PERLINE!$N$2:$N$3001,0)))</f>
        <v/>
      </c>
      <c r="C828" s="16" t="str">
        <f aca="false">IF($A828="","",INDEX(PERLINE!$I$2:$I$3001,MATCH($A828,PERLINE!$N$2:$N$3001,0)))</f>
        <v/>
      </c>
      <c r="D828" s="17" t="str">
        <f aca="false">IF($A828="","",'كشف المطالبة'!$D$6)</f>
        <v/>
      </c>
      <c r="E828" s="18" t="str">
        <f aca="false">IF($A828="","",SUMIFS(PERLINE!$U$2:$U$3001,PERLINE!$N$2:$N$3001,$A828,PERLINE!$AK$2:$AK$3001,0))</f>
        <v/>
      </c>
      <c r="F828" s="19" t="str">
        <f aca="false">IF($A828="","",E828*D828)</f>
        <v/>
      </c>
      <c r="G828" s="17" t="str">
        <f aca="false">IF($A828="","",'كشف المطالبة'!$D$5)</f>
        <v/>
      </c>
      <c r="H828" s="18" t="str">
        <f aca="false">IF($A828="","",SUMIFS(PERLINE!$U$2:$U$3001,PERLINE!$N$2:$N$3001,$A828,PERLINE!$AK$2:$AK$3001,1))</f>
        <v/>
      </c>
      <c r="I828" s="19" t="str">
        <f aca="false">IF($A828="","",H828*G828)</f>
        <v/>
      </c>
      <c r="J828" s="19" t="str">
        <f aca="false">IF($A828="","",F828+I828)</f>
        <v/>
      </c>
      <c r="K828" s="19" t="str">
        <f aca="false">IF($A828="","",H828+E828)</f>
        <v/>
      </c>
      <c r="L828" s="20" t="str">
        <f aca="false">IF($A828="","",K828-J828-N828)</f>
        <v/>
      </c>
      <c r="M828" s="15" t="str">
        <f aca="false">IF($A828="","",INDEX(PERLINE!$A$2:$A$3001,MATCH($A828,PERLINE!$N$2:$N$3001,0)))</f>
        <v/>
      </c>
      <c r="N828" s="21" t="str">
        <f aca="false">IF($A828="","",SUMIFS(PERLINE!$M$2:$M$3001,PERLINE!$N$2:$N$3001,$A828))</f>
        <v/>
      </c>
    </row>
    <row r="829" customFormat="false" ht="15" hidden="false" customHeight="false" outlineLevel="0" collapsed="false">
      <c r="A829" s="15" t="str">
        <f aca="false">IF(ROWS($A$2:$A829)&lt;=Check!$C$4,SMALL(PERLINE!$AL$2:$AL$3001,ROWS($A$2:$A829)),"")</f>
        <v/>
      </c>
      <c r="B829" s="15" t="str">
        <f aca="false">IF($A829="","",INDEX(PERLINE!$J$2:$J$3001,MATCH($A829,PERLINE!$N$2:$N$3001,0)))</f>
        <v/>
      </c>
      <c r="C829" s="16" t="str">
        <f aca="false">IF($A829="","",INDEX(PERLINE!$I$2:$I$3001,MATCH($A829,PERLINE!$N$2:$N$3001,0)))</f>
        <v/>
      </c>
      <c r="D829" s="17" t="str">
        <f aca="false">IF($A829="","",'كشف المطالبة'!$D$6)</f>
        <v/>
      </c>
      <c r="E829" s="18" t="str">
        <f aca="false">IF($A829="","",SUMIFS(PERLINE!$U$2:$U$3001,PERLINE!$N$2:$N$3001,$A829,PERLINE!$AK$2:$AK$3001,0))</f>
        <v/>
      </c>
      <c r="F829" s="19" t="str">
        <f aca="false">IF($A829="","",E829*D829)</f>
        <v/>
      </c>
      <c r="G829" s="17" t="str">
        <f aca="false">IF($A829="","",'كشف المطالبة'!$D$5)</f>
        <v/>
      </c>
      <c r="H829" s="18" t="str">
        <f aca="false">IF($A829="","",SUMIFS(PERLINE!$U$2:$U$3001,PERLINE!$N$2:$N$3001,$A829,PERLINE!$AK$2:$AK$3001,1))</f>
        <v/>
      </c>
      <c r="I829" s="19" t="str">
        <f aca="false">IF($A829="","",H829*G829)</f>
        <v/>
      </c>
      <c r="J829" s="19" t="str">
        <f aca="false">IF($A829="","",F829+I829)</f>
        <v/>
      </c>
      <c r="K829" s="19" t="str">
        <f aca="false">IF($A829="","",H829+E829)</f>
        <v/>
      </c>
      <c r="L829" s="20" t="str">
        <f aca="false">IF($A829="","",K829-J829-N829)</f>
        <v/>
      </c>
      <c r="M829" s="15" t="str">
        <f aca="false">IF($A829="","",INDEX(PERLINE!$A$2:$A$3001,MATCH($A829,PERLINE!$N$2:$N$3001,0)))</f>
        <v/>
      </c>
      <c r="N829" s="21" t="str">
        <f aca="false">IF($A829="","",SUMIFS(PERLINE!$M$2:$M$3001,PERLINE!$N$2:$N$3001,$A829))</f>
        <v/>
      </c>
    </row>
    <row r="830" customFormat="false" ht="15" hidden="false" customHeight="false" outlineLevel="0" collapsed="false">
      <c r="A830" s="15" t="str">
        <f aca="false">IF(ROWS($A$2:$A830)&lt;=Check!$C$4,SMALL(PERLINE!$AL$2:$AL$3001,ROWS($A$2:$A830)),"")</f>
        <v/>
      </c>
      <c r="B830" s="15" t="str">
        <f aca="false">IF($A830="","",INDEX(PERLINE!$J$2:$J$3001,MATCH($A830,PERLINE!$N$2:$N$3001,0)))</f>
        <v/>
      </c>
      <c r="C830" s="16" t="str">
        <f aca="false">IF($A830="","",INDEX(PERLINE!$I$2:$I$3001,MATCH($A830,PERLINE!$N$2:$N$3001,0)))</f>
        <v/>
      </c>
      <c r="D830" s="17" t="str">
        <f aca="false">IF($A830="","",'كشف المطالبة'!$D$6)</f>
        <v/>
      </c>
      <c r="E830" s="18" t="str">
        <f aca="false">IF($A830="","",SUMIFS(PERLINE!$U$2:$U$3001,PERLINE!$N$2:$N$3001,$A830,PERLINE!$AK$2:$AK$3001,0))</f>
        <v/>
      </c>
      <c r="F830" s="19" t="str">
        <f aca="false">IF($A830="","",E830*D830)</f>
        <v/>
      </c>
      <c r="G830" s="17" t="str">
        <f aca="false">IF($A830="","",'كشف المطالبة'!$D$5)</f>
        <v/>
      </c>
      <c r="H830" s="18" t="str">
        <f aca="false">IF($A830="","",SUMIFS(PERLINE!$U$2:$U$3001,PERLINE!$N$2:$N$3001,$A830,PERLINE!$AK$2:$AK$3001,1))</f>
        <v/>
      </c>
      <c r="I830" s="19" t="str">
        <f aca="false">IF($A830="","",H830*G830)</f>
        <v/>
      </c>
      <c r="J830" s="19" t="str">
        <f aca="false">IF($A830="","",F830+I830)</f>
        <v/>
      </c>
      <c r="K830" s="19" t="str">
        <f aca="false">IF($A830="","",H830+E830)</f>
        <v/>
      </c>
      <c r="L830" s="20" t="str">
        <f aca="false">IF($A830="","",K830-J830-N830)</f>
        <v/>
      </c>
      <c r="M830" s="15" t="str">
        <f aca="false">IF($A830="","",INDEX(PERLINE!$A$2:$A$3001,MATCH($A830,PERLINE!$N$2:$N$3001,0)))</f>
        <v/>
      </c>
      <c r="N830" s="21" t="str">
        <f aca="false">IF($A830="","",SUMIFS(PERLINE!$M$2:$M$3001,PERLINE!$N$2:$N$3001,$A830))</f>
        <v/>
      </c>
    </row>
    <row r="831" customFormat="false" ht="15" hidden="false" customHeight="false" outlineLevel="0" collapsed="false">
      <c r="A831" s="15" t="str">
        <f aca="false">IF(ROWS($A$2:$A831)&lt;=Check!$C$4,SMALL(PERLINE!$AL$2:$AL$3001,ROWS($A$2:$A831)),"")</f>
        <v/>
      </c>
      <c r="B831" s="15" t="str">
        <f aca="false">IF($A831="","",INDEX(PERLINE!$J$2:$J$3001,MATCH($A831,PERLINE!$N$2:$N$3001,0)))</f>
        <v/>
      </c>
      <c r="C831" s="16" t="str">
        <f aca="false">IF($A831="","",INDEX(PERLINE!$I$2:$I$3001,MATCH($A831,PERLINE!$N$2:$N$3001,0)))</f>
        <v/>
      </c>
      <c r="D831" s="17" t="str">
        <f aca="false">IF($A831="","",'كشف المطالبة'!$D$6)</f>
        <v/>
      </c>
      <c r="E831" s="18" t="str">
        <f aca="false">IF($A831="","",SUMIFS(PERLINE!$U$2:$U$3001,PERLINE!$N$2:$N$3001,$A831,PERLINE!$AK$2:$AK$3001,0))</f>
        <v/>
      </c>
      <c r="F831" s="19" t="str">
        <f aca="false">IF($A831="","",E831*D831)</f>
        <v/>
      </c>
      <c r="G831" s="17" t="str">
        <f aca="false">IF($A831="","",'كشف المطالبة'!$D$5)</f>
        <v/>
      </c>
      <c r="H831" s="18" t="str">
        <f aca="false">IF($A831="","",SUMIFS(PERLINE!$U$2:$U$3001,PERLINE!$N$2:$N$3001,$A831,PERLINE!$AK$2:$AK$3001,1))</f>
        <v/>
      </c>
      <c r="I831" s="19" t="str">
        <f aca="false">IF($A831="","",H831*G831)</f>
        <v/>
      </c>
      <c r="J831" s="19" t="str">
        <f aca="false">IF($A831="","",F831+I831)</f>
        <v/>
      </c>
      <c r="K831" s="19" t="str">
        <f aca="false">IF($A831="","",H831+E831)</f>
        <v/>
      </c>
      <c r="L831" s="20" t="str">
        <f aca="false">IF($A831="","",K831-J831-N831)</f>
        <v/>
      </c>
      <c r="M831" s="15" t="str">
        <f aca="false">IF($A831="","",INDEX(PERLINE!$A$2:$A$3001,MATCH($A831,PERLINE!$N$2:$N$3001,0)))</f>
        <v/>
      </c>
      <c r="N831" s="21" t="str">
        <f aca="false">IF($A831="","",SUMIFS(PERLINE!$M$2:$M$3001,PERLINE!$N$2:$N$3001,$A831))</f>
        <v/>
      </c>
    </row>
    <row r="832" customFormat="false" ht="15" hidden="false" customHeight="false" outlineLevel="0" collapsed="false">
      <c r="A832" s="15" t="str">
        <f aca="false">IF(ROWS($A$2:$A832)&lt;=Check!$C$4,SMALL(PERLINE!$AL$2:$AL$3001,ROWS($A$2:$A832)),"")</f>
        <v/>
      </c>
      <c r="B832" s="15" t="str">
        <f aca="false">IF($A832="","",INDEX(PERLINE!$J$2:$J$3001,MATCH($A832,PERLINE!$N$2:$N$3001,0)))</f>
        <v/>
      </c>
      <c r="C832" s="16" t="str">
        <f aca="false">IF($A832="","",INDEX(PERLINE!$I$2:$I$3001,MATCH($A832,PERLINE!$N$2:$N$3001,0)))</f>
        <v/>
      </c>
      <c r="D832" s="17" t="str">
        <f aca="false">IF($A832="","",'كشف المطالبة'!$D$6)</f>
        <v/>
      </c>
      <c r="E832" s="18" t="str">
        <f aca="false">IF($A832="","",SUMIFS(PERLINE!$U$2:$U$3001,PERLINE!$N$2:$N$3001,$A832,PERLINE!$AK$2:$AK$3001,0))</f>
        <v/>
      </c>
      <c r="F832" s="19" t="str">
        <f aca="false">IF($A832="","",E832*D832)</f>
        <v/>
      </c>
      <c r="G832" s="17" t="str">
        <f aca="false">IF($A832="","",'كشف المطالبة'!$D$5)</f>
        <v/>
      </c>
      <c r="H832" s="18" t="str">
        <f aca="false">IF($A832="","",SUMIFS(PERLINE!$U$2:$U$3001,PERLINE!$N$2:$N$3001,$A832,PERLINE!$AK$2:$AK$3001,1))</f>
        <v/>
      </c>
      <c r="I832" s="19" t="str">
        <f aca="false">IF($A832="","",H832*G832)</f>
        <v/>
      </c>
      <c r="J832" s="19" t="str">
        <f aca="false">IF($A832="","",F832+I832)</f>
        <v/>
      </c>
      <c r="K832" s="19" t="str">
        <f aca="false">IF($A832="","",H832+E832)</f>
        <v/>
      </c>
      <c r="L832" s="20" t="str">
        <f aca="false">IF($A832="","",K832-J832-N832)</f>
        <v/>
      </c>
      <c r="M832" s="15" t="str">
        <f aca="false">IF($A832="","",INDEX(PERLINE!$A$2:$A$3001,MATCH($A832,PERLINE!$N$2:$N$3001,0)))</f>
        <v/>
      </c>
      <c r="N832" s="21" t="str">
        <f aca="false">IF($A832="","",SUMIFS(PERLINE!$M$2:$M$3001,PERLINE!$N$2:$N$3001,$A832))</f>
        <v/>
      </c>
    </row>
    <row r="833" customFormat="false" ht="15" hidden="false" customHeight="false" outlineLevel="0" collapsed="false">
      <c r="A833" s="15" t="str">
        <f aca="false">IF(ROWS($A$2:$A833)&lt;=Check!$C$4,SMALL(PERLINE!$AL$2:$AL$3001,ROWS($A$2:$A833)),"")</f>
        <v/>
      </c>
      <c r="B833" s="15" t="str">
        <f aca="false">IF($A833="","",INDEX(PERLINE!$J$2:$J$3001,MATCH($A833,PERLINE!$N$2:$N$3001,0)))</f>
        <v/>
      </c>
      <c r="C833" s="16" t="str">
        <f aca="false">IF($A833="","",INDEX(PERLINE!$I$2:$I$3001,MATCH($A833,PERLINE!$N$2:$N$3001,0)))</f>
        <v/>
      </c>
      <c r="D833" s="17" t="str">
        <f aca="false">IF($A833="","",'كشف المطالبة'!$D$6)</f>
        <v/>
      </c>
      <c r="E833" s="18" t="str">
        <f aca="false">IF($A833="","",SUMIFS(PERLINE!$U$2:$U$3001,PERLINE!$N$2:$N$3001,$A833,PERLINE!$AK$2:$AK$3001,0))</f>
        <v/>
      </c>
      <c r="F833" s="19" t="str">
        <f aca="false">IF($A833="","",E833*D833)</f>
        <v/>
      </c>
      <c r="G833" s="17" t="str">
        <f aca="false">IF($A833="","",'كشف المطالبة'!$D$5)</f>
        <v/>
      </c>
      <c r="H833" s="18" t="str">
        <f aca="false">IF($A833="","",SUMIFS(PERLINE!$U$2:$U$3001,PERLINE!$N$2:$N$3001,$A833,PERLINE!$AK$2:$AK$3001,1))</f>
        <v/>
      </c>
      <c r="I833" s="19" t="str">
        <f aca="false">IF($A833="","",H833*G833)</f>
        <v/>
      </c>
      <c r="J833" s="19" t="str">
        <f aca="false">IF($A833="","",F833+I833)</f>
        <v/>
      </c>
      <c r="K833" s="19" t="str">
        <f aca="false">IF($A833="","",H833+E833)</f>
        <v/>
      </c>
      <c r="L833" s="20" t="str">
        <f aca="false">IF($A833="","",K833-J833-N833)</f>
        <v/>
      </c>
      <c r="M833" s="15" t="str">
        <f aca="false">IF($A833="","",INDEX(PERLINE!$A$2:$A$3001,MATCH($A833,PERLINE!$N$2:$N$3001,0)))</f>
        <v/>
      </c>
      <c r="N833" s="21" t="str">
        <f aca="false">IF($A833="","",SUMIFS(PERLINE!$M$2:$M$3001,PERLINE!$N$2:$N$3001,$A833))</f>
        <v/>
      </c>
    </row>
    <row r="834" customFormat="false" ht="15" hidden="false" customHeight="false" outlineLevel="0" collapsed="false">
      <c r="A834" s="15" t="str">
        <f aca="false">IF(ROWS($A$2:$A834)&lt;=Check!$C$4,SMALL(PERLINE!$AL$2:$AL$3001,ROWS($A$2:$A834)),"")</f>
        <v/>
      </c>
      <c r="B834" s="15" t="str">
        <f aca="false">IF($A834="","",INDEX(PERLINE!$J$2:$J$3001,MATCH($A834,PERLINE!$N$2:$N$3001,0)))</f>
        <v/>
      </c>
      <c r="C834" s="16" t="str">
        <f aca="false">IF($A834="","",INDEX(PERLINE!$I$2:$I$3001,MATCH($A834,PERLINE!$N$2:$N$3001,0)))</f>
        <v/>
      </c>
      <c r="D834" s="17" t="str">
        <f aca="false">IF($A834="","",'كشف المطالبة'!$D$6)</f>
        <v/>
      </c>
      <c r="E834" s="18" t="str">
        <f aca="false">IF($A834="","",SUMIFS(PERLINE!$U$2:$U$3001,PERLINE!$N$2:$N$3001,$A834,PERLINE!$AK$2:$AK$3001,0))</f>
        <v/>
      </c>
      <c r="F834" s="19" t="str">
        <f aca="false">IF($A834="","",E834*D834)</f>
        <v/>
      </c>
      <c r="G834" s="17" t="str">
        <f aca="false">IF($A834="","",'كشف المطالبة'!$D$5)</f>
        <v/>
      </c>
      <c r="H834" s="18" t="str">
        <f aca="false">IF($A834="","",SUMIFS(PERLINE!$U$2:$U$3001,PERLINE!$N$2:$N$3001,$A834,PERLINE!$AK$2:$AK$3001,1))</f>
        <v/>
      </c>
      <c r="I834" s="19" t="str">
        <f aca="false">IF($A834="","",H834*G834)</f>
        <v/>
      </c>
      <c r="J834" s="19" t="str">
        <f aca="false">IF($A834="","",F834+I834)</f>
        <v/>
      </c>
      <c r="K834" s="19" t="str">
        <f aca="false">IF($A834="","",H834+E834)</f>
        <v/>
      </c>
      <c r="L834" s="20" t="str">
        <f aca="false">IF($A834="","",K834-J834-N834)</f>
        <v/>
      </c>
      <c r="M834" s="15" t="str">
        <f aca="false">IF($A834="","",INDEX(PERLINE!$A$2:$A$3001,MATCH($A834,PERLINE!$N$2:$N$3001,0)))</f>
        <v/>
      </c>
      <c r="N834" s="21" t="str">
        <f aca="false">IF($A834="","",SUMIFS(PERLINE!$M$2:$M$3001,PERLINE!$N$2:$N$3001,$A834))</f>
        <v/>
      </c>
    </row>
    <row r="835" customFormat="false" ht="15" hidden="false" customHeight="false" outlineLevel="0" collapsed="false">
      <c r="A835" s="15" t="str">
        <f aca="false">IF(ROWS($A$2:$A835)&lt;=Check!$C$4,SMALL(PERLINE!$AL$2:$AL$3001,ROWS($A$2:$A835)),"")</f>
        <v/>
      </c>
      <c r="B835" s="15" t="str">
        <f aca="false">IF($A835="","",INDEX(PERLINE!$J$2:$J$3001,MATCH($A835,PERLINE!$N$2:$N$3001,0)))</f>
        <v/>
      </c>
      <c r="C835" s="16" t="str">
        <f aca="false">IF($A835="","",INDEX(PERLINE!$I$2:$I$3001,MATCH($A835,PERLINE!$N$2:$N$3001,0)))</f>
        <v/>
      </c>
      <c r="D835" s="17" t="str">
        <f aca="false">IF($A835="","",'كشف المطالبة'!$D$6)</f>
        <v/>
      </c>
      <c r="E835" s="18" t="str">
        <f aca="false">IF($A835="","",SUMIFS(PERLINE!$U$2:$U$3001,PERLINE!$N$2:$N$3001,$A835,PERLINE!$AK$2:$AK$3001,0))</f>
        <v/>
      </c>
      <c r="F835" s="19" t="str">
        <f aca="false">IF($A835="","",E835*D835)</f>
        <v/>
      </c>
      <c r="G835" s="17" t="str">
        <f aca="false">IF($A835="","",'كشف المطالبة'!$D$5)</f>
        <v/>
      </c>
      <c r="H835" s="18" t="str">
        <f aca="false">IF($A835="","",SUMIFS(PERLINE!$U$2:$U$3001,PERLINE!$N$2:$N$3001,$A835,PERLINE!$AK$2:$AK$3001,1))</f>
        <v/>
      </c>
      <c r="I835" s="19" t="str">
        <f aca="false">IF($A835="","",H835*G835)</f>
        <v/>
      </c>
      <c r="J835" s="19" t="str">
        <f aca="false">IF($A835="","",F835+I835)</f>
        <v/>
      </c>
      <c r="K835" s="19" t="str">
        <f aca="false">IF($A835="","",H835+E835)</f>
        <v/>
      </c>
      <c r="L835" s="20" t="str">
        <f aca="false">IF($A835="","",K835-J835-N835)</f>
        <v/>
      </c>
      <c r="M835" s="15" t="str">
        <f aca="false">IF($A835="","",INDEX(PERLINE!$A$2:$A$3001,MATCH($A835,PERLINE!$N$2:$N$3001,0)))</f>
        <v/>
      </c>
      <c r="N835" s="21" t="str">
        <f aca="false">IF($A835="","",SUMIFS(PERLINE!$M$2:$M$3001,PERLINE!$N$2:$N$3001,$A835))</f>
        <v/>
      </c>
    </row>
    <row r="836" customFormat="false" ht="15" hidden="false" customHeight="false" outlineLevel="0" collapsed="false">
      <c r="A836" s="15" t="str">
        <f aca="false">IF(ROWS($A$2:$A836)&lt;=Check!$C$4,SMALL(PERLINE!$AL$2:$AL$3001,ROWS($A$2:$A836)),"")</f>
        <v/>
      </c>
      <c r="B836" s="15" t="str">
        <f aca="false">IF($A836="","",INDEX(PERLINE!$J$2:$J$3001,MATCH($A836,PERLINE!$N$2:$N$3001,0)))</f>
        <v/>
      </c>
      <c r="C836" s="16" t="str">
        <f aca="false">IF($A836="","",INDEX(PERLINE!$I$2:$I$3001,MATCH($A836,PERLINE!$N$2:$N$3001,0)))</f>
        <v/>
      </c>
      <c r="D836" s="17" t="str">
        <f aca="false">IF($A836="","",'كشف المطالبة'!$D$6)</f>
        <v/>
      </c>
      <c r="E836" s="18" t="str">
        <f aca="false">IF($A836="","",SUMIFS(PERLINE!$U$2:$U$3001,PERLINE!$N$2:$N$3001,$A836,PERLINE!$AK$2:$AK$3001,0))</f>
        <v/>
      </c>
      <c r="F836" s="19" t="str">
        <f aca="false">IF($A836="","",E836*D836)</f>
        <v/>
      </c>
      <c r="G836" s="17" t="str">
        <f aca="false">IF($A836="","",'كشف المطالبة'!$D$5)</f>
        <v/>
      </c>
      <c r="H836" s="18" t="str">
        <f aca="false">IF($A836="","",SUMIFS(PERLINE!$U$2:$U$3001,PERLINE!$N$2:$N$3001,$A836,PERLINE!$AK$2:$AK$3001,1))</f>
        <v/>
      </c>
      <c r="I836" s="19" t="str">
        <f aca="false">IF($A836="","",H836*G836)</f>
        <v/>
      </c>
      <c r="J836" s="19" t="str">
        <f aca="false">IF($A836="","",F836+I836)</f>
        <v/>
      </c>
      <c r="K836" s="19" t="str">
        <f aca="false">IF($A836="","",H836+E836)</f>
        <v/>
      </c>
      <c r="L836" s="20" t="str">
        <f aca="false">IF($A836="","",K836-J836-N836)</f>
        <v/>
      </c>
      <c r="M836" s="15" t="str">
        <f aca="false">IF($A836="","",INDEX(PERLINE!$A$2:$A$3001,MATCH($A836,PERLINE!$N$2:$N$3001,0)))</f>
        <v/>
      </c>
      <c r="N836" s="21" t="str">
        <f aca="false">IF($A836="","",SUMIFS(PERLINE!$M$2:$M$3001,PERLINE!$N$2:$N$3001,$A836))</f>
        <v/>
      </c>
    </row>
    <row r="837" customFormat="false" ht="15" hidden="false" customHeight="false" outlineLevel="0" collapsed="false">
      <c r="A837" s="15" t="str">
        <f aca="false">IF(ROWS($A$2:$A837)&lt;=Check!$C$4,SMALL(PERLINE!$AL$2:$AL$3001,ROWS($A$2:$A837)),"")</f>
        <v/>
      </c>
      <c r="B837" s="15" t="str">
        <f aca="false">IF($A837="","",INDEX(PERLINE!$J$2:$J$3001,MATCH($A837,PERLINE!$N$2:$N$3001,0)))</f>
        <v/>
      </c>
      <c r="C837" s="16" t="str">
        <f aca="false">IF($A837="","",INDEX(PERLINE!$I$2:$I$3001,MATCH($A837,PERLINE!$N$2:$N$3001,0)))</f>
        <v/>
      </c>
      <c r="D837" s="17" t="str">
        <f aca="false">IF($A837="","",'كشف المطالبة'!$D$6)</f>
        <v/>
      </c>
      <c r="E837" s="18" t="str">
        <f aca="false">IF($A837="","",SUMIFS(PERLINE!$U$2:$U$3001,PERLINE!$N$2:$N$3001,$A837,PERLINE!$AK$2:$AK$3001,0))</f>
        <v/>
      </c>
      <c r="F837" s="19" t="str">
        <f aca="false">IF($A837="","",E837*D837)</f>
        <v/>
      </c>
      <c r="G837" s="17" t="str">
        <f aca="false">IF($A837="","",'كشف المطالبة'!$D$5)</f>
        <v/>
      </c>
      <c r="H837" s="18" t="str">
        <f aca="false">IF($A837="","",SUMIFS(PERLINE!$U$2:$U$3001,PERLINE!$N$2:$N$3001,$A837,PERLINE!$AK$2:$AK$3001,1))</f>
        <v/>
      </c>
      <c r="I837" s="19" t="str">
        <f aca="false">IF($A837="","",H837*G837)</f>
        <v/>
      </c>
      <c r="J837" s="19" t="str">
        <f aca="false">IF($A837="","",F837+I837)</f>
        <v/>
      </c>
      <c r="K837" s="19" t="str">
        <f aca="false">IF($A837="","",H837+E837)</f>
        <v/>
      </c>
      <c r="L837" s="20" t="str">
        <f aca="false">IF($A837="","",K837-J837-N837)</f>
        <v/>
      </c>
      <c r="M837" s="15" t="str">
        <f aca="false">IF($A837="","",INDEX(PERLINE!$A$2:$A$3001,MATCH($A837,PERLINE!$N$2:$N$3001,0)))</f>
        <v/>
      </c>
      <c r="N837" s="21" t="str">
        <f aca="false">IF($A837="","",SUMIFS(PERLINE!$M$2:$M$3001,PERLINE!$N$2:$N$3001,$A837))</f>
        <v/>
      </c>
    </row>
    <row r="838" customFormat="false" ht="15" hidden="false" customHeight="false" outlineLevel="0" collapsed="false">
      <c r="A838" s="15" t="str">
        <f aca="false">IF(ROWS($A$2:$A838)&lt;=Check!$C$4,SMALL(PERLINE!$AL$2:$AL$3001,ROWS($A$2:$A838)),"")</f>
        <v/>
      </c>
      <c r="B838" s="15" t="str">
        <f aca="false">IF($A838="","",INDEX(PERLINE!$J$2:$J$3001,MATCH($A838,PERLINE!$N$2:$N$3001,0)))</f>
        <v/>
      </c>
      <c r="C838" s="16" t="str">
        <f aca="false">IF($A838="","",INDEX(PERLINE!$I$2:$I$3001,MATCH($A838,PERLINE!$N$2:$N$3001,0)))</f>
        <v/>
      </c>
      <c r="D838" s="17" t="str">
        <f aca="false">IF($A838="","",'كشف المطالبة'!$D$6)</f>
        <v/>
      </c>
      <c r="E838" s="18" t="str">
        <f aca="false">IF($A838="","",SUMIFS(PERLINE!$U$2:$U$3001,PERLINE!$N$2:$N$3001,$A838,PERLINE!$AK$2:$AK$3001,0))</f>
        <v/>
      </c>
      <c r="F838" s="19" t="str">
        <f aca="false">IF($A838="","",E838*D838)</f>
        <v/>
      </c>
      <c r="G838" s="17" t="str">
        <f aca="false">IF($A838="","",'كشف المطالبة'!$D$5)</f>
        <v/>
      </c>
      <c r="H838" s="18" t="str">
        <f aca="false">IF($A838="","",SUMIFS(PERLINE!$U$2:$U$3001,PERLINE!$N$2:$N$3001,$A838,PERLINE!$AK$2:$AK$3001,1))</f>
        <v/>
      </c>
      <c r="I838" s="19" t="str">
        <f aca="false">IF($A838="","",H838*G838)</f>
        <v/>
      </c>
      <c r="J838" s="19" t="str">
        <f aca="false">IF($A838="","",F838+I838)</f>
        <v/>
      </c>
      <c r="K838" s="19" t="str">
        <f aca="false">IF($A838="","",H838+E838)</f>
        <v/>
      </c>
      <c r="L838" s="20" t="str">
        <f aca="false">IF($A838="","",K838-J838-N838)</f>
        <v/>
      </c>
      <c r="M838" s="15" t="str">
        <f aca="false">IF($A838="","",INDEX(PERLINE!$A$2:$A$3001,MATCH($A838,PERLINE!$N$2:$N$3001,0)))</f>
        <v/>
      </c>
      <c r="N838" s="21" t="str">
        <f aca="false">IF($A838="","",SUMIFS(PERLINE!$M$2:$M$3001,PERLINE!$N$2:$N$3001,$A838))</f>
        <v/>
      </c>
    </row>
    <row r="839" customFormat="false" ht="15" hidden="false" customHeight="false" outlineLevel="0" collapsed="false">
      <c r="A839" s="15" t="str">
        <f aca="false">IF(ROWS($A$2:$A839)&lt;=Check!$C$4,SMALL(PERLINE!$AL$2:$AL$3001,ROWS($A$2:$A839)),"")</f>
        <v/>
      </c>
      <c r="B839" s="15" t="str">
        <f aca="false">IF($A839="","",INDEX(PERLINE!$J$2:$J$3001,MATCH($A839,PERLINE!$N$2:$N$3001,0)))</f>
        <v/>
      </c>
      <c r="C839" s="16" t="str">
        <f aca="false">IF($A839="","",INDEX(PERLINE!$I$2:$I$3001,MATCH($A839,PERLINE!$N$2:$N$3001,0)))</f>
        <v/>
      </c>
      <c r="D839" s="17" t="str">
        <f aca="false">IF($A839="","",'كشف المطالبة'!$D$6)</f>
        <v/>
      </c>
      <c r="E839" s="18" t="str">
        <f aca="false">IF($A839="","",SUMIFS(PERLINE!$U$2:$U$3001,PERLINE!$N$2:$N$3001,$A839,PERLINE!$AK$2:$AK$3001,0))</f>
        <v/>
      </c>
      <c r="F839" s="19" t="str">
        <f aca="false">IF($A839="","",E839*D839)</f>
        <v/>
      </c>
      <c r="G839" s="17" t="str">
        <f aca="false">IF($A839="","",'كشف المطالبة'!$D$5)</f>
        <v/>
      </c>
      <c r="H839" s="18" t="str">
        <f aca="false">IF($A839="","",SUMIFS(PERLINE!$U$2:$U$3001,PERLINE!$N$2:$N$3001,$A839,PERLINE!$AK$2:$AK$3001,1))</f>
        <v/>
      </c>
      <c r="I839" s="19" t="str">
        <f aca="false">IF($A839="","",H839*G839)</f>
        <v/>
      </c>
      <c r="J839" s="19" t="str">
        <f aca="false">IF($A839="","",F839+I839)</f>
        <v/>
      </c>
      <c r="K839" s="19" t="str">
        <f aca="false">IF($A839="","",H839+E839)</f>
        <v/>
      </c>
      <c r="L839" s="20" t="str">
        <f aca="false">IF($A839="","",K839-J839-N839)</f>
        <v/>
      </c>
      <c r="M839" s="15" t="str">
        <f aca="false">IF($A839="","",INDEX(PERLINE!$A$2:$A$3001,MATCH($A839,PERLINE!$N$2:$N$3001,0)))</f>
        <v/>
      </c>
      <c r="N839" s="21" t="str">
        <f aca="false">IF($A839="","",SUMIFS(PERLINE!$M$2:$M$3001,PERLINE!$N$2:$N$3001,$A839))</f>
        <v/>
      </c>
    </row>
    <row r="840" customFormat="false" ht="15" hidden="false" customHeight="false" outlineLevel="0" collapsed="false">
      <c r="A840" s="15" t="str">
        <f aca="false">IF(ROWS($A$2:$A840)&lt;=Check!$C$4,SMALL(PERLINE!$AL$2:$AL$3001,ROWS($A$2:$A840)),"")</f>
        <v/>
      </c>
      <c r="B840" s="15" t="str">
        <f aca="false">IF($A840="","",INDEX(PERLINE!$J$2:$J$3001,MATCH($A840,PERLINE!$N$2:$N$3001,0)))</f>
        <v/>
      </c>
      <c r="C840" s="16" t="str">
        <f aca="false">IF($A840="","",INDEX(PERLINE!$I$2:$I$3001,MATCH($A840,PERLINE!$N$2:$N$3001,0)))</f>
        <v/>
      </c>
      <c r="D840" s="17" t="str">
        <f aca="false">IF($A840="","",'كشف المطالبة'!$D$6)</f>
        <v/>
      </c>
      <c r="E840" s="18" t="str">
        <f aca="false">IF($A840="","",SUMIFS(PERLINE!$U$2:$U$3001,PERLINE!$N$2:$N$3001,$A840,PERLINE!$AK$2:$AK$3001,0))</f>
        <v/>
      </c>
      <c r="F840" s="19" t="str">
        <f aca="false">IF($A840="","",E840*D840)</f>
        <v/>
      </c>
      <c r="G840" s="17" t="str">
        <f aca="false">IF($A840="","",'كشف المطالبة'!$D$5)</f>
        <v/>
      </c>
      <c r="H840" s="18" t="str">
        <f aca="false">IF($A840="","",SUMIFS(PERLINE!$U$2:$U$3001,PERLINE!$N$2:$N$3001,$A840,PERLINE!$AK$2:$AK$3001,1))</f>
        <v/>
      </c>
      <c r="I840" s="19" t="str">
        <f aca="false">IF($A840="","",H840*G840)</f>
        <v/>
      </c>
      <c r="J840" s="19" t="str">
        <f aca="false">IF($A840="","",F840+I840)</f>
        <v/>
      </c>
      <c r="K840" s="19" t="str">
        <f aca="false">IF($A840="","",H840+E840)</f>
        <v/>
      </c>
      <c r="L840" s="20" t="str">
        <f aca="false">IF($A840="","",K840-J840-N840)</f>
        <v/>
      </c>
      <c r="M840" s="15" t="str">
        <f aca="false">IF($A840="","",INDEX(PERLINE!$A$2:$A$3001,MATCH($A840,PERLINE!$N$2:$N$3001,0)))</f>
        <v/>
      </c>
      <c r="N840" s="21" t="str">
        <f aca="false">IF($A840="","",SUMIFS(PERLINE!$M$2:$M$3001,PERLINE!$N$2:$N$3001,$A840))</f>
        <v/>
      </c>
    </row>
    <row r="841" customFormat="false" ht="15" hidden="false" customHeight="false" outlineLevel="0" collapsed="false">
      <c r="A841" s="15" t="str">
        <f aca="false">IF(ROWS($A$2:$A841)&lt;=Check!$C$4,SMALL(PERLINE!$AL$2:$AL$3001,ROWS($A$2:$A841)),"")</f>
        <v/>
      </c>
      <c r="B841" s="15" t="str">
        <f aca="false">IF($A841="","",INDEX(PERLINE!$J$2:$J$3001,MATCH($A841,PERLINE!$N$2:$N$3001,0)))</f>
        <v/>
      </c>
      <c r="C841" s="16" t="str">
        <f aca="false">IF($A841="","",INDEX(PERLINE!$I$2:$I$3001,MATCH($A841,PERLINE!$N$2:$N$3001,0)))</f>
        <v/>
      </c>
      <c r="D841" s="17" t="str">
        <f aca="false">IF($A841="","",'كشف المطالبة'!$D$6)</f>
        <v/>
      </c>
      <c r="E841" s="18" t="str">
        <f aca="false">IF($A841="","",SUMIFS(PERLINE!$U$2:$U$3001,PERLINE!$N$2:$N$3001,$A841,PERLINE!$AK$2:$AK$3001,0))</f>
        <v/>
      </c>
      <c r="F841" s="19" t="str">
        <f aca="false">IF($A841="","",E841*D841)</f>
        <v/>
      </c>
      <c r="G841" s="17" t="str">
        <f aca="false">IF($A841="","",'كشف المطالبة'!$D$5)</f>
        <v/>
      </c>
      <c r="H841" s="18" t="str">
        <f aca="false">IF($A841="","",SUMIFS(PERLINE!$U$2:$U$3001,PERLINE!$N$2:$N$3001,$A841,PERLINE!$AK$2:$AK$3001,1))</f>
        <v/>
      </c>
      <c r="I841" s="19" t="str">
        <f aca="false">IF($A841="","",H841*G841)</f>
        <v/>
      </c>
      <c r="J841" s="19" t="str">
        <f aca="false">IF($A841="","",F841+I841)</f>
        <v/>
      </c>
      <c r="K841" s="19" t="str">
        <f aca="false">IF($A841="","",H841+E841)</f>
        <v/>
      </c>
      <c r="L841" s="20" t="str">
        <f aca="false">IF($A841="","",K841-J841-N841)</f>
        <v/>
      </c>
      <c r="M841" s="15" t="str">
        <f aca="false">IF($A841="","",INDEX(PERLINE!$A$2:$A$3001,MATCH($A841,PERLINE!$N$2:$N$3001,0)))</f>
        <v/>
      </c>
      <c r="N841" s="21" t="str">
        <f aca="false">IF($A841="","",SUMIFS(PERLINE!$M$2:$M$3001,PERLINE!$N$2:$N$3001,$A841))</f>
        <v/>
      </c>
    </row>
    <row r="842" customFormat="false" ht="15" hidden="false" customHeight="false" outlineLevel="0" collapsed="false">
      <c r="A842" s="15" t="str">
        <f aca="false">IF(ROWS($A$2:$A842)&lt;=Check!$C$4,SMALL(PERLINE!$AL$2:$AL$3001,ROWS($A$2:$A842)),"")</f>
        <v/>
      </c>
      <c r="B842" s="15" t="str">
        <f aca="false">IF($A842="","",INDEX(PERLINE!$J$2:$J$3001,MATCH($A842,PERLINE!$N$2:$N$3001,0)))</f>
        <v/>
      </c>
      <c r="C842" s="16" t="str">
        <f aca="false">IF($A842="","",INDEX(PERLINE!$I$2:$I$3001,MATCH($A842,PERLINE!$N$2:$N$3001,0)))</f>
        <v/>
      </c>
      <c r="D842" s="17" t="str">
        <f aca="false">IF($A842="","",'كشف المطالبة'!$D$6)</f>
        <v/>
      </c>
      <c r="E842" s="18" t="str">
        <f aca="false">IF($A842="","",SUMIFS(PERLINE!$U$2:$U$3001,PERLINE!$N$2:$N$3001,$A842,PERLINE!$AK$2:$AK$3001,0))</f>
        <v/>
      </c>
      <c r="F842" s="19" t="str">
        <f aca="false">IF($A842="","",E842*D842)</f>
        <v/>
      </c>
      <c r="G842" s="17" t="str">
        <f aca="false">IF($A842="","",'كشف المطالبة'!$D$5)</f>
        <v/>
      </c>
      <c r="H842" s="18" t="str">
        <f aca="false">IF($A842="","",SUMIFS(PERLINE!$U$2:$U$3001,PERLINE!$N$2:$N$3001,$A842,PERLINE!$AK$2:$AK$3001,1))</f>
        <v/>
      </c>
      <c r="I842" s="19" t="str">
        <f aca="false">IF($A842="","",H842*G842)</f>
        <v/>
      </c>
      <c r="J842" s="19" t="str">
        <f aca="false">IF($A842="","",F842+I842)</f>
        <v/>
      </c>
      <c r="K842" s="19" t="str">
        <f aca="false">IF($A842="","",H842+E842)</f>
        <v/>
      </c>
      <c r="L842" s="20" t="str">
        <f aca="false">IF($A842="","",K842-J842-N842)</f>
        <v/>
      </c>
      <c r="M842" s="15" t="str">
        <f aca="false">IF($A842="","",INDEX(PERLINE!$A$2:$A$3001,MATCH($A842,PERLINE!$N$2:$N$3001,0)))</f>
        <v/>
      </c>
      <c r="N842" s="21" t="str">
        <f aca="false">IF($A842="","",SUMIFS(PERLINE!$M$2:$M$3001,PERLINE!$N$2:$N$3001,$A842))</f>
        <v/>
      </c>
    </row>
    <row r="843" customFormat="false" ht="15" hidden="false" customHeight="false" outlineLevel="0" collapsed="false">
      <c r="A843" s="15" t="str">
        <f aca="false">IF(ROWS($A$2:$A843)&lt;=Check!$C$4,SMALL(PERLINE!$AL$2:$AL$3001,ROWS($A$2:$A843)),"")</f>
        <v/>
      </c>
      <c r="B843" s="15" t="str">
        <f aca="false">IF($A843="","",INDEX(PERLINE!$J$2:$J$3001,MATCH($A843,PERLINE!$N$2:$N$3001,0)))</f>
        <v/>
      </c>
      <c r="C843" s="16" t="str">
        <f aca="false">IF($A843="","",INDEX(PERLINE!$I$2:$I$3001,MATCH($A843,PERLINE!$N$2:$N$3001,0)))</f>
        <v/>
      </c>
      <c r="D843" s="17" t="str">
        <f aca="false">IF($A843="","",'كشف المطالبة'!$D$6)</f>
        <v/>
      </c>
      <c r="E843" s="18" t="str">
        <f aca="false">IF($A843="","",SUMIFS(PERLINE!$U$2:$U$3001,PERLINE!$N$2:$N$3001,$A843,PERLINE!$AK$2:$AK$3001,0))</f>
        <v/>
      </c>
      <c r="F843" s="19" t="str">
        <f aca="false">IF($A843="","",E843*D843)</f>
        <v/>
      </c>
      <c r="G843" s="17" t="str">
        <f aca="false">IF($A843="","",'كشف المطالبة'!$D$5)</f>
        <v/>
      </c>
      <c r="H843" s="18" t="str">
        <f aca="false">IF($A843="","",SUMIFS(PERLINE!$U$2:$U$3001,PERLINE!$N$2:$N$3001,$A843,PERLINE!$AK$2:$AK$3001,1))</f>
        <v/>
      </c>
      <c r="I843" s="19" t="str">
        <f aca="false">IF($A843="","",H843*G843)</f>
        <v/>
      </c>
      <c r="J843" s="19" t="str">
        <f aca="false">IF($A843="","",F843+I843)</f>
        <v/>
      </c>
      <c r="K843" s="19" t="str">
        <f aca="false">IF($A843="","",H843+E843)</f>
        <v/>
      </c>
      <c r="L843" s="20" t="str">
        <f aca="false">IF($A843="","",K843-J843-N843)</f>
        <v/>
      </c>
      <c r="M843" s="15" t="str">
        <f aca="false">IF($A843="","",INDEX(PERLINE!$A$2:$A$3001,MATCH($A843,PERLINE!$N$2:$N$3001,0)))</f>
        <v/>
      </c>
      <c r="N843" s="21" t="str">
        <f aca="false">IF($A843="","",SUMIFS(PERLINE!$M$2:$M$3001,PERLINE!$N$2:$N$3001,$A843))</f>
        <v/>
      </c>
    </row>
    <row r="844" customFormat="false" ht="15" hidden="false" customHeight="false" outlineLevel="0" collapsed="false">
      <c r="A844" s="15" t="str">
        <f aca="false">IF(ROWS($A$2:$A844)&lt;=Check!$C$4,SMALL(PERLINE!$AL$2:$AL$3001,ROWS($A$2:$A844)),"")</f>
        <v/>
      </c>
      <c r="B844" s="15" t="str">
        <f aca="false">IF($A844="","",INDEX(PERLINE!$J$2:$J$3001,MATCH($A844,PERLINE!$N$2:$N$3001,0)))</f>
        <v/>
      </c>
      <c r="C844" s="16" t="str">
        <f aca="false">IF($A844="","",INDEX(PERLINE!$I$2:$I$3001,MATCH($A844,PERLINE!$N$2:$N$3001,0)))</f>
        <v/>
      </c>
      <c r="D844" s="17" t="str">
        <f aca="false">IF($A844="","",'كشف المطالبة'!$D$6)</f>
        <v/>
      </c>
      <c r="E844" s="18" t="str">
        <f aca="false">IF($A844="","",SUMIFS(PERLINE!$U$2:$U$3001,PERLINE!$N$2:$N$3001,$A844,PERLINE!$AK$2:$AK$3001,0))</f>
        <v/>
      </c>
      <c r="F844" s="19" t="str">
        <f aca="false">IF($A844="","",E844*D844)</f>
        <v/>
      </c>
      <c r="G844" s="17" t="str">
        <f aca="false">IF($A844="","",'كشف المطالبة'!$D$5)</f>
        <v/>
      </c>
      <c r="H844" s="18" t="str">
        <f aca="false">IF($A844="","",SUMIFS(PERLINE!$U$2:$U$3001,PERLINE!$N$2:$N$3001,$A844,PERLINE!$AK$2:$AK$3001,1))</f>
        <v/>
      </c>
      <c r="I844" s="19" t="str">
        <f aca="false">IF($A844="","",H844*G844)</f>
        <v/>
      </c>
      <c r="J844" s="19" t="str">
        <f aca="false">IF($A844="","",F844+I844)</f>
        <v/>
      </c>
      <c r="K844" s="19" t="str">
        <f aca="false">IF($A844="","",H844+E844)</f>
        <v/>
      </c>
      <c r="L844" s="20" t="str">
        <f aca="false">IF($A844="","",K844-J844-N844)</f>
        <v/>
      </c>
      <c r="M844" s="15" t="str">
        <f aca="false">IF($A844="","",INDEX(PERLINE!$A$2:$A$3001,MATCH($A844,PERLINE!$N$2:$N$3001,0)))</f>
        <v/>
      </c>
      <c r="N844" s="21" t="str">
        <f aca="false">IF($A844="","",SUMIFS(PERLINE!$M$2:$M$3001,PERLINE!$N$2:$N$3001,$A844))</f>
        <v/>
      </c>
    </row>
    <row r="845" customFormat="false" ht="15" hidden="false" customHeight="false" outlineLevel="0" collapsed="false">
      <c r="A845" s="15" t="str">
        <f aca="false">IF(ROWS($A$2:$A845)&lt;=Check!$C$4,SMALL(PERLINE!$AL$2:$AL$3001,ROWS($A$2:$A845)),"")</f>
        <v/>
      </c>
      <c r="B845" s="15" t="str">
        <f aca="false">IF($A845="","",INDEX(PERLINE!$J$2:$J$3001,MATCH($A845,PERLINE!$N$2:$N$3001,0)))</f>
        <v/>
      </c>
      <c r="C845" s="16" t="str">
        <f aca="false">IF($A845="","",INDEX(PERLINE!$I$2:$I$3001,MATCH($A845,PERLINE!$N$2:$N$3001,0)))</f>
        <v/>
      </c>
      <c r="D845" s="17" t="str">
        <f aca="false">IF($A845="","",'كشف المطالبة'!$D$6)</f>
        <v/>
      </c>
      <c r="E845" s="18" t="str">
        <f aca="false">IF($A845="","",SUMIFS(PERLINE!$U$2:$U$3001,PERLINE!$N$2:$N$3001,$A845,PERLINE!$AK$2:$AK$3001,0))</f>
        <v/>
      </c>
      <c r="F845" s="19" t="str">
        <f aca="false">IF($A845="","",E845*D845)</f>
        <v/>
      </c>
      <c r="G845" s="17" t="str">
        <f aca="false">IF($A845="","",'كشف المطالبة'!$D$5)</f>
        <v/>
      </c>
      <c r="H845" s="18" t="str">
        <f aca="false">IF($A845="","",SUMIFS(PERLINE!$U$2:$U$3001,PERLINE!$N$2:$N$3001,$A845,PERLINE!$AK$2:$AK$3001,1))</f>
        <v/>
      </c>
      <c r="I845" s="19" t="str">
        <f aca="false">IF($A845="","",H845*G845)</f>
        <v/>
      </c>
      <c r="J845" s="19" t="str">
        <f aca="false">IF($A845="","",F845+I845)</f>
        <v/>
      </c>
      <c r="K845" s="19" t="str">
        <f aca="false">IF($A845="","",H845+E845)</f>
        <v/>
      </c>
      <c r="L845" s="20" t="str">
        <f aca="false">IF($A845="","",K845-J845-N845)</f>
        <v/>
      </c>
      <c r="M845" s="15" t="str">
        <f aca="false">IF($A845="","",INDEX(PERLINE!$A$2:$A$3001,MATCH($A845,PERLINE!$N$2:$N$3001,0)))</f>
        <v/>
      </c>
      <c r="N845" s="21" t="str">
        <f aca="false">IF($A845="","",SUMIFS(PERLINE!$M$2:$M$3001,PERLINE!$N$2:$N$3001,$A845))</f>
        <v/>
      </c>
    </row>
    <row r="846" customFormat="false" ht="15" hidden="false" customHeight="false" outlineLevel="0" collapsed="false">
      <c r="A846" s="15" t="str">
        <f aca="false">IF(ROWS($A$2:$A846)&lt;=Check!$C$4,SMALL(PERLINE!$AL$2:$AL$3001,ROWS($A$2:$A846)),"")</f>
        <v/>
      </c>
      <c r="B846" s="15" t="str">
        <f aca="false">IF($A846="","",INDEX(PERLINE!$J$2:$J$3001,MATCH($A846,PERLINE!$N$2:$N$3001,0)))</f>
        <v/>
      </c>
      <c r="C846" s="16" t="str">
        <f aca="false">IF($A846="","",INDEX(PERLINE!$I$2:$I$3001,MATCH($A846,PERLINE!$N$2:$N$3001,0)))</f>
        <v/>
      </c>
      <c r="D846" s="17" t="str">
        <f aca="false">IF($A846="","",'كشف المطالبة'!$D$6)</f>
        <v/>
      </c>
      <c r="E846" s="18" t="str">
        <f aca="false">IF($A846="","",SUMIFS(PERLINE!$U$2:$U$3001,PERLINE!$N$2:$N$3001,$A846,PERLINE!$AK$2:$AK$3001,0))</f>
        <v/>
      </c>
      <c r="F846" s="19" t="str">
        <f aca="false">IF($A846="","",E846*D846)</f>
        <v/>
      </c>
      <c r="G846" s="17" t="str">
        <f aca="false">IF($A846="","",'كشف المطالبة'!$D$5)</f>
        <v/>
      </c>
      <c r="H846" s="18" t="str">
        <f aca="false">IF($A846="","",SUMIFS(PERLINE!$U$2:$U$3001,PERLINE!$N$2:$N$3001,$A846,PERLINE!$AK$2:$AK$3001,1))</f>
        <v/>
      </c>
      <c r="I846" s="19" t="str">
        <f aca="false">IF($A846="","",H846*G846)</f>
        <v/>
      </c>
      <c r="J846" s="19" t="str">
        <f aca="false">IF($A846="","",F846+I846)</f>
        <v/>
      </c>
      <c r="K846" s="19" t="str">
        <f aca="false">IF($A846="","",H846+E846)</f>
        <v/>
      </c>
      <c r="L846" s="20" t="str">
        <f aca="false">IF($A846="","",K846-J846-N846)</f>
        <v/>
      </c>
      <c r="M846" s="15" t="str">
        <f aca="false">IF($A846="","",INDEX(PERLINE!$A$2:$A$3001,MATCH($A846,PERLINE!$N$2:$N$3001,0)))</f>
        <v/>
      </c>
      <c r="N846" s="21" t="str">
        <f aca="false">IF($A846="","",SUMIFS(PERLINE!$M$2:$M$3001,PERLINE!$N$2:$N$3001,$A846))</f>
        <v/>
      </c>
    </row>
    <row r="847" customFormat="false" ht="15" hidden="false" customHeight="false" outlineLevel="0" collapsed="false">
      <c r="A847" s="15" t="str">
        <f aca="false">IF(ROWS($A$2:$A847)&lt;=Check!$C$4,SMALL(PERLINE!$AL$2:$AL$3001,ROWS($A$2:$A847)),"")</f>
        <v/>
      </c>
      <c r="B847" s="15" t="str">
        <f aca="false">IF($A847="","",INDEX(PERLINE!$J$2:$J$3001,MATCH($A847,PERLINE!$N$2:$N$3001,0)))</f>
        <v/>
      </c>
      <c r="C847" s="16" t="str">
        <f aca="false">IF($A847="","",INDEX(PERLINE!$I$2:$I$3001,MATCH($A847,PERLINE!$N$2:$N$3001,0)))</f>
        <v/>
      </c>
      <c r="D847" s="17" t="str">
        <f aca="false">IF($A847="","",'كشف المطالبة'!$D$6)</f>
        <v/>
      </c>
      <c r="E847" s="18" t="str">
        <f aca="false">IF($A847="","",SUMIFS(PERLINE!$U$2:$U$3001,PERLINE!$N$2:$N$3001,$A847,PERLINE!$AK$2:$AK$3001,0))</f>
        <v/>
      </c>
      <c r="F847" s="19" t="str">
        <f aca="false">IF($A847="","",E847*D847)</f>
        <v/>
      </c>
      <c r="G847" s="17" t="str">
        <f aca="false">IF($A847="","",'كشف المطالبة'!$D$5)</f>
        <v/>
      </c>
      <c r="H847" s="18" t="str">
        <f aca="false">IF($A847="","",SUMIFS(PERLINE!$U$2:$U$3001,PERLINE!$N$2:$N$3001,$A847,PERLINE!$AK$2:$AK$3001,1))</f>
        <v/>
      </c>
      <c r="I847" s="19" t="str">
        <f aca="false">IF($A847="","",H847*G847)</f>
        <v/>
      </c>
      <c r="J847" s="19" t="str">
        <f aca="false">IF($A847="","",F847+I847)</f>
        <v/>
      </c>
      <c r="K847" s="19" t="str">
        <f aca="false">IF($A847="","",H847+E847)</f>
        <v/>
      </c>
      <c r="L847" s="20" t="str">
        <f aca="false">IF($A847="","",K847-J847-N847)</f>
        <v/>
      </c>
      <c r="M847" s="15" t="str">
        <f aca="false">IF($A847="","",INDEX(PERLINE!$A$2:$A$3001,MATCH($A847,PERLINE!$N$2:$N$3001,0)))</f>
        <v/>
      </c>
      <c r="N847" s="21" t="str">
        <f aca="false">IF($A847="","",SUMIFS(PERLINE!$M$2:$M$3001,PERLINE!$N$2:$N$3001,$A847))</f>
        <v/>
      </c>
    </row>
    <row r="848" customFormat="false" ht="15" hidden="false" customHeight="false" outlineLevel="0" collapsed="false">
      <c r="A848" s="15" t="str">
        <f aca="false">IF(ROWS($A$2:$A848)&lt;=Check!$C$4,SMALL(PERLINE!$AL$2:$AL$3001,ROWS($A$2:$A848)),"")</f>
        <v/>
      </c>
      <c r="B848" s="15" t="str">
        <f aca="false">IF($A848="","",INDEX(PERLINE!$J$2:$J$3001,MATCH($A848,PERLINE!$N$2:$N$3001,0)))</f>
        <v/>
      </c>
      <c r="C848" s="16" t="str">
        <f aca="false">IF($A848="","",INDEX(PERLINE!$I$2:$I$3001,MATCH($A848,PERLINE!$N$2:$N$3001,0)))</f>
        <v/>
      </c>
      <c r="D848" s="17" t="str">
        <f aca="false">IF($A848="","",'كشف المطالبة'!$D$6)</f>
        <v/>
      </c>
      <c r="E848" s="18" t="str">
        <f aca="false">IF($A848="","",SUMIFS(PERLINE!$U$2:$U$3001,PERLINE!$N$2:$N$3001,$A848,PERLINE!$AK$2:$AK$3001,0))</f>
        <v/>
      </c>
      <c r="F848" s="19" t="str">
        <f aca="false">IF($A848="","",E848*D848)</f>
        <v/>
      </c>
      <c r="G848" s="17" t="str">
        <f aca="false">IF($A848="","",'كشف المطالبة'!$D$5)</f>
        <v/>
      </c>
      <c r="H848" s="18" t="str">
        <f aca="false">IF($A848="","",SUMIFS(PERLINE!$U$2:$U$3001,PERLINE!$N$2:$N$3001,$A848,PERLINE!$AK$2:$AK$3001,1))</f>
        <v/>
      </c>
      <c r="I848" s="19" t="str">
        <f aca="false">IF($A848="","",H848*G848)</f>
        <v/>
      </c>
      <c r="J848" s="19" t="str">
        <f aca="false">IF($A848="","",F848+I848)</f>
        <v/>
      </c>
      <c r="K848" s="19" t="str">
        <f aca="false">IF($A848="","",H848+E848)</f>
        <v/>
      </c>
      <c r="L848" s="20" t="str">
        <f aca="false">IF($A848="","",K848-J848-N848)</f>
        <v/>
      </c>
      <c r="M848" s="15" t="str">
        <f aca="false">IF($A848="","",INDEX(PERLINE!$A$2:$A$3001,MATCH($A848,PERLINE!$N$2:$N$3001,0)))</f>
        <v/>
      </c>
      <c r="N848" s="21" t="str">
        <f aca="false">IF($A848="","",SUMIFS(PERLINE!$M$2:$M$3001,PERLINE!$N$2:$N$3001,$A848))</f>
        <v/>
      </c>
    </row>
    <row r="849" customFormat="false" ht="15" hidden="false" customHeight="false" outlineLevel="0" collapsed="false">
      <c r="A849" s="15" t="str">
        <f aca="false">IF(ROWS($A$2:$A849)&lt;=Check!$C$4,SMALL(PERLINE!$AL$2:$AL$3001,ROWS($A$2:$A849)),"")</f>
        <v/>
      </c>
      <c r="B849" s="15" t="str">
        <f aca="false">IF($A849="","",INDEX(PERLINE!$J$2:$J$3001,MATCH($A849,PERLINE!$N$2:$N$3001,0)))</f>
        <v/>
      </c>
      <c r="C849" s="16" t="str">
        <f aca="false">IF($A849="","",INDEX(PERLINE!$I$2:$I$3001,MATCH($A849,PERLINE!$N$2:$N$3001,0)))</f>
        <v/>
      </c>
      <c r="D849" s="17" t="str">
        <f aca="false">IF($A849="","",'كشف المطالبة'!$D$6)</f>
        <v/>
      </c>
      <c r="E849" s="18" t="str">
        <f aca="false">IF($A849="","",SUMIFS(PERLINE!$U$2:$U$3001,PERLINE!$N$2:$N$3001,$A849,PERLINE!$AK$2:$AK$3001,0))</f>
        <v/>
      </c>
      <c r="F849" s="19" t="str">
        <f aca="false">IF($A849="","",E849*D849)</f>
        <v/>
      </c>
      <c r="G849" s="17" t="str">
        <f aca="false">IF($A849="","",'كشف المطالبة'!$D$5)</f>
        <v/>
      </c>
      <c r="H849" s="18" t="str">
        <f aca="false">IF($A849="","",SUMIFS(PERLINE!$U$2:$U$3001,PERLINE!$N$2:$N$3001,$A849,PERLINE!$AK$2:$AK$3001,1))</f>
        <v/>
      </c>
      <c r="I849" s="19" t="str">
        <f aca="false">IF($A849="","",H849*G849)</f>
        <v/>
      </c>
      <c r="J849" s="19" t="str">
        <f aca="false">IF($A849="","",F849+I849)</f>
        <v/>
      </c>
      <c r="K849" s="19" t="str">
        <f aca="false">IF($A849="","",H849+E849)</f>
        <v/>
      </c>
      <c r="L849" s="20" t="str">
        <f aca="false">IF($A849="","",K849-J849-N849)</f>
        <v/>
      </c>
      <c r="M849" s="15" t="str">
        <f aca="false">IF($A849="","",INDEX(PERLINE!$A$2:$A$3001,MATCH($A849,PERLINE!$N$2:$N$3001,0)))</f>
        <v/>
      </c>
      <c r="N849" s="21" t="str">
        <f aca="false">IF($A849="","",SUMIFS(PERLINE!$M$2:$M$3001,PERLINE!$N$2:$N$3001,$A849))</f>
        <v/>
      </c>
    </row>
    <row r="850" customFormat="false" ht="15" hidden="false" customHeight="false" outlineLevel="0" collapsed="false">
      <c r="A850" s="15" t="str">
        <f aca="false">IF(ROWS($A$2:$A850)&lt;=Check!$C$4,SMALL(PERLINE!$AL$2:$AL$3001,ROWS($A$2:$A850)),"")</f>
        <v/>
      </c>
      <c r="B850" s="15" t="str">
        <f aca="false">IF($A850="","",INDEX(PERLINE!$J$2:$J$3001,MATCH($A850,PERLINE!$N$2:$N$3001,0)))</f>
        <v/>
      </c>
      <c r="C850" s="16" t="str">
        <f aca="false">IF($A850="","",INDEX(PERLINE!$I$2:$I$3001,MATCH($A850,PERLINE!$N$2:$N$3001,0)))</f>
        <v/>
      </c>
      <c r="D850" s="17" t="str">
        <f aca="false">IF($A850="","",'كشف المطالبة'!$D$6)</f>
        <v/>
      </c>
      <c r="E850" s="18" t="str">
        <f aca="false">IF($A850="","",SUMIFS(PERLINE!$U$2:$U$3001,PERLINE!$N$2:$N$3001,$A850,PERLINE!$AK$2:$AK$3001,0))</f>
        <v/>
      </c>
      <c r="F850" s="19" t="str">
        <f aca="false">IF($A850="","",E850*D850)</f>
        <v/>
      </c>
      <c r="G850" s="17" t="str">
        <f aca="false">IF($A850="","",'كشف المطالبة'!$D$5)</f>
        <v/>
      </c>
      <c r="H850" s="18" t="str">
        <f aca="false">IF($A850="","",SUMIFS(PERLINE!$U$2:$U$3001,PERLINE!$N$2:$N$3001,$A850,PERLINE!$AK$2:$AK$3001,1))</f>
        <v/>
      </c>
      <c r="I850" s="19" t="str">
        <f aca="false">IF($A850="","",H850*G850)</f>
        <v/>
      </c>
      <c r="J850" s="19" t="str">
        <f aca="false">IF($A850="","",F850+I850)</f>
        <v/>
      </c>
      <c r="K850" s="19" t="str">
        <f aca="false">IF($A850="","",H850+E850)</f>
        <v/>
      </c>
      <c r="L850" s="20" t="str">
        <f aca="false">IF($A850="","",K850-J850-N850)</f>
        <v/>
      </c>
      <c r="M850" s="15" t="str">
        <f aca="false">IF($A850="","",INDEX(PERLINE!$A$2:$A$3001,MATCH($A850,PERLINE!$N$2:$N$3001,0)))</f>
        <v/>
      </c>
      <c r="N850" s="21" t="str">
        <f aca="false">IF($A850="","",SUMIFS(PERLINE!$M$2:$M$3001,PERLINE!$N$2:$N$3001,$A850))</f>
        <v/>
      </c>
    </row>
    <row r="851" customFormat="false" ht="15" hidden="false" customHeight="false" outlineLevel="0" collapsed="false">
      <c r="A851" s="15" t="str">
        <f aca="false">IF(ROWS($A$2:$A851)&lt;=Check!$C$4,SMALL(PERLINE!$AL$2:$AL$3001,ROWS($A$2:$A851)),"")</f>
        <v/>
      </c>
      <c r="B851" s="15" t="str">
        <f aca="false">IF($A851="","",INDEX(PERLINE!$J$2:$J$3001,MATCH($A851,PERLINE!$N$2:$N$3001,0)))</f>
        <v/>
      </c>
      <c r="C851" s="16" t="str">
        <f aca="false">IF($A851="","",INDEX(PERLINE!$I$2:$I$3001,MATCH($A851,PERLINE!$N$2:$N$3001,0)))</f>
        <v/>
      </c>
      <c r="D851" s="17" t="str">
        <f aca="false">IF($A851="","",'كشف المطالبة'!$D$6)</f>
        <v/>
      </c>
      <c r="E851" s="18" t="str">
        <f aca="false">IF($A851="","",SUMIFS(PERLINE!$U$2:$U$3001,PERLINE!$N$2:$N$3001,$A851,PERLINE!$AK$2:$AK$3001,0))</f>
        <v/>
      </c>
      <c r="F851" s="19" t="str">
        <f aca="false">IF($A851="","",E851*D851)</f>
        <v/>
      </c>
      <c r="G851" s="17" t="str">
        <f aca="false">IF($A851="","",'كشف المطالبة'!$D$5)</f>
        <v/>
      </c>
      <c r="H851" s="18" t="str">
        <f aca="false">IF($A851="","",SUMIFS(PERLINE!$U$2:$U$3001,PERLINE!$N$2:$N$3001,$A851,PERLINE!$AK$2:$AK$3001,1))</f>
        <v/>
      </c>
      <c r="I851" s="19" t="str">
        <f aca="false">IF($A851="","",H851*G851)</f>
        <v/>
      </c>
      <c r="J851" s="19" t="str">
        <f aca="false">IF($A851="","",F851+I851)</f>
        <v/>
      </c>
      <c r="K851" s="19" t="str">
        <f aca="false">IF($A851="","",H851+E851)</f>
        <v/>
      </c>
      <c r="L851" s="20" t="str">
        <f aca="false">IF($A851="","",K851-J851-N851)</f>
        <v/>
      </c>
      <c r="M851" s="15" t="str">
        <f aca="false">IF($A851="","",INDEX(PERLINE!$A$2:$A$3001,MATCH($A851,PERLINE!$N$2:$N$3001,0)))</f>
        <v/>
      </c>
      <c r="N851" s="21" t="str">
        <f aca="false">IF($A851="","",SUMIFS(PERLINE!$M$2:$M$3001,PERLINE!$N$2:$N$3001,$A851))</f>
        <v/>
      </c>
    </row>
    <row r="852" customFormat="false" ht="15" hidden="false" customHeight="false" outlineLevel="0" collapsed="false">
      <c r="A852" s="15" t="str">
        <f aca="false">IF(ROWS($A$2:$A852)&lt;=Check!$C$4,SMALL(PERLINE!$AL$2:$AL$3001,ROWS($A$2:$A852)),"")</f>
        <v/>
      </c>
      <c r="B852" s="15" t="str">
        <f aca="false">IF($A852="","",INDEX(PERLINE!$J$2:$J$3001,MATCH($A852,PERLINE!$N$2:$N$3001,0)))</f>
        <v/>
      </c>
      <c r="C852" s="16" t="str">
        <f aca="false">IF($A852="","",INDEX(PERLINE!$I$2:$I$3001,MATCH($A852,PERLINE!$N$2:$N$3001,0)))</f>
        <v/>
      </c>
      <c r="D852" s="17" t="str">
        <f aca="false">IF($A852="","",'كشف المطالبة'!$D$6)</f>
        <v/>
      </c>
      <c r="E852" s="18" t="str">
        <f aca="false">IF($A852="","",SUMIFS(PERLINE!$U$2:$U$3001,PERLINE!$N$2:$N$3001,$A852,PERLINE!$AK$2:$AK$3001,0))</f>
        <v/>
      </c>
      <c r="F852" s="19" t="str">
        <f aca="false">IF($A852="","",E852*D852)</f>
        <v/>
      </c>
      <c r="G852" s="17" t="str">
        <f aca="false">IF($A852="","",'كشف المطالبة'!$D$5)</f>
        <v/>
      </c>
      <c r="H852" s="18" t="str">
        <f aca="false">IF($A852="","",SUMIFS(PERLINE!$U$2:$U$3001,PERLINE!$N$2:$N$3001,$A852,PERLINE!$AK$2:$AK$3001,1))</f>
        <v/>
      </c>
      <c r="I852" s="19" t="str">
        <f aca="false">IF($A852="","",H852*G852)</f>
        <v/>
      </c>
      <c r="J852" s="19" t="str">
        <f aca="false">IF($A852="","",F852+I852)</f>
        <v/>
      </c>
      <c r="K852" s="19" t="str">
        <f aca="false">IF($A852="","",H852+E852)</f>
        <v/>
      </c>
      <c r="L852" s="20" t="str">
        <f aca="false">IF($A852="","",K852-J852-N852)</f>
        <v/>
      </c>
      <c r="M852" s="15" t="str">
        <f aca="false">IF($A852="","",INDEX(PERLINE!$A$2:$A$3001,MATCH($A852,PERLINE!$N$2:$N$3001,0)))</f>
        <v/>
      </c>
      <c r="N852" s="21" t="str">
        <f aca="false">IF($A852="","",SUMIFS(PERLINE!$M$2:$M$3001,PERLINE!$N$2:$N$3001,$A852))</f>
        <v/>
      </c>
    </row>
    <row r="853" customFormat="false" ht="15" hidden="false" customHeight="false" outlineLevel="0" collapsed="false">
      <c r="A853" s="15" t="str">
        <f aca="false">IF(ROWS($A$2:$A853)&lt;=Check!$C$4,SMALL(PERLINE!$AL$2:$AL$3001,ROWS($A$2:$A853)),"")</f>
        <v/>
      </c>
      <c r="B853" s="15" t="str">
        <f aca="false">IF($A853="","",INDEX(PERLINE!$J$2:$J$3001,MATCH($A853,PERLINE!$N$2:$N$3001,0)))</f>
        <v/>
      </c>
      <c r="C853" s="16" t="str">
        <f aca="false">IF($A853="","",INDEX(PERLINE!$I$2:$I$3001,MATCH($A853,PERLINE!$N$2:$N$3001,0)))</f>
        <v/>
      </c>
      <c r="D853" s="17" t="str">
        <f aca="false">IF($A853="","",'كشف المطالبة'!$D$6)</f>
        <v/>
      </c>
      <c r="E853" s="18" t="str">
        <f aca="false">IF($A853="","",SUMIFS(PERLINE!$U$2:$U$3001,PERLINE!$N$2:$N$3001,$A853,PERLINE!$AK$2:$AK$3001,0))</f>
        <v/>
      </c>
      <c r="F853" s="19" t="str">
        <f aca="false">IF($A853="","",E853*D853)</f>
        <v/>
      </c>
      <c r="G853" s="17" t="str">
        <f aca="false">IF($A853="","",'كشف المطالبة'!$D$5)</f>
        <v/>
      </c>
      <c r="H853" s="18" t="str">
        <f aca="false">IF($A853="","",SUMIFS(PERLINE!$U$2:$U$3001,PERLINE!$N$2:$N$3001,$A853,PERLINE!$AK$2:$AK$3001,1))</f>
        <v/>
      </c>
      <c r="I853" s="19" t="str">
        <f aca="false">IF($A853="","",H853*G853)</f>
        <v/>
      </c>
      <c r="J853" s="19" t="str">
        <f aca="false">IF($A853="","",F853+I853)</f>
        <v/>
      </c>
      <c r="K853" s="19" t="str">
        <f aca="false">IF($A853="","",H853+E853)</f>
        <v/>
      </c>
      <c r="L853" s="20" t="str">
        <f aca="false">IF($A853="","",K853-J853-N853)</f>
        <v/>
      </c>
      <c r="M853" s="15" t="str">
        <f aca="false">IF($A853="","",INDEX(PERLINE!$A$2:$A$3001,MATCH($A853,PERLINE!$N$2:$N$3001,0)))</f>
        <v/>
      </c>
      <c r="N853" s="21" t="str">
        <f aca="false">IF($A853="","",SUMIFS(PERLINE!$M$2:$M$3001,PERLINE!$N$2:$N$3001,$A853))</f>
        <v/>
      </c>
    </row>
    <row r="854" customFormat="false" ht="15" hidden="false" customHeight="false" outlineLevel="0" collapsed="false">
      <c r="A854" s="15" t="str">
        <f aca="false">IF(ROWS($A$2:$A854)&lt;=Check!$C$4,SMALL(PERLINE!$AL$2:$AL$3001,ROWS($A$2:$A854)),"")</f>
        <v/>
      </c>
      <c r="B854" s="15" t="str">
        <f aca="false">IF($A854="","",INDEX(PERLINE!$J$2:$J$3001,MATCH($A854,PERLINE!$N$2:$N$3001,0)))</f>
        <v/>
      </c>
      <c r="C854" s="16" t="str">
        <f aca="false">IF($A854="","",INDEX(PERLINE!$I$2:$I$3001,MATCH($A854,PERLINE!$N$2:$N$3001,0)))</f>
        <v/>
      </c>
      <c r="D854" s="17" t="str">
        <f aca="false">IF($A854="","",'كشف المطالبة'!$D$6)</f>
        <v/>
      </c>
      <c r="E854" s="18" t="str">
        <f aca="false">IF($A854="","",SUMIFS(PERLINE!$U$2:$U$3001,PERLINE!$N$2:$N$3001,$A854,PERLINE!$AK$2:$AK$3001,0))</f>
        <v/>
      </c>
      <c r="F854" s="19" t="str">
        <f aca="false">IF($A854="","",E854*D854)</f>
        <v/>
      </c>
      <c r="G854" s="17" t="str">
        <f aca="false">IF($A854="","",'كشف المطالبة'!$D$5)</f>
        <v/>
      </c>
      <c r="H854" s="18" t="str">
        <f aca="false">IF($A854="","",SUMIFS(PERLINE!$U$2:$U$3001,PERLINE!$N$2:$N$3001,$A854,PERLINE!$AK$2:$AK$3001,1))</f>
        <v/>
      </c>
      <c r="I854" s="19" t="str">
        <f aca="false">IF($A854="","",H854*G854)</f>
        <v/>
      </c>
      <c r="J854" s="19" t="str">
        <f aca="false">IF($A854="","",F854+I854)</f>
        <v/>
      </c>
      <c r="K854" s="19" t="str">
        <f aca="false">IF($A854="","",H854+E854)</f>
        <v/>
      </c>
      <c r="L854" s="20" t="str">
        <f aca="false">IF($A854="","",K854-J854-N854)</f>
        <v/>
      </c>
      <c r="M854" s="15" t="str">
        <f aca="false">IF($A854="","",INDEX(PERLINE!$A$2:$A$3001,MATCH($A854,PERLINE!$N$2:$N$3001,0)))</f>
        <v/>
      </c>
      <c r="N854" s="21" t="str">
        <f aca="false">IF($A854="","",SUMIFS(PERLINE!$M$2:$M$3001,PERLINE!$N$2:$N$3001,$A854))</f>
        <v/>
      </c>
    </row>
    <row r="855" customFormat="false" ht="15" hidden="false" customHeight="false" outlineLevel="0" collapsed="false">
      <c r="A855" s="15" t="str">
        <f aca="false">IF(ROWS($A$2:$A855)&lt;=Check!$C$4,SMALL(PERLINE!$AL$2:$AL$3001,ROWS($A$2:$A855)),"")</f>
        <v/>
      </c>
      <c r="B855" s="15" t="str">
        <f aca="false">IF($A855="","",INDEX(PERLINE!$J$2:$J$3001,MATCH($A855,PERLINE!$N$2:$N$3001,0)))</f>
        <v/>
      </c>
      <c r="C855" s="16" t="str">
        <f aca="false">IF($A855="","",INDEX(PERLINE!$I$2:$I$3001,MATCH($A855,PERLINE!$N$2:$N$3001,0)))</f>
        <v/>
      </c>
      <c r="D855" s="17" t="str">
        <f aca="false">IF($A855="","",'كشف المطالبة'!$D$6)</f>
        <v/>
      </c>
      <c r="E855" s="18" t="str">
        <f aca="false">IF($A855="","",SUMIFS(PERLINE!$U$2:$U$3001,PERLINE!$N$2:$N$3001,$A855,PERLINE!$AK$2:$AK$3001,0))</f>
        <v/>
      </c>
      <c r="F855" s="19" t="str">
        <f aca="false">IF($A855="","",E855*D855)</f>
        <v/>
      </c>
      <c r="G855" s="17" t="str">
        <f aca="false">IF($A855="","",'كشف المطالبة'!$D$5)</f>
        <v/>
      </c>
      <c r="H855" s="18" t="str">
        <f aca="false">IF($A855="","",SUMIFS(PERLINE!$U$2:$U$3001,PERLINE!$N$2:$N$3001,$A855,PERLINE!$AK$2:$AK$3001,1))</f>
        <v/>
      </c>
      <c r="I855" s="19" t="str">
        <f aca="false">IF($A855="","",H855*G855)</f>
        <v/>
      </c>
      <c r="J855" s="19" t="str">
        <f aca="false">IF($A855="","",F855+I855)</f>
        <v/>
      </c>
      <c r="K855" s="19" t="str">
        <f aca="false">IF($A855="","",H855+E855)</f>
        <v/>
      </c>
      <c r="L855" s="20" t="str">
        <f aca="false">IF($A855="","",K855-J855-N855)</f>
        <v/>
      </c>
      <c r="M855" s="15" t="str">
        <f aca="false">IF($A855="","",INDEX(PERLINE!$A$2:$A$3001,MATCH($A855,PERLINE!$N$2:$N$3001,0)))</f>
        <v/>
      </c>
      <c r="N855" s="21" t="str">
        <f aca="false">IF($A855="","",SUMIFS(PERLINE!$M$2:$M$3001,PERLINE!$N$2:$N$3001,$A855))</f>
        <v/>
      </c>
    </row>
    <row r="856" customFormat="false" ht="15" hidden="false" customHeight="false" outlineLevel="0" collapsed="false">
      <c r="A856" s="15" t="str">
        <f aca="false">IF(ROWS($A$2:$A856)&lt;=Check!$C$4,SMALL(PERLINE!$AL$2:$AL$3001,ROWS($A$2:$A856)),"")</f>
        <v/>
      </c>
      <c r="B856" s="15" t="str">
        <f aca="false">IF($A856="","",INDEX(PERLINE!$J$2:$J$3001,MATCH($A856,PERLINE!$N$2:$N$3001,0)))</f>
        <v/>
      </c>
      <c r="C856" s="16" t="str">
        <f aca="false">IF($A856="","",INDEX(PERLINE!$I$2:$I$3001,MATCH($A856,PERLINE!$N$2:$N$3001,0)))</f>
        <v/>
      </c>
      <c r="D856" s="17" t="str">
        <f aca="false">IF($A856="","",'كشف المطالبة'!$D$6)</f>
        <v/>
      </c>
      <c r="E856" s="18" t="str">
        <f aca="false">IF($A856="","",SUMIFS(PERLINE!$U$2:$U$3001,PERLINE!$N$2:$N$3001,$A856,PERLINE!$AK$2:$AK$3001,0))</f>
        <v/>
      </c>
      <c r="F856" s="19" t="str">
        <f aca="false">IF($A856="","",E856*D856)</f>
        <v/>
      </c>
      <c r="G856" s="17" t="str">
        <f aca="false">IF($A856="","",'كشف المطالبة'!$D$5)</f>
        <v/>
      </c>
      <c r="H856" s="18" t="str">
        <f aca="false">IF($A856="","",SUMIFS(PERLINE!$U$2:$U$3001,PERLINE!$N$2:$N$3001,$A856,PERLINE!$AK$2:$AK$3001,1))</f>
        <v/>
      </c>
      <c r="I856" s="19" t="str">
        <f aca="false">IF($A856="","",H856*G856)</f>
        <v/>
      </c>
      <c r="J856" s="19" t="str">
        <f aca="false">IF($A856="","",F856+I856)</f>
        <v/>
      </c>
      <c r="K856" s="19" t="str">
        <f aca="false">IF($A856="","",H856+E856)</f>
        <v/>
      </c>
      <c r="L856" s="20" t="str">
        <f aca="false">IF($A856="","",K856-J856-N856)</f>
        <v/>
      </c>
      <c r="M856" s="15" t="str">
        <f aca="false">IF($A856="","",INDEX(PERLINE!$A$2:$A$3001,MATCH($A856,PERLINE!$N$2:$N$3001,0)))</f>
        <v/>
      </c>
      <c r="N856" s="21" t="str">
        <f aca="false">IF($A856="","",SUMIFS(PERLINE!$M$2:$M$3001,PERLINE!$N$2:$N$3001,$A856))</f>
        <v/>
      </c>
    </row>
    <row r="857" customFormat="false" ht="15" hidden="false" customHeight="false" outlineLevel="0" collapsed="false">
      <c r="A857" s="15" t="str">
        <f aca="false">IF(ROWS($A$2:$A857)&lt;=Check!$C$4,SMALL(PERLINE!$AL$2:$AL$3001,ROWS($A$2:$A857)),"")</f>
        <v/>
      </c>
      <c r="B857" s="15" t="str">
        <f aca="false">IF($A857="","",INDEX(PERLINE!$J$2:$J$3001,MATCH($A857,PERLINE!$N$2:$N$3001,0)))</f>
        <v/>
      </c>
      <c r="C857" s="16" t="str">
        <f aca="false">IF($A857="","",INDEX(PERLINE!$I$2:$I$3001,MATCH($A857,PERLINE!$N$2:$N$3001,0)))</f>
        <v/>
      </c>
      <c r="D857" s="17" t="str">
        <f aca="false">IF($A857="","",'كشف المطالبة'!$D$6)</f>
        <v/>
      </c>
      <c r="E857" s="18" t="str">
        <f aca="false">IF($A857="","",SUMIFS(PERLINE!$U$2:$U$3001,PERLINE!$N$2:$N$3001,$A857,PERLINE!$AK$2:$AK$3001,0))</f>
        <v/>
      </c>
      <c r="F857" s="19" t="str">
        <f aca="false">IF($A857="","",E857*D857)</f>
        <v/>
      </c>
      <c r="G857" s="17" t="str">
        <f aca="false">IF($A857="","",'كشف المطالبة'!$D$5)</f>
        <v/>
      </c>
      <c r="H857" s="18" t="str">
        <f aca="false">IF($A857="","",SUMIFS(PERLINE!$U$2:$U$3001,PERLINE!$N$2:$N$3001,$A857,PERLINE!$AK$2:$AK$3001,1))</f>
        <v/>
      </c>
      <c r="I857" s="19" t="str">
        <f aca="false">IF($A857="","",H857*G857)</f>
        <v/>
      </c>
      <c r="J857" s="19" t="str">
        <f aca="false">IF($A857="","",F857+I857)</f>
        <v/>
      </c>
      <c r="K857" s="19" t="str">
        <f aca="false">IF($A857="","",H857+E857)</f>
        <v/>
      </c>
      <c r="L857" s="20" t="str">
        <f aca="false">IF($A857="","",K857-J857-N857)</f>
        <v/>
      </c>
      <c r="M857" s="15" t="str">
        <f aca="false">IF($A857="","",INDEX(PERLINE!$A$2:$A$3001,MATCH($A857,PERLINE!$N$2:$N$3001,0)))</f>
        <v/>
      </c>
      <c r="N857" s="21" t="str">
        <f aca="false">IF($A857="","",SUMIFS(PERLINE!$M$2:$M$3001,PERLINE!$N$2:$N$3001,$A857))</f>
        <v/>
      </c>
    </row>
    <row r="858" customFormat="false" ht="15" hidden="false" customHeight="false" outlineLevel="0" collapsed="false">
      <c r="A858" s="15" t="str">
        <f aca="false">IF(ROWS($A$2:$A858)&lt;=Check!$C$4,SMALL(PERLINE!$AL$2:$AL$3001,ROWS($A$2:$A858)),"")</f>
        <v/>
      </c>
      <c r="B858" s="15" t="str">
        <f aca="false">IF($A858="","",INDEX(PERLINE!$J$2:$J$3001,MATCH($A858,PERLINE!$N$2:$N$3001,0)))</f>
        <v/>
      </c>
      <c r="C858" s="16" t="str">
        <f aca="false">IF($A858="","",INDEX(PERLINE!$I$2:$I$3001,MATCH($A858,PERLINE!$N$2:$N$3001,0)))</f>
        <v/>
      </c>
      <c r="D858" s="17" t="str">
        <f aca="false">IF($A858="","",'كشف المطالبة'!$D$6)</f>
        <v/>
      </c>
      <c r="E858" s="18" t="str">
        <f aca="false">IF($A858="","",SUMIFS(PERLINE!$U$2:$U$3001,PERLINE!$N$2:$N$3001,$A858,PERLINE!$AK$2:$AK$3001,0))</f>
        <v/>
      </c>
      <c r="F858" s="19" t="str">
        <f aca="false">IF($A858="","",E858*D858)</f>
        <v/>
      </c>
      <c r="G858" s="17" t="str">
        <f aca="false">IF($A858="","",'كشف المطالبة'!$D$5)</f>
        <v/>
      </c>
      <c r="H858" s="18" t="str">
        <f aca="false">IF($A858="","",SUMIFS(PERLINE!$U$2:$U$3001,PERLINE!$N$2:$N$3001,$A858,PERLINE!$AK$2:$AK$3001,1))</f>
        <v/>
      </c>
      <c r="I858" s="19" t="str">
        <f aca="false">IF($A858="","",H858*G858)</f>
        <v/>
      </c>
      <c r="J858" s="19" t="str">
        <f aca="false">IF($A858="","",F858+I858)</f>
        <v/>
      </c>
      <c r="K858" s="19" t="str">
        <f aca="false">IF($A858="","",H858+E858)</f>
        <v/>
      </c>
      <c r="L858" s="20" t="str">
        <f aca="false">IF($A858="","",K858-J858-N858)</f>
        <v/>
      </c>
      <c r="M858" s="15" t="str">
        <f aca="false">IF($A858="","",INDEX(PERLINE!$A$2:$A$3001,MATCH($A858,PERLINE!$N$2:$N$3001,0)))</f>
        <v/>
      </c>
      <c r="N858" s="21" t="str">
        <f aca="false">IF($A858="","",SUMIFS(PERLINE!$M$2:$M$3001,PERLINE!$N$2:$N$3001,$A858))</f>
        <v/>
      </c>
    </row>
    <row r="859" customFormat="false" ht="15" hidden="false" customHeight="false" outlineLevel="0" collapsed="false">
      <c r="A859" s="15" t="str">
        <f aca="false">IF(ROWS($A$2:$A859)&lt;=Check!$C$4,SMALL(PERLINE!$AL$2:$AL$3001,ROWS($A$2:$A859)),"")</f>
        <v/>
      </c>
      <c r="B859" s="15" t="str">
        <f aca="false">IF($A859="","",INDEX(PERLINE!$J$2:$J$3001,MATCH($A859,PERLINE!$N$2:$N$3001,0)))</f>
        <v/>
      </c>
      <c r="C859" s="16" t="str">
        <f aca="false">IF($A859="","",INDEX(PERLINE!$I$2:$I$3001,MATCH($A859,PERLINE!$N$2:$N$3001,0)))</f>
        <v/>
      </c>
      <c r="D859" s="17" t="str">
        <f aca="false">IF($A859="","",'كشف المطالبة'!$D$6)</f>
        <v/>
      </c>
      <c r="E859" s="18" t="str">
        <f aca="false">IF($A859="","",SUMIFS(PERLINE!$U$2:$U$3001,PERLINE!$N$2:$N$3001,$A859,PERLINE!$AK$2:$AK$3001,0))</f>
        <v/>
      </c>
      <c r="F859" s="19" t="str">
        <f aca="false">IF($A859="","",E859*D859)</f>
        <v/>
      </c>
      <c r="G859" s="17" t="str">
        <f aca="false">IF($A859="","",'كشف المطالبة'!$D$5)</f>
        <v/>
      </c>
      <c r="H859" s="18" t="str">
        <f aca="false">IF($A859="","",SUMIFS(PERLINE!$U$2:$U$3001,PERLINE!$N$2:$N$3001,$A859,PERLINE!$AK$2:$AK$3001,1))</f>
        <v/>
      </c>
      <c r="I859" s="19" t="str">
        <f aca="false">IF($A859="","",H859*G859)</f>
        <v/>
      </c>
      <c r="J859" s="19" t="str">
        <f aca="false">IF($A859="","",F859+I859)</f>
        <v/>
      </c>
      <c r="K859" s="19" t="str">
        <f aca="false">IF($A859="","",H859+E859)</f>
        <v/>
      </c>
      <c r="L859" s="20" t="str">
        <f aca="false">IF($A859="","",K859-J859-N859)</f>
        <v/>
      </c>
      <c r="M859" s="15" t="str">
        <f aca="false">IF($A859="","",INDEX(PERLINE!$A$2:$A$3001,MATCH($A859,PERLINE!$N$2:$N$3001,0)))</f>
        <v/>
      </c>
      <c r="N859" s="21" t="str">
        <f aca="false">IF($A859="","",SUMIFS(PERLINE!$M$2:$M$3001,PERLINE!$N$2:$N$3001,$A859))</f>
        <v/>
      </c>
    </row>
    <row r="860" customFormat="false" ht="15" hidden="false" customHeight="false" outlineLevel="0" collapsed="false">
      <c r="A860" s="15" t="str">
        <f aca="false">IF(ROWS($A$2:$A860)&lt;=Check!$C$4,SMALL(PERLINE!$AL$2:$AL$3001,ROWS($A$2:$A860)),"")</f>
        <v/>
      </c>
      <c r="B860" s="15" t="str">
        <f aca="false">IF($A860="","",INDEX(PERLINE!$J$2:$J$3001,MATCH($A860,PERLINE!$N$2:$N$3001,0)))</f>
        <v/>
      </c>
      <c r="C860" s="16" t="str">
        <f aca="false">IF($A860="","",INDEX(PERLINE!$I$2:$I$3001,MATCH($A860,PERLINE!$N$2:$N$3001,0)))</f>
        <v/>
      </c>
      <c r="D860" s="17" t="str">
        <f aca="false">IF($A860="","",'كشف المطالبة'!$D$6)</f>
        <v/>
      </c>
      <c r="E860" s="18" t="str">
        <f aca="false">IF($A860="","",SUMIFS(PERLINE!$U$2:$U$3001,PERLINE!$N$2:$N$3001,$A860,PERLINE!$AK$2:$AK$3001,0))</f>
        <v/>
      </c>
      <c r="F860" s="19" t="str">
        <f aca="false">IF($A860="","",E860*D860)</f>
        <v/>
      </c>
      <c r="G860" s="17" t="str">
        <f aca="false">IF($A860="","",'كشف المطالبة'!$D$5)</f>
        <v/>
      </c>
      <c r="H860" s="18" t="str">
        <f aca="false">IF($A860="","",SUMIFS(PERLINE!$U$2:$U$3001,PERLINE!$N$2:$N$3001,$A860,PERLINE!$AK$2:$AK$3001,1))</f>
        <v/>
      </c>
      <c r="I860" s="19" t="str">
        <f aca="false">IF($A860="","",H860*G860)</f>
        <v/>
      </c>
      <c r="J860" s="19" t="str">
        <f aca="false">IF($A860="","",F860+I860)</f>
        <v/>
      </c>
      <c r="K860" s="19" t="str">
        <f aca="false">IF($A860="","",H860+E860)</f>
        <v/>
      </c>
      <c r="L860" s="20" t="str">
        <f aca="false">IF($A860="","",K860-J860-N860)</f>
        <v/>
      </c>
      <c r="M860" s="15" t="str">
        <f aca="false">IF($A860="","",INDEX(PERLINE!$A$2:$A$3001,MATCH($A860,PERLINE!$N$2:$N$3001,0)))</f>
        <v/>
      </c>
      <c r="N860" s="21" t="str">
        <f aca="false">IF($A860="","",SUMIFS(PERLINE!$M$2:$M$3001,PERLINE!$N$2:$N$3001,$A860))</f>
        <v/>
      </c>
    </row>
    <row r="861" customFormat="false" ht="15" hidden="false" customHeight="false" outlineLevel="0" collapsed="false">
      <c r="A861" s="15" t="str">
        <f aca="false">IF(ROWS($A$2:$A861)&lt;=Check!$C$4,SMALL(PERLINE!$AL$2:$AL$3001,ROWS($A$2:$A861)),"")</f>
        <v/>
      </c>
      <c r="B861" s="15" t="str">
        <f aca="false">IF($A861="","",INDEX(PERLINE!$J$2:$J$3001,MATCH($A861,PERLINE!$N$2:$N$3001,0)))</f>
        <v/>
      </c>
      <c r="C861" s="16" t="str">
        <f aca="false">IF($A861="","",INDEX(PERLINE!$I$2:$I$3001,MATCH($A861,PERLINE!$N$2:$N$3001,0)))</f>
        <v/>
      </c>
      <c r="D861" s="17" t="str">
        <f aca="false">IF($A861="","",'كشف المطالبة'!$D$6)</f>
        <v/>
      </c>
      <c r="E861" s="18" t="str">
        <f aca="false">IF($A861="","",SUMIFS(PERLINE!$U$2:$U$3001,PERLINE!$N$2:$N$3001,$A861,PERLINE!$AK$2:$AK$3001,0))</f>
        <v/>
      </c>
      <c r="F861" s="19" t="str">
        <f aca="false">IF($A861="","",E861*D861)</f>
        <v/>
      </c>
      <c r="G861" s="17" t="str">
        <f aca="false">IF($A861="","",'كشف المطالبة'!$D$5)</f>
        <v/>
      </c>
      <c r="H861" s="18" t="str">
        <f aca="false">IF($A861="","",SUMIFS(PERLINE!$U$2:$U$3001,PERLINE!$N$2:$N$3001,$A861,PERLINE!$AK$2:$AK$3001,1))</f>
        <v/>
      </c>
      <c r="I861" s="19" t="str">
        <f aca="false">IF($A861="","",H861*G861)</f>
        <v/>
      </c>
      <c r="J861" s="19" t="str">
        <f aca="false">IF($A861="","",F861+I861)</f>
        <v/>
      </c>
      <c r="K861" s="19" t="str">
        <f aca="false">IF($A861="","",H861+E861)</f>
        <v/>
      </c>
      <c r="L861" s="20" t="str">
        <f aca="false">IF($A861="","",K861-J861-N861)</f>
        <v/>
      </c>
      <c r="M861" s="15" t="str">
        <f aca="false">IF($A861="","",INDEX(PERLINE!$A$2:$A$3001,MATCH($A861,PERLINE!$N$2:$N$3001,0)))</f>
        <v/>
      </c>
      <c r="N861" s="21" t="str">
        <f aca="false">IF($A861="","",SUMIFS(PERLINE!$M$2:$M$3001,PERLINE!$N$2:$N$3001,$A861))</f>
        <v/>
      </c>
    </row>
    <row r="862" customFormat="false" ht="15" hidden="false" customHeight="false" outlineLevel="0" collapsed="false">
      <c r="A862" s="15" t="str">
        <f aca="false">IF(ROWS($A$2:$A862)&lt;=Check!$C$4,SMALL(PERLINE!$AL$2:$AL$3001,ROWS($A$2:$A862)),"")</f>
        <v/>
      </c>
      <c r="B862" s="15" t="str">
        <f aca="false">IF($A862="","",INDEX(PERLINE!$J$2:$J$3001,MATCH($A862,PERLINE!$N$2:$N$3001,0)))</f>
        <v/>
      </c>
      <c r="C862" s="16" t="str">
        <f aca="false">IF($A862="","",INDEX(PERLINE!$I$2:$I$3001,MATCH($A862,PERLINE!$N$2:$N$3001,0)))</f>
        <v/>
      </c>
      <c r="D862" s="17" t="str">
        <f aca="false">IF($A862="","",'كشف المطالبة'!$D$6)</f>
        <v/>
      </c>
      <c r="E862" s="18" t="str">
        <f aca="false">IF($A862="","",SUMIFS(PERLINE!$U$2:$U$3001,PERLINE!$N$2:$N$3001,$A862,PERLINE!$AK$2:$AK$3001,0))</f>
        <v/>
      </c>
      <c r="F862" s="19" t="str">
        <f aca="false">IF($A862="","",E862*D862)</f>
        <v/>
      </c>
      <c r="G862" s="17" t="str">
        <f aca="false">IF($A862="","",'كشف المطالبة'!$D$5)</f>
        <v/>
      </c>
      <c r="H862" s="18" t="str">
        <f aca="false">IF($A862="","",SUMIFS(PERLINE!$U$2:$U$3001,PERLINE!$N$2:$N$3001,$A862,PERLINE!$AK$2:$AK$3001,1))</f>
        <v/>
      </c>
      <c r="I862" s="19" t="str">
        <f aca="false">IF($A862="","",H862*G862)</f>
        <v/>
      </c>
      <c r="J862" s="19" t="str">
        <f aca="false">IF($A862="","",F862+I862)</f>
        <v/>
      </c>
      <c r="K862" s="19" t="str">
        <f aca="false">IF($A862="","",H862+E862)</f>
        <v/>
      </c>
      <c r="L862" s="20" t="str">
        <f aca="false">IF($A862="","",K862-J862-N862)</f>
        <v/>
      </c>
      <c r="M862" s="15" t="str">
        <f aca="false">IF($A862="","",INDEX(PERLINE!$A$2:$A$3001,MATCH($A862,PERLINE!$N$2:$N$3001,0)))</f>
        <v/>
      </c>
      <c r="N862" s="21" t="str">
        <f aca="false">IF($A862="","",SUMIFS(PERLINE!$M$2:$M$3001,PERLINE!$N$2:$N$3001,$A862))</f>
        <v/>
      </c>
    </row>
    <row r="863" customFormat="false" ht="15" hidden="false" customHeight="false" outlineLevel="0" collapsed="false">
      <c r="A863" s="15" t="str">
        <f aca="false">IF(ROWS($A$2:$A863)&lt;=Check!$C$4,SMALL(PERLINE!$AL$2:$AL$3001,ROWS($A$2:$A863)),"")</f>
        <v/>
      </c>
      <c r="B863" s="15" t="str">
        <f aca="false">IF($A863="","",INDEX(PERLINE!$J$2:$J$3001,MATCH($A863,PERLINE!$N$2:$N$3001,0)))</f>
        <v/>
      </c>
      <c r="C863" s="16" t="str">
        <f aca="false">IF($A863="","",INDEX(PERLINE!$I$2:$I$3001,MATCH($A863,PERLINE!$N$2:$N$3001,0)))</f>
        <v/>
      </c>
      <c r="D863" s="17" t="str">
        <f aca="false">IF($A863="","",'كشف المطالبة'!$D$6)</f>
        <v/>
      </c>
      <c r="E863" s="18" t="str">
        <f aca="false">IF($A863="","",SUMIFS(PERLINE!$U$2:$U$3001,PERLINE!$N$2:$N$3001,$A863,PERLINE!$AK$2:$AK$3001,0))</f>
        <v/>
      </c>
      <c r="F863" s="19" t="str">
        <f aca="false">IF($A863="","",E863*D863)</f>
        <v/>
      </c>
      <c r="G863" s="17" t="str">
        <f aca="false">IF($A863="","",'كشف المطالبة'!$D$5)</f>
        <v/>
      </c>
      <c r="H863" s="18" t="str">
        <f aca="false">IF($A863="","",SUMIFS(PERLINE!$U$2:$U$3001,PERLINE!$N$2:$N$3001,$A863,PERLINE!$AK$2:$AK$3001,1))</f>
        <v/>
      </c>
      <c r="I863" s="19" t="str">
        <f aca="false">IF($A863="","",H863*G863)</f>
        <v/>
      </c>
      <c r="J863" s="19" t="str">
        <f aca="false">IF($A863="","",F863+I863)</f>
        <v/>
      </c>
      <c r="K863" s="19" t="str">
        <f aca="false">IF($A863="","",H863+E863)</f>
        <v/>
      </c>
      <c r="L863" s="20" t="str">
        <f aca="false">IF($A863="","",K863-J863-N863)</f>
        <v/>
      </c>
      <c r="M863" s="15" t="str">
        <f aca="false">IF($A863="","",INDEX(PERLINE!$A$2:$A$3001,MATCH($A863,PERLINE!$N$2:$N$3001,0)))</f>
        <v/>
      </c>
      <c r="N863" s="21" t="str">
        <f aca="false">IF($A863="","",SUMIFS(PERLINE!$M$2:$M$3001,PERLINE!$N$2:$N$3001,$A863))</f>
        <v/>
      </c>
    </row>
    <row r="864" customFormat="false" ht="15" hidden="false" customHeight="false" outlineLevel="0" collapsed="false">
      <c r="A864" s="15" t="str">
        <f aca="false">IF(ROWS($A$2:$A864)&lt;=Check!$C$4,SMALL(PERLINE!$AL$2:$AL$3001,ROWS($A$2:$A864)),"")</f>
        <v/>
      </c>
      <c r="B864" s="15" t="str">
        <f aca="false">IF($A864="","",INDEX(PERLINE!$J$2:$J$3001,MATCH($A864,PERLINE!$N$2:$N$3001,0)))</f>
        <v/>
      </c>
      <c r="C864" s="16" t="str">
        <f aca="false">IF($A864="","",INDEX(PERLINE!$I$2:$I$3001,MATCH($A864,PERLINE!$N$2:$N$3001,0)))</f>
        <v/>
      </c>
      <c r="D864" s="17" t="str">
        <f aca="false">IF($A864="","",'كشف المطالبة'!$D$6)</f>
        <v/>
      </c>
      <c r="E864" s="18" t="str">
        <f aca="false">IF($A864="","",SUMIFS(PERLINE!$U$2:$U$3001,PERLINE!$N$2:$N$3001,$A864,PERLINE!$AK$2:$AK$3001,0))</f>
        <v/>
      </c>
      <c r="F864" s="19" t="str">
        <f aca="false">IF($A864="","",E864*D864)</f>
        <v/>
      </c>
      <c r="G864" s="17" t="str">
        <f aca="false">IF($A864="","",'كشف المطالبة'!$D$5)</f>
        <v/>
      </c>
      <c r="H864" s="18" t="str">
        <f aca="false">IF($A864="","",SUMIFS(PERLINE!$U$2:$U$3001,PERLINE!$N$2:$N$3001,$A864,PERLINE!$AK$2:$AK$3001,1))</f>
        <v/>
      </c>
      <c r="I864" s="19" t="str">
        <f aca="false">IF($A864="","",H864*G864)</f>
        <v/>
      </c>
      <c r="J864" s="19" t="str">
        <f aca="false">IF($A864="","",F864+I864)</f>
        <v/>
      </c>
      <c r="K864" s="19" t="str">
        <f aca="false">IF($A864="","",H864+E864)</f>
        <v/>
      </c>
      <c r="L864" s="20" t="str">
        <f aca="false">IF($A864="","",K864-J864-N864)</f>
        <v/>
      </c>
      <c r="M864" s="15" t="str">
        <f aca="false">IF($A864="","",INDEX(PERLINE!$A$2:$A$3001,MATCH($A864,PERLINE!$N$2:$N$3001,0)))</f>
        <v/>
      </c>
      <c r="N864" s="21" t="str">
        <f aca="false">IF($A864="","",SUMIFS(PERLINE!$M$2:$M$3001,PERLINE!$N$2:$N$3001,$A864))</f>
        <v/>
      </c>
    </row>
    <row r="865" customFormat="false" ht="15" hidden="false" customHeight="false" outlineLevel="0" collapsed="false">
      <c r="A865" s="15" t="str">
        <f aca="false">IF(ROWS($A$2:$A865)&lt;=Check!$C$4,SMALL(PERLINE!$AL$2:$AL$3001,ROWS($A$2:$A865)),"")</f>
        <v/>
      </c>
      <c r="B865" s="15" t="str">
        <f aca="false">IF($A865="","",INDEX(PERLINE!$J$2:$J$3001,MATCH($A865,PERLINE!$N$2:$N$3001,0)))</f>
        <v/>
      </c>
      <c r="C865" s="16" t="str">
        <f aca="false">IF($A865="","",INDEX(PERLINE!$I$2:$I$3001,MATCH($A865,PERLINE!$N$2:$N$3001,0)))</f>
        <v/>
      </c>
      <c r="D865" s="17" t="str">
        <f aca="false">IF($A865="","",'كشف المطالبة'!$D$6)</f>
        <v/>
      </c>
      <c r="E865" s="18" t="str">
        <f aca="false">IF($A865="","",SUMIFS(PERLINE!$U$2:$U$3001,PERLINE!$N$2:$N$3001,$A865,PERLINE!$AK$2:$AK$3001,0))</f>
        <v/>
      </c>
      <c r="F865" s="19" t="str">
        <f aca="false">IF($A865="","",E865*D865)</f>
        <v/>
      </c>
      <c r="G865" s="17" t="str">
        <f aca="false">IF($A865="","",'كشف المطالبة'!$D$5)</f>
        <v/>
      </c>
      <c r="H865" s="18" t="str">
        <f aca="false">IF($A865="","",SUMIFS(PERLINE!$U$2:$U$3001,PERLINE!$N$2:$N$3001,$A865,PERLINE!$AK$2:$AK$3001,1))</f>
        <v/>
      </c>
      <c r="I865" s="19" t="str">
        <f aca="false">IF($A865="","",H865*G865)</f>
        <v/>
      </c>
      <c r="J865" s="19" t="str">
        <f aca="false">IF($A865="","",F865+I865)</f>
        <v/>
      </c>
      <c r="K865" s="19" t="str">
        <f aca="false">IF($A865="","",H865+E865)</f>
        <v/>
      </c>
      <c r="L865" s="20" t="str">
        <f aca="false">IF($A865="","",K865-J865-N865)</f>
        <v/>
      </c>
      <c r="M865" s="15" t="str">
        <f aca="false">IF($A865="","",INDEX(PERLINE!$A$2:$A$3001,MATCH($A865,PERLINE!$N$2:$N$3001,0)))</f>
        <v/>
      </c>
      <c r="N865" s="21" t="str">
        <f aca="false">IF($A865="","",SUMIFS(PERLINE!$M$2:$M$3001,PERLINE!$N$2:$N$3001,$A865))</f>
        <v/>
      </c>
    </row>
    <row r="866" customFormat="false" ht="15" hidden="false" customHeight="false" outlineLevel="0" collapsed="false">
      <c r="A866" s="15" t="str">
        <f aca="false">IF(ROWS($A$2:$A866)&lt;=Check!$C$4,SMALL(PERLINE!$AL$2:$AL$3001,ROWS($A$2:$A866)),"")</f>
        <v/>
      </c>
      <c r="B866" s="15" t="str">
        <f aca="false">IF($A866="","",INDEX(PERLINE!$J$2:$J$3001,MATCH($A866,PERLINE!$N$2:$N$3001,0)))</f>
        <v/>
      </c>
      <c r="C866" s="16" t="str">
        <f aca="false">IF($A866="","",INDEX(PERLINE!$I$2:$I$3001,MATCH($A866,PERLINE!$N$2:$N$3001,0)))</f>
        <v/>
      </c>
      <c r="D866" s="17" t="str">
        <f aca="false">IF($A866="","",'كشف المطالبة'!$D$6)</f>
        <v/>
      </c>
      <c r="E866" s="18" t="str">
        <f aca="false">IF($A866="","",SUMIFS(PERLINE!$U$2:$U$3001,PERLINE!$N$2:$N$3001,$A866,PERLINE!$AK$2:$AK$3001,0))</f>
        <v/>
      </c>
      <c r="F866" s="19" t="str">
        <f aca="false">IF($A866="","",E866*D866)</f>
        <v/>
      </c>
      <c r="G866" s="17" t="str">
        <f aca="false">IF($A866="","",'كشف المطالبة'!$D$5)</f>
        <v/>
      </c>
      <c r="H866" s="18" t="str">
        <f aca="false">IF($A866="","",SUMIFS(PERLINE!$U$2:$U$3001,PERLINE!$N$2:$N$3001,$A866,PERLINE!$AK$2:$AK$3001,1))</f>
        <v/>
      </c>
      <c r="I866" s="19" t="str">
        <f aca="false">IF($A866="","",H866*G866)</f>
        <v/>
      </c>
      <c r="J866" s="19" t="str">
        <f aca="false">IF($A866="","",F866+I866)</f>
        <v/>
      </c>
      <c r="K866" s="19" t="str">
        <f aca="false">IF($A866="","",H866+E866)</f>
        <v/>
      </c>
      <c r="L866" s="20" t="str">
        <f aca="false">IF($A866="","",K866-J866-N866)</f>
        <v/>
      </c>
      <c r="M866" s="15" t="str">
        <f aca="false">IF($A866="","",INDEX(PERLINE!$A$2:$A$3001,MATCH($A866,PERLINE!$N$2:$N$3001,0)))</f>
        <v/>
      </c>
      <c r="N866" s="21" t="str">
        <f aca="false">IF($A866="","",SUMIFS(PERLINE!$M$2:$M$3001,PERLINE!$N$2:$N$3001,$A866))</f>
        <v/>
      </c>
    </row>
    <row r="867" customFormat="false" ht="15" hidden="false" customHeight="false" outlineLevel="0" collapsed="false">
      <c r="A867" s="15" t="str">
        <f aca="false">IF(ROWS($A$2:$A867)&lt;=Check!$C$4,SMALL(PERLINE!$AL$2:$AL$3001,ROWS($A$2:$A867)),"")</f>
        <v/>
      </c>
      <c r="B867" s="15" t="str">
        <f aca="false">IF($A867="","",INDEX(PERLINE!$J$2:$J$3001,MATCH($A867,PERLINE!$N$2:$N$3001,0)))</f>
        <v/>
      </c>
      <c r="C867" s="16" t="str">
        <f aca="false">IF($A867="","",INDEX(PERLINE!$I$2:$I$3001,MATCH($A867,PERLINE!$N$2:$N$3001,0)))</f>
        <v/>
      </c>
      <c r="D867" s="17" t="str">
        <f aca="false">IF($A867="","",'كشف المطالبة'!$D$6)</f>
        <v/>
      </c>
      <c r="E867" s="18" t="str">
        <f aca="false">IF($A867="","",SUMIFS(PERLINE!$U$2:$U$3001,PERLINE!$N$2:$N$3001,$A867,PERLINE!$AK$2:$AK$3001,0))</f>
        <v/>
      </c>
      <c r="F867" s="19" t="str">
        <f aca="false">IF($A867="","",E867*D867)</f>
        <v/>
      </c>
      <c r="G867" s="17" t="str">
        <f aca="false">IF($A867="","",'كشف المطالبة'!$D$5)</f>
        <v/>
      </c>
      <c r="H867" s="18" t="str">
        <f aca="false">IF($A867="","",SUMIFS(PERLINE!$U$2:$U$3001,PERLINE!$N$2:$N$3001,$A867,PERLINE!$AK$2:$AK$3001,1))</f>
        <v/>
      </c>
      <c r="I867" s="19" t="str">
        <f aca="false">IF($A867="","",H867*G867)</f>
        <v/>
      </c>
      <c r="J867" s="19" t="str">
        <f aca="false">IF($A867="","",F867+I867)</f>
        <v/>
      </c>
      <c r="K867" s="19" t="str">
        <f aca="false">IF($A867="","",H867+E867)</f>
        <v/>
      </c>
      <c r="L867" s="20" t="str">
        <f aca="false">IF($A867="","",K867-J867-N867)</f>
        <v/>
      </c>
      <c r="M867" s="15" t="str">
        <f aca="false">IF($A867="","",INDEX(PERLINE!$A$2:$A$3001,MATCH($A867,PERLINE!$N$2:$N$3001,0)))</f>
        <v/>
      </c>
      <c r="N867" s="21" t="str">
        <f aca="false">IF($A867="","",SUMIFS(PERLINE!$M$2:$M$3001,PERLINE!$N$2:$N$3001,$A867))</f>
        <v/>
      </c>
    </row>
    <row r="868" customFormat="false" ht="15" hidden="false" customHeight="false" outlineLevel="0" collapsed="false">
      <c r="A868" s="15" t="str">
        <f aca="false">IF(ROWS($A$2:$A868)&lt;=Check!$C$4,SMALL(PERLINE!$AL$2:$AL$3001,ROWS($A$2:$A868)),"")</f>
        <v/>
      </c>
      <c r="B868" s="15" t="str">
        <f aca="false">IF($A868="","",INDEX(PERLINE!$J$2:$J$3001,MATCH($A868,PERLINE!$N$2:$N$3001,0)))</f>
        <v/>
      </c>
      <c r="C868" s="16" t="str">
        <f aca="false">IF($A868="","",INDEX(PERLINE!$I$2:$I$3001,MATCH($A868,PERLINE!$N$2:$N$3001,0)))</f>
        <v/>
      </c>
      <c r="D868" s="17" t="str">
        <f aca="false">IF($A868="","",'كشف المطالبة'!$D$6)</f>
        <v/>
      </c>
      <c r="E868" s="18" t="str">
        <f aca="false">IF($A868="","",SUMIFS(PERLINE!$U$2:$U$3001,PERLINE!$N$2:$N$3001,$A868,PERLINE!$AK$2:$AK$3001,0))</f>
        <v/>
      </c>
      <c r="F868" s="19" t="str">
        <f aca="false">IF($A868="","",E868*D868)</f>
        <v/>
      </c>
      <c r="G868" s="17" t="str">
        <f aca="false">IF($A868="","",'كشف المطالبة'!$D$5)</f>
        <v/>
      </c>
      <c r="H868" s="18" t="str">
        <f aca="false">IF($A868="","",SUMIFS(PERLINE!$U$2:$U$3001,PERLINE!$N$2:$N$3001,$A868,PERLINE!$AK$2:$AK$3001,1))</f>
        <v/>
      </c>
      <c r="I868" s="19" t="str">
        <f aca="false">IF($A868="","",H868*G868)</f>
        <v/>
      </c>
      <c r="J868" s="19" t="str">
        <f aca="false">IF($A868="","",F868+I868)</f>
        <v/>
      </c>
      <c r="K868" s="19" t="str">
        <f aca="false">IF($A868="","",H868+E868)</f>
        <v/>
      </c>
      <c r="L868" s="20" t="str">
        <f aca="false">IF($A868="","",K868-J868-N868)</f>
        <v/>
      </c>
      <c r="M868" s="15" t="str">
        <f aca="false">IF($A868="","",INDEX(PERLINE!$A$2:$A$3001,MATCH($A868,PERLINE!$N$2:$N$3001,0)))</f>
        <v/>
      </c>
      <c r="N868" s="21" t="str">
        <f aca="false">IF($A868="","",SUMIFS(PERLINE!$M$2:$M$3001,PERLINE!$N$2:$N$3001,$A868))</f>
        <v/>
      </c>
    </row>
    <row r="869" customFormat="false" ht="15" hidden="false" customHeight="false" outlineLevel="0" collapsed="false">
      <c r="A869" s="15" t="str">
        <f aca="false">IF(ROWS($A$2:$A869)&lt;=Check!$C$4,SMALL(PERLINE!$AL$2:$AL$3001,ROWS($A$2:$A869)),"")</f>
        <v/>
      </c>
      <c r="B869" s="15" t="str">
        <f aca="false">IF($A869="","",INDEX(PERLINE!$J$2:$J$3001,MATCH($A869,PERLINE!$N$2:$N$3001,0)))</f>
        <v/>
      </c>
      <c r="C869" s="16" t="str">
        <f aca="false">IF($A869="","",INDEX(PERLINE!$I$2:$I$3001,MATCH($A869,PERLINE!$N$2:$N$3001,0)))</f>
        <v/>
      </c>
      <c r="D869" s="17" t="str">
        <f aca="false">IF($A869="","",'كشف المطالبة'!$D$6)</f>
        <v/>
      </c>
      <c r="E869" s="18" t="str">
        <f aca="false">IF($A869="","",SUMIFS(PERLINE!$U$2:$U$3001,PERLINE!$N$2:$N$3001,$A869,PERLINE!$AK$2:$AK$3001,0))</f>
        <v/>
      </c>
      <c r="F869" s="19" t="str">
        <f aca="false">IF($A869="","",E869*D869)</f>
        <v/>
      </c>
      <c r="G869" s="17" t="str">
        <f aca="false">IF($A869="","",'كشف المطالبة'!$D$5)</f>
        <v/>
      </c>
      <c r="H869" s="18" t="str">
        <f aca="false">IF($A869="","",SUMIFS(PERLINE!$U$2:$U$3001,PERLINE!$N$2:$N$3001,$A869,PERLINE!$AK$2:$AK$3001,1))</f>
        <v/>
      </c>
      <c r="I869" s="19" t="str">
        <f aca="false">IF($A869="","",H869*G869)</f>
        <v/>
      </c>
      <c r="J869" s="19" t="str">
        <f aca="false">IF($A869="","",F869+I869)</f>
        <v/>
      </c>
      <c r="K869" s="19" t="str">
        <f aca="false">IF($A869="","",H869+E869)</f>
        <v/>
      </c>
      <c r="L869" s="20" t="str">
        <f aca="false">IF($A869="","",K869-J869-N869)</f>
        <v/>
      </c>
      <c r="M869" s="15" t="str">
        <f aca="false">IF($A869="","",INDEX(PERLINE!$A$2:$A$3001,MATCH($A869,PERLINE!$N$2:$N$3001,0)))</f>
        <v/>
      </c>
      <c r="N869" s="21" t="str">
        <f aca="false">IF($A869="","",SUMIFS(PERLINE!$M$2:$M$3001,PERLINE!$N$2:$N$3001,$A869))</f>
        <v/>
      </c>
    </row>
    <row r="870" customFormat="false" ht="15" hidden="false" customHeight="false" outlineLevel="0" collapsed="false">
      <c r="A870" s="15" t="str">
        <f aca="false">IF(ROWS($A$2:$A870)&lt;=Check!$C$4,SMALL(PERLINE!$AL$2:$AL$3001,ROWS($A$2:$A870)),"")</f>
        <v/>
      </c>
      <c r="B870" s="15" t="str">
        <f aca="false">IF($A870="","",INDEX(PERLINE!$J$2:$J$3001,MATCH($A870,PERLINE!$N$2:$N$3001,0)))</f>
        <v/>
      </c>
      <c r="C870" s="16" t="str">
        <f aca="false">IF($A870="","",INDEX(PERLINE!$I$2:$I$3001,MATCH($A870,PERLINE!$N$2:$N$3001,0)))</f>
        <v/>
      </c>
      <c r="D870" s="17" t="str">
        <f aca="false">IF($A870="","",'كشف المطالبة'!$D$6)</f>
        <v/>
      </c>
      <c r="E870" s="18" t="str">
        <f aca="false">IF($A870="","",SUMIFS(PERLINE!$U$2:$U$3001,PERLINE!$N$2:$N$3001,$A870,PERLINE!$AK$2:$AK$3001,0))</f>
        <v/>
      </c>
      <c r="F870" s="19" t="str">
        <f aca="false">IF($A870="","",E870*D870)</f>
        <v/>
      </c>
      <c r="G870" s="17" t="str">
        <f aca="false">IF($A870="","",'كشف المطالبة'!$D$5)</f>
        <v/>
      </c>
      <c r="H870" s="18" t="str">
        <f aca="false">IF($A870="","",SUMIFS(PERLINE!$U$2:$U$3001,PERLINE!$N$2:$N$3001,$A870,PERLINE!$AK$2:$AK$3001,1))</f>
        <v/>
      </c>
      <c r="I870" s="19" t="str">
        <f aca="false">IF($A870="","",H870*G870)</f>
        <v/>
      </c>
      <c r="J870" s="19" t="str">
        <f aca="false">IF($A870="","",F870+I870)</f>
        <v/>
      </c>
      <c r="K870" s="19" t="str">
        <f aca="false">IF($A870="","",H870+E870)</f>
        <v/>
      </c>
      <c r="L870" s="20" t="str">
        <f aca="false">IF($A870="","",K870-J870-N870)</f>
        <v/>
      </c>
      <c r="M870" s="15" t="str">
        <f aca="false">IF($A870="","",INDEX(PERLINE!$A$2:$A$3001,MATCH($A870,PERLINE!$N$2:$N$3001,0)))</f>
        <v/>
      </c>
      <c r="N870" s="21" t="str">
        <f aca="false">IF($A870="","",SUMIFS(PERLINE!$M$2:$M$3001,PERLINE!$N$2:$N$3001,$A870))</f>
        <v/>
      </c>
    </row>
    <row r="871" customFormat="false" ht="15" hidden="false" customHeight="false" outlineLevel="0" collapsed="false">
      <c r="A871" s="15" t="str">
        <f aca="false">IF(ROWS($A$2:$A871)&lt;=Check!$C$4,SMALL(PERLINE!$AL$2:$AL$3001,ROWS($A$2:$A871)),"")</f>
        <v/>
      </c>
      <c r="B871" s="15" t="str">
        <f aca="false">IF($A871="","",INDEX(PERLINE!$J$2:$J$3001,MATCH($A871,PERLINE!$N$2:$N$3001,0)))</f>
        <v/>
      </c>
      <c r="C871" s="16" t="str">
        <f aca="false">IF($A871="","",INDEX(PERLINE!$I$2:$I$3001,MATCH($A871,PERLINE!$N$2:$N$3001,0)))</f>
        <v/>
      </c>
      <c r="D871" s="17" t="str">
        <f aca="false">IF($A871="","",'كشف المطالبة'!$D$6)</f>
        <v/>
      </c>
      <c r="E871" s="18" t="str">
        <f aca="false">IF($A871="","",SUMIFS(PERLINE!$U$2:$U$3001,PERLINE!$N$2:$N$3001,$A871,PERLINE!$AK$2:$AK$3001,0))</f>
        <v/>
      </c>
      <c r="F871" s="19" t="str">
        <f aca="false">IF($A871="","",E871*D871)</f>
        <v/>
      </c>
      <c r="G871" s="17" t="str">
        <f aca="false">IF($A871="","",'كشف المطالبة'!$D$5)</f>
        <v/>
      </c>
      <c r="H871" s="18" t="str">
        <f aca="false">IF($A871="","",SUMIFS(PERLINE!$U$2:$U$3001,PERLINE!$N$2:$N$3001,$A871,PERLINE!$AK$2:$AK$3001,1))</f>
        <v/>
      </c>
      <c r="I871" s="19" t="str">
        <f aca="false">IF($A871="","",H871*G871)</f>
        <v/>
      </c>
      <c r="J871" s="19" t="str">
        <f aca="false">IF($A871="","",F871+I871)</f>
        <v/>
      </c>
      <c r="K871" s="19" t="str">
        <f aca="false">IF($A871="","",H871+E871)</f>
        <v/>
      </c>
      <c r="L871" s="20" t="str">
        <f aca="false">IF($A871="","",K871-J871-N871)</f>
        <v/>
      </c>
      <c r="M871" s="15" t="str">
        <f aca="false">IF($A871="","",INDEX(PERLINE!$A$2:$A$3001,MATCH($A871,PERLINE!$N$2:$N$3001,0)))</f>
        <v/>
      </c>
      <c r="N871" s="21" t="str">
        <f aca="false">IF($A871="","",SUMIFS(PERLINE!$M$2:$M$3001,PERLINE!$N$2:$N$3001,$A871))</f>
        <v/>
      </c>
    </row>
    <row r="872" customFormat="false" ht="15" hidden="false" customHeight="false" outlineLevel="0" collapsed="false">
      <c r="A872" s="15" t="str">
        <f aca="false">IF(ROWS($A$2:$A872)&lt;=Check!$C$4,SMALL(PERLINE!$AL$2:$AL$3001,ROWS($A$2:$A872)),"")</f>
        <v/>
      </c>
      <c r="B872" s="15" t="str">
        <f aca="false">IF($A872="","",INDEX(PERLINE!$J$2:$J$3001,MATCH($A872,PERLINE!$N$2:$N$3001,0)))</f>
        <v/>
      </c>
      <c r="C872" s="16" t="str">
        <f aca="false">IF($A872="","",INDEX(PERLINE!$I$2:$I$3001,MATCH($A872,PERLINE!$N$2:$N$3001,0)))</f>
        <v/>
      </c>
      <c r="D872" s="17" t="str">
        <f aca="false">IF($A872="","",'كشف المطالبة'!$D$6)</f>
        <v/>
      </c>
      <c r="E872" s="18" t="str">
        <f aca="false">IF($A872="","",SUMIFS(PERLINE!$U$2:$U$3001,PERLINE!$N$2:$N$3001,$A872,PERLINE!$AK$2:$AK$3001,0))</f>
        <v/>
      </c>
      <c r="F872" s="19" t="str">
        <f aca="false">IF($A872="","",E872*D872)</f>
        <v/>
      </c>
      <c r="G872" s="17" t="str">
        <f aca="false">IF($A872="","",'كشف المطالبة'!$D$5)</f>
        <v/>
      </c>
      <c r="H872" s="18" t="str">
        <f aca="false">IF($A872="","",SUMIFS(PERLINE!$U$2:$U$3001,PERLINE!$N$2:$N$3001,$A872,PERLINE!$AK$2:$AK$3001,1))</f>
        <v/>
      </c>
      <c r="I872" s="19" t="str">
        <f aca="false">IF($A872="","",H872*G872)</f>
        <v/>
      </c>
      <c r="J872" s="19" t="str">
        <f aca="false">IF($A872="","",F872+I872)</f>
        <v/>
      </c>
      <c r="K872" s="19" t="str">
        <f aca="false">IF($A872="","",H872+E872)</f>
        <v/>
      </c>
      <c r="L872" s="20" t="str">
        <f aca="false">IF($A872="","",K872-J872-N872)</f>
        <v/>
      </c>
      <c r="M872" s="15" t="str">
        <f aca="false">IF($A872="","",INDEX(PERLINE!$A$2:$A$3001,MATCH($A872,PERLINE!$N$2:$N$3001,0)))</f>
        <v/>
      </c>
      <c r="N872" s="21" t="str">
        <f aca="false">IF($A872="","",SUMIFS(PERLINE!$M$2:$M$3001,PERLINE!$N$2:$N$3001,$A872))</f>
        <v/>
      </c>
    </row>
    <row r="873" customFormat="false" ht="15" hidden="false" customHeight="false" outlineLevel="0" collapsed="false">
      <c r="A873" s="15" t="str">
        <f aca="false">IF(ROWS($A$2:$A873)&lt;=Check!$C$4,SMALL(PERLINE!$AL$2:$AL$3001,ROWS($A$2:$A873)),"")</f>
        <v/>
      </c>
      <c r="B873" s="15" t="str">
        <f aca="false">IF($A873="","",INDEX(PERLINE!$J$2:$J$3001,MATCH($A873,PERLINE!$N$2:$N$3001,0)))</f>
        <v/>
      </c>
      <c r="C873" s="16" t="str">
        <f aca="false">IF($A873="","",INDEX(PERLINE!$I$2:$I$3001,MATCH($A873,PERLINE!$N$2:$N$3001,0)))</f>
        <v/>
      </c>
      <c r="D873" s="17" t="str">
        <f aca="false">IF($A873="","",'كشف المطالبة'!$D$6)</f>
        <v/>
      </c>
      <c r="E873" s="18" t="str">
        <f aca="false">IF($A873="","",SUMIFS(PERLINE!$U$2:$U$3001,PERLINE!$N$2:$N$3001,$A873,PERLINE!$AK$2:$AK$3001,0))</f>
        <v/>
      </c>
      <c r="F873" s="19" t="str">
        <f aca="false">IF($A873="","",E873*D873)</f>
        <v/>
      </c>
      <c r="G873" s="17" t="str">
        <f aca="false">IF($A873="","",'كشف المطالبة'!$D$5)</f>
        <v/>
      </c>
      <c r="H873" s="18" t="str">
        <f aca="false">IF($A873="","",SUMIFS(PERLINE!$U$2:$U$3001,PERLINE!$N$2:$N$3001,$A873,PERLINE!$AK$2:$AK$3001,1))</f>
        <v/>
      </c>
      <c r="I873" s="19" t="str">
        <f aca="false">IF($A873="","",H873*G873)</f>
        <v/>
      </c>
      <c r="J873" s="19" t="str">
        <f aca="false">IF($A873="","",F873+I873)</f>
        <v/>
      </c>
      <c r="K873" s="19" t="str">
        <f aca="false">IF($A873="","",H873+E873)</f>
        <v/>
      </c>
      <c r="L873" s="20" t="str">
        <f aca="false">IF($A873="","",K873-J873-N873)</f>
        <v/>
      </c>
      <c r="M873" s="15" t="str">
        <f aca="false">IF($A873="","",INDEX(PERLINE!$A$2:$A$3001,MATCH($A873,PERLINE!$N$2:$N$3001,0)))</f>
        <v/>
      </c>
      <c r="N873" s="21" t="str">
        <f aca="false">IF($A873="","",SUMIFS(PERLINE!$M$2:$M$3001,PERLINE!$N$2:$N$3001,$A873))</f>
        <v/>
      </c>
    </row>
    <row r="874" customFormat="false" ht="15" hidden="false" customHeight="false" outlineLevel="0" collapsed="false">
      <c r="A874" s="15" t="str">
        <f aca="false">IF(ROWS($A$2:$A874)&lt;=Check!$C$4,SMALL(PERLINE!$AL$2:$AL$3001,ROWS($A$2:$A874)),"")</f>
        <v/>
      </c>
      <c r="B874" s="15" t="str">
        <f aca="false">IF($A874="","",INDEX(PERLINE!$J$2:$J$3001,MATCH($A874,PERLINE!$N$2:$N$3001,0)))</f>
        <v/>
      </c>
      <c r="C874" s="16" t="str">
        <f aca="false">IF($A874="","",INDEX(PERLINE!$I$2:$I$3001,MATCH($A874,PERLINE!$N$2:$N$3001,0)))</f>
        <v/>
      </c>
      <c r="D874" s="17" t="str">
        <f aca="false">IF($A874="","",'كشف المطالبة'!$D$6)</f>
        <v/>
      </c>
      <c r="E874" s="18" t="str">
        <f aca="false">IF($A874="","",SUMIFS(PERLINE!$U$2:$U$3001,PERLINE!$N$2:$N$3001,$A874,PERLINE!$AK$2:$AK$3001,0))</f>
        <v/>
      </c>
      <c r="F874" s="19" t="str">
        <f aca="false">IF($A874="","",E874*D874)</f>
        <v/>
      </c>
      <c r="G874" s="17" t="str">
        <f aca="false">IF($A874="","",'كشف المطالبة'!$D$5)</f>
        <v/>
      </c>
      <c r="H874" s="18" t="str">
        <f aca="false">IF($A874="","",SUMIFS(PERLINE!$U$2:$U$3001,PERLINE!$N$2:$N$3001,$A874,PERLINE!$AK$2:$AK$3001,1))</f>
        <v/>
      </c>
      <c r="I874" s="19" t="str">
        <f aca="false">IF($A874="","",H874*G874)</f>
        <v/>
      </c>
      <c r="J874" s="19" t="str">
        <f aca="false">IF($A874="","",F874+I874)</f>
        <v/>
      </c>
      <c r="K874" s="19" t="str">
        <f aca="false">IF($A874="","",H874+E874)</f>
        <v/>
      </c>
      <c r="L874" s="20" t="str">
        <f aca="false">IF($A874="","",K874-J874-N874)</f>
        <v/>
      </c>
      <c r="M874" s="15" t="str">
        <f aca="false">IF($A874="","",INDEX(PERLINE!$A$2:$A$3001,MATCH($A874,PERLINE!$N$2:$N$3001,0)))</f>
        <v/>
      </c>
      <c r="N874" s="21" t="str">
        <f aca="false">IF($A874="","",SUMIFS(PERLINE!$M$2:$M$3001,PERLINE!$N$2:$N$3001,$A874))</f>
        <v/>
      </c>
    </row>
    <row r="875" customFormat="false" ht="15" hidden="false" customHeight="false" outlineLevel="0" collapsed="false">
      <c r="A875" s="15" t="str">
        <f aca="false">IF(ROWS($A$2:$A875)&lt;=Check!$C$4,SMALL(PERLINE!$AL$2:$AL$3001,ROWS($A$2:$A875)),"")</f>
        <v/>
      </c>
      <c r="B875" s="15" t="str">
        <f aca="false">IF($A875="","",INDEX(PERLINE!$J$2:$J$3001,MATCH($A875,PERLINE!$N$2:$N$3001,0)))</f>
        <v/>
      </c>
      <c r="C875" s="16" t="str">
        <f aca="false">IF($A875="","",INDEX(PERLINE!$I$2:$I$3001,MATCH($A875,PERLINE!$N$2:$N$3001,0)))</f>
        <v/>
      </c>
      <c r="D875" s="17" t="str">
        <f aca="false">IF($A875="","",'كشف المطالبة'!$D$6)</f>
        <v/>
      </c>
      <c r="E875" s="18" t="str">
        <f aca="false">IF($A875="","",SUMIFS(PERLINE!$U$2:$U$3001,PERLINE!$N$2:$N$3001,$A875,PERLINE!$AK$2:$AK$3001,0))</f>
        <v/>
      </c>
      <c r="F875" s="19" t="str">
        <f aca="false">IF($A875="","",E875*D875)</f>
        <v/>
      </c>
      <c r="G875" s="17" t="str">
        <f aca="false">IF($A875="","",'كشف المطالبة'!$D$5)</f>
        <v/>
      </c>
      <c r="H875" s="18" t="str">
        <f aca="false">IF($A875="","",SUMIFS(PERLINE!$U$2:$U$3001,PERLINE!$N$2:$N$3001,$A875,PERLINE!$AK$2:$AK$3001,1))</f>
        <v/>
      </c>
      <c r="I875" s="19" t="str">
        <f aca="false">IF($A875="","",H875*G875)</f>
        <v/>
      </c>
      <c r="J875" s="19" t="str">
        <f aca="false">IF($A875="","",F875+I875)</f>
        <v/>
      </c>
      <c r="K875" s="19" t="str">
        <f aca="false">IF($A875="","",H875+E875)</f>
        <v/>
      </c>
      <c r="L875" s="20" t="str">
        <f aca="false">IF($A875="","",K875-J875-N875)</f>
        <v/>
      </c>
      <c r="M875" s="15" t="str">
        <f aca="false">IF($A875="","",INDEX(PERLINE!$A$2:$A$3001,MATCH($A875,PERLINE!$N$2:$N$3001,0)))</f>
        <v/>
      </c>
      <c r="N875" s="21" t="str">
        <f aca="false">IF($A875="","",SUMIFS(PERLINE!$M$2:$M$3001,PERLINE!$N$2:$N$3001,$A875))</f>
        <v/>
      </c>
    </row>
    <row r="876" customFormat="false" ht="15" hidden="false" customHeight="false" outlineLevel="0" collapsed="false">
      <c r="A876" s="15" t="str">
        <f aca="false">IF(ROWS($A$2:$A876)&lt;=Check!$C$4,SMALL(PERLINE!$AL$2:$AL$3001,ROWS($A$2:$A876)),"")</f>
        <v/>
      </c>
      <c r="B876" s="15" t="str">
        <f aca="false">IF($A876="","",INDEX(PERLINE!$J$2:$J$3001,MATCH($A876,PERLINE!$N$2:$N$3001,0)))</f>
        <v/>
      </c>
      <c r="C876" s="16" t="str">
        <f aca="false">IF($A876="","",INDEX(PERLINE!$I$2:$I$3001,MATCH($A876,PERLINE!$N$2:$N$3001,0)))</f>
        <v/>
      </c>
      <c r="D876" s="17" t="str">
        <f aca="false">IF($A876="","",'كشف المطالبة'!$D$6)</f>
        <v/>
      </c>
      <c r="E876" s="18" t="str">
        <f aca="false">IF($A876="","",SUMIFS(PERLINE!$U$2:$U$3001,PERLINE!$N$2:$N$3001,$A876,PERLINE!$AK$2:$AK$3001,0))</f>
        <v/>
      </c>
      <c r="F876" s="19" t="str">
        <f aca="false">IF($A876="","",E876*D876)</f>
        <v/>
      </c>
      <c r="G876" s="17" t="str">
        <f aca="false">IF($A876="","",'كشف المطالبة'!$D$5)</f>
        <v/>
      </c>
      <c r="H876" s="18" t="str">
        <f aca="false">IF($A876="","",SUMIFS(PERLINE!$U$2:$U$3001,PERLINE!$N$2:$N$3001,$A876,PERLINE!$AK$2:$AK$3001,1))</f>
        <v/>
      </c>
      <c r="I876" s="19" t="str">
        <f aca="false">IF($A876="","",H876*G876)</f>
        <v/>
      </c>
      <c r="J876" s="19" t="str">
        <f aca="false">IF($A876="","",F876+I876)</f>
        <v/>
      </c>
      <c r="K876" s="19" t="str">
        <f aca="false">IF($A876="","",H876+E876)</f>
        <v/>
      </c>
      <c r="L876" s="20" t="str">
        <f aca="false">IF($A876="","",K876-J876-N876)</f>
        <v/>
      </c>
      <c r="M876" s="15" t="str">
        <f aca="false">IF($A876="","",INDEX(PERLINE!$A$2:$A$3001,MATCH($A876,PERLINE!$N$2:$N$3001,0)))</f>
        <v/>
      </c>
      <c r="N876" s="21" t="str">
        <f aca="false">IF($A876="","",SUMIFS(PERLINE!$M$2:$M$3001,PERLINE!$N$2:$N$3001,$A876))</f>
        <v/>
      </c>
    </row>
    <row r="877" customFormat="false" ht="15" hidden="false" customHeight="false" outlineLevel="0" collapsed="false">
      <c r="A877" s="15" t="str">
        <f aca="false">IF(ROWS($A$2:$A877)&lt;=Check!$C$4,SMALL(PERLINE!$AL$2:$AL$3001,ROWS($A$2:$A877)),"")</f>
        <v/>
      </c>
      <c r="B877" s="15" t="str">
        <f aca="false">IF($A877="","",INDEX(PERLINE!$J$2:$J$3001,MATCH($A877,PERLINE!$N$2:$N$3001,0)))</f>
        <v/>
      </c>
      <c r="C877" s="16" t="str">
        <f aca="false">IF($A877="","",INDEX(PERLINE!$I$2:$I$3001,MATCH($A877,PERLINE!$N$2:$N$3001,0)))</f>
        <v/>
      </c>
      <c r="D877" s="17" t="str">
        <f aca="false">IF($A877="","",'كشف المطالبة'!$D$6)</f>
        <v/>
      </c>
      <c r="E877" s="18" t="str">
        <f aca="false">IF($A877="","",SUMIFS(PERLINE!$U$2:$U$3001,PERLINE!$N$2:$N$3001,$A877,PERLINE!$AK$2:$AK$3001,0))</f>
        <v/>
      </c>
      <c r="F877" s="19" t="str">
        <f aca="false">IF($A877="","",E877*D877)</f>
        <v/>
      </c>
      <c r="G877" s="17" t="str">
        <f aca="false">IF($A877="","",'كشف المطالبة'!$D$5)</f>
        <v/>
      </c>
      <c r="H877" s="18" t="str">
        <f aca="false">IF($A877="","",SUMIFS(PERLINE!$U$2:$U$3001,PERLINE!$N$2:$N$3001,$A877,PERLINE!$AK$2:$AK$3001,1))</f>
        <v/>
      </c>
      <c r="I877" s="19" t="str">
        <f aca="false">IF($A877="","",H877*G877)</f>
        <v/>
      </c>
      <c r="J877" s="19" t="str">
        <f aca="false">IF($A877="","",F877+I877)</f>
        <v/>
      </c>
      <c r="K877" s="19" t="str">
        <f aca="false">IF($A877="","",H877+E877)</f>
        <v/>
      </c>
      <c r="L877" s="20" t="str">
        <f aca="false">IF($A877="","",K877-J877-N877)</f>
        <v/>
      </c>
      <c r="M877" s="15" t="str">
        <f aca="false">IF($A877="","",INDEX(PERLINE!$A$2:$A$3001,MATCH($A877,PERLINE!$N$2:$N$3001,0)))</f>
        <v/>
      </c>
      <c r="N877" s="21" t="str">
        <f aca="false">IF($A877="","",SUMIFS(PERLINE!$M$2:$M$3001,PERLINE!$N$2:$N$3001,$A877))</f>
        <v/>
      </c>
    </row>
    <row r="878" customFormat="false" ht="15" hidden="false" customHeight="false" outlineLevel="0" collapsed="false">
      <c r="A878" s="15" t="str">
        <f aca="false">IF(ROWS($A$2:$A878)&lt;=Check!$C$4,SMALL(PERLINE!$AL$2:$AL$3001,ROWS($A$2:$A878)),"")</f>
        <v/>
      </c>
      <c r="B878" s="15" t="str">
        <f aca="false">IF($A878="","",INDEX(PERLINE!$J$2:$J$3001,MATCH($A878,PERLINE!$N$2:$N$3001,0)))</f>
        <v/>
      </c>
      <c r="C878" s="16" t="str">
        <f aca="false">IF($A878="","",INDEX(PERLINE!$I$2:$I$3001,MATCH($A878,PERLINE!$N$2:$N$3001,0)))</f>
        <v/>
      </c>
      <c r="D878" s="17" t="str">
        <f aca="false">IF($A878="","",'كشف المطالبة'!$D$6)</f>
        <v/>
      </c>
      <c r="E878" s="18" t="str">
        <f aca="false">IF($A878="","",SUMIFS(PERLINE!$U$2:$U$3001,PERLINE!$N$2:$N$3001,$A878,PERLINE!$AK$2:$AK$3001,0))</f>
        <v/>
      </c>
      <c r="F878" s="19" t="str">
        <f aca="false">IF($A878="","",E878*D878)</f>
        <v/>
      </c>
      <c r="G878" s="17" t="str">
        <f aca="false">IF($A878="","",'كشف المطالبة'!$D$5)</f>
        <v/>
      </c>
      <c r="H878" s="18" t="str">
        <f aca="false">IF($A878="","",SUMIFS(PERLINE!$U$2:$U$3001,PERLINE!$N$2:$N$3001,$A878,PERLINE!$AK$2:$AK$3001,1))</f>
        <v/>
      </c>
      <c r="I878" s="19" t="str">
        <f aca="false">IF($A878="","",H878*G878)</f>
        <v/>
      </c>
      <c r="J878" s="19" t="str">
        <f aca="false">IF($A878="","",F878+I878)</f>
        <v/>
      </c>
      <c r="K878" s="19" t="str">
        <f aca="false">IF($A878="","",H878+E878)</f>
        <v/>
      </c>
      <c r="L878" s="20" t="str">
        <f aca="false">IF($A878="","",K878-J878-N878)</f>
        <v/>
      </c>
      <c r="M878" s="15" t="str">
        <f aca="false">IF($A878="","",INDEX(PERLINE!$A$2:$A$3001,MATCH($A878,PERLINE!$N$2:$N$3001,0)))</f>
        <v/>
      </c>
      <c r="N878" s="21" t="str">
        <f aca="false">IF($A878="","",SUMIFS(PERLINE!$M$2:$M$3001,PERLINE!$N$2:$N$3001,$A878))</f>
        <v/>
      </c>
    </row>
    <row r="879" customFormat="false" ht="15" hidden="false" customHeight="false" outlineLevel="0" collapsed="false">
      <c r="A879" s="15" t="str">
        <f aca="false">IF(ROWS($A$2:$A879)&lt;=Check!$C$4,SMALL(PERLINE!$AL$2:$AL$3001,ROWS($A$2:$A879)),"")</f>
        <v/>
      </c>
      <c r="B879" s="15" t="str">
        <f aca="false">IF($A879="","",INDEX(PERLINE!$J$2:$J$3001,MATCH($A879,PERLINE!$N$2:$N$3001,0)))</f>
        <v/>
      </c>
      <c r="C879" s="16" t="str">
        <f aca="false">IF($A879="","",INDEX(PERLINE!$I$2:$I$3001,MATCH($A879,PERLINE!$N$2:$N$3001,0)))</f>
        <v/>
      </c>
      <c r="D879" s="17" t="str">
        <f aca="false">IF($A879="","",'كشف المطالبة'!$D$6)</f>
        <v/>
      </c>
      <c r="E879" s="18" t="str">
        <f aca="false">IF($A879="","",SUMIFS(PERLINE!$U$2:$U$3001,PERLINE!$N$2:$N$3001,$A879,PERLINE!$AK$2:$AK$3001,0))</f>
        <v/>
      </c>
      <c r="F879" s="19" t="str">
        <f aca="false">IF($A879="","",E879*D879)</f>
        <v/>
      </c>
      <c r="G879" s="17" t="str">
        <f aca="false">IF($A879="","",'كشف المطالبة'!$D$5)</f>
        <v/>
      </c>
      <c r="H879" s="18" t="str">
        <f aca="false">IF($A879="","",SUMIFS(PERLINE!$U$2:$U$3001,PERLINE!$N$2:$N$3001,$A879,PERLINE!$AK$2:$AK$3001,1))</f>
        <v/>
      </c>
      <c r="I879" s="19" t="str">
        <f aca="false">IF($A879="","",H879*G879)</f>
        <v/>
      </c>
      <c r="J879" s="19" t="str">
        <f aca="false">IF($A879="","",F879+I879)</f>
        <v/>
      </c>
      <c r="K879" s="19" t="str">
        <f aca="false">IF($A879="","",H879+E879)</f>
        <v/>
      </c>
      <c r="L879" s="20" t="str">
        <f aca="false">IF($A879="","",K879-J879-N879)</f>
        <v/>
      </c>
      <c r="M879" s="15" t="str">
        <f aca="false">IF($A879="","",INDEX(PERLINE!$A$2:$A$3001,MATCH($A879,PERLINE!$N$2:$N$3001,0)))</f>
        <v/>
      </c>
      <c r="N879" s="21" t="str">
        <f aca="false">IF($A879="","",SUMIFS(PERLINE!$M$2:$M$3001,PERLINE!$N$2:$N$3001,$A879))</f>
        <v/>
      </c>
    </row>
    <row r="880" customFormat="false" ht="15" hidden="false" customHeight="false" outlineLevel="0" collapsed="false">
      <c r="A880" s="15" t="str">
        <f aca="false">IF(ROWS($A$2:$A880)&lt;=Check!$C$4,SMALL(PERLINE!$AL$2:$AL$3001,ROWS($A$2:$A880)),"")</f>
        <v/>
      </c>
      <c r="B880" s="15" t="str">
        <f aca="false">IF($A880="","",INDEX(PERLINE!$J$2:$J$3001,MATCH($A880,PERLINE!$N$2:$N$3001,0)))</f>
        <v/>
      </c>
      <c r="C880" s="16" t="str">
        <f aca="false">IF($A880="","",INDEX(PERLINE!$I$2:$I$3001,MATCH($A880,PERLINE!$N$2:$N$3001,0)))</f>
        <v/>
      </c>
      <c r="D880" s="17" t="str">
        <f aca="false">IF($A880="","",'كشف المطالبة'!$D$6)</f>
        <v/>
      </c>
      <c r="E880" s="18" t="str">
        <f aca="false">IF($A880="","",SUMIFS(PERLINE!$U$2:$U$3001,PERLINE!$N$2:$N$3001,$A880,PERLINE!$AK$2:$AK$3001,0))</f>
        <v/>
      </c>
      <c r="F880" s="19" t="str">
        <f aca="false">IF($A880="","",E880*D880)</f>
        <v/>
      </c>
      <c r="G880" s="17" t="str">
        <f aca="false">IF($A880="","",'كشف المطالبة'!$D$5)</f>
        <v/>
      </c>
      <c r="H880" s="18" t="str">
        <f aca="false">IF($A880="","",SUMIFS(PERLINE!$U$2:$U$3001,PERLINE!$N$2:$N$3001,$A880,PERLINE!$AK$2:$AK$3001,1))</f>
        <v/>
      </c>
      <c r="I880" s="19" t="str">
        <f aca="false">IF($A880="","",H880*G880)</f>
        <v/>
      </c>
      <c r="J880" s="19" t="str">
        <f aca="false">IF($A880="","",F880+I880)</f>
        <v/>
      </c>
      <c r="K880" s="19" t="str">
        <f aca="false">IF($A880="","",H880+E880)</f>
        <v/>
      </c>
      <c r="L880" s="20" t="str">
        <f aca="false">IF($A880="","",K880-J880-N880)</f>
        <v/>
      </c>
      <c r="M880" s="15" t="str">
        <f aca="false">IF($A880="","",INDEX(PERLINE!$A$2:$A$3001,MATCH($A880,PERLINE!$N$2:$N$3001,0)))</f>
        <v/>
      </c>
      <c r="N880" s="21" t="str">
        <f aca="false">IF($A880="","",SUMIFS(PERLINE!$M$2:$M$3001,PERLINE!$N$2:$N$3001,$A880))</f>
        <v/>
      </c>
    </row>
    <row r="881" customFormat="false" ht="15" hidden="false" customHeight="false" outlineLevel="0" collapsed="false">
      <c r="A881" s="15" t="str">
        <f aca="false">IF(ROWS($A$2:$A881)&lt;=Check!$C$4,SMALL(PERLINE!$AL$2:$AL$3001,ROWS($A$2:$A881)),"")</f>
        <v/>
      </c>
      <c r="B881" s="15" t="str">
        <f aca="false">IF($A881="","",INDEX(PERLINE!$J$2:$J$3001,MATCH($A881,PERLINE!$N$2:$N$3001,0)))</f>
        <v/>
      </c>
      <c r="C881" s="16" t="str">
        <f aca="false">IF($A881="","",INDEX(PERLINE!$I$2:$I$3001,MATCH($A881,PERLINE!$N$2:$N$3001,0)))</f>
        <v/>
      </c>
      <c r="D881" s="17" t="str">
        <f aca="false">IF($A881="","",'كشف المطالبة'!$D$6)</f>
        <v/>
      </c>
      <c r="E881" s="18" t="str">
        <f aca="false">IF($A881="","",SUMIFS(PERLINE!$U$2:$U$3001,PERLINE!$N$2:$N$3001,$A881,PERLINE!$AK$2:$AK$3001,0))</f>
        <v/>
      </c>
      <c r="F881" s="19" t="str">
        <f aca="false">IF($A881="","",E881*D881)</f>
        <v/>
      </c>
      <c r="G881" s="17" t="str">
        <f aca="false">IF($A881="","",'كشف المطالبة'!$D$5)</f>
        <v/>
      </c>
      <c r="H881" s="18" t="str">
        <f aca="false">IF($A881="","",SUMIFS(PERLINE!$U$2:$U$3001,PERLINE!$N$2:$N$3001,$A881,PERLINE!$AK$2:$AK$3001,1))</f>
        <v/>
      </c>
      <c r="I881" s="19" t="str">
        <f aca="false">IF($A881="","",H881*G881)</f>
        <v/>
      </c>
      <c r="J881" s="19" t="str">
        <f aca="false">IF($A881="","",F881+I881)</f>
        <v/>
      </c>
      <c r="K881" s="19" t="str">
        <f aca="false">IF($A881="","",H881+E881)</f>
        <v/>
      </c>
      <c r="L881" s="20" t="str">
        <f aca="false">IF($A881="","",K881-J881-N881)</f>
        <v/>
      </c>
      <c r="M881" s="15" t="str">
        <f aca="false">IF($A881="","",INDEX(PERLINE!$A$2:$A$3001,MATCH($A881,PERLINE!$N$2:$N$3001,0)))</f>
        <v/>
      </c>
      <c r="N881" s="21" t="str">
        <f aca="false">IF($A881="","",SUMIFS(PERLINE!$M$2:$M$3001,PERLINE!$N$2:$N$3001,$A881))</f>
        <v/>
      </c>
    </row>
    <row r="882" customFormat="false" ht="15" hidden="false" customHeight="false" outlineLevel="0" collapsed="false">
      <c r="A882" s="15" t="str">
        <f aca="false">IF(ROWS($A$2:$A882)&lt;=Check!$C$4,SMALL(PERLINE!$AL$2:$AL$3001,ROWS($A$2:$A882)),"")</f>
        <v/>
      </c>
      <c r="B882" s="15" t="str">
        <f aca="false">IF($A882="","",INDEX(PERLINE!$J$2:$J$3001,MATCH($A882,PERLINE!$N$2:$N$3001,0)))</f>
        <v/>
      </c>
      <c r="C882" s="16" t="str">
        <f aca="false">IF($A882="","",INDEX(PERLINE!$I$2:$I$3001,MATCH($A882,PERLINE!$N$2:$N$3001,0)))</f>
        <v/>
      </c>
      <c r="D882" s="17" t="str">
        <f aca="false">IF($A882="","",'كشف المطالبة'!$D$6)</f>
        <v/>
      </c>
      <c r="E882" s="18" t="str">
        <f aca="false">IF($A882="","",SUMIFS(PERLINE!$U$2:$U$3001,PERLINE!$N$2:$N$3001,$A882,PERLINE!$AK$2:$AK$3001,0))</f>
        <v/>
      </c>
      <c r="F882" s="19" t="str">
        <f aca="false">IF($A882="","",E882*D882)</f>
        <v/>
      </c>
      <c r="G882" s="17" t="str">
        <f aca="false">IF($A882="","",'كشف المطالبة'!$D$5)</f>
        <v/>
      </c>
      <c r="H882" s="18" t="str">
        <f aca="false">IF($A882="","",SUMIFS(PERLINE!$U$2:$U$3001,PERLINE!$N$2:$N$3001,$A882,PERLINE!$AK$2:$AK$3001,1))</f>
        <v/>
      </c>
      <c r="I882" s="19" t="str">
        <f aca="false">IF($A882="","",H882*G882)</f>
        <v/>
      </c>
      <c r="J882" s="19" t="str">
        <f aca="false">IF($A882="","",F882+I882)</f>
        <v/>
      </c>
      <c r="K882" s="19" t="str">
        <f aca="false">IF($A882="","",H882+E882)</f>
        <v/>
      </c>
      <c r="L882" s="20" t="str">
        <f aca="false">IF($A882="","",K882-J882-N882)</f>
        <v/>
      </c>
      <c r="M882" s="15" t="str">
        <f aca="false">IF($A882="","",INDEX(PERLINE!$A$2:$A$3001,MATCH($A882,PERLINE!$N$2:$N$3001,0)))</f>
        <v/>
      </c>
      <c r="N882" s="21" t="str">
        <f aca="false">IF($A882="","",SUMIFS(PERLINE!$M$2:$M$3001,PERLINE!$N$2:$N$3001,$A882))</f>
        <v/>
      </c>
    </row>
    <row r="883" customFormat="false" ht="15" hidden="false" customHeight="false" outlineLevel="0" collapsed="false">
      <c r="A883" s="15" t="str">
        <f aca="false">IF(ROWS($A$2:$A883)&lt;=Check!$C$4,SMALL(PERLINE!$AL$2:$AL$3001,ROWS($A$2:$A883)),"")</f>
        <v/>
      </c>
      <c r="B883" s="15" t="str">
        <f aca="false">IF($A883="","",INDEX(PERLINE!$J$2:$J$3001,MATCH($A883,PERLINE!$N$2:$N$3001,0)))</f>
        <v/>
      </c>
      <c r="C883" s="16" t="str">
        <f aca="false">IF($A883="","",INDEX(PERLINE!$I$2:$I$3001,MATCH($A883,PERLINE!$N$2:$N$3001,0)))</f>
        <v/>
      </c>
      <c r="D883" s="17" t="str">
        <f aca="false">IF($A883="","",'كشف المطالبة'!$D$6)</f>
        <v/>
      </c>
      <c r="E883" s="18" t="str">
        <f aca="false">IF($A883="","",SUMIFS(PERLINE!$U$2:$U$3001,PERLINE!$N$2:$N$3001,$A883,PERLINE!$AK$2:$AK$3001,0))</f>
        <v/>
      </c>
      <c r="F883" s="19" t="str">
        <f aca="false">IF($A883="","",E883*D883)</f>
        <v/>
      </c>
      <c r="G883" s="17" t="str">
        <f aca="false">IF($A883="","",'كشف المطالبة'!$D$5)</f>
        <v/>
      </c>
      <c r="H883" s="18" t="str">
        <f aca="false">IF($A883="","",SUMIFS(PERLINE!$U$2:$U$3001,PERLINE!$N$2:$N$3001,$A883,PERLINE!$AK$2:$AK$3001,1))</f>
        <v/>
      </c>
      <c r="I883" s="19" t="str">
        <f aca="false">IF($A883="","",H883*G883)</f>
        <v/>
      </c>
      <c r="J883" s="19" t="str">
        <f aca="false">IF($A883="","",F883+I883)</f>
        <v/>
      </c>
      <c r="K883" s="19" t="str">
        <f aca="false">IF($A883="","",H883+E883)</f>
        <v/>
      </c>
      <c r="L883" s="20" t="str">
        <f aca="false">IF($A883="","",K883-J883-N883)</f>
        <v/>
      </c>
      <c r="M883" s="15" t="str">
        <f aca="false">IF($A883="","",INDEX(PERLINE!$A$2:$A$3001,MATCH($A883,PERLINE!$N$2:$N$3001,0)))</f>
        <v/>
      </c>
      <c r="N883" s="21" t="str">
        <f aca="false">IF($A883="","",SUMIFS(PERLINE!$M$2:$M$3001,PERLINE!$N$2:$N$3001,$A883))</f>
        <v/>
      </c>
    </row>
    <row r="884" customFormat="false" ht="15" hidden="false" customHeight="false" outlineLevel="0" collapsed="false">
      <c r="A884" s="15" t="str">
        <f aca="false">IF(ROWS($A$2:$A884)&lt;=Check!$C$4,SMALL(PERLINE!$AL$2:$AL$3001,ROWS($A$2:$A884)),"")</f>
        <v/>
      </c>
      <c r="B884" s="15" t="str">
        <f aca="false">IF($A884="","",INDEX(PERLINE!$J$2:$J$3001,MATCH($A884,PERLINE!$N$2:$N$3001,0)))</f>
        <v/>
      </c>
      <c r="C884" s="16" t="str">
        <f aca="false">IF($A884="","",INDEX(PERLINE!$I$2:$I$3001,MATCH($A884,PERLINE!$N$2:$N$3001,0)))</f>
        <v/>
      </c>
      <c r="D884" s="17" t="str">
        <f aca="false">IF($A884="","",'كشف المطالبة'!$D$6)</f>
        <v/>
      </c>
      <c r="E884" s="18" t="str">
        <f aca="false">IF($A884="","",SUMIFS(PERLINE!$U$2:$U$3001,PERLINE!$N$2:$N$3001,$A884,PERLINE!$AK$2:$AK$3001,0))</f>
        <v/>
      </c>
      <c r="F884" s="19" t="str">
        <f aca="false">IF($A884="","",E884*D884)</f>
        <v/>
      </c>
      <c r="G884" s="17" t="str">
        <f aca="false">IF($A884="","",'كشف المطالبة'!$D$5)</f>
        <v/>
      </c>
      <c r="H884" s="18" t="str">
        <f aca="false">IF($A884="","",SUMIFS(PERLINE!$U$2:$U$3001,PERLINE!$N$2:$N$3001,$A884,PERLINE!$AK$2:$AK$3001,1))</f>
        <v/>
      </c>
      <c r="I884" s="19" t="str">
        <f aca="false">IF($A884="","",H884*G884)</f>
        <v/>
      </c>
      <c r="J884" s="19" t="str">
        <f aca="false">IF($A884="","",F884+I884)</f>
        <v/>
      </c>
      <c r="K884" s="19" t="str">
        <f aca="false">IF($A884="","",H884+E884)</f>
        <v/>
      </c>
      <c r="L884" s="20" t="str">
        <f aca="false">IF($A884="","",K884-J884-N884)</f>
        <v/>
      </c>
      <c r="M884" s="15" t="str">
        <f aca="false">IF($A884="","",INDEX(PERLINE!$A$2:$A$3001,MATCH($A884,PERLINE!$N$2:$N$3001,0)))</f>
        <v/>
      </c>
      <c r="N884" s="21" t="str">
        <f aca="false">IF($A884="","",SUMIFS(PERLINE!$M$2:$M$3001,PERLINE!$N$2:$N$3001,$A884))</f>
        <v/>
      </c>
    </row>
    <row r="885" customFormat="false" ht="15" hidden="false" customHeight="false" outlineLevel="0" collapsed="false">
      <c r="A885" s="15" t="str">
        <f aca="false">IF(ROWS($A$2:$A885)&lt;=Check!$C$4,SMALL(PERLINE!$AL$2:$AL$3001,ROWS($A$2:$A885)),"")</f>
        <v/>
      </c>
      <c r="B885" s="15" t="str">
        <f aca="false">IF($A885="","",INDEX(PERLINE!$J$2:$J$3001,MATCH($A885,PERLINE!$N$2:$N$3001,0)))</f>
        <v/>
      </c>
      <c r="C885" s="16" t="str">
        <f aca="false">IF($A885="","",INDEX(PERLINE!$I$2:$I$3001,MATCH($A885,PERLINE!$N$2:$N$3001,0)))</f>
        <v/>
      </c>
      <c r="D885" s="17" t="str">
        <f aca="false">IF($A885="","",'كشف المطالبة'!$D$6)</f>
        <v/>
      </c>
      <c r="E885" s="18" t="str">
        <f aca="false">IF($A885="","",SUMIFS(PERLINE!$U$2:$U$3001,PERLINE!$N$2:$N$3001,$A885,PERLINE!$AK$2:$AK$3001,0))</f>
        <v/>
      </c>
      <c r="F885" s="19" t="str">
        <f aca="false">IF($A885="","",E885*D885)</f>
        <v/>
      </c>
      <c r="G885" s="17" t="str">
        <f aca="false">IF($A885="","",'كشف المطالبة'!$D$5)</f>
        <v/>
      </c>
      <c r="H885" s="18" t="str">
        <f aca="false">IF($A885="","",SUMIFS(PERLINE!$U$2:$U$3001,PERLINE!$N$2:$N$3001,$A885,PERLINE!$AK$2:$AK$3001,1))</f>
        <v/>
      </c>
      <c r="I885" s="19" t="str">
        <f aca="false">IF($A885="","",H885*G885)</f>
        <v/>
      </c>
      <c r="J885" s="19" t="str">
        <f aca="false">IF($A885="","",F885+I885)</f>
        <v/>
      </c>
      <c r="K885" s="19" t="str">
        <f aca="false">IF($A885="","",H885+E885)</f>
        <v/>
      </c>
      <c r="L885" s="20" t="str">
        <f aca="false">IF($A885="","",K885-J885-N885)</f>
        <v/>
      </c>
      <c r="M885" s="15" t="str">
        <f aca="false">IF($A885="","",INDEX(PERLINE!$A$2:$A$3001,MATCH($A885,PERLINE!$N$2:$N$3001,0)))</f>
        <v/>
      </c>
      <c r="N885" s="21" t="str">
        <f aca="false">IF($A885="","",SUMIFS(PERLINE!$M$2:$M$3001,PERLINE!$N$2:$N$3001,$A885))</f>
        <v/>
      </c>
    </row>
    <row r="886" customFormat="false" ht="15" hidden="false" customHeight="false" outlineLevel="0" collapsed="false">
      <c r="A886" s="15" t="str">
        <f aca="false">IF(ROWS($A$2:$A886)&lt;=Check!$C$4,SMALL(PERLINE!$AL$2:$AL$3001,ROWS($A$2:$A886)),"")</f>
        <v/>
      </c>
      <c r="B886" s="15" t="str">
        <f aca="false">IF($A886="","",INDEX(PERLINE!$J$2:$J$3001,MATCH($A886,PERLINE!$N$2:$N$3001,0)))</f>
        <v/>
      </c>
      <c r="C886" s="16" t="str">
        <f aca="false">IF($A886="","",INDEX(PERLINE!$I$2:$I$3001,MATCH($A886,PERLINE!$N$2:$N$3001,0)))</f>
        <v/>
      </c>
      <c r="D886" s="17" t="str">
        <f aca="false">IF($A886="","",'كشف المطالبة'!$D$6)</f>
        <v/>
      </c>
      <c r="E886" s="18" t="str">
        <f aca="false">IF($A886="","",SUMIFS(PERLINE!$U$2:$U$3001,PERLINE!$N$2:$N$3001,$A886,PERLINE!$AK$2:$AK$3001,0))</f>
        <v/>
      </c>
      <c r="F886" s="19" t="str">
        <f aca="false">IF($A886="","",E886*D886)</f>
        <v/>
      </c>
      <c r="G886" s="17" t="str">
        <f aca="false">IF($A886="","",'كشف المطالبة'!$D$5)</f>
        <v/>
      </c>
      <c r="H886" s="18" t="str">
        <f aca="false">IF($A886="","",SUMIFS(PERLINE!$U$2:$U$3001,PERLINE!$N$2:$N$3001,$A886,PERLINE!$AK$2:$AK$3001,1))</f>
        <v/>
      </c>
      <c r="I886" s="19" t="str">
        <f aca="false">IF($A886="","",H886*G886)</f>
        <v/>
      </c>
      <c r="J886" s="19" t="str">
        <f aca="false">IF($A886="","",F886+I886)</f>
        <v/>
      </c>
      <c r="K886" s="19" t="str">
        <f aca="false">IF($A886="","",H886+E886)</f>
        <v/>
      </c>
      <c r="L886" s="20" t="str">
        <f aca="false">IF($A886="","",K886-J886-N886)</f>
        <v/>
      </c>
      <c r="M886" s="15" t="str">
        <f aca="false">IF($A886="","",INDEX(PERLINE!$A$2:$A$3001,MATCH($A886,PERLINE!$N$2:$N$3001,0)))</f>
        <v/>
      </c>
      <c r="N886" s="21" t="str">
        <f aca="false">IF($A886="","",SUMIFS(PERLINE!$M$2:$M$3001,PERLINE!$N$2:$N$3001,$A886))</f>
        <v/>
      </c>
    </row>
    <row r="887" customFormat="false" ht="15" hidden="false" customHeight="false" outlineLevel="0" collapsed="false">
      <c r="A887" s="15" t="str">
        <f aca="false">IF(ROWS($A$2:$A887)&lt;=Check!$C$4,SMALL(PERLINE!$AL$2:$AL$3001,ROWS($A$2:$A887)),"")</f>
        <v/>
      </c>
      <c r="B887" s="15" t="str">
        <f aca="false">IF($A887="","",INDEX(PERLINE!$J$2:$J$3001,MATCH($A887,PERLINE!$N$2:$N$3001,0)))</f>
        <v/>
      </c>
      <c r="C887" s="16" t="str">
        <f aca="false">IF($A887="","",INDEX(PERLINE!$I$2:$I$3001,MATCH($A887,PERLINE!$N$2:$N$3001,0)))</f>
        <v/>
      </c>
      <c r="D887" s="17" t="str">
        <f aca="false">IF($A887="","",'كشف المطالبة'!$D$6)</f>
        <v/>
      </c>
      <c r="E887" s="18" t="str">
        <f aca="false">IF($A887="","",SUMIFS(PERLINE!$U$2:$U$3001,PERLINE!$N$2:$N$3001,$A887,PERLINE!$AK$2:$AK$3001,0))</f>
        <v/>
      </c>
      <c r="F887" s="19" t="str">
        <f aca="false">IF($A887="","",E887*D887)</f>
        <v/>
      </c>
      <c r="G887" s="17" t="str">
        <f aca="false">IF($A887="","",'كشف المطالبة'!$D$5)</f>
        <v/>
      </c>
      <c r="H887" s="18" t="str">
        <f aca="false">IF($A887="","",SUMIFS(PERLINE!$U$2:$U$3001,PERLINE!$N$2:$N$3001,$A887,PERLINE!$AK$2:$AK$3001,1))</f>
        <v/>
      </c>
      <c r="I887" s="19" t="str">
        <f aca="false">IF($A887="","",H887*G887)</f>
        <v/>
      </c>
      <c r="J887" s="19" t="str">
        <f aca="false">IF($A887="","",F887+I887)</f>
        <v/>
      </c>
      <c r="K887" s="19" t="str">
        <f aca="false">IF($A887="","",H887+E887)</f>
        <v/>
      </c>
      <c r="L887" s="20" t="str">
        <f aca="false">IF($A887="","",K887-J887-N887)</f>
        <v/>
      </c>
      <c r="M887" s="15" t="str">
        <f aca="false">IF($A887="","",INDEX(PERLINE!$A$2:$A$3001,MATCH($A887,PERLINE!$N$2:$N$3001,0)))</f>
        <v/>
      </c>
      <c r="N887" s="21" t="str">
        <f aca="false">IF($A887="","",SUMIFS(PERLINE!$M$2:$M$3001,PERLINE!$N$2:$N$3001,$A887))</f>
        <v/>
      </c>
    </row>
    <row r="888" customFormat="false" ht="15" hidden="false" customHeight="false" outlineLevel="0" collapsed="false">
      <c r="A888" s="15" t="str">
        <f aca="false">IF(ROWS($A$2:$A888)&lt;=Check!$C$4,SMALL(PERLINE!$AL$2:$AL$3001,ROWS($A$2:$A888)),"")</f>
        <v/>
      </c>
      <c r="B888" s="15" t="str">
        <f aca="false">IF($A888="","",INDEX(PERLINE!$J$2:$J$3001,MATCH($A888,PERLINE!$N$2:$N$3001,0)))</f>
        <v/>
      </c>
      <c r="C888" s="16" t="str">
        <f aca="false">IF($A888="","",INDEX(PERLINE!$I$2:$I$3001,MATCH($A888,PERLINE!$N$2:$N$3001,0)))</f>
        <v/>
      </c>
      <c r="D888" s="17" t="str">
        <f aca="false">IF($A888="","",'كشف المطالبة'!$D$6)</f>
        <v/>
      </c>
      <c r="E888" s="18" t="str">
        <f aca="false">IF($A888="","",SUMIFS(PERLINE!$U$2:$U$3001,PERLINE!$N$2:$N$3001,$A888,PERLINE!$AK$2:$AK$3001,0))</f>
        <v/>
      </c>
      <c r="F888" s="19" t="str">
        <f aca="false">IF($A888="","",E888*D888)</f>
        <v/>
      </c>
      <c r="G888" s="17" t="str">
        <f aca="false">IF($A888="","",'كشف المطالبة'!$D$5)</f>
        <v/>
      </c>
      <c r="H888" s="18" t="str">
        <f aca="false">IF($A888="","",SUMIFS(PERLINE!$U$2:$U$3001,PERLINE!$N$2:$N$3001,$A888,PERLINE!$AK$2:$AK$3001,1))</f>
        <v/>
      </c>
      <c r="I888" s="19" t="str">
        <f aca="false">IF($A888="","",H888*G888)</f>
        <v/>
      </c>
      <c r="J888" s="19" t="str">
        <f aca="false">IF($A888="","",F888+I888)</f>
        <v/>
      </c>
      <c r="K888" s="19" t="str">
        <f aca="false">IF($A888="","",H888+E888)</f>
        <v/>
      </c>
      <c r="L888" s="20" t="str">
        <f aca="false">IF($A888="","",K888-J888-N888)</f>
        <v/>
      </c>
      <c r="M888" s="15" t="str">
        <f aca="false">IF($A888="","",INDEX(PERLINE!$A$2:$A$3001,MATCH($A888,PERLINE!$N$2:$N$3001,0)))</f>
        <v/>
      </c>
      <c r="N888" s="21" t="str">
        <f aca="false">IF($A888="","",SUMIFS(PERLINE!$M$2:$M$3001,PERLINE!$N$2:$N$3001,$A888))</f>
        <v/>
      </c>
    </row>
    <row r="889" customFormat="false" ht="15" hidden="false" customHeight="false" outlineLevel="0" collapsed="false">
      <c r="A889" s="15" t="str">
        <f aca="false">IF(ROWS($A$2:$A889)&lt;=Check!$C$4,SMALL(PERLINE!$AL$2:$AL$3001,ROWS($A$2:$A889)),"")</f>
        <v/>
      </c>
      <c r="B889" s="15" t="str">
        <f aca="false">IF($A889="","",INDEX(PERLINE!$J$2:$J$3001,MATCH($A889,PERLINE!$N$2:$N$3001,0)))</f>
        <v/>
      </c>
      <c r="C889" s="16" t="str">
        <f aca="false">IF($A889="","",INDEX(PERLINE!$I$2:$I$3001,MATCH($A889,PERLINE!$N$2:$N$3001,0)))</f>
        <v/>
      </c>
      <c r="D889" s="17" t="str">
        <f aca="false">IF($A889="","",'كشف المطالبة'!$D$6)</f>
        <v/>
      </c>
      <c r="E889" s="18" t="str">
        <f aca="false">IF($A889="","",SUMIFS(PERLINE!$U$2:$U$3001,PERLINE!$N$2:$N$3001,$A889,PERLINE!$AK$2:$AK$3001,0))</f>
        <v/>
      </c>
      <c r="F889" s="19" t="str">
        <f aca="false">IF($A889="","",E889*D889)</f>
        <v/>
      </c>
      <c r="G889" s="17" t="str">
        <f aca="false">IF($A889="","",'كشف المطالبة'!$D$5)</f>
        <v/>
      </c>
      <c r="H889" s="18" t="str">
        <f aca="false">IF($A889="","",SUMIFS(PERLINE!$U$2:$U$3001,PERLINE!$N$2:$N$3001,$A889,PERLINE!$AK$2:$AK$3001,1))</f>
        <v/>
      </c>
      <c r="I889" s="19" t="str">
        <f aca="false">IF($A889="","",H889*G889)</f>
        <v/>
      </c>
      <c r="J889" s="19" t="str">
        <f aca="false">IF($A889="","",F889+I889)</f>
        <v/>
      </c>
      <c r="K889" s="19" t="str">
        <f aca="false">IF($A889="","",H889+E889)</f>
        <v/>
      </c>
      <c r="L889" s="20" t="str">
        <f aca="false">IF($A889="","",K889-J889-N889)</f>
        <v/>
      </c>
      <c r="M889" s="15" t="str">
        <f aca="false">IF($A889="","",INDEX(PERLINE!$A$2:$A$3001,MATCH($A889,PERLINE!$N$2:$N$3001,0)))</f>
        <v/>
      </c>
      <c r="N889" s="21" t="str">
        <f aca="false">IF($A889="","",SUMIFS(PERLINE!$M$2:$M$3001,PERLINE!$N$2:$N$3001,$A889))</f>
        <v/>
      </c>
    </row>
    <row r="890" customFormat="false" ht="15" hidden="false" customHeight="false" outlineLevel="0" collapsed="false">
      <c r="A890" s="15" t="str">
        <f aca="false">IF(ROWS($A$2:$A890)&lt;=Check!$C$4,SMALL(PERLINE!$AL$2:$AL$3001,ROWS($A$2:$A890)),"")</f>
        <v/>
      </c>
      <c r="B890" s="15" t="str">
        <f aca="false">IF($A890="","",INDEX(PERLINE!$J$2:$J$3001,MATCH($A890,PERLINE!$N$2:$N$3001,0)))</f>
        <v/>
      </c>
      <c r="C890" s="16" t="str">
        <f aca="false">IF($A890="","",INDEX(PERLINE!$I$2:$I$3001,MATCH($A890,PERLINE!$N$2:$N$3001,0)))</f>
        <v/>
      </c>
      <c r="D890" s="17" t="str">
        <f aca="false">IF($A890="","",'كشف المطالبة'!$D$6)</f>
        <v/>
      </c>
      <c r="E890" s="18" t="str">
        <f aca="false">IF($A890="","",SUMIFS(PERLINE!$U$2:$U$3001,PERLINE!$N$2:$N$3001,$A890,PERLINE!$AK$2:$AK$3001,0))</f>
        <v/>
      </c>
      <c r="F890" s="19" t="str">
        <f aca="false">IF($A890="","",E890*D890)</f>
        <v/>
      </c>
      <c r="G890" s="17" t="str">
        <f aca="false">IF($A890="","",'كشف المطالبة'!$D$5)</f>
        <v/>
      </c>
      <c r="H890" s="18" t="str">
        <f aca="false">IF($A890="","",SUMIFS(PERLINE!$U$2:$U$3001,PERLINE!$N$2:$N$3001,$A890,PERLINE!$AK$2:$AK$3001,1))</f>
        <v/>
      </c>
      <c r="I890" s="19" t="str">
        <f aca="false">IF($A890="","",H890*G890)</f>
        <v/>
      </c>
      <c r="J890" s="19" t="str">
        <f aca="false">IF($A890="","",F890+I890)</f>
        <v/>
      </c>
      <c r="K890" s="19" t="str">
        <f aca="false">IF($A890="","",H890+E890)</f>
        <v/>
      </c>
      <c r="L890" s="20" t="str">
        <f aca="false">IF($A890="","",K890-J890-N890)</f>
        <v/>
      </c>
      <c r="M890" s="15" t="str">
        <f aca="false">IF($A890="","",INDEX(PERLINE!$A$2:$A$3001,MATCH($A890,PERLINE!$N$2:$N$3001,0)))</f>
        <v/>
      </c>
      <c r="N890" s="21" t="str">
        <f aca="false">IF($A890="","",SUMIFS(PERLINE!$M$2:$M$3001,PERLINE!$N$2:$N$3001,$A890))</f>
        <v/>
      </c>
    </row>
    <row r="891" customFormat="false" ht="15" hidden="false" customHeight="false" outlineLevel="0" collapsed="false">
      <c r="A891" s="15" t="str">
        <f aca="false">IF(ROWS($A$2:$A891)&lt;=Check!$C$4,SMALL(PERLINE!$AL$2:$AL$3001,ROWS($A$2:$A891)),"")</f>
        <v/>
      </c>
      <c r="B891" s="15" t="str">
        <f aca="false">IF($A891="","",INDEX(PERLINE!$J$2:$J$3001,MATCH($A891,PERLINE!$N$2:$N$3001,0)))</f>
        <v/>
      </c>
      <c r="C891" s="16" t="str">
        <f aca="false">IF($A891="","",INDEX(PERLINE!$I$2:$I$3001,MATCH($A891,PERLINE!$N$2:$N$3001,0)))</f>
        <v/>
      </c>
      <c r="D891" s="17" t="str">
        <f aca="false">IF($A891="","",'كشف المطالبة'!$D$6)</f>
        <v/>
      </c>
      <c r="E891" s="18" t="str">
        <f aca="false">IF($A891="","",SUMIFS(PERLINE!$U$2:$U$3001,PERLINE!$N$2:$N$3001,$A891,PERLINE!$AK$2:$AK$3001,0))</f>
        <v/>
      </c>
      <c r="F891" s="19" t="str">
        <f aca="false">IF($A891="","",E891*D891)</f>
        <v/>
      </c>
      <c r="G891" s="17" t="str">
        <f aca="false">IF($A891="","",'كشف المطالبة'!$D$5)</f>
        <v/>
      </c>
      <c r="H891" s="18" t="str">
        <f aca="false">IF($A891="","",SUMIFS(PERLINE!$U$2:$U$3001,PERLINE!$N$2:$N$3001,$A891,PERLINE!$AK$2:$AK$3001,1))</f>
        <v/>
      </c>
      <c r="I891" s="19" t="str">
        <f aca="false">IF($A891="","",H891*G891)</f>
        <v/>
      </c>
      <c r="J891" s="19" t="str">
        <f aca="false">IF($A891="","",F891+I891)</f>
        <v/>
      </c>
      <c r="K891" s="19" t="str">
        <f aca="false">IF($A891="","",H891+E891)</f>
        <v/>
      </c>
      <c r="L891" s="20" t="str">
        <f aca="false">IF($A891="","",K891-J891-N891)</f>
        <v/>
      </c>
      <c r="M891" s="15" t="str">
        <f aca="false">IF($A891="","",INDEX(PERLINE!$A$2:$A$3001,MATCH($A891,PERLINE!$N$2:$N$3001,0)))</f>
        <v/>
      </c>
      <c r="N891" s="21" t="str">
        <f aca="false">IF($A891="","",SUMIFS(PERLINE!$M$2:$M$3001,PERLINE!$N$2:$N$3001,$A891))</f>
        <v/>
      </c>
    </row>
    <row r="892" customFormat="false" ht="15" hidden="false" customHeight="false" outlineLevel="0" collapsed="false">
      <c r="A892" s="15" t="str">
        <f aca="false">IF(ROWS($A$2:$A892)&lt;=Check!$C$4,SMALL(PERLINE!$AL$2:$AL$3001,ROWS($A$2:$A892)),"")</f>
        <v/>
      </c>
      <c r="B892" s="15" t="str">
        <f aca="false">IF($A892="","",INDEX(PERLINE!$J$2:$J$3001,MATCH($A892,PERLINE!$N$2:$N$3001,0)))</f>
        <v/>
      </c>
      <c r="C892" s="16" t="str">
        <f aca="false">IF($A892="","",INDEX(PERLINE!$I$2:$I$3001,MATCH($A892,PERLINE!$N$2:$N$3001,0)))</f>
        <v/>
      </c>
      <c r="D892" s="17" t="str">
        <f aca="false">IF($A892="","",'كشف المطالبة'!$D$6)</f>
        <v/>
      </c>
      <c r="E892" s="18" t="str">
        <f aca="false">IF($A892="","",SUMIFS(PERLINE!$U$2:$U$3001,PERLINE!$N$2:$N$3001,$A892,PERLINE!$AK$2:$AK$3001,0))</f>
        <v/>
      </c>
      <c r="F892" s="19" t="str">
        <f aca="false">IF($A892="","",E892*D892)</f>
        <v/>
      </c>
      <c r="G892" s="17" t="str">
        <f aca="false">IF($A892="","",'كشف المطالبة'!$D$5)</f>
        <v/>
      </c>
      <c r="H892" s="18" t="str">
        <f aca="false">IF($A892="","",SUMIFS(PERLINE!$U$2:$U$3001,PERLINE!$N$2:$N$3001,$A892,PERLINE!$AK$2:$AK$3001,1))</f>
        <v/>
      </c>
      <c r="I892" s="19" t="str">
        <f aca="false">IF($A892="","",H892*G892)</f>
        <v/>
      </c>
      <c r="J892" s="19" t="str">
        <f aca="false">IF($A892="","",F892+I892)</f>
        <v/>
      </c>
      <c r="K892" s="19" t="str">
        <f aca="false">IF($A892="","",H892+E892)</f>
        <v/>
      </c>
      <c r="L892" s="20" t="str">
        <f aca="false">IF($A892="","",K892-J892-N892)</f>
        <v/>
      </c>
      <c r="M892" s="15" t="str">
        <f aca="false">IF($A892="","",INDEX(PERLINE!$A$2:$A$3001,MATCH($A892,PERLINE!$N$2:$N$3001,0)))</f>
        <v/>
      </c>
      <c r="N892" s="21" t="str">
        <f aca="false">IF($A892="","",SUMIFS(PERLINE!$M$2:$M$3001,PERLINE!$N$2:$N$3001,$A892))</f>
        <v/>
      </c>
    </row>
    <row r="893" customFormat="false" ht="15" hidden="false" customHeight="false" outlineLevel="0" collapsed="false">
      <c r="A893" s="15" t="str">
        <f aca="false">IF(ROWS($A$2:$A893)&lt;=Check!$C$4,SMALL(PERLINE!$AL$2:$AL$3001,ROWS($A$2:$A893)),"")</f>
        <v/>
      </c>
      <c r="B893" s="15" t="str">
        <f aca="false">IF($A893="","",INDEX(PERLINE!$J$2:$J$3001,MATCH($A893,PERLINE!$N$2:$N$3001,0)))</f>
        <v/>
      </c>
      <c r="C893" s="16" t="str">
        <f aca="false">IF($A893="","",INDEX(PERLINE!$I$2:$I$3001,MATCH($A893,PERLINE!$N$2:$N$3001,0)))</f>
        <v/>
      </c>
      <c r="D893" s="17" t="str">
        <f aca="false">IF($A893="","",'كشف المطالبة'!$D$6)</f>
        <v/>
      </c>
      <c r="E893" s="18" t="str">
        <f aca="false">IF($A893="","",SUMIFS(PERLINE!$U$2:$U$3001,PERLINE!$N$2:$N$3001,$A893,PERLINE!$AK$2:$AK$3001,0))</f>
        <v/>
      </c>
      <c r="F893" s="19" t="str">
        <f aca="false">IF($A893="","",E893*D893)</f>
        <v/>
      </c>
      <c r="G893" s="17" t="str">
        <f aca="false">IF($A893="","",'كشف المطالبة'!$D$5)</f>
        <v/>
      </c>
      <c r="H893" s="18" t="str">
        <f aca="false">IF($A893="","",SUMIFS(PERLINE!$U$2:$U$3001,PERLINE!$N$2:$N$3001,$A893,PERLINE!$AK$2:$AK$3001,1))</f>
        <v/>
      </c>
      <c r="I893" s="19" t="str">
        <f aca="false">IF($A893="","",H893*G893)</f>
        <v/>
      </c>
      <c r="J893" s="19" t="str">
        <f aca="false">IF($A893="","",F893+I893)</f>
        <v/>
      </c>
      <c r="K893" s="19" t="str">
        <f aca="false">IF($A893="","",H893+E893)</f>
        <v/>
      </c>
      <c r="L893" s="20" t="str">
        <f aca="false">IF($A893="","",K893-J893-N893)</f>
        <v/>
      </c>
      <c r="M893" s="15" t="str">
        <f aca="false">IF($A893="","",INDEX(PERLINE!$A$2:$A$3001,MATCH($A893,PERLINE!$N$2:$N$3001,0)))</f>
        <v/>
      </c>
      <c r="N893" s="21" t="str">
        <f aca="false">IF($A893="","",SUMIFS(PERLINE!$M$2:$M$3001,PERLINE!$N$2:$N$3001,$A893))</f>
        <v/>
      </c>
    </row>
    <row r="894" customFormat="false" ht="15" hidden="false" customHeight="false" outlineLevel="0" collapsed="false">
      <c r="A894" s="15" t="str">
        <f aca="false">IF(ROWS($A$2:$A894)&lt;=Check!$C$4,SMALL(PERLINE!$AL$2:$AL$3001,ROWS($A$2:$A894)),"")</f>
        <v/>
      </c>
      <c r="B894" s="15" t="str">
        <f aca="false">IF($A894="","",INDEX(PERLINE!$J$2:$J$3001,MATCH($A894,PERLINE!$N$2:$N$3001,0)))</f>
        <v/>
      </c>
      <c r="C894" s="16" t="str">
        <f aca="false">IF($A894="","",INDEX(PERLINE!$I$2:$I$3001,MATCH($A894,PERLINE!$N$2:$N$3001,0)))</f>
        <v/>
      </c>
      <c r="D894" s="17" t="str">
        <f aca="false">IF($A894="","",'كشف المطالبة'!$D$6)</f>
        <v/>
      </c>
      <c r="E894" s="18" t="str">
        <f aca="false">IF($A894="","",SUMIFS(PERLINE!$U$2:$U$3001,PERLINE!$N$2:$N$3001,$A894,PERLINE!$AK$2:$AK$3001,0))</f>
        <v/>
      </c>
      <c r="F894" s="19" t="str">
        <f aca="false">IF($A894="","",E894*D894)</f>
        <v/>
      </c>
      <c r="G894" s="17" t="str">
        <f aca="false">IF($A894="","",'كشف المطالبة'!$D$5)</f>
        <v/>
      </c>
      <c r="H894" s="18" t="str">
        <f aca="false">IF($A894="","",SUMIFS(PERLINE!$U$2:$U$3001,PERLINE!$N$2:$N$3001,$A894,PERLINE!$AK$2:$AK$3001,1))</f>
        <v/>
      </c>
      <c r="I894" s="19" t="str">
        <f aca="false">IF($A894="","",H894*G894)</f>
        <v/>
      </c>
      <c r="J894" s="19" t="str">
        <f aca="false">IF($A894="","",F894+I894)</f>
        <v/>
      </c>
      <c r="K894" s="19" t="str">
        <f aca="false">IF($A894="","",H894+E894)</f>
        <v/>
      </c>
      <c r="L894" s="20" t="str">
        <f aca="false">IF($A894="","",K894-J894-N894)</f>
        <v/>
      </c>
      <c r="M894" s="15" t="str">
        <f aca="false">IF($A894="","",INDEX(PERLINE!$A$2:$A$3001,MATCH($A894,PERLINE!$N$2:$N$3001,0)))</f>
        <v/>
      </c>
      <c r="N894" s="21" t="str">
        <f aca="false">IF($A894="","",SUMIFS(PERLINE!$M$2:$M$3001,PERLINE!$N$2:$N$3001,$A894))</f>
        <v/>
      </c>
    </row>
    <row r="895" customFormat="false" ht="15" hidden="false" customHeight="false" outlineLevel="0" collapsed="false">
      <c r="A895" s="15" t="str">
        <f aca="false">IF(ROWS($A$2:$A895)&lt;=Check!$C$4,SMALL(PERLINE!$AL$2:$AL$3001,ROWS($A$2:$A895)),"")</f>
        <v/>
      </c>
      <c r="B895" s="15" t="str">
        <f aca="false">IF($A895="","",INDEX(PERLINE!$J$2:$J$3001,MATCH($A895,PERLINE!$N$2:$N$3001,0)))</f>
        <v/>
      </c>
      <c r="C895" s="16" t="str">
        <f aca="false">IF($A895="","",INDEX(PERLINE!$I$2:$I$3001,MATCH($A895,PERLINE!$N$2:$N$3001,0)))</f>
        <v/>
      </c>
      <c r="D895" s="17" t="str">
        <f aca="false">IF($A895="","",'كشف المطالبة'!$D$6)</f>
        <v/>
      </c>
      <c r="E895" s="18" t="str">
        <f aca="false">IF($A895="","",SUMIFS(PERLINE!$U$2:$U$3001,PERLINE!$N$2:$N$3001,$A895,PERLINE!$AK$2:$AK$3001,0))</f>
        <v/>
      </c>
      <c r="F895" s="19" t="str">
        <f aca="false">IF($A895="","",E895*D895)</f>
        <v/>
      </c>
      <c r="G895" s="17" t="str">
        <f aca="false">IF($A895="","",'كشف المطالبة'!$D$5)</f>
        <v/>
      </c>
      <c r="H895" s="18" t="str">
        <f aca="false">IF($A895="","",SUMIFS(PERLINE!$U$2:$U$3001,PERLINE!$N$2:$N$3001,$A895,PERLINE!$AK$2:$AK$3001,1))</f>
        <v/>
      </c>
      <c r="I895" s="19" t="str">
        <f aca="false">IF($A895="","",H895*G895)</f>
        <v/>
      </c>
      <c r="J895" s="19" t="str">
        <f aca="false">IF($A895="","",F895+I895)</f>
        <v/>
      </c>
      <c r="K895" s="19" t="str">
        <f aca="false">IF($A895="","",H895+E895)</f>
        <v/>
      </c>
      <c r="L895" s="20" t="str">
        <f aca="false">IF($A895="","",K895-J895-N895)</f>
        <v/>
      </c>
      <c r="M895" s="15" t="str">
        <f aca="false">IF($A895="","",INDEX(PERLINE!$A$2:$A$3001,MATCH($A895,PERLINE!$N$2:$N$3001,0)))</f>
        <v/>
      </c>
      <c r="N895" s="21" t="str">
        <f aca="false">IF($A895="","",SUMIFS(PERLINE!$M$2:$M$3001,PERLINE!$N$2:$N$3001,$A895))</f>
        <v/>
      </c>
    </row>
    <row r="896" customFormat="false" ht="15" hidden="false" customHeight="false" outlineLevel="0" collapsed="false">
      <c r="A896" s="15" t="str">
        <f aca="false">IF(ROWS($A$2:$A896)&lt;=Check!$C$4,SMALL(PERLINE!$AL$2:$AL$3001,ROWS($A$2:$A896)),"")</f>
        <v/>
      </c>
      <c r="B896" s="15" t="str">
        <f aca="false">IF($A896="","",INDEX(PERLINE!$J$2:$J$3001,MATCH($A896,PERLINE!$N$2:$N$3001,0)))</f>
        <v/>
      </c>
      <c r="C896" s="16" t="str">
        <f aca="false">IF($A896="","",INDEX(PERLINE!$I$2:$I$3001,MATCH($A896,PERLINE!$N$2:$N$3001,0)))</f>
        <v/>
      </c>
      <c r="D896" s="17" t="str">
        <f aca="false">IF($A896="","",'كشف المطالبة'!$D$6)</f>
        <v/>
      </c>
      <c r="E896" s="18" t="str">
        <f aca="false">IF($A896="","",SUMIFS(PERLINE!$U$2:$U$3001,PERLINE!$N$2:$N$3001,$A896,PERLINE!$AK$2:$AK$3001,0))</f>
        <v/>
      </c>
      <c r="F896" s="19" t="str">
        <f aca="false">IF($A896="","",E896*D896)</f>
        <v/>
      </c>
      <c r="G896" s="17" t="str">
        <f aca="false">IF($A896="","",'كشف المطالبة'!$D$5)</f>
        <v/>
      </c>
      <c r="H896" s="18" t="str">
        <f aca="false">IF($A896="","",SUMIFS(PERLINE!$U$2:$U$3001,PERLINE!$N$2:$N$3001,$A896,PERLINE!$AK$2:$AK$3001,1))</f>
        <v/>
      </c>
      <c r="I896" s="19" t="str">
        <f aca="false">IF($A896="","",H896*G896)</f>
        <v/>
      </c>
      <c r="J896" s="19" t="str">
        <f aca="false">IF($A896="","",F896+I896)</f>
        <v/>
      </c>
      <c r="K896" s="19" t="str">
        <f aca="false">IF($A896="","",H896+E896)</f>
        <v/>
      </c>
      <c r="L896" s="20" t="str">
        <f aca="false">IF($A896="","",K896-J896-N896)</f>
        <v/>
      </c>
      <c r="M896" s="15" t="str">
        <f aca="false">IF($A896="","",INDEX(PERLINE!$A$2:$A$3001,MATCH($A896,PERLINE!$N$2:$N$3001,0)))</f>
        <v/>
      </c>
      <c r="N896" s="21" t="str">
        <f aca="false">IF($A896="","",SUMIFS(PERLINE!$M$2:$M$3001,PERLINE!$N$2:$N$3001,$A896))</f>
        <v/>
      </c>
    </row>
    <row r="897" customFormat="false" ht="15" hidden="false" customHeight="false" outlineLevel="0" collapsed="false">
      <c r="A897" s="15" t="str">
        <f aca="false">IF(ROWS($A$2:$A897)&lt;=Check!$C$4,SMALL(PERLINE!$AL$2:$AL$3001,ROWS($A$2:$A897)),"")</f>
        <v/>
      </c>
      <c r="B897" s="15" t="str">
        <f aca="false">IF($A897="","",INDEX(PERLINE!$J$2:$J$3001,MATCH($A897,PERLINE!$N$2:$N$3001,0)))</f>
        <v/>
      </c>
      <c r="C897" s="16" t="str">
        <f aca="false">IF($A897="","",INDEX(PERLINE!$I$2:$I$3001,MATCH($A897,PERLINE!$N$2:$N$3001,0)))</f>
        <v/>
      </c>
      <c r="D897" s="17" t="str">
        <f aca="false">IF($A897="","",'كشف المطالبة'!$D$6)</f>
        <v/>
      </c>
      <c r="E897" s="18" t="str">
        <f aca="false">IF($A897="","",SUMIFS(PERLINE!$U$2:$U$3001,PERLINE!$N$2:$N$3001,$A897,PERLINE!$AK$2:$AK$3001,0))</f>
        <v/>
      </c>
      <c r="F897" s="19" t="str">
        <f aca="false">IF($A897="","",E897*D897)</f>
        <v/>
      </c>
      <c r="G897" s="17" t="str">
        <f aca="false">IF($A897="","",'كشف المطالبة'!$D$5)</f>
        <v/>
      </c>
      <c r="H897" s="18" t="str">
        <f aca="false">IF($A897="","",SUMIFS(PERLINE!$U$2:$U$3001,PERLINE!$N$2:$N$3001,$A897,PERLINE!$AK$2:$AK$3001,1))</f>
        <v/>
      </c>
      <c r="I897" s="19" t="str">
        <f aca="false">IF($A897="","",H897*G897)</f>
        <v/>
      </c>
      <c r="J897" s="19" t="str">
        <f aca="false">IF($A897="","",F897+I897)</f>
        <v/>
      </c>
      <c r="K897" s="19" t="str">
        <f aca="false">IF($A897="","",H897+E897)</f>
        <v/>
      </c>
      <c r="L897" s="20" t="str">
        <f aca="false">IF($A897="","",K897-J897-N897)</f>
        <v/>
      </c>
      <c r="M897" s="15" t="str">
        <f aca="false">IF($A897="","",INDEX(PERLINE!$A$2:$A$3001,MATCH($A897,PERLINE!$N$2:$N$3001,0)))</f>
        <v/>
      </c>
      <c r="N897" s="21" t="str">
        <f aca="false">IF($A897="","",SUMIFS(PERLINE!$M$2:$M$3001,PERLINE!$N$2:$N$3001,$A897))</f>
        <v/>
      </c>
    </row>
    <row r="898" customFormat="false" ht="15" hidden="false" customHeight="false" outlineLevel="0" collapsed="false">
      <c r="A898" s="15" t="str">
        <f aca="false">IF(ROWS($A$2:$A898)&lt;=Check!$C$4,SMALL(PERLINE!$AL$2:$AL$3001,ROWS($A$2:$A898)),"")</f>
        <v/>
      </c>
      <c r="B898" s="15" t="str">
        <f aca="false">IF($A898="","",INDEX(PERLINE!$J$2:$J$3001,MATCH($A898,PERLINE!$N$2:$N$3001,0)))</f>
        <v/>
      </c>
      <c r="C898" s="16" t="str">
        <f aca="false">IF($A898="","",INDEX(PERLINE!$I$2:$I$3001,MATCH($A898,PERLINE!$N$2:$N$3001,0)))</f>
        <v/>
      </c>
      <c r="D898" s="17" t="str">
        <f aca="false">IF($A898="","",'كشف المطالبة'!$D$6)</f>
        <v/>
      </c>
      <c r="E898" s="18" t="str">
        <f aca="false">IF($A898="","",SUMIFS(PERLINE!$U$2:$U$3001,PERLINE!$N$2:$N$3001,$A898,PERLINE!$AK$2:$AK$3001,0))</f>
        <v/>
      </c>
      <c r="F898" s="19" t="str">
        <f aca="false">IF($A898="","",E898*D898)</f>
        <v/>
      </c>
      <c r="G898" s="17" t="str">
        <f aca="false">IF($A898="","",'كشف المطالبة'!$D$5)</f>
        <v/>
      </c>
      <c r="H898" s="18" t="str">
        <f aca="false">IF($A898="","",SUMIFS(PERLINE!$U$2:$U$3001,PERLINE!$N$2:$N$3001,$A898,PERLINE!$AK$2:$AK$3001,1))</f>
        <v/>
      </c>
      <c r="I898" s="19" t="str">
        <f aca="false">IF($A898="","",H898*G898)</f>
        <v/>
      </c>
      <c r="J898" s="19" t="str">
        <f aca="false">IF($A898="","",F898+I898)</f>
        <v/>
      </c>
      <c r="K898" s="19" t="str">
        <f aca="false">IF($A898="","",H898+E898)</f>
        <v/>
      </c>
      <c r="L898" s="20" t="str">
        <f aca="false">IF($A898="","",K898-J898-N898)</f>
        <v/>
      </c>
      <c r="M898" s="15" t="str">
        <f aca="false">IF($A898="","",INDEX(PERLINE!$A$2:$A$3001,MATCH($A898,PERLINE!$N$2:$N$3001,0)))</f>
        <v/>
      </c>
      <c r="N898" s="21" t="str">
        <f aca="false">IF($A898="","",SUMIFS(PERLINE!$M$2:$M$3001,PERLINE!$N$2:$N$3001,$A898))</f>
        <v/>
      </c>
    </row>
    <row r="899" customFormat="false" ht="15" hidden="false" customHeight="false" outlineLevel="0" collapsed="false">
      <c r="A899" s="15" t="str">
        <f aca="false">IF(ROWS($A$2:$A899)&lt;=Check!$C$4,SMALL(PERLINE!$AL$2:$AL$3001,ROWS($A$2:$A899)),"")</f>
        <v/>
      </c>
      <c r="B899" s="15" t="str">
        <f aca="false">IF($A899="","",INDEX(PERLINE!$J$2:$J$3001,MATCH($A899,PERLINE!$N$2:$N$3001,0)))</f>
        <v/>
      </c>
      <c r="C899" s="16" t="str">
        <f aca="false">IF($A899="","",INDEX(PERLINE!$I$2:$I$3001,MATCH($A899,PERLINE!$N$2:$N$3001,0)))</f>
        <v/>
      </c>
      <c r="D899" s="17" t="str">
        <f aca="false">IF($A899="","",'كشف المطالبة'!$D$6)</f>
        <v/>
      </c>
      <c r="E899" s="18" t="str">
        <f aca="false">IF($A899="","",SUMIFS(PERLINE!$U$2:$U$3001,PERLINE!$N$2:$N$3001,$A899,PERLINE!$AK$2:$AK$3001,0))</f>
        <v/>
      </c>
      <c r="F899" s="19" t="str">
        <f aca="false">IF($A899="","",E899*D899)</f>
        <v/>
      </c>
      <c r="G899" s="17" t="str">
        <f aca="false">IF($A899="","",'كشف المطالبة'!$D$5)</f>
        <v/>
      </c>
      <c r="H899" s="18" t="str">
        <f aca="false">IF($A899="","",SUMIFS(PERLINE!$U$2:$U$3001,PERLINE!$N$2:$N$3001,$A899,PERLINE!$AK$2:$AK$3001,1))</f>
        <v/>
      </c>
      <c r="I899" s="19" t="str">
        <f aca="false">IF($A899="","",H899*G899)</f>
        <v/>
      </c>
      <c r="J899" s="19" t="str">
        <f aca="false">IF($A899="","",F899+I899)</f>
        <v/>
      </c>
      <c r="K899" s="19" t="str">
        <f aca="false">IF($A899="","",H899+E899)</f>
        <v/>
      </c>
      <c r="L899" s="20" t="str">
        <f aca="false">IF($A899="","",K899-J899-N899)</f>
        <v/>
      </c>
      <c r="M899" s="15" t="str">
        <f aca="false">IF($A899="","",INDEX(PERLINE!$A$2:$A$3001,MATCH($A899,PERLINE!$N$2:$N$3001,0)))</f>
        <v/>
      </c>
      <c r="N899" s="21" t="str">
        <f aca="false">IF($A899="","",SUMIFS(PERLINE!$M$2:$M$3001,PERLINE!$N$2:$N$3001,$A899))</f>
        <v/>
      </c>
    </row>
    <row r="900" customFormat="false" ht="15" hidden="false" customHeight="false" outlineLevel="0" collapsed="false">
      <c r="A900" s="15" t="str">
        <f aca="false">IF(ROWS($A$2:$A900)&lt;=Check!$C$4,SMALL(PERLINE!$AL$2:$AL$3001,ROWS($A$2:$A900)),"")</f>
        <v/>
      </c>
      <c r="B900" s="15" t="str">
        <f aca="false">IF($A900="","",INDEX(PERLINE!$J$2:$J$3001,MATCH($A900,PERLINE!$N$2:$N$3001,0)))</f>
        <v/>
      </c>
      <c r="C900" s="16" t="str">
        <f aca="false">IF($A900="","",INDEX(PERLINE!$I$2:$I$3001,MATCH($A900,PERLINE!$N$2:$N$3001,0)))</f>
        <v/>
      </c>
      <c r="D900" s="17" t="str">
        <f aca="false">IF($A900="","",'كشف المطالبة'!$D$6)</f>
        <v/>
      </c>
      <c r="E900" s="18" t="str">
        <f aca="false">IF($A900="","",SUMIFS(PERLINE!$U$2:$U$3001,PERLINE!$N$2:$N$3001,$A900,PERLINE!$AK$2:$AK$3001,0))</f>
        <v/>
      </c>
      <c r="F900" s="19" t="str">
        <f aca="false">IF($A900="","",E900*D900)</f>
        <v/>
      </c>
      <c r="G900" s="17" t="str">
        <f aca="false">IF($A900="","",'كشف المطالبة'!$D$5)</f>
        <v/>
      </c>
      <c r="H900" s="18" t="str">
        <f aca="false">IF($A900="","",SUMIFS(PERLINE!$U$2:$U$3001,PERLINE!$N$2:$N$3001,$A900,PERLINE!$AK$2:$AK$3001,1))</f>
        <v/>
      </c>
      <c r="I900" s="19" t="str">
        <f aca="false">IF($A900="","",H900*G900)</f>
        <v/>
      </c>
      <c r="J900" s="19" t="str">
        <f aca="false">IF($A900="","",F900+I900)</f>
        <v/>
      </c>
      <c r="K900" s="19" t="str">
        <f aca="false">IF($A900="","",H900+E900)</f>
        <v/>
      </c>
      <c r="L900" s="20" t="str">
        <f aca="false">IF($A900="","",K900-J900-N900)</f>
        <v/>
      </c>
      <c r="M900" s="15" t="str">
        <f aca="false">IF($A900="","",INDEX(PERLINE!$A$2:$A$3001,MATCH($A900,PERLINE!$N$2:$N$3001,0)))</f>
        <v/>
      </c>
      <c r="N900" s="21" t="str">
        <f aca="false">IF($A900="","",SUMIFS(PERLINE!$M$2:$M$3001,PERLINE!$N$2:$N$3001,$A900))</f>
        <v/>
      </c>
    </row>
    <row r="901" customFormat="false" ht="15" hidden="false" customHeight="false" outlineLevel="0" collapsed="false">
      <c r="A901" s="15" t="str">
        <f aca="false">IF(ROWS($A$2:$A901)&lt;=Check!$C$4,SMALL(PERLINE!$AL$2:$AL$3001,ROWS($A$2:$A901)),"")</f>
        <v/>
      </c>
      <c r="B901" s="15" t="str">
        <f aca="false">IF($A901="","",INDEX(PERLINE!$J$2:$J$3001,MATCH($A901,PERLINE!$N$2:$N$3001,0)))</f>
        <v/>
      </c>
      <c r="C901" s="16" t="str">
        <f aca="false">IF($A901="","",INDEX(PERLINE!$I$2:$I$3001,MATCH($A901,PERLINE!$N$2:$N$3001,0)))</f>
        <v/>
      </c>
      <c r="D901" s="17" t="str">
        <f aca="false">IF($A901="","",'كشف المطالبة'!$D$6)</f>
        <v/>
      </c>
      <c r="E901" s="18" t="str">
        <f aca="false">IF($A901="","",SUMIFS(PERLINE!$U$2:$U$3001,PERLINE!$N$2:$N$3001,$A901,PERLINE!$AK$2:$AK$3001,0))</f>
        <v/>
      </c>
      <c r="F901" s="19" t="str">
        <f aca="false">IF($A901="","",E901*D901)</f>
        <v/>
      </c>
      <c r="G901" s="17" t="str">
        <f aca="false">IF($A901="","",'كشف المطالبة'!$D$5)</f>
        <v/>
      </c>
      <c r="H901" s="18" t="str">
        <f aca="false">IF($A901="","",SUMIFS(PERLINE!$U$2:$U$3001,PERLINE!$N$2:$N$3001,$A901,PERLINE!$AK$2:$AK$3001,1))</f>
        <v/>
      </c>
      <c r="I901" s="19" t="str">
        <f aca="false">IF($A901="","",H901*G901)</f>
        <v/>
      </c>
      <c r="J901" s="19" t="str">
        <f aca="false">IF($A901="","",F901+I901)</f>
        <v/>
      </c>
      <c r="K901" s="19" t="str">
        <f aca="false">IF($A901="","",H901+E901)</f>
        <v/>
      </c>
      <c r="L901" s="20" t="str">
        <f aca="false">IF($A901="","",K901-J901-N901)</f>
        <v/>
      </c>
      <c r="M901" s="15" t="str">
        <f aca="false">IF($A901="","",INDEX(PERLINE!$A$2:$A$3001,MATCH($A901,PERLINE!$N$2:$N$3001,0)))</f>
        <v/>
      </c>
      <c r="N901" s="21" t="str">
        <f aca="false">IF($A901="","",SUMIFS(PERLINE!$M$2:$M$3001,PERLINE!$N$2:$N$3001,$A901))</f>
        <v/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3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5" min="1" style="0" width="12"/>
    <col collapsed="false" customWidth="true" hidden="false" outlineLevel="0" max="16" min="16" style="0" width="44"/>
    <col collapsed="false" customWidth="true" hidden="false" outlineLevel="0" max="38" min="17" style="0" width="12"/>
  </cols>
  <sheetData>
    <row r="1" customFormat="false" ht="46.25" hidden="false" customHeight="false" outlineLevel="0" collapsed="false">
      <c r="A1" s="22" t="s">
        <v>48</v>
      </c>
      <c r="B1" s="22" t="s">
        <v>49</v>
      </c>
      <c r="C1" s="22" t="s">
        <v>50</v>
      </c>
      <c r="D1" s="22" t="s">
        <v>51</v>
      </c>
      <c r="E1" s="22" t="s">
        <v>52</v>
      </c>
      <c r="F1" s="22" t="s">
        <v>53</v>
      </c>
      <c r="G1" s="22" t="s">
        <v>54</v>
      </c>
      <c r="H1" s="22" t="s">
        <v>55</v>
      </c>
      <c r="I1" s="22" t="s">
        <v>56</v>
      </c>
      <c r="J1" s="22" t="s">
        <v>57</v>
      </c>
      <c r="K1" s="22" t="s">
        <v>58</v>
      </c>
      <c r="L1" s="22" t="s">
        <v>59</v>
      </c>
      <c r="M1" s="23" t="s">
        <v>60</v>
      </c>
      <c r="N1" s="22" t="s">
        <v>61</v>
      </c>
      <c r="O1" s="22" t="s">
        <v>62</v>
      </c>
      <c r="P1" s="22" t="s">
        <v>63</v>
      </c>
      <c r="Q1" s="22" t="s">
        <v>64</v>
      </c>
      <c r="R1" s="22" t="s">
        <v>65</v>
      </c>
      <c r="S1" s="22" t="s">
        <v>66</v>
      </c>
      <c r="T1" s="22" t="s">
        <v>67</v>
      </c>
      <c r="U1" s="22" t="s">
        <v>68</v>
      </c>
      <c r="V1" s="22" t="s">
        <v>69</v>
      </c>
      <c r="W1" s="23" t="s">
        <v>70</v>
      </c>
      <c r="X1" s="23" t="s">
        <v>71</v>
      </c>
      <c r="Y1" s="23" t="s">
        <v>72</v>
      </c>
      <c r="Z1" s="22" t="s">
        <v>73</v>
      </c>
      <c r="AA1" s="22" t="s">
        <v>74</v>
      </c>
      <c r="AB1" s="23" t="s">
        <v>75</v>
      </c>
      <c r="AC1" s="22" t="s">
        <v>76</v>
      </c>
      <c r="AD1" s="22" t="s">
        <v>77</v>
      </c>
      <c r="AE1" s="22" t="s">
        <v>78</v>
      </c>
      <c r="AF1" s="22" t="s">
        <v>79</v>
      </c>
      <c r="AG1" s="22" t="s">
        <v>80</v>
      </c>
      <c r="AH1" s="22" t="s">
        <v>81</v>
      </c>
      <c r="AI1" s="22" t="s">
        <v>82</v>
      </c>
      <c r="AJ1" s="22" t="s">
        <v>83</v>
      </c>
      <c r="AK1" s="24" t="s">
        <v>84</v>
      </c>
      <c r="AL1" s="24" t="s">
        <v>85</v>
      </c>
    </row>
    <row r="2" customFormat="false" ht="15" hidden="false" customHeight="false" outlineLevel="0" collapsed="false">
      <c r="E2" s="25"/>
      <c r="M2" s="26" t="str">
        <f aca="false">IF($A2="","",$L2*$U2/100)</f>
        <v/>
      </c>
      <c r="W2" s="26" t="str">
        <f aca="false">IF($A2="","",U2*AB2/100)</f>
        <v/>
      </c>
      <c r="X2" s="26" t="str">
        <f aca="false">IF($A2="","",U2-W2)</f>
        <v/>
      </c>
      <c r="Y2" s="26" t="str">
        <f aca="false">IF($A2="","",U2-W2-M2)</f>
        <v/>
      </c>
      <c r="AB2" s="27" t="str">
        <f aca="false">IF($A2="","",IF($AK2=1,'كشف المطالبة'!$D$5,'كشف المطالبة'!$D$6)*100)</f>
        <v/>
      </c>
      <c r="AK2" s="28" t="str">
        <f aca="false">IF($A2="","",IF(OR($Q2=TRUE(),$Q2="TRUE"),1,0))</f>
        <v/>
      </c>
      <c r="AL2" s="28" t="str">
        <f aca="false">IF($N2="","",IF(MATCH($N2,$N$2:$N$3001,0)=ROWS($N$2:$N2),$N2,""))</f>
        <v/>
      </c>
    </row>
    <row r="3" customFormat="false" ht="15" hidden="false" customHeight="false" outlineLevel="0" collapsed="false">
      <c r="E3" s="25"/>
      <c r="M3" s="26" t="str">
        <f aca="false">IF($A3="","",$L3*$U3/100)</f>
        <v/>
      </c>
      <c r="W3" s="26" t="str">
        <f aca="false">IF($A3="","",U3*AB3/100)</f>
        <v/>
      </c>
      <c r="X3" s="26" t="str">
        <f aca="false">IF($A3="","",U3-W3)</f>
        <v/>
      </c>
      <c r="Y3" s="26" t="str">
        <f aca="false">IF($A3="","",U3-W3-M3)</f>
        <v/>
      </c>
      <c r="AB3" s="27" t="str">
        <f aca="false">IF($A3="","",IF($AK3=1,'كشف المطالبة'!$D$5,'كشف المطالبة'!$D$6)*100)</f>
        <v/>
      </c>
      <c r="AK3" s="28" t="str">
        <f aca="false">IF($A3="","",IF(OR($Q3=TRUE(),$Q3="TRUE"),1,0))</f>
        <v/>
      </c>
      <c r="AL3" s="28" t="str">
        <f aca="false">IF($N3="","",IF(MATCH($N3,$N$2:$N$3001,0)=ROWS($N$2:$N3),$N3,""))</f>
        <v/>
      </c>
    </row>
    <row r="4" customFormat="false" ht="15" hidden="false" customHeight="false" outlineLevel="0" collapsed="false">
      <c r="E4" s="25"/>
      <c r="M4" s="26" t="str">
        <f aca="false">IF($A4="","",$L4*$U4/100)</f>
        <v/>
      </c>
      <c r="W4" s="26" t="str">
        <f aca="false">IF($A4="","",U4*AB4/100)</f>
        <v/>
      </c>
      <c r="X4" s="26" t="str">
        <f aca="false">IF($A4="","",U4-W4)</f>
        <v/>
      </c>
      <c r="Y4" s="26" t="str">
        <f aca="false">IF($A4="","",U4-W4-M4)</f>
        <v/>
      </c>
      <c r="AB4" s="27" t="str">
        <f aca="false">IF($A4="","",IF($AK4=1,'كشف المطالبة'!$D$5,'كشف المطالبة'!$D$6)*100)</f>
        <v/>
      </c>
      <c r="AK4" s="28" t="str">
        <f aca="false">IF($A4="","",IF(OR($Q4=TRUE(),$Q4="TRUE"),1,0))</f>
        <v/>
      </c>
      <c r="AL4" s="28" t="str">
        <f aca="false">IF($N4="","",IF(MATCH($N4,$N$2:$N$3001,0)=ROWS($N$2:$N4),$N4,""))</f>
        <v/>
      </c>
    </row>
    <row r="5" customFormat="false" ht="15" hidden="false" customHeight="false" outlineLevel="0" collapsed="false">
      <c r="E5" s="25"/>
      <c r="M5" s="26" t="str">
        <f aca="false">IF($A5="","",$L5*$U5/100)</f>
        <v/>
      </c>
      <c r="W5" s="26" t="str">
        <f aca="false">IF($A5="","",U5*AB5/100)</f>
        <v/>
      </c>
      <c r="X5" s="26" t="str">
        <f aca="false">IF($A5="","",U5-W5)</f>
        <v/>
      </c>
      <c r="Y5" s="26" t="str">
        <f aca="false">IF($A5="","",U5-W5-M5)</f>
        <v/>
      </c>
      <c r="AB5" s="27" t="str">
        <f aca="false">IF($A5="","",IF($AK5=1,'كشف المطالبة'!$D$5,'كشف المطالبة'!$D$6)*100)</f>
        <v/>
      </c>
      <c r="AK5" s="28" t="str">
        <f aca="false">IF($A5="","",IF(OR($Q5=TRUE(),$Q5="TRUE"),1,0))</f>
        <v/>
      </c>
      <c r="AL5" s="28" t="str">
        <f aca="false">IF($N5="","",IF(MATCH($N5,$N$2:$N$3001,0)=ROWS($N$2:$N5),$N5,""))</f>
        <v/>
      </c>
    </row>
    <row r="6" customFormat="false" ht="15" hidden="false" customHeight="false" outlineLevel="0" collapsed="false">
      <c r="E6" s="25"/>
      <c r="M6" s="26" t="str">
        <f aca="false">IF($A6="","",$L6*$U6/100)</f>
        <v/>
      </c>
      <c r="W6" s="26" t="str">
        <f aca="false">IF($A6="","",U6*AB6/100)</f>
        <v/>
      </c>
      <c r="X6" s="26" t="str">
        <f aca="false">IF($A6="","",U6-W6)</f>
        <v/>
      </c>
      <c r="Y6" s="26" t="str">
        <f aca="false">IF($A6="","",U6-W6-M6)</f>
        <v/>
      </c>
      <c r="AB6" s="27" t="str">
        <f aca="false">IF($A6="","",IF($AK6=1,'كشف المطالبة'!$D$5,'كشف المطالبة'!$D$6)*100)</f>
        <v/>
      </c>
      <c r="AK6" s="28" t="str">
        <f aca="false">IF($A6="","",IF(OR($Q6=TRUE(),$Q6="TRUE"),1,0))</f>
        <v/>
      </c>
      <c r="AL6" s="28" t="str">
        <f aca="false">IF($N6="","",IF(MATCH($N6,$N$2:$N$3001,0)=ROWS($N$2:$N6),$N6,""))</f>
        <v/>
      </c>
    </row>
    <row r="7" customFormat="false" ht="15" hidden="false" customHeight="false" outlineLevel="0" collapsed="false">
      <c r="E7" s="25"/>
      <c r="M7" s="26" t="str">
        <f aca="false">IF($A7="","",$L7*$U7/100)</f>
        <v/>
      </c>
      <c r="W7" s="26" t="str">
        <f aca="false">IF($A7="","",U7*AB7/100)</f>
        <v/>
      </c>
      <c r="X7" s="26" t="str">
        <f aca="false">IF($A7="","",U7-W7)</f>
        <v/>
      </c>
      <c r="Y7" s="26" t="str">
        <f aca="false">IF($A7="","",U7-W7-M7)</f>
        <v/>
      </c>
      <c r="AB7" s="27" t="str">
        <f aca="false">IF($A7="","",IF($AK7=1,'كشف المطالبة'!$D$5,'كشف المطالبة'!$D$6)*100)</f>
        <v/>
      </c>
      <c r="AK7" s="28" t="str">
        <f aca="false">IF($A7="","",IF(OR($Q7=TRUE(),$Q7="TRUE"),1,0))</f>
        <v/>
      </c>
      <c r="AL7" s="28" t="str">
        <f aca="false">IF($N7="","",IF(MATCH($N7,$N$2:$N$3001,0)=ROWS($N$2:$N7),$N7,""))</f>
        <v/>
      </c>
    </row>
    <row r="8" customFormat="false" ht="15" hidden="false" customHeight="false" outlineLevel="0" collapsed="false">
      <c r="E8" s="25"/>
      <c r="M8" s="26" t="str">
        <f aca="false">IF($A8="","",$L8*$U8/100)</f>
        <v/>
      </c>
      <c r="W8" s="26" t="str">
        <f aca="false">IF($A8="","",U8*AB8/100)</f>
        <v/>
      </c>
      <c r="X8" s="26" t="str">
        <f aca="false">IF($A8="","",U8-W8)</f>
        <v/>
      </c>
      <c r="Y8" s="26" t="str">
        <f aca="false">IF($A8="","",U8-W8-M8)</f>
        <v/>
      </c>
      <c r="AB8" s="27" t="str">
        <f aca="false">IF($A8="","",IF($AK8=1,'كشف المطالبة'!$D$5,'كشف المطالبة'!$D$6)*100)</f>
        <v/>
      </c>
      <c r="AK8" s="28" t="str">
        <f aca="false">IF($A8="","",IF(OR($Q8=TRUE(),$Q8="TRUE"),1,0))</f>
        <v/>
      </c>
      <c r="AL8" s="28" t="str">
        <f aca="false">IF($N8="","",IF(MATCH($N8,$N$2:$N$3001,0)=ROWS($N$2:$N8),$N8,""))</f>
        <v/>
      </c>
    </row>
    <row r="9" customFormat="false" ht="15" hidden="false" customHeight="false" outlineLevel="0" collapsed="false">
      <c r="E9" s="25"/>
      <c r="M9" s="26" t="str">
        <f aca="false">IF($A9="","",$L9*$U9/100)</f>
        <v/>
      </c>
      <c r="W9" s="26" t="str">
        <f aca="false">IF($A9="","",U9*AB9/100)</f>
        <v/>
      </c>
      <c r="X9" s="26" t="str">
        <f aca="false">IF($A9="","",U9-W9)</f>
        <v/>
      </c>
      <c r="Y9" s="26" t="str">
        <f aca="false">IF($A9="","",U9-W9-M9)</f>
        <v/>
      </c>
      <c r="AB9" s="27" t="str">
        <f aca="false">IF($A9="","",IF($AK9=1,'كشف المطالبة'!$D$5,'كشف المطالبة'!$D$6)*100)</f>
        <v/>
      </c>
      <c r="AK9" s="28" t="str">
        <f aca="false">IF($A9="","",IF(OR($Q9=TRUE(),$Q9="TRUE"),1,0))</f>
        <v/>
      </c>
      <c r="AL9" s="28" t="str">
        <f aca="false">IF($N9="","",IF(MATCH($N9,$N$2:$N$3001,0)=ROWS($N$2:$N9),$N9,""))</f>
        <v/>
      </c>
    </row>
    <row r="10" customFormat="false" ht="15" hidden="false" customHeight="false" outlineLevel="0" collapsed="false">
      <c r="E10" s="25"/>
      <c r="M10" s="26" t="str">
        <f aca="false">IF($A10="","",$L10*$U10/100)</f>
        <v/>
      </c>
      <c r="W10" s="26" t="str">
        <f aca="false">IF($A10="","",U10*AB10/100)</f>
        <v/>
      </c>
      <c r="X10" s="26" t="str">
        <f aca="false">IF($A10="","",U10-W10)</f>
        <v/>
      </c>
      <c r="Y10" s="26" t="str">
        <f aca="false">IF($A10="","",U10-W10-M10)</f>
        <v/>
      </c>
      <c r="AB10" s="27" t="str">
        <f aca="false">IF($A10="","",IF($AK10=1,'كشف المطالبة'!$D$5,'كشف المطالبة'!$D$6)*100)</f>
        <v/>
      </c>
      <c r="AK10" s="28" t="str">
        <f aca="false">IF($A10="","",IF(OR($Q10=TRUE(),$Q10="TRUE"),1,0))</f>
        <v/>
      </c>
      <c r="AL10" s="28" t="str">
        <f aca="false">IF($N10="","",IF(MATCH($N10,$N$2:$N$3001,0)=ROWS($N$2:$N10),$N10,""))</f>
        <v/>
      </c>
    </row>
    <row r="11" customFormat="false" ht="15" hidden="false" customHeight="false" outlineLevel="0" collapsed="false">
      <c r="E11" s="25"/>
      <c r="M11" s="26" t="str">
        <f aca="false">IF($A11="","",$L11*$U11/100)</f>
        <v/>
      </c>
      <c r="W11" s="26" t="str">
        <f aca="false">IF($A11="","",U11*AB11/100)</f>
        <v/>
      </c>
      <c r="X11" s="26" t="str">
        <f aca="false">IF($A11="","",U11-W11)</f>
        <v/>
      </c>
      <c r="Y11" s="26" t="str">
        <f aca="false">IF($A11="","",U11-W11-M11)</f>
        <v/>
      </c>
      <c r="AB11" s="27" t="str">
        <f aca="false">IF($A11="","",IF($AK11=1,'كشف المطالبة'!$D$5,'كشف المطالبة'!$D$6)*100)</f>
        <v/>
      </c>
      <c r="AK11" s="28" t="str">
        <f aca="false">IF($A11="","",IF(OR($Q11=TRUE(),$Q11="TRUE"),1,0))</f>
        <v/>
      </c>
      <c r="AL11" s="28" t="str">
        <f aca="false">IF($N11="","",IF(MATCH($N11,$N$2:$N$3001,0)=ROWS($N$2:$N11),$N11,""))</f>
        <v/>
      </c>
    </row>
    <row r="12" customFormat="false" ht="15" hidden="false" customHeight="false" outlineLevel="0" collapsed="false">
      <c r="E12" s="25"/>
      <c r="M12" s="26" t="str">
        <f aca="false">IF($A12="","",$L12*$U12/100)</f>
        <v/>
      </c>
      <c r="W12" s="26" t="str">
        <f aca="false">IF($A12="","",U12*AB12/100)</f>
        <v/>
      </c>
      <c r="X12" s="26" t="str">
        <f aca="false">IF($A12="","",U12-W12)</f>
        <v/>
      </c>
      <c r="Y12" s="26" t="str">
        <f aca="false">IF($A12="","",U12-W12-M12)</f>
        <v/>
      </c>
      <c r="AB12" s="27" t="str">
        <f aca="false">IF($A12="","",IF($AK12=1,'كشف المطالبة'!$D$5,'كشف المطالبة'!$D$6)*100)</f>
        <v/>
      </c>
      <c r="AK12" s="28" t="str">
        <f aca="false">IF($A12="","",IF(OR($Q12=TRUE(),$Q12="TRUE"),1,0))</f>
        <v/>
      </c>
      <c r="AL12" s="28" t="str">
        <f aca="false">IF($N12="","",IF(MATCH($N12,$N$2:$N$3001,0)=ROWS($N$2:$N12),$N12,""))</f>
        <v/>
      </c>
    </row>
    <row r="13" customFormat="false" ht="15" hidden="false" customHeight="false" outlineLevel="0" collapsed="false">
      <c r="E13" s="25"/>
      <c r="M13" s="26" t="str">
        <f aca="false">IF($A13="","",$L13*$U13/100)</f>
        <v/>
      </c>
      <c r="W13" s="26" t="str">
        <f aca="false">IF($A13="","",U13*AB13/100)</f>
        <v/>
      </c>
      <c r="X13" s="26" t="str">
        <f aca="false">IF($A13="","",U13-W13)</f>
        <v/>
      </c>
      <c r="Y13" s="26" t="str">
        <f aca="false">IF($A13="","",U13-W13-M13)</f>
        <v/>
      </c>
      <c r="AB13" s="27" t="str">
        <f aca="false">IF($A13="","",IF($AK13=1,'كشف المطالبة'!$D$5,'كشف المطالبة'!$D$6)*100)</f>
        <v/>
      </c>
      <c r="AK13" s="28" t="str">
        <f aca="false">IF($A13="","",IF(OR($Q13=TRUE(),$Q13="TRUE"),1,0))</f>
        <v/>
      </c>
      <c r="AL13" s="28" t="str">
        <f aca="false">IF($N13="","",IF(MATCH($N13,$N$2:$N$3001,0)=ROWS($N$2:$N13),$N13,""))</f>
        <v/>
      </c>
    </row>
    <row r="14" customFormat="false" ht="15" hidden="false" customHeight="false" outlineLevel="0" collapsed="false">
      <c r="E14" s="25"/>
      <c r="M14" s="26" t="str">
        <f aca="false">IF($A14="","",$L14*$U14/100)</f>
        <v/>
      </c>
      <c r="W14" s="26" t="str">
        <f aca="false">IF($A14="","",U14*AB14/100)</f>
        <v/>
      </c>
      <c r="X14" s="26" t="str">
        <f aca="false">IF($A14="","",U14-W14)</f>
        <v/>
      </c>
      <c r="Y14" s="26" t="str">
        <f aca="false">IF($A14="","",U14-W14-M14)</f>
        <v/>
      </c>
      <c r="AB14" s="27" t="str">
        <f aca="false">IF($A14="","",IF($AK14=1,'كشف المطالبة'!$D$5,'كشف المطالبة'!$D$6)*100)</f>
        <v/>
      </c>
      <c r="AK14" s="28" t="str">
        <f aca="false">IF($A14="","",IF(OR($Q14=TRUE(),$Q14="TRUE"),1,0))</f>
        <v/>
      </c>
      <c r="AL14" s="28" t="str">
        <f aca="false">IF($N14="","",IF(MATCH($N14,$N$2:$N$3001,0)=ROWS($N$2:$N14),$N14,""))</f>
        <v/>
      </c>
    </row>
    <row r="15" customFormat="false" ht="15" hidden="false" customHeight="false" outlineLevel="0" collapsed="false">
      <c r="E15" s="25"/>
      <c r="M15" s="26" t="str">
        <f aca="false">IF($A15="","",$L15*$U15/100)</f>
        <v/>
      </c>
      <c r="W15" s="26" t="str">
        <f aca="false">IF($A15="","",U15*AB15/100)</f>
        <v/>
      </c>
      <c r="X15" s="26" t="str">
        <f aca="false">IF($A15="","",U15-W15)</f>
        <v/>
      </c>
      <c r="Y15" s="26" t="str">
        <f aca="false">IF($A15="","",U15-W15-M15)</f>
        <v/>
      </c>
      <c r="AB15" s="27" t="str">
        <f aca="false">IF($A15="","",IF($AK15=1,'كشف المطالبة'!$D$5,'كشف المطالبة'!$D$6)*100)</f>
        <v/>
      </c>
      <c r="AK15" s="28" t="str">
        <f aca="false">IF($A15="","",IF(OR($Q15=TRUE(),$Q15="TRUE"),1,0))</f>
        <v/>
      </c>
      <c r="AL15" s="28" t="str">
        <f aca="false">IF($N15="","",IF(MATCH($N15,$N$2:$N$3001,0)=ROWS($N$2:$N15),$N15,""))</f>
        <v/>
      </c>
    </row>
    <row r="16" customFormat="false" ht="15" hidden="false" customHeight="false" outlineLevel="0" collapsed="false">
      <c r="E16" s="25"/>
      <c r="M16" s="26" t="str">
        <f aca="false">IF($A16="","",$L16*$U16/100)</f>
        <v/>
      </c>
      <c r="W16" s="26" t="str">
        <f aca="false">IF($A16="","",U16*AB16/100)</f>
        <v/>
      </c>
      <c r="X16" s="26" t="str">
        <f aca="false">IF($A16="","",U16-W16)</f>
        <v/>
      </c>
      <c r="Y16" s="26" t="str">
        <f aca="false">IF($A16="","",U16-W16-M16)</f>
        <v/>
      </c>
      <c r="AB16" s="27" t="str">
        <f aca="false">IF($A16="","",IF($AK16=1,'كشف المطالبة'!$D$5,'كشف المطالبة'!$D$6)*100)</f>
        <v/>
      </c>
      <c r="AK16" s="28" t="str">
        <f aca="false">IF($A16="","",IF(OR($Q16=TRUE(),$Q16="TRUE"),1,0))</f>
        <v/>
      </c>
      <c r="AL16" s="28" t="str">
        <f aca="false">IF($N16="","",IF(MATCH($N16,$N$2:$N$3001,0)=ROWS($N$2:$N16),$N16,""))</f>
        <v/>
      </c>
    </row>
    <row r="17" customFormat="false" ht="15" hidden="false" customHeight="false" outlineLevel="0" collapsed="false">
      <c r="E17" s="25"/>
      <c r="M17" s="26" t="str">
        <f aca="false">IF($A17="","",$L17*$U17/100)</f>
        <v/>
      </c>
      <c r="W17" s="26" t="str">
        <f aca="false">IF($A17="","",U17*AB17/100)</f>
        <v/>
      </c>
      <c r="X17" s="26" t="str">
        <f aca="false">IF($A17="","",U17-W17)</f>
        <v/>
      </c>
      <c r="Y17" s="26" t="str">
        <f aca="false">IF($A17="","",U17-W17-M17)</f>
        <v/>
      </c>
      <c r="AB17" s="27" t="str">
        <f aca="false">IF($A17="","",IF($AK17=1,'كشف المطالبة'!$D$5,'كشف المطالبة'!$D$6)*100)</f>
        <v/>
      </c>
      <c r="AK17" s="28" t="str">
        <f aca="false">IF($A17="","",IF(OR($Q17=TRUE(),$Q17="TRUE"),1,0))</f>
        <v/>
      </c>
      <c r="AL17" s="28" t="str">
        <f aca="false">IF($N17="","",IF(MATCH($N17,$N$2:$N$3001,0)=ROWS($N$2:$N17),$N17,""))</f>
        <v/>
      </c>
    </row>
    <row r="18" customFormat="false" ht="15" hidden="false" customHeight="false" outlineLevel="0" collapsed="false">
      <c r="E18" s="25"/>
      <c r="M18" s="26" t="str">
        <f aca="false">IF($A18="","",$L18*$U18/100)</f>
        <v/>
      </c>
      <c r="W18" s="26" t="str">
        <f aca="false">IF($A18="","",U18*AB18/100)</f>
        <v/>
      </c>
      <c r="X18" s="26" t="str">
        <f aca="false">IF($A18="","",U18-W18)</f>
        <v/>
      </c>
      <c r="Y18" s="26" t="str">
        <f aca="false">IF($A18="","",U18-W18-M18)</f>
        <v/>
      </c>
      <c r="AB18" s="27" t="str">
        <f aca="false">IF($A18="","",IF($AK18=1,'كشف المطالبة'!$D$5,'كشف المطالبة'!$D$6)*100)</f>
        <v/>
      </c>
      <c r="AK18" s="28" t="str">
        <f aca="false">IF($A18="","",IF(OR($Q18=TRUE(),$Q18="TRUE"),1,0))</f>
        <v/>
      </c>
      <c r="AL18" s="28" t="str">
        <f aca="false">IF($N18="","",IF(MATCH($N18,$N$2:$N$3001,0)=ROWS($N$2:$N18),$N18,""))</f>
        <v/>
      </c>
    </row>
    <row r="19" customFormat="false" ht="15" hidden="false" customHeight="false" outlineLevel="0" collapsed="false">
      <c r="E19" s="25"/>
      <c r="M19" s="26" t="str">
        <f aca="false">IF($A19="","",$L19*$U19/100)</f>
        <v/>
      </c>
      <c r="W19" s="26" t="str">
        <f aca="false">IF($A19="","",U19*AB19/100)</f>
        <v/>
      </c>
      <c r="X19" s="26" t="str">
        <f aca="false">IF($A19="","",U19-W19)</f>
        <v/>
      </c>
      <c r="Y19" s="26" t="str">
        <f aca="false">IF($A19="","",U19-W19-M19)</f>
        <v/>
      </c>
      <c r="AB19" s="27" t="str">
        <f aca="false">IF($A19="","",IF($AK19=1,'كشف المطالبة'!$D$5,'كشف المطالبة'!$D$6)*100)</f>
        <v/>
      </c>
      <c r="AK19" s="28" t="str">
        <f aca="false">IF($A19="","",IF(OR($Q19=TRUE(),$Q19="TRUE"),1,0))</f>
        <v/>
      </c>
      <c r="AL19" s="28" t="str">
        <f aca="false">IF($N19="","",IF(MATCH($N19,$N$2:$N$3001,0)=ROWS($N$2:$N19),$N19,""))</f>
        <v/>
      </c>
    </row>
    <row r="20" customFormat="false" ht="15" hidden="false" customHeight="false" outlineLevel="0" collapsed="false">
      <c r="E20" s="25"/>
      <c r="M20" s="26" t="str">
        <f aca="false">IF($A20="","",$L20*$U20/100)</f>
        <v/>
      </c>
      <c r="W20" s="26" t="str">
        <f aca="false">IF($A20="","",U20*AB20/100)</f>
        <v/>
      </c>
      <c r="X20" s="26" t="str">
        <f aca="false">IF($A20="","",U20-W20)</f>
        <v/>
      </c>
      <c r="Y20" s="26" t="str">
        <f aca="false">IF($A20="","",U20-W20-M20)</f>
        <v/>
      </c>
      <c r="AB20" s="27" t="str">
        <f aca="false">IF($A20="","",IF($AK20=1,'كشف المطالبة'!$D$5,'كشف المطالبة'!$D$6)*100)</f>
        <v/>
      </c>
      <c r="AK20" s="28" t="str">
        <f aca="false">IF($A20="","",IF(OR($Q20=TRUE(),$Q20="TRUE"),1,0))</f>
        <v/>
      </c>
      <c r="AL20" s="28" t="str">
        <f aca="false">IF($N20="","",IF(MATCH($N20,$N$2:$N$3001,0)=ROWS($N$2:$N20),$N20,""))</f>
        <v/>
      </c>
    </row>
    <row r="21" customFormat="false" ht="15" hidden="false" customHeight="false" outlineLevel="0" collapsed="false">
      <c r="E21" s="25"/>
      <c r="M21" s="26" t="str">
        <f aca="false">IF($A21="","",$L21*$U21/100)</f>
        <v/>
      </c>
      <c r="W21" s="26" t="str">
        <f aca="false">IF($A21="","",U21*AB21/100)</f>
        <v/>
      </c>
      <c r="X21" s="26" t="str">
        <f aca="false">IF($A21="","",U21-W21)</f>
        <v/>
      </c>
      <c r="Y21" s="26" t="str">
        <f aca="false">IF($A21="","",U21-W21-M21)</f>
        <v/>
      </c>
      <c r="AB21" s="27" t="str">
        <f aca="false">IF($A21="","",IF($AK21=1,'كشف المطالبة'!$D$5,'كشف المطالبة'!$D$6)*100)</f>
        <v/>
      </c>
      <c r="AK21" s="28" t="str">
        <f aca="false">IF($A21="","",IF(OR($Q21=TRUE(),$Q21="TRUE"),1,0))</f>
        <v/>
      </c>
      <c r="AL21" s="28" t="str">
        <f aca="false">IF($N21="","",IF(MATCH($N21,$N$2:$N$3001,0)=ROWS($N$2:$N21),$N21,""))</f>
        <v/>
      </c>
    </row>
    <row r="22" customFormat="false" ht="15" hidden="false" customHeight="false" outlineLevel="0" collapsed="false">
      <c r="E22" s="25"/>
      <c r="M22" s="26" t="str">
        <f aca="false">IF($A22="","",$L22*$U22/100)</f>
        <v/>
      </c>
      <c r="W22" s="26" t="str">
        <f aca="false">IF($A22="","",U22*AB22/100)</f>
        <v/>
      </c>
      <c r="X22" s="26" t="str">
        <f aca="false">IF($A22="","",U22-W22)</f>
        <v/>
      </c>
      <c r="Y22" s="26" t="str">
        <f aca="false">IF($A22="","",U22-W22-M22)</f>
        <v/>
      </c>
      <c r="AB22" s="27" t="str">
        <f aca="false">IF($A22="","",IF($AK22=1,'كشف المطالبة'!$D$5,'كشف المطالبة'!$D$6)*100)</f>
        <v/>
      </c>
      <c r="AK22" s="28" t="str">
        <f aca="false">IF($A22="","",IF(OR($Q22=TRUE(),$Q22="TRUE"),1,0))</f>
        <v/>
      </c>
      <c r="AL22" s="28" t="str">
        <f aca="false">IF($N22="","",IF(MATCH($N22,$N$2:$N$3001,0)=ROWS($N$2:$N22),$N22,""))</f>
        <v/>
      </c>
    </row>
    <row r="23" customFormat="false" ht="15" hidden="false" customHeight="false" outlineLevel="0" collapsed="false">
      <c r="E23" s="25"/>
      <c r="M23" s="26" t="str">
        <f aca="false">IF($A23="","",$L23*$U23/100)</f>
        <v/>
      </c>
      <c r="W23" s="26" t="str">
        <f aca="false">IF($A23="","",U23*AB23/100)</f>
        <v/>
      </c>
      <c r="X23" s="26" t="str">
        <f aca="false">IF($A23="","",U23-W23)</f>
        <v/>
      </c>
      <c r="Y23" s="26" t="str">
        <f aca="false">IF($A23="","",U23-W23-M23)</f>
        <v/>
      </c>
      <c r="AB23" s="27" t="str">
        <f aca="false">IF($A23="","",IF($AK23=1,'كشف المطالبة'!$D$5,'كشف المطالبة'!$D$6)*100)</f>
        <v/>
      </c>
      <c r="AK23" s="28" t="str">
        <f aca="false">IF($A23="","",IF(OR($Q23=TRUE(),$Q23="TRUE"),1,0))</f>
        <v/>
      </c>
      <c r="AL23" s="28" t="str">
        <f aca="false">IF($N23="","",IF(MATCH($N23,$N$2:$N$3001,0)=ROWS($N$2:$N23),$N23,""))</f>
        <v/>
      </c>
    </row>
    <row r="24" customFormat="false" ht="15" hidden="false" customHeight="false" outlineLevel="0" collapsed="false">
      <c r="E24" s="25"/>
      <c r="M24" s="26" t="str">
        <f aca="false">IF($A24="","",$L24*$U24/100)</f>
        <v/>
      </c>
      <c r="W24" s="26" t="str">
        <f aca="false">IF($A24="","",U24*AB24/100)</f>
        <v/>
      </c>
      <c r="X24" s="26" t="str">
        <f aca="false">IF($A24="","",U24-W24)</f>
        <v/>
      </c>
      <c r="Y24" s="26" t="str">
        <f aca="false">IF($A24="","",U24-W24-M24)</f>
        <v/>
      </c>
      <c r="AB24" s="27" t="str">
        <f aca="false">IF($A24="","",IF($AK24=1,'كشف المطالبة'!$D$5,'كشف المطالبة'!$D$6)*100)</f>
        <v/>
      </c>
      <c r="AK24" s="28" t="str">
        <f aca="false">IF($A24="","",IF(OR($Q24=TRUE(),$Q24="TRUE"),1,0))</f>
        <v/>
      </c>
      <c r="AL24" s="28" t="str">
        <f aca="false">IF($N24="","",IF(MATCH($N24,$N$2:$N$3001,0)=ROWS($N$2:$N24),$N24,""))</f>
        <v/>
      </c>
    </row>
    <row r="25" customFormat="false" ht="15" hidden="false" customHeight="false" outlineLevel="0" collapsed="false">
      <c r="E25" s="25"/>
      <c r="M25" s="26" t="str">
        <f aca="false">IF($A25="","",$L25*$U25/100)</f>
        <v/>
      </c>
      <c r="W25" s="26" t="str">
        <f aca="false">IF($A25="","",U25*AB25/100)</f>
        <v/>
      </c>
      <c r="X25" s="26" t="str">
        <f aca="false">IF($A25="","",U25-W25)</f>
        <v/>
      </c>
      <c r="Y25" s="26" t="str">
        <f aca="false">IF($A25="","",U25-W25-M25)</f>
        <v/>
      </c>
      <c r="AB25" s="27" t="str">
        <f aca="false">IF($A25="","",IF($AK25=1,'كشف المطالبة'!$D$5,'كشف المطالبة'!$D$6)*100)</f>
        <v/>
      </c>
      <c r="AK25" s="28" t="str">
        <f aca="false">IF($A25="","",IF(OR($Q25=TRUE(),$Q25="TRUE"),1,0))</f>
        <v/>
      </c>
      <c r="AL25" s="28" t="str">
        <f aca="false">IF($N25="","",IF(MATCH($N25,$N$2:$N$3001,0)=ROWS($N$2:$N25),$N25,""))</f>
        <v/>
      </c>
    </row>
    <row r="26" customFormat="false" ht="15" hidden="false" customHeight="false" outlineLevel="0" collapsed="false">
      <c r="E26" s="25"/>
      <c r="M26" s="26" t="str">
        <f aca="false">IF($A26="","",$L26*$U26/100)</f>
        <v/>
      </c>
      <c r="W26" s="26" t="str">
        <f aca="false">IF($A26="","",U26*AB26/100)</f>
        <v/>
      </c>
      <c r="X26" s="26" t="str">
        <f aca="false">IF($A26="","",U26-W26)</f>
        <v/>
      </c>
      <c r="Y26" s="26" t="str">
        <f aca="false">IF($A26="","",U26-W26-M26)</f>
        <v/>
      </c>
      <c r="AB26" s="27" t="str">
        <f aca="false">IF($A26="","",IF($AK26=1,'كشف المطالبة'!$D$5,'كشف المطالبة'!$D$6)*100)</f>
        <v/>
      </c>
      <c r="AK26" s="28" t="str">
        <f aca="false">IF($A26="","",IF(OR($Q26=TRUE(),$Q26="TRUE"),1,0))</f>
        <v/>
      </c>
      <c r="AL26" s="28" t="str">
        <f aca="false">IF($N26="","",IF(MATCH($N26,$N$2:$N$3001,0)=ROWS($N$2:$N26),$N26,""))</f>
        <v/>
      </c>
    </row>
    <row r="27" customFormat="false" ht="15" hidden="false" customHeight="false" outlineLevel="0" collapsed="false">
      <c r="E27" s="25"/>
      <c r="M27" s="26" t="str">
        <f aca="false">IF($A27="","",$L27*$U27/100)</f>
        <v/>
      </c>
      <c r="W27" s="26" t="str">
        <f aca="false">IF($A27="","",U27*AB27/100)</f>
        <v/>
      </c>
      <c r="X27" s="26" t="str">
        <f aca="false">IF($A27="","",U27-W27)</f>
        <v/>
      </c>
      <c r="Y27" s="26" t="str">
        <f aca="false">IF($A27="","",U27-W27-M27)</f>
        <v/>
      </c>
      <c r="AB27" s="27" t="str">
        <f aca="false">IF($A27="","",IF($AK27=1,'كشف المطالبة'!$D$5,'كشف المطالبة'!$D$6)*100)</f>
        <v/>
      </c>
      <c r="AK27" s="28" t="str">
        <f aca="false">IF($A27="","",IF(OR($Q27=TRUE(),$Q27="TRUE"),1,0))</f>
        <v/>
      </c>
      <c r="AL27" s="28" t="str">
        <f aca="false">IF($N27="","",IF(MATCH($N27,$N$2:$N$3001,0)=ROWS($N$2:$N27),$N27,""))</f>
        <v/>
      </c>
    </row>
    <row r="28" customFormat="false" ht="15" hidden="false" customHeight="false" outlineLevel="0" collapsed="false">
      <c r="E28" s="25"/>
      <c r="M28" s="26" t="str">
        <f aca="false">IF($A28="","",$L28*$U28/100)</f>
        <v/>
      </c>
      <c r="W28" s="26" t="str">
        <f aca="false">IF($A28="","",U28*AB28/100)</f>
        <v/>
      </c>
      <c r="X28" s="26" t="str">
        <f aca="false">IF($A28="","",U28-W28)</f>
        <v/>
      </c>
      <c r="Y28" s="26" t="str">
        <f aca="false">IF($A28="","",U28-W28-M28)</f>
        <v/>
      </c>
      <c r="AB28" s="27" t="str">
        <f aca="false">IF($A28="","",IF($AK28=1,'كشف المطالبة'!$D$5,'كشف المطالبة'!$D$6)*100)</f>
        <v/>
      </c>
      <c r="AK28" s="28" t="str">
        <f aca="false">IF($A28="","",IF(OR($Q28=TRUE(),$Q28="TRUE"),1,0))</f>
        <v/>
      </c>
      <c r="AL28" s="28" t="str">
        <f aca="false">IF($N28="","",IF(MATCH($N28,$N$2:$N$3001,0)=ROWS($N$2:$N28),$N28,""))</f>
        <v/>
      </c>
    </row>
    <row r="29" customFormat="false" ht="15" hidden="false" customHeight="false" outlineLevel="0" collapsed="false">
      <c r="E29" s="25"/>
      <c r="M29" s="26" t="str">
        <f aca="false">IF($A29="","",$L29*$U29/100)</f>
        <v/>
      </c>
      <c r="W29" s="26" t="str">
        <f aca="false">IF($A29="","",U29*AB29/100)</f>
        <v/>
      </c>
      <c r="X29" s="26" t="str">
        <f aca="false">IF($A29="","",U29-W29)</f>
        <v/>
      </c>
      <c r="Y29" s="26" t="str">
        <f aca="false">IF($A29="","",U29-W29-M29)</f>
        <v/>
      </c>
      <c r="AB29" s="27" t="str">
        <f aca="false">IF($A29="","",IF($AK29=1,'كشف المطالبة'!$D$5,'كشف المطالبة'!$D$6)*100)</f>
        <v/>
      </c>
      <c r="AK29" s="28" t="str">
        <f aca="false">IF($A29="","",IF(OR($Q29=TRUE(),$Q29="TRUE"),1,0))</f>
        <v/>
      </c>
      <c r="AL29" s="28" t="str">
        <f aca="false">IF($N29="","",IF(MATCH($N29,$N$2:$N$3001,0)=ROWS($N$2:$N29),$N29,""))</f>
        <v/>
      </c>
    </row>
    <row r="30" customFormat="false" ht="15" hidden="false" customHeight="false" outlineLevel="0" collapsed="false">
      <c r="E30" s="25"/>
      <c r="M30" s="26" t="str">
        <f aca="false">IF($A30="","",$L30*$U30/100)</f>
        <v/>
      </c>
      <c r="W30" s="26" t="str">
        <f aca="false">IF($A30="","",U30*AB30/100)</f>
        <v/>
      </c>
      <c r="X30" s="26" t="str">
        <f aca="false">IF($A30="","",U30-W30)</f>
        <v/>
      </c>
      <c r="Y30" s="26" t="str">
        <f aca="false">IF($A30="","",U30-W30-M30)</f>
        <v/>
      </c>
      <c r="AB30" s="27" t="str">
        <f aca="false">IF($A30="","",IF($AK30=1,'كشف المطالبة'!$D$5,'كشف المطالبة'!$D$6)*100)</f>
        <v/>
      </c>
      <c r="AK30" s="28" t="str">
        <f aca="false">IF($A30="","",IF(OR($Q30=TRUE(),$Q30="TRUE"),1,0))</f>
        <v/>
      </c>
      <c r="AL30" s="28" t="str">
        <f aca="false">IF($N30="","",IF(MATCH($N30,$N$2:$N$3001,0)=ROWS($N$2:$N30),$N30,""))</f>
        <v/>
      </c>
    </row>
    <row r="31" customFormat="false" ht="15" hidden="false" customHeight="false" outlineLevel="0" collapsed="false">
      <c r="E31" s="25"/>
      <c r="M31" s="26" t="str">
        <f aca="false">IF($A31="","",$L31*$U31/100)</f>
        <v/>
      </c>
      <c r="W31" s="26" t="str">
        <f aca="false">IF($A31="","",U31*AB31/100)</f>
        <v/>
      </c>
      <c r="X31" s="26" t="str">
        <f aca="false">IF($A31="","",U31-W31)</f>
        <v/>
      </c>
      <c r="Y31" s="26" t="str">
        <f aca="false">IF($A31="","",U31-W31-M31)</f>
        <v/>
      </c>
      <c r="AB31" s="27" t="str">
        <f aca="false">IF($A31="","",IF($AK31=1,'كشف المطالبة'!$D$5,'كشف المطالبة'!$D$6)*100)</f>
        <v/>
      </c>
      <c r="AK31" s="28" t="str">
        <f aca="false">IF($A31="","",IF(OR($Q31=TRUE(),$Q31="TRUE"),1,0))</f>
        <v/>
      </c>
      <c r="AL31" s="28" t="str">
        <f aca="false">IF($N31="","",IF(MATCH($N31,$N$2:$N$3001,0)=ROWS($N$2:$N31),$N31,""))</f>
        <v/>
      </c>
    </row>
    <row r="32" customFormat="false" ht="15" hidden="false" customHeight="false" outlineLevel="0" collapsed="false">
      <c r="E32" s="25"/>
      <c r="M32" s="26" t="str">
        <f aca="false">IF($A32="","",$L32*$U32/100)</f>
        <v/>
      </c>
      <c r="W32" s="26" t="str">
        <f aca="false">IF($A32="","",U32*AB32/100)</f>
        <v/>
      </c>
      <c r="X32" s="26" t="str">
        <f aca="false">IF($A32="","",U32-W32)</f>
        <v/>
      </c>
      <c r="Y32" s="26" t="str">
        <f aca="false">IF($A32="","",U32-W32-M32)</f>
        <v/>
      </c>
      <c r="AB32" s="27" t="str">
        <f aca="false">IF($A32="","",IF($AK32=1,'كشف المطالبة'!$D$5,'كشف المطالبة'!$D$6)*100)</f>
        <v/>
      </c>
      <c r="AK32" s="28" t="str">
        <f aca="false">IF($A32="","",IF(OR($Q32=TRUE(),$Q32="TRUE"),1,0))</f>
        <v/>
      </c>
      <c r="AL32" s="28" t="str">
        <f aca="false">IF($N32="","",IF(MATCH($N32,$N$2:$N$3001,0)=ROWS($N$2:$N32),$N32,""))</f>
        <v/>
      </c>
    </row>
    <row r="33" customFormat="false" ht="15" hidden="false" customHeight="false" outlineLevel="0" collapsed="false">
      <c r="E33" s="25"/>
      <c r="M33" s="26" t="str">
        <f aca="false">IF($A33="","",$L33*$U33/100)</f>
        <v/>
      </c>
      <c r="W33" s="26" t="str">
        <f aca="false">IF($A33="","",U33*AB33/100)</f>
        <v/>
      </c>
      <c r="X33" s="26" t="str">
        <f aca="false">IF($A33="","",U33-W33)</f>
        <v/>
      </c>
      <c r="Y33" s="26" t="str">
        <f aca="false">IF($A33="","",U33-W33-M33)</f>
        <v/>
      </c>
      <c r="AB33" s="27" t="str">
        <f aca="false">IF($A33="","",IF($AK33=1,'كشف المطالبة'!$D$5,'كشف المطالبة'!$D$6)*100)</f>
        <v/>
      </c>
      <c r="AK33" s="28" t="str">
        <f aca="false">IF($A33="","",IF(OR($Q33=TRUE(),$Q33="TRUE"),1,0))</f>
        <v/>
      </c>
      <c r="AL33" s="28" t="str">
        <f aca="false">IF($N33="","",IF(MATCH($N33,$N$2:$N$3001,0)=ROWS($N$2:$N33),$N33,""))</f>
        <v/>
      </c>
    </row>
    <row r="34" customFormat="false" ht="15" hidden="false" customHeight="false" outlineLevel="0" collapsed="false">
      <c r="E34" s="25"/>
      <c r="M34" s="26" t="str">
        <f aca="false">IF($A34="","",$L34*$U34/100)</f>
        <v/>
      </c>
      <c r="W34" s="26" t="str">
        <f aca="false">IF($A34="","",U34*AB34/100)</f>
        <v/>
      </c>
      <c r="X34" s="26" t="str">
        <f aca="false">IF($A34="","",U34-W34)</f>
        <v/>
      </c>
      <c r="Y34" s="26" t="str">
        <f aca="false">IF($A34="","",U34-W34-M34)</f>
        <v/>
      </c>
      <c r="AB34" s="27" t="str">
        <f aca="false">IF($A34="","",IF($AK34=1,'كشف المطالبة'!$D$5,'كشف المطالبة'!$D$6)*100)</f>
        <v/>
      </c>
      <c r="AK34" s="28" t="str">
        <f aca="false">IF($A34="","",IF(OR($Q34=TRUE(),$Q34="TRUE"),1,0))</f>
        <v/>
      </c>
      <c r="AL34" s="28" t="str">
        <f aca="false">IF($N34="","",IF(MATCH($N34,$N$2:$N$3001,0)=ROWS($N$2:$N34),$N34,""))</f>
        <v/>
      </c>
    </row>
    <row r="35" customFormat="false" ht="15" hidden="false" customHeight="false" outlineLevel="0" collapsed="false">
      <c r="E35" s="25"/>
      <c r="M35" s="26" t="str">
        <f aca="false">IF($A35="","",$L35*$U35/100)</f>
        <v/>
      </c>
      <c r="W35" s="26" t="str">
        <f aca="false">IF($A35="","",U35*AB35/100)</f>
        <v/>
      </c>
      <c r="X35" s="26" t="str">
        <f aca="false">IF($A35="","",U35-W35)</f>
        <v/>
      </c>
      <c r="Y35" s="26" t="str">
        <f aca="false">IF($A35="","",U35-W35-M35)</f>
        <v/>
      </c>
      <c r="AB35" s="27" t="str">
        <f aca="false">IF($A35="","",IF($AK35=1,'كشف المطالبة'!$D$5,'كشف المطالبة'!$D$6)*100)</f>
        <v/>
      </c>
      <c r="AK35" s="28" t="str">
        <f aca="false">IF($A35="","",IF(OR($Q35=TRUE(),$Q35="TRUE"),1,0))</f>
        <v/>
      </c>
      <c r="AL35" s="28" t="str">
        <f aca="false">IF($N35="","",IF(MATCH($N35,$N$2:$N$3001,0)=ROWS($N$2:$N35),$N35,""))</f>
        <v/>
      </c>
    </row>
    <row r="36" customFormat="false" ht="15" hidden="false" customHeight="false" outlineLevel="0" collapsed="false">
      <c r="E36" s="25"/>
      <c r="M36" s="26" t="str">
        <f aca="false">IF($A36="","",$L36*$U36/100)</f>
        <v/>
      </c>
      <c r="W36" s="26" t="str">
        <f aca="false">IF($A36="","",U36*AB36/100)</f>
        <v/>
      </c>
      <c r="X36" s="26" t="str">
        <f aca="false">IF($A36="","",U36-W36)</f>
        <v/>
      </c>
      <c r="Y36" s="26" t="str">
        <f aca="false">IF($A36="","",U36-W36-M36)</f>
        <v/>
      </c>
      <c r="AB36" s="27" t="str">
        <f aca="false">IF($A36="","",IF($AK36=1,'كشف المطالبة'!$D$5,'كشف المطالبة'!$D$6)*100)</f>
        <v/>
      </c>
      <c r="AK36" s="28" t="str">
        <f aca="false">IF($A36="","",IF(OR($Q36=TRUE(),$Q36="TRUE"),1,0))</f>
        <v/>
      </c>
      <c r="AL36" s="28" t="str">
        <f aca="false">IF($N36="","",IF(MATCH($N36,$N$2:$N$3001,0)=ROWS($N$2:$N36),$N36,""))</f>
        <v/>
      </c>
    </row>
    <row r="37" customFormat="false" ht="15" hidden="false" customHeight="false" outlineLevel="0" collapsed="false">
      <c r="E37" s="25"/>
      <c r="M37" s="26" t="str">
        <f aca="false">IF($A37="","",$L37*$U37/100)</f>
        <v/>
      </c>
      <c r="W37" s="26" t="str">
        <f aca="false">IF($A37="","",U37*AB37/100)</f>
        <v/>
      </c>
      <c r="X37" s="26" t="str">
        <f aca="false">IF($A37="","",U37-W37)</f>
        <v/>
      </c>
      <c r="Y37" s="26" t="str">
        <f aca="false">IF($A37="","",U37-W37-M37)</f>
        <v/>
      </c>
      <c r="AB37" s="27" t="str">
        <f aca="false">IF($A37="","",IF($AK37=1,'كشف المطالبة'!$D$5,'كشف المطالبة'!$D$6)*100)</f>
        <v/>
      </c>
      <c r="AK37" s="28" t="str">
        <f aca="false">IF($A37="","",IF(OR($Q37=TRUE(),$Q37="TRUE"),1,0))</f>
        <v/>
      </c>
      <c r="AL37" s="28" t="str">
        <f aca="false">IF($N37="","",IF(MATCH($N37,$N$2:$N$3001,0)=ROWS($N$2:$N37),$N37,""))</f>
        <v/>
      </c>
    </row>
    <row r="38" customFormat="false" ht="15" hidden="false" customHeight="false" outlineLevel="0" collapsed="false">
      <c r="E38" s="25"/>
      <c r="M38" s="26" t="str">
        <f aca="false">IF($A38="","",$L38*$U38/100)</f>
        <v/>
      </c>
      <c r="W38" s="26" t="str">
        <f aca="false">IF($A38="","",U38*AB38/100)</f>
        <v/>
      </c>
      <c r="X38" s="26" t="str">
        <f aca="false">IF($A38="","",U38-W38)</f>
        <v/>
      </c>
      <c r="Y38" s="26" t="str">
        <f aca="false">IF($A38="","",U38-W38-M38)</f>
        <v/>
      </c>
      <c r="AB38" s="27" t="str">
        <f aca="false">IF($A38="","",IF($AK38=1,'كشف المطالبة'!$D$5,'كشف المطالبة'!$D$6)*100)</f>
        <v/>
      </c>
      <c r="AK38" s="28" t="str">
        <f aca="false">IF($A38="","",IF(OR($Q38=TRUE(),$Q38="TRUE"),1,0))</f>
        <v/>
      </c>
      <c r="AL38" s="28" t="str">
        <f aca="false">IF($N38="","",IF(MATCH($N38,$N$2:$N$3001,0)=ROWS($N$2:$N38),$N38,""))</f>
        <v/>
      </c>
    </row>
    <row r="39" customFormat="false" ht="15" hidden="false" customHeight="false" outlineLevel="0" collapsed="false">
      <c r="E39" s="25"/>
      <c r="M39" s="26" t="str">
        <f aca="false">IF($A39="","",$L39*$U39/100)</f>
        <v/>
      </c>
      <c r="W39" s="26" t="str">
        <f aca="false">IF($A39="","",U39*AB39/100)</f>
        <v/>
      </c>
      <c r="X39" s="26" t="str">
        <f aca="false">IF($A39="","",U39-W39)</f>
        <v/>
      </c>
      <c r="Y39" s="26" t="str">
        <f aca="false">IF($A39="","",U39-W39-M39)</f>
        <v/>
      </c>
      <c r="AB39" s="27" t="str">
        <f aca="false">IF($A39="","",IF($AK39=1,'كشف المطالبة'!$D$5,'كشف المطالبة'!$D$6)*100)</f>
        <v/>
      </c>
      <c r="AK39" s="28" t="str">
        <f aca="false">IF($A39="","",IF(OR($Q39=TRUE(),$Q39="TRUE"),1,0))</f>
        <v/>
      </c>
      <c r="AL39" s="28" t="str">
        <f aca="false">IF($N39="","",IF(MATCH($N39,$N$2:$N$3001,0)=ROWS($N$2:$N39),$N39,""))</f>
        <v/>
      </c>
    </row>
    <row r="40" customFormat="false" ht="15" hidden="false" customHeight="false" outlineLevel="0" collapsed="false">
      <c r="E40" s="25"/>
      <c r="M40" s="26" t="str">
        <f aca="false">IF($A40="","",$L40*$U40/100)</f>
        <v/>
      </c>
      <c r="W40" s="26" t="str">
        <f aca="false">IF($A40="","",U40*AB40/100)</f>
        <v/>
      </c>
      <c r="X40" s="26" t="str">
        <f aca="false">IF($A40="","",U40-W40)</f>
        <v/>
      </c>
      <c r="Y40" s="26" t="str">
        <f aca="false">IF($A40="","",U40-W40-M40)</f>
        <v/>
      </c>
      <c r="AB40" s="27" t="str">
        <f aca="false">IF($A40="","",IF($AK40=1,'كشف المطالبة'!$D$5,'كشف المطالبة'!$D$6)*100)</f>
        <v/>
      </c>
      <c r="AK40" s="28" t="str">
        <f aca="false">IF($A40="","",IF(OR($Q40=TRUE(),$Q40="TRUE"),1,0))</f>
        <v/>
      </c>
      <c r="AL40" s="28" t="str">
        <f aca="false">IF($N40="","",IF(MATCH($N40,$N$2:$N$3001,0)=ROWS($N$2:$N40),$N40,""))</f>
        <v/>
      </c>
    </row>
    <row r="41" customFormat="false" ht="15" hidden="false" customHeight="false" outlineLevel="0" collapsed="false">
      <c r="E41" s="25"/>
      <c r="M41" s="26" t="str">
        <f aca="false">IF($A41="","",$L41*$U41/100)</f>
        <v/>
      </c>
      <c r="W41" s="26" t="str">
        <f aca="false">IF($A41="","",U41*AB41/100)</f>
        <v/>
      </c>
      <c r="X41" s="26" t="str">
        <f aca="false">IF($A41="","",U41-W41)</f>
        <v/>
      </c>
      <c r="Y41" s="26" t="str">
        <f aca="false">IF($A41="","",U41-W41-M41)</f>
        <v/>
      </c>
      <c r="AB41" s="27" t="str">
        <f aca="false">IF($A41="","",IF($AK41=1,'كشف المطالبة'!$D$5,'كشف المطالبة'!$D$6)*100)</f>
        <v/>
      </c>
      <c r="AK41" s="28" t="str">
        <f aca="false">IF($A41="","",IF(OR($Q41=TRUE(),$Q41="TRUE"),1,0))</f>
        <v/>
      </c>
      <c r="AL41" s="28" t="str">
        <f aca="false">IF($N41="","",IF(MATCH($N41,$N$2:$N$3001,0)=ROWS($N$2:$N41),$N41,""))</f>
        <v/>
      </c>
    </row>
    <row r="42" customFormat="false" ht="15" hidden="false" customHeight="false" outlineLevel="0" collapsed="false">
      <c r="E42" s="25"/>
      <c r="M42" s="26" t="str">
        <f aca="false">IF($A42="","",$L42*$U42/100)</f>
        <v/>
      </c>
      <c r="W42" s="26" t="str">
        <f aca="false">IF($A42="","",U42*AB42/100)</f>
        <v/>
      </c>
      <c r="X42" s="26" t="str">
        <f aca="false">IF($A42="","",U42-W42)</f>
        <v/>
      </c>
      <c r="Y42" s="26" t="str">
        <f aca="false">IF($A42="","",U42-W42-M42)</f>
        <v/>
      </c>
      <c r="AB42" s="27" t="str">
        <f aca="false">IF($A42="","",IF($AK42=1,'كشف المطالبة'!$D$5,'كشف المطالبة'!$D$6)*100)</f>
        <v/>
      </c>
      <c r="AK42" s="28" t="str">
        <f aca="false">IF($A42="","",IF(OR($Q42=TRUE(),$Q42="TRUE"),1,0))</f>
        <v/>
      </c>
      <c r="AL42" s="28" t="str">
        <f aca="false">IF($N42="","",IF(MATCH($N42,$N$2:$N$3001,0)=ROWS($N$2:$N42),$N42,""))</f>
        <v/>
      </c>
    </row>
    <row r="43" customFormat="false" ht="15" hidden="false" customHeight="false" outlineLevel="0" collapsed="false">
      <c r="E43" s="25"/>
      <c r="M43" s="26" t="str">
        <f aca="false">IF($A43="","",$L43*$U43/100)</f>
        <v/>
      </c>
      <c r="W43" s="26" t="str">
        <f aca="false">IF($A43="","",U43*AB43/100)</f>
        <v/>
      </c>
      <c r="X43" s="26" t="str">
        <f aca="false">IF($A43="","",U43-W43)</f>
        <v/>
      </c>
      <c r="Y43" s="26" t="str">
        <f aca="false">IF($A43="","",U43-W43-M43)</f>
        <v/>
      </c>
      <c r="AB43" s="27" t="str">
        <f aca="false">IF($A43="","",IF($AK43=1,'كشف المطالبة'!$D$5,'كشف المطالبة'!$D$6)*100)</f>
        <v/>
      </c>
      <c r="AK43" s="28" t="str">
        <f aca="false">IF($A43="","",IF(OR($Q43=TRUE(),$Q43="TRUE"),1,0))</f>
        <v/>
      </c>
      <c r="AL43" s="28" t="str">
        <f aca="false">IF($N43="","",IF(MATCH($N43,$N$2:$N$3001,0)=ROWS($N$2:$N43),$N43,""))</f>
        <v/>
      </c>
    </row>
    <row r="44" customFormat="false" ht="15" hidden="false" customHeight="false" outlineLevel="0" collapsed="false">
      <c r="E44" s="25"/>
      <c r="M44" s="26" t="str">
        <f aca="false">IF($A44="","",$L44*$U44/100)</f>
        <v/>
      </c>
      <c r="W44" s="26" t="str">
        <f aca="false">IF($A44="","",U44*AB44/100)</f>
        <v/>
      </c>
      <c r="X44" s="26" t="str">
        <f aca="false">IF($A44="","",U44-W44)</f>
        <v/>
      </c>
      <c r="Y44" s="26" t="str">
        <f aca="false">IF($A44="","",U44-W44-M44)</f>
        <v/>
      </c>
      <c r="AB44" s="27" t="str">
        <f aca="false">IF($A44="","",IF($AK44=1,'كشف المطالبة'!$D$5,'كشف المطالبة'!$D$6)*100)</f>
        <v/>
      </c>
      <c r="AK44" s="28" t="str">
        <f aca="false">IF($A44="","",IF(OR($Q44=TRUE(),$Q44="TRUE"),1,0))</f>
        <v/>
      </c>
      <c r="AL44" s="28" t="str">
        <f aca="false">IF($N44="","",IF(MATCH($N44,$N$2:$N$3001,0)=ROWS($N$2:$N44),$N44,""))</f>
        <v/>
      </c>
    </row>
    <row r="45" customFormat="false" ht="15" hidden="false" customHeight="false" outlineLevel="0" collapsed="false">
      <c r="E45" s="25"/>
      <c r="M45" s="26" t="str">
        <f aca="false">IF($A45="","",$L45*$U45/100)</f>
        <v/>
      </c>
      <c r="W45" s="26" t="str">
        <f aca="false">IF($A45="","",U45*AB45/100)</f>
        <v/>
      </c>
      <c r="X45" s="26" t="str">
        <f aca="false">IF($A45="","",U45-W45)</f>
        <v/>
      </c>
      <c r="Y45" s="26" t="str">
        <f aca="false">IF($A45="","",U45-W45-M45)</f>
        <v/>
      </c>
      <c r="AB45" s="27" t="str">
        <f aca="false">IF($A45="","",IF($AK45=1,'كشف المطالبة'!$D$5,'كشف المطالبة'!$D$6)*100)</f>
        <v/>
      </c>
      <c r="AK45" s="28" t="str">
        <f aca="false">IF($A45="","",IF(OR($Q45=TRUE(),$Q45="TRUE"),1,0))</f>
        <v/>
      </c>
      <c r="AL45" s="28" t="str">
        <f aca="false">IF($N45="","",IF(MATCH($N45,$N$2:$N$3001,0)=ROWS($N$2:$N45),$N45,""))</f>
        <v/>
      </c>
    </row>
    <row r="46" customFormat="false" ht="15" hidden="false" customHeight="false" outlineLevel="0" collapsed="false">
      <c r="E46" s="25"/>
      <c r="M46" s="26" t="str">
        <f aca="false">IF($A46="","",$L46*$U46/100)</f>
        <v/>
      </c>
      <c r="W46" s="26" t="str">
        <f aca="false">IF($A46="","",U46*AB46/100)</f>
        <v/>
      </c>
      <c r="X46" s="26" t="str">
        <f aca="false">IF($A46="","",U46-W46)</f>
        <v/>
      </c>
      <c r="Y46" s="26" t="str">
        <f aca="false">IF($A46="","",U46-W46-M46)</f>
        <v/>
      </c>
      <c r="AB46" s="27" t="str">
        <f aca="false">IF($A46="","",IF($AK46=1,'كشف المطالبة'!$D$5,'كشف المطالبة'!$D$6)*100)</f>
        <v/>
      </c>
      <c r="AK46" s="28" t="str">
        <f aca="false">IF($A46="","",IF(OR($Q46=TRUE(),$Q46="TRUE"),1,0))</f>
        <v/>
      </c>
      <c r="AL46" s="28" t="str">
        <f aca="false">IF($N46="","",IF(MATCH($N46,$N$2:$N$3001,0)=ROWS($N$2:$N46),$N46,""))</f>
        <v/>
      </c>
    </row>
    <row r="47" customFormat="false" ht="15" hidden="false" customHeight="false" outlineLevel="0" collapsed="false">
      <c r="E47" s="25"/>
      <c r="M47" s="26" t="str">
        <f aca="false">IF($A47="","",$L47*$U47/100)</f>
        <v/>
      </c>
      <c r="W47" s="26" t="str">
        <f aca="false">IF($A47="","",U47*AB47/100)</f>
        <v/>
      </c>
      <c r="X47" s="26" t="str">
        <f aca="false">IF($A47="","",U47-W47)</f>
        <v/>
      </c>
      <c r="Y47" s="26" t="str">
        <f aca="false">IF($A47="","",U47-W47-M47)</f>
        <v/>
      </c>
      <c r="AB47" s="27" t="str">
        <f aca="false">IF($A47="","",IF($AK47=1,'كشف المطالبة'!$D$5,'كشف المطالبة'!$D$6)*100)</f>
        <v/>
      </c>
      <c r="AK47" s="28" t="str">
        <f aca="false">IF($A47="","",IF(OR($Q47=TRUE(),$Q47="TRUE"),1,0))</f>
        <v/>
      </c>
      <c r="AL47" s="28" t="str">
        <f aca="false">IF($N47="","",IF(MATCH($N47,$N$2:$N$3001,0)=ROWS($N$2:$N47),$N47,""))</f>
        <v/>
      </c>
    </row>
    <row r="48" customFormat="false" ht="15" hidden="false" customHeight="false" outlineLevel="0" collapsed="false">
      <c r="E48" s="25"/>
      <c r="M48" s="26" t="str">
        <f aca="false">IF($A48="","",$L48*$U48/100)</f>
        <v/>
      </c>
      <c r="W48" s="26" t="str">
        <f aca="false">IF($A48="","",U48*AB48/100)</f>
        <v/>
      </c>
      <c r="X48" s="26" t="str">
        <f aca="false">IF($A48="","",U48-W48)</f>
        <v/>
      </c>
      <c r="Y48" s="26" t="str">
        <f aca="false">IF($A48="","",U48-W48-M48)</f>
        <v/>
      </c>
      <c r="AB48" s="27" t="str">
        <f aca="false">IF($A48="","",IF($AK48=1,'كشف المطالبة'!$D$5,'كشف المطالبة'!$D$6)*100)</f>
        <v/>
      </c>
      <c r="AK48" s="28" t="str">
        <f aca="false">IF($A48="","",IF(OR($Q48=TRUE(),$Q48="TRUE"),1,0))</f>
        <v/>
      </c>
      <c r="AL48" s="28" t="str">
        <f aca="false">IF($N48="","",IF(MATCH($N48,$N$2:$N$3001,0)=ROWS($N$2:$N48),$N48,""))</f>
        <v/>
      </c>
    </row>
    <row r="49" customFormat="false" ht="15" hidden="false" customHeight="false" outlineLevel="0" collapsed="false">
      <c r="E49" s="25"/>
      <c r="M49" s="26" t="str">
        <f aca="false">IF($A49="","",$L49*$U49/100)</f>
        <v/>
      </c>
      <c r="W49" s="26" t="str">
        <f aca="false">IF($A49="","",U49*AB49/100)</f>
        <v/>
      </c>
      <c r="X49" s="26" t="str">
        <f aca="false">IF($A49="","",U49-W49)</f>
        <v/>
      </c>
      <c r="Y49" s="26" t="str">
        <f aca="false">IF($A49="","",U49-W49-M49)</f>
        <v/>
      </c>
      <c r="AB49" s="27" t="str">
        <f aca="false">IF($A49="","",IF($AK49=1,'كشف المطالبة'!$D$5,'كشف المطالبة'!$D$6)*100)</f>
        <v/>
      </c>
      <c r="AK49" s="28" t="str">
        <f aca="false">IF($A49="","",IF(OR($Q49=TRUE(),$Q49="TRUE"),1,0))</f>
        <v/>
      </c>
      <c r="AL49" s="28" t="str">
        <f aca="false">IF($N49="","",IF(MATCH($N49,$N$2:$N$3001,0)=ROWS($N$2:$N49),$N49,""))</f>
        <v/>
      </c>
    </row>
    <row r="50" customFormat="false" ht="15" hidden="false" customHeight="false" outlineLevel="0" collapsed="false">
      <c r="E50" s="25"/>
      <c r="M50" s="26" t="str">
        <f aca="false">IF($A50="","",$L50*$U50/100)</f>
        <v/>
      </c>
      <c r="W50" s="26" t="str">
        <f aca="false">IF($A50="","",U50*AB50/100)</f>
        <v/>
      </c>
      <c r="X50" s="26" t="str">
        <f aca="false">IF($A50="","",U50-W50)</f>
        <v/>
      </c>
      <c r="Y50" s="26" t="str">
        <f aca="false">IF($A50="","",U50-W50-M50)</f>
        <v/>
      </c>
      <c r="AB50" s="27" t="str">
        <f aca="false">IF($A50="","",IF($AK50=1,'كشف المطالبة'!$D$5,'كشف المطالبة'!$D$6)*100)</f>
        <v/>
      </c>
      <c r="AK50" s="28" t="str">
        <f aca="false">IF($A50="","",IF(OR($Q50=TRUE(),$Q50="TRUE"),1,0))</f>
        <v/>
      </c>
      <c r="AL50" s="28" t="str">
        <f aca="false">IF($N50="","",IF(MATCH($N50,$N$2:$N$3001,0)=ROWS($N$2:$N50),$N50,""))</f>
        <v/>
      </c>
    </row>
    <row r="51" customFormat="false" ht="15" hidden="false" customHeight="false" outlineLevel="0" collapsed="false">
      <c r="E51" s="25"/>
      <c r="M51" s="26" t="str">
        <f aca="false">IF($A51="","",$L51*$U51/100)</f>
        <v/>
      </c>
      <c r="W51" s="26" t="str">
        <f aca="false">IF($A51="","",U51*AB51/100)</f>
        <v/>
      </c>
      <c r="X51" s="26" t="str">
        <f aca="false">IF($A51="","",U51-W51)</f>
        <v/>
      </c>
      <c r="Y51" s="26" t="str">
        <f aca="false">IF($A51="","",U51-W51-M51)</f>
        <v/>
      </c>
      <c r="AB51" s="27" t="str">
        <f aca="false">IF($A51="","",IF($AK51=1,'كشف المطالبة'!$D$5,'كشف المطالبة'!$D$6)*100)</f>
        <v/>
      </c>
      <c r="AK51" s="28" t="str">
        <f aca="false">IF($A51="","",IF(OR($Q51=TRUE(),$Q51="TRUE"),1,0))</f>
        <v/>
      </c>
      <c r="AL51" s="28" t="str">
        <f aca="false">IF($N51="","",IF(MATCH($N51,$N$2:$N$3001,0)=ROWS($N$2:$N51),$N51,""))</f>
        <v/>
      </c>
    </row>
    <row r="52" customFormat="false" ht="15" hidden="false" customHeight="false" outlineLevel="0" collapsed="false">
      <c r="E52" s="25"/>
      <c r="M52" s="26" t="str">
        <f aca="false">IF($A52="","",$L52*$U52/100)</f>
        <v/>
      </c>
      <c r="W52" s="26" t="str">
        <f aca="false">IF($A52="","",U52*AB52/100)</f>
        <v/>
      </c>
      <c r="X52" s="26" t="str">
        <f aca="false">IF($A52="","",U52-W52)</f>
        <v/>
      </c>
      <c r="Y52" s="26" t="str">
        <f aca="false">IF($A52="","",U52-W52-M52)</f>
        <v/>
      </c>
      <c r="AB52" s="27" t="str">
        <f aca="false">IF($A52="","",IF($AK52=1,'كشف المطالبة'!$D$5,'كشف المطالبة'!$D$6)*100)</f>
        <v/>
      </c>
      <c r="AK52" s="28" t="str">
        <f aca="false">IF($A52="","",IF(OR($Q52=TRUE(),$Q52="TRUE"),1,0))</f>
        <v/>
      </c>
      <c r="AL52" s="28" t="str">
        <f aca="false">IF($N52="","",IF(MATCH($N52,$N$2:$N$3001,0)=ROWS($N$2:$N52),$N52,""))</f>
        <v/>
      </c>
    </row>
    <row r="53" customFormat="false" ht="15" hidden="false" customHeight="false" outlineLevel="0" collapsed="false">
      <c r="E53" s="25"/>
      <c r="M53" s="26" t="str">
        <f aca="false">IF($A53="","",$L53*$U53/100)</f>
        <v/>
      </c>
      <c r="W53" s="26" t="str">
        <f aca="false">IF($A53="","",U53*AB53/100)</f>
        <v/>
      </c>
      <c r="X53" s="26" t="str">
        <f aca="false">IF($A53="","",U53-W53)</f>
        <v/>
      </c>
      <c r="Y53" s="26" t="str">
        <f aca="false">IF($A53="","",U53-W53-M53)</f>
        <v/>
      </c>
      <c r="AB53" s="27" t="str">
        <f aca="false">IF($A53="","",IF($AK53=1,'كشف المطالبة'!$D$5,'كشف المطالبة'!$D$6)*100)</f>
        <v/>
      </c>
      <c r="AK53" s="28" t="str">
        <f aca="false">IF($A53="","",IF(OR($Q53=TRUE(),$Q53="TRUE"),1,0))</f>
        <v/>
      </c>
      <c r="AL53" s="28" t="str">
        <f aca="false">IF($N53="","",IF(MATCH($N53,$N$2:$N$3001,0)=ROWS($N$2:$N53),$N53,""))</f>
        <v/>
      </c>
    </row>
    <row r="54" customFormat="false" ht="15" hidden="false" customHeight="false" outlineLevel="0" collapsed="false">
      <c r="E54" s="25"/>
      <c r="M54" s="26" t="str">
        <f aca="false">IF($A54="","",$L54*$U54/100)</f>
        <v/>
      </c>
      <c r="W54" s="26" t="str">
        <f aca="false">IF($A54="","",U54*AB54/100)</f>
        <v/>
      </c>
      <c r="X54" s="26" t="str">
        <f aca="false">IF($A54="","",U54-W54)</f>
        <v/>
      </c>
      <c r="Y54" s="26" t="str">
        <f aca="false">IF($A54="","",U54-W54-M54)</f>
        <v/>
      </c>
      <c r="AB54" s="27" t="str">
        <f aca="false">IF($A54="","",IF($AK54=1,'كشف المطالبة'!$D$5,'كشف المطالبة'!$D$6)*100)</f>
        <v/>
      </c>
      <c r="AK54" s="28" t="str">
        <f aca="false">IF($A54="","",IF(OR($Q54=TRUE(),$Q54="TRUE"),1,0))</f>
        <v/>
      </c>
      <c r="AL54" s="28" t="str">
        <f aca="false">IF($N54="","",IF(MATCH($N54,$N$2:$N$3001,0)=ROWS($N$2:$N54),$N54,""))</f>
        <v/>
      </c>
    </row>
    <row r="55" customFormat="false" ht="15" hidden="false" customHeight="false" outlineLevel="0" collapsed="false">
      <c r="E55" s="25"/>
      <c r="M55" s="26" t="str">
        <f aca="false">IF($A55="","",$L55*$U55/100)</f>
        <v/>
      </c>
      <c r="W55" s="26" t="str">
        <f aca="false">IF($A55="","",U55*AB55/100)</f>
        <v/>
      </c>
      <c r="X55" s="26" t="str">
        <f aca="false">IF($A55="","",U55-W55)</f>
        <v/>
      </c>
      <c r="Y55" s="26" t="str">
        <f aca="false">IF($A55="","",U55-W55-M55)</f>
        <v/>
      </c>
      <c r="AB55" s="27" t="str">
        <f aca="false">IF($A55="","",IF($AK55=1,'كشف المطالبة'!$D$5,'كشف المطالبة'!$D$6)*100)</f>
        <v/>
      </c>
      <c r="AK55" s="28" t="str">
        <f aca="false">IF($A55="","",IF(OR($Q55=TRUE(),$Q55="TRUE"),1,0))</f>
        <v/>
      </c>
      <c r="AL55" s="28" t="str">
        <f aca="false">IF($N55="","",IF(MATCH($N55,$N$2:$N$3001,0)=ROWS($N$2:$N55),$N55,""))</f>
        <v/>
      </c>
    </row>
    <row r="56" customFormat="false" ht="15" hidden="false" customHeight="false" outlineLevel="0" collapsed="false">
      <c r="E56" s="25"/>
      <c r="M56" s="26" t="str">
        <f aca="false">IF($A56="","",$L56*$U56/100)</f>
        <v/>
      </c>
      <c r="W56" s="26" t="str">
        <f aca="false">IF($A56="","",U56*AB56/100)</f>
        <v/>
      </c>
      <c r="X56" s="26" t="str">
        <f aca="false">IF($A56="","",U56-W56)</f>
        <v/>
      </c>
      <c r="Y56" s="26" t="str">
        <f aca="false">IF($A56="","",U56-W56-M56)</f>
        <v/>
      </c>
      <c r="AB56" s="27" t="str">
        <f aca="false">IF($A56="","",IF($AK56=1,'كشف المطالبة'!$D$5,'كشف المطالبة'!$D$6)*100)</f>
        <v/>
      </c>
      <c r="AK56" s="28" t="str">
        <f aca="false">IF($A56="","",IF(OR($Q56=TRUE(),$Q56="TRUE"),1,0))</f>
        <v/>
      </c>
      <c r="AL56" s="28" t="str">
        <f aca="false">IF($N56="","",IF(MATCH($N56,$N$2:$N$3001,0)=ROWS($N$2:$N56),$N56,""))</f>
        <v/>
      </c>
    </row>
    <row r="57" customFormat="false" ht="15" hidden="false" customHeight="false" outlineLevel="0" collapsed="false">
      <c r="E57" s="25"/>
      <c r="M57" s="26" t="str">
        <f aca="false">IF($A57="","",$L57*$U57/100)</f>
        <v/>
      </c>
      <c r="W57" s="26" t="str">
        <f aca="false">IF($A57="","",U57*AB57/100)</f>
        <v/>
      </c>
      <c r="X57" s="26" t="str">
        <f aca="false">IF($A57="","",U57-W57)</f>
        <v/>
      </c>
      <c r="Y57" s="26" t="str">
        <f aca="false">IF($A57="","",U57-W57-M57)</f>
        <v/>
      </c>
      <c r="AB57" s="27" t="str">
        <f aca="false">IF($A57="","",IF($AK57=1,'كشف المطالبة'!$D$5,'كشف المطالبة'!$D$6)*100)</f>
        <v/>
      </c>
      <c r="AK57" s="28" t="str">
        <f aca="false">IF($A57="","",IF(OR($Q57=TRUE(),$Q57="TRUE"),1,0))</f>
        <v/>
      </c>
      <c r="AL57" s="28" t="str">
        <f aca="false">IF($N57="","",IF(MATCH($N57,$N$2:$N$3001,0)=ROWS($N$2:$N57),$N57,""))</f>
        <v/>
      </c>
    </row>
    <row r="58" customFormat="false" ht="15" hidden="false" customHeight="false" outlineLevel="0" collapsed="false">
      <c r="E58" s="25"/>
      <c r="M58" s="26" t="str">
        <f aca="false">IF($A58="","",$L58*$U58/100)</f>
        <v/>
      </c>
      <c r="W58" s="26" t="str">
        <f aca="false">IF($A58="","",U58*AB58/100)</f>
        <v/>
      </c>
      <c r="X58" s="26" t="str">
        <f aca="false">IF($A58="","",U58-W58)</f>
        <v/>
      </c>
      <c r="Y58" s="26" t="str">
        <f aca="false">IF($A58="","",U58-W58-M58)</f>
        <v/>
      </c>
      <c r="AB58" s="27" t="str">
        <f aca="false">IF($A58="","",IF($AK58=1,'كشف المطالبة'!$D$5,'كشف المطالبة'!$D$6)*100)</f>
        <v/>
      </c>
      <c r="AK58" s="28" t="str">
        <f aca="false">IF($A58="","",IF(OR($Q58=TRUE(),$Q58="TRUE"),1,0))</f>
        <v/>
      </c>
      <c r="AL58" s="28" t="str">
        <f aca="false">IF($N58="","",IF(MATCH($N58,$N$2:$N$3001,0)=ROWS($N$2:$N58),$N58,""))</f>
        <v/>
      </c>
    </row>
    <row r="59" customFormat="false" ht="15" hidden="false" customHeight="false" outlineLevel="0" collapsed="false">
      <c r="E59" s="25"/>
      <c r="M59" s="26" t="str">
        <f aca="false">IF($A59="","",$L59*$U59/100)</f>
        <v/>
      </c>
      <c r="W59" s="26" t="str">
        <f aca="false">IF($A59="","",U59*AB59/100)</f>
        <v/>
      </c>
      <c r="X59" s="26" t="str">
        <f aca="false">IF($A59="","",U59-W59)</f>
        <v/>
      </c>
      <c r="Y59" s="26" t="str">
        <f aca="false">IF($A59="","",U59-W59-M59)</f>
        <v/>
      </c>
      <c r="AB59" s="27" t="str">
        <f aca="false">IF($A59="","",IF($AK59=1,'كشف المطالبة'!$D$5,'كشف المطالبة'!$D$6)*100)</f>
        <v/>
      </c>
      <c r="AK59" s="28" t="str">
        <f aca="false">IF($A59="","",IF(OR($Q59=TRUE(),$Q59="TRUE"),1,0))</f>
        <v/>
      </c>
      <c r="AL59" s="28" t="str">
        <f aca="false">IF($N59="","",IF(MATCH($N59,$N$2:$N$3001,0)=ROWS($N$2:$N59),$N59,""))</f>
        <v/>
      </c>
    </row>
    <row r="60" customFormat="false" ht="15" hidden="false" customHeight="false" outlineLevel="0" collapsed="false">
      <c r="E60" s="25"/>
      <c r="M60" s="26" t="str">
        <f aca="false">IF($A60="","",$L60*$U60/100)</f>
        <v/>
      </c>
      <c r="W60" s="26" t="str">
        <f aca="false">IF($A60="","",U60*AB60/100)</f>
        <v/>
      </c>
      <c r="X60" s="26" t="str">
        <f aca="false">IF($A60="","",U60-W60)</f>
        <v/>
      </c>
      <c r="Y60" s="26" t="str">
        <f aca="false">IF($A60="","",U60-W60-M60)</f>
        <v/>
      </c>
      <c r="AB60" s="27" t="str">
        <f aca="false">IF($A60="","",IF($AK60=1,'كشف المطالبة'!$D$5,'كشف المطالبة'!$D$6)*100)</f>
        <v/>
      </c>
      <c r="AK60" s="28" t="str">
        <f aca="false">IF($A60="","",IF(OR($Q60=TRUE(),$Q60="TRUE"),1,0))</f>
        <v/>
      </c>
      <c r="AL60" s="28" t="str">
        <f aca="false">IF($N60="","",IF(MATCH($N60,$N$2:$N$3001,0)=ROWS($N$2:$N60),$N60,""))</f>
        <v/>
      </c>
    </row>
    <row r="61" customFormat="false" ht="15" hidden="false" customHeight="false" outlineLevel="0" collapsed="false">
      <c r="E61" s="25"/>
      <c r="M61" s="26" t="str">
        <f aca="false">IF($A61="","",$L61*$U61/100)</f>
        <v/>
      </c>
      <c r="W61" s="26" t="str">
        <f aca="false">IF($A61="","",U61*AB61/100)</f>
        <v/>
      </c>
      <c r="X61" s="26" t="str">
        <f aca="false">IF($A61="","",U61-W61)</f>
        <v/>
      </c>
      <c r="Y61" s="26" t="str">
        <f aca="false">IF($A61="","",U61-W61-M61)</f>
        <v/>
      </c>
      <c r="AB61" s="27" t="str">
        <f aca="false">IF($A61="","",IF($AK61=1,'كشف المطالبة'!$D$5,'كشف المطالبة'!$D$6)*100)</f>
        <v/>
      </c>
      <c r="AK61" s="28" t="str">
        <f aca="false">IF($A61="","",IF(OR($Q61=TRUE(),$Q61="TRUE"),1,0))</f>
        <v/>
      </c>
      <c r="AL61" s="28" t="str">
        <f aca="false">IF($N61="","",IF(MATCH($N61,$N$2:$N$3001,0)=ROWS($N$2:$N61),$N61,""))</f>
        <v/>
      </c>
    </row>
    <row r="62" customFormat="false" ht="15" hidden="false" customHeight="false" outlineLevel="0" collapsed="false">
      <c r="E62" s="25"/>
      <c r="M62" s="26" t="str">
        <f aca="false">IF($A62="","",$L62*$U62/100)</f>
        <v/>
      </c>
      <c r="W62" s="26" t="str">
        <f aca="false">IF($A62="","",U62*AB62/100)</f>
        <v/>
      </c>
      <c r="X62" s="26" t="str">
        <f aca="false">IF($A62="","",U62-W62)</f>
        <v/>
      </c>
      <c r="Y62" s="26" t="str">
        <f aca="false">IF($A62="","",U62-W62-M62)</f>
        <v/>
      </c>
      <c r="AB62" s="27" t="str">
        <f aca="false">IF($A62="","",IF($AK62=1,'كشف المطالبة'!$D$5,'كشف المطالبة'!$D$6)*100)</f>
        <v/>
      </c>
      <c r="AK62" s="28" t="str">
        <f aca="false">IF($A62="","",IF(OR($Q62=TRUE(),$Q62="TRUE"),1,0))</f>
        <v/>
      </c>
      <c r="AL62" s="28" t="str">
        <f aca="false">IF($N62="","",IF(MATCH($N62,$N$2:$N$3001,0)=ROWS($N$2:$N62),$N62,""))</f>
        <v/>
      </c>
    </row>
    <row r="63" customFormat="false" ht="15" hidden="false" customHeight="false" outlineLevel="0" collapsed="false">
      <c r="E63" s="25"/>
      <c r="M63" s="26" t="str">
        <f aca="false">IF($A63="","",$L63*$U63/100)</f>
        <v/>
      </c>
      <c r="W63" s="26" t="str">
        <f aca="false">IF($A63="","",U63*AB63/100)</f>
        <v/>
      </c>
      <c r="X63" s="26" t="str">
        <f aca="false">IF($A63="","",U63-W63)</f>
        <v/>
      </c>
      <c r="Y63" s="26" t="str">
        <f aca="false">IF($A63="","",U63-W63-M63)</f>
        <v/>
      </c>
      <c r="AB63" s="27" t="str">
        <f aca="false">IF($A63="","",IF($AK63=1,'كشف المطالبة'!$D$5,'كشف المطالبة'!$D$6)*100)</f>
        <v/>
      </c>
      <c r="AK63" s="28" t="str">
        <f aca="false">IF($A63="","",IF(OR($Q63=TRUE(),$Q63="TRUE"),1,0))</f>
        <v/>
      </c>
      <c r="AL63" s="28" t="str">
        <f aca="false">IF($N63="","",IF(MATCH($N63,$N$2:$N$3001,0)=ROWS($N$2:$N63),$N63,""))</f>
        <v/>
      </c>
    </row>
    <row r="64" customFormat="false" ht="15" hidden="false" customHeight="false" outlineLevel="0" collapsed="false">
      <c r="E64" s="25"/>
      <c r="M64" s="26" t="str">
        <f aca="false">IF($A64="","",$L64*$U64/100)</f>
        <v/>
      </c>
      <c r="W64" s="26" t="str">
        <f aca="false">IF($A64="","",U64*AB64/100)</f>
        <v/>
      </c>
      <c r="X64" s="26" t="str">
        <f aca="false">IF($A64="","",U64-W64)</f>
        <v/>
      </c>
      <c r="Y64" s="26" t="str">
        <f aca="false">IF($A64="","",U64-W64-M64)</f>
        <v/>
      </c>
      <c r="AB64" s="27" t="str">
        <f aca="false">IF($A64="","",IF($AK64=1,'كشف المطالبة'!$D$5,'كشف المطالبة'!$D$6)*100)</f>
        <v/>
      </c>
      <c r="AK64" s="28" t="str">
        <f aca="false">IF($A64="","",IF(OR($Q64=TRUE(),$Q64="TRUE"),1,0))</f>
        <v/>
      </c>
      <c r="AL64" s="28" t="str">
        <f aca="false">IF($N64="","",IF(MATCH($N64,$N$2:$N$3001,0)=ROWS($N$2:$N64),$N64,""))</f>
        <v/>
      </c>
    </row>
    <row r="65" customFormat="false" ht="15" hidden="false" customHeight="false" outlineLevel="0" collapsed="false">
      <c r="E65" s="25"/>
      <c r="M65" s="26" t="str">
        <f aca="false">IF($A65="","",$L65*$U65/100)</f>
        <v/>
      </c>
      <c r="W65" s="26" t="str">
        <f aca="false">IF($A65="","",U65*AB65/100)</f>
        <v/>
      </c>
      <c r="X65" s="26" t="str">
        <f aca="false">IF($A65="","",U65-W65)</f>
        <v/>
      </c>
      <c r="Y65" s="26" t="str">
        <f aca="false">IF($A65="","",U65-W65-M65)</f>
        <v/>
      </c>
      <c r="AB65" s="27" t="str">
        <f aca="false">IF($A65="","",IF($AK65=1,'كشف المطالبة'!$D$5,'كشف المطالبة'!$D$6)*100)</f>
        <v/>
      </c>
      <c r="AK65" s="28" t="str">
        <f aca="false">IF($A65="","",IF(OR($Q65=TRUE(),$Q65="TRUE"),1,0))</f>
        <v/>
      </c>
      <c r="AL65" s="28" t="str">
        <f aca="false">IF($N65="","",IF(MATCH($N65,$N$2:$N$3001,0)=ROWS($N$2:$N65),$N65,""))</f>
        <v/>
      </c>
    </row>
    <row r="66" customFormat="false" ht="15" hidden="false" customHeight="false" outlineLevel="0" collapsed="false">
      <c r="E66" s="25"/>
      <c r="M66" s="26" t="str">
        <f aca="false">IF($A66="","",$L66*$U66/100)</f>
        <v/>
      </c>
      <c r="W66" s="26" t="str">
        <f aca="false">IF($A66="","",U66*AB66/100)</f>
        <v/>
      </c>
      <c r="X66" s="26" t="str">
        <f aca="false">IF($A66="","",U66-W66)</f>
        <v/>
      </c>
      <c r="Y66" s="26" t="str">
        <f aca="false">IF($A66="","",U66-W66-M66)</f>
        <v/>
      </c>
      <c r="AB66" s="27" t="str">
        <f aca="false">IF($A66="","",IF($AK66=1,'كشف المطالبة'!$D$5,'كشف المطالبة'!$D$6)*100)</f>
        <v/>
      </c>
      <c r="AK66" s="28" t="str">
        <f aca="false">IF($A66="","",IF(OR($Q66=TRUE(),$Q66="TRUE"),1,0))</f>
        <v/>
      </c>
      <c r="AL66" s="28" t="str">
        <f aca="false">IF($N66="","",IF(MATCH($N66,$N$2:$N$3001,0)=ROWS($N$2:$N66),$N66,""))</f>
        <v/>
      </c>
    </row>
    <row r="67" customFormat="false" ht="15" hidden="false" customHeight="false" outlineLevel="0" collapsed="false">
      <c r="E67" s="25"/>
      <c r="M67" s="26" t="str">
        <f aca="false">IF($A67="","",$L67*$U67/100)</f>
        <v/>
      </c>
      <c r="W67" s="26" t="str">
        <f aca="false">IF($A67="","",U67*AB67/100)</f>
        <v/>
      </c>
      <c r="X67" s="26" t="str">
        <f aca="false">IF($A67="","",U67-W67)</f>
        <v/>
      </c>
      <c r="Y67" s="26" t="str">
        <f aca="false">IF($A67="","",U67-W67-M67)</f>
        <v/>
      </c>
      <c r="AB67" s="27" t="str">
        <f aca="false">IF($A67="","",IF($AK67=1,'كشف المطالبة'!$D$5,'كشف المطالبة'!$D$6)*100)</f>
        <v/>
      </c>
      <c r="AK67" s="28" t="str">
        <f aca="false">IF($A67="","",IF(OR($Q67=TRUE(),$Q67="TRUE"),1,0))</f>
        <v/>
      </c>
      <c r="AL67" s="28" t="str">
        <f aca="false">IF($N67="","",IF(MATCH($N67,$N$2:$N$3001,0)=ROWS($N$2:$N67),$N67,""))</f>
        <v/>
      </c>
    </row>
    <row r="68" customFormat="false" ht="15" hidden="false" customHeight="false" outlineLevel="0" collapsed="false">
      <c r="E68" s="25"/>
      <c r="M68" s="26" t="str">
        <f aca="false">IF($A68="","",$L68*$U68/100)</f>
        <v/>
      </c>
      <c r="W68" s="26" t="str">
        <f aca="false">IF($A68="","",U68*AB68/100)</f>
        <v/>
      </c>
      <c r="X68" s="26" t="str">
        <f aca="false">IF($A68="","",U68-W68)</f>
        <v/>
      </c>
      <c r="Y68" s="26" t="str">
        <f aca="false">IF($A68="","",U68-W68-M68)</f>
        <v/>
      </c>
      <c r="AB68" s="27" t="str">
        <f aca="false">IF($A68="","",IF($AK68=1,'كشف المطالبة'!$D$5,'كشف المطالبة'!$D$6)*100)</f>
        <v/>
      </c>
      <c r="AK68" s="28" t="str">
        <f aca="false">IF($A68="","",IF(OR($Q68=TRUE(),$Q68="TRUE"),1,0))</f>
        <v/>
      </c>
      <c r="AL68" s="28" t="str">
        <f aca="false">IF($N68="","",IF(MATCH($N68,$N$2:$N$3001,0)=ROWS($N$2:$N68),$N68,""))</f>
        <v/>
      </c>
    </row>
    <row r="69" customFormat="false" ht="15" hidden="false" customHeight="false" outlineLevel="0" collapsed="false">
      <c r="E69" s="25"/>
      <c r="M69" s="26" t="str">
        <f aca="false">IF($A69="","",$L69*$U69/100)</f>
        <v/>
      </c>
      <c r="W69" s="26" t="str">
        <f aca="false">IF($A69="","",U69*AB69/100)</f>
        <v/>
      </c>
      <c r="X69" s="26" t="str">
        <f aca="false">IF($A69="","",U69-W69)</f>
        <v/>
      </c>
      <c r="Y69" s="26" t="str">
        <f aca="false">IF($A69="","",U69-W69-M69)</f>
        <v/>
      </c>
      <c r="AB69" s="27" t="str">
        <f aca="false">IF($A69="","",IF($AK69=1,'كشف المطالبة'!$D$5,'كشف المطالبة'!$D$6)*100)</f>
        <v/>
      </c>
      <c r="AK69" s="28" t="str">
        <f aca="false">IF($A69="","",IF(OR($Q69=TRUE(),$Q69="TRUE"),1,0))</f>
        <v/>
      </c>
      <c r="AL69" s="28" t="str">
        <f aca="false">IF($N69="","",IF(MATCH($N69,$N$2:$N$3001,0)=ROWS($N$2:$N69),$N69,""))</f>
        <v/>
      </c>
    </row>
    <row r="70" customFormat="false" ht="15" hidden="false" customHeight="false" outlineLevel="0" collapsed="false">
      <c r="E70" s="25"/>
      <c r="M70" s="26" t="str">
        <f aca="false">IF($A70="","",$L70*$U70/100)</f>
        <v/>
      </c>
      <c r="W70" s="26" t="str">
        <f aca="false">IF($A70="","",U70*AB70/100)</f>
        <v/>
      </c>
      <c r="X70" s="26" t="str">
        <f aca="false">IF($A70="","",U70-W70)</f>
        <v/>
      </c>
      <c r="Y70" s="26" t="str">
        <f aca="false">IF($A70="","",U70-W70-M70)</f>
        <v/>
      </c>
      <c r="AB70" s="27" t="str">
        <f aca="false">IF($A70="","",IF($AK70=1,'كشف المطالبة'!$D$5,'كشف المطالبة'!$D$6)*100)</f>
        <v/>
      </c>
      <c r="AK70" s="28" t="str">
        <f aca="false">IF($A70="","",IF(OR($Q70=TRUE(),$Q70="TRUE"),1,0))</f>
        <v/>
      </c>
      <c r="AL70" s="28" t="str">
        <f aca="false">IF($N70="","",IF(MATCH($N70,$N$2:$N$3001,0)=ROWS($N$2:$N70),$N70,""))</f>
        <v/>
      </c>
    </row>
    <row r="71" customFormat="false" ht="15" hidden="false" customHeight="false" outlineLevel="0" collapsed="false">
      <c r="E71" s="25"/>
      <c r="M71" s="26" t="str">
        <f aca="false">IF($A71="","",$L71*$U71/100)</f>
        <v/>
      </c>
      <c r="W71" s="26" t="str">
        <f aca="false">IF($A71="","",U71*AB71/100)</f>
        <v/>
      </c>
      <c r="X71" s="26" t="str">
        <f aca="false">IF($A71="","",U71-W71)</f>
        <v/>
      </c>
      <c r="Y71" s="26" t="str">
        <f aca="false">IF($A71="","",U71-W71-M71)</f>
        <v/>
      </c>
      <c r="AB71" s="27" t="str">
        <f aca="false">IF($A71="","",IF($AK71=1,'كشف المطالبة'!$D$5,'كشف المطالبة'!$D$6)*100)</f>
        <v/>
      </c>
      <c r="AK71" s="28" t="str">
        <f aca="false">IF($A71="","",IF(OR($Q71=TRUE(),$Q71="TRUE"),1,0))</f>
        <v/>
      </c>
      <c r="AL71" s="28" t="str">
        <f aca="false">IF($N71="","",IF(MATCH($N71,$N$2:$N$3001,0)=ROWS($N$2:$N71),$N71,""))</f>
        <v/>
      </c>
    </row>
    <row r="72" customFormat="false" ht="15" hidden="false" customHeight="false" outlineLevel="0" collapsed="false">
      <c r="E72" s="25"/>
      <c r="M72" s="26" t="str">
        <f aca="false">IF($A72="","",$L72*$U72/100)</f>
        <v/>
      </c>
      <c r="W72" s="26" t="str">
        <f aca="false">IF($A72="","",U72*AB72/100)</f>
        <v/>
      </c>
      <c r="X72" s="26" t="str">
        <f aca="false">IF($A72="","",U72-W72)</f>
        <v/>
      </c>
      <c r="Y72" s="26" t="str">
        <f aca="false">IF($A72="","",U72-W72-M72)</f>
        <v/>
      </c>
      <c r="AB72" s="27" t="str">
        <f aca="false">IF($A72="","",IF($AK72=1,'كشف المطالبة'!$D$5,'كشف المطالبة'!$D$6)*100)</f>
        <v/>
      </c>
      <c r="AK72" s="28" t="str">
        <f aca="false">IF($A72="","",IF(OR($Q72=TRUE(),$Q72="TRUE"),1,0))</f>
        <v/>
      </c>
      <c r="AL72" s="28" t="str">
        <f aca="false">IF($N72="","",IF(MATCH($N72,$N$2:$N$3001,0)=ROWS($N$2:$N72),$N72,""))</f>
        <v/>
      </c>
    </row>
    <row r="73" customFormat="false" ht="15" hidden="false" customHeight="false" outlineLevel="0" collapsed="false">
      <c r="E73" s="25"/>
      <c r="M73" s="26" t="str">
        <f aca="false">IF($A73="","",$L73*$U73/100)</f>
        <v/>
      </c>
      <c r="W73" s="26" t="str">
        <f aca="false">IF($A73="","",U73*AB73/100)</f>
        <v/>
      </c>
      <c r="X73" s="26" t="str">
        <f aca="false">IF($A73="","",U73-W73)</f>
        <v/>
      </c>
      <c r="Y73" s="26" t="str">
        <f aca="false">IF($A73="","",U73-W73-M73)</f>
        <v/>
      </c>
      <c r="AB73" s="27" t="str">
        <f aca="false">IF($A73="","",IF($AK73=1,'كشف المطالبة'!$D$5,'كشف المطالبة'!$D$6)*100)</f>
        <v/>
      </c>
      <c r="AK73" s="28" t="str">
        <f aca="false">IF($A73="","",IF(OR($Q73=TRUE(),$Q73="TRUE"),1,0))</f>
        <v/>
      </c>
      <c r="AL73" s="28" t="str">
        <f aca="false">IF($N73="","",IF(MATCH($N73,$N$2:$N$3001,0)=ROWS($N$2:$N73),$N73,""))</f>
        <v/>
      </c>
    </row>
    <row r="74" customFormat="false" ht="15" hidden="false" customHeight="false" outlineLevel="0" collapsed="false">
      <c r="E74" s="25"/>
      <c r="M74" s="26" t="str">
        <f aca="false">IF($A74="","",$L74*$U74/100)</f>
        <v/>
      </c>
      <c r="W74" s="26" t="str">
        <f aca="false">IF($A74="","",U74*AB74/100)</f>
        <v/>
      </c>
      <c r="X74" s="26" t="str">
        <f aca="false">IF($A74="","",U74-W74)</f>
        <v/>
      </c>
      <c r="Y74" s="26" t="str">
        <f aca="false">IF($A74="","",U74-W74-M74)</f>
        <v/>
      </c>
      <c r="AB74" s="27" t="str">
        <f aca="false">IF($A74="","",IF($AK74=1,'كشف المطالبة'!$D$5,'كشف المطالبة'!$D$6)*100)</f>
        <v/>
      </c>
      <c r="AK74" s="28" t="str">
        <f aca="false">IF($A74="","",IF(OR($Q74=TRUE(),$Q74="TRUE"),1,0))</f>
        <v/>
      </c>
      <c r="AL74" s="28" t="str">
        <f aca="false">IF($N74="","",IF(MATCH($N74,$N$2:$N$3001,0)=ROWS($N$2:$N74),$N74,""))</f>
        <v/>
      </c>
    </row>
    <row r="75" customFormat="false" ht="15" hidden="false" customHeight="false" outlineLevel="0" collapsed="false">
      <c r="E75" s="25"/>
      <c r="M75" s="26" t="str">
        <f aca="false">IF($A75="","",$L75*$U75/100)</f>
        <v/>
      </c>
      <c r="W75" s="26" t="str">
        <f aca="false">IF($A75="","",U75*AB75/100)</f>
        <v/>
      </c>
      <c r="X75" s="26" t="str">
        <f aca="false">IF($A75="","",U75-W75)</f>
        <v/>
      </c>
      <c r="Y75" s="26" t="str">
        <f aca="false">IF($A75="","",U75-W75-M75)</f>
        <v/>
      </c>
      <c r="AB75" s="27" t="str">
        <f aca="false">IF($A75="","",IF($AK75=1,'كشف المطالبة'!$D$5,'كشف المطالبة'!$D$6)*100)</f>
        <v/>
      </c>
      <c r="AK75" s="28" t="str">
        <f aca="false">IF($A75="","",IF(OR($Q75=TRUE(),$Q75="TRUE"),1,0))</f>
        <v/>
      </c>
      <c r="AL75" s="28" t="str">
        <f aca="false">IF($N75="","",IF(MATCH($N75,$N$2:$N$3001,0)=ROWS($N$2:$N75),$N75,""))</f>
        <v/>
      </c>
    </row>
    <row r="76" customFormat="false" ht="15" hidden="false" customHeight="false" outlineLevel="0" collapsed="false">
      <c r="E76" s="25"/>
      <c r="M76" s="26" t="str">
        <f aca="false">IF($A76="","",$L76*$U76/100)</f>
        <v/>
      </c>
      <c r="W76" s="26" t="str">
        <f aca="false">IF($A76="","",U76*AB76/100)</f>
        <v/>
      </c>
      <c r="X76" s="26" t="str">
        <f aca="false">IF($A76="","",U76-W76)</f>
        <v/>
      </c>
      <c r="Y76" s="26" t="str">
        <f aca="false">IF($A76="","",U76-W76-M76)</f>
        <v/>
      </c>
      <c r="AB76" s="27" t="str">
        <f aca="false">IF($A76="","",IF($AK76=1,'كشف المطالبة'!$D$5,'كشف المطالبة'!$D$6)*100)</f>
        <v/>
      </c>
      <c r="AK76" s="28" t="str">
        <f aca="false">IF($A76="","",IF(OR($Q76=TRUE(),$Q76="TRUE"),1,0))</f>
        <v/>
      </c>
      <c r="AL76" s="28" t="str">
        <f aca="false">IF($N76="","",IF(MATCH($N76,$N$2:$N$3001,0)=ROWS($N$2:$N76),$N76,""))</f>
        <v/>
      </c>
    </row>
    <row r="77" customFormat="false" ht="15" hidden="false" customHeight="false" outlineLevel="0" collapsed="false">
      <c r="E77" s="25"/>
      <c r="M77" s="26" t="str">
        <f aca="false">IF($A77="","",$L77*$U77/100)</f>
        <v/>
      </c>
      <c r="W77" s="26" t="str">
        <f aca="false">IF($A77="","",U77*AB77/100)</f>
        <v/>
      </c>
      <c r="X77" s="26" t="str">
        <f aca="false">IF($A77="","",U77-W77)</f>
        <v/>
      </c>
      <c r="Y77" s="26" t="str">
        <f aca="false">IF($A77="","",U77-W77-M77)</f>
        <v/>
      </c>
      <c r="AB77" s="27" t="str">
        <f aca="false">IF($A77="","",IF($AK77=1,'كشف المطالبة'!$D$5,'كشف المطالبة'!$D$6)*100)</f>
        <v/>
      </c>
      <c r="AK77" s="28" t="str">
        <f aca="false">IF($A77="","",IF(OR($Q77=TRUE(),$Q77="TRUE"),1,0))</f>
        <v/>
      </c>
      <c r="AL77" s="28" t="str">
        <f aca="false">IF($N77="","",IF(MATCH($N77,$N$2:$N$3001,0)=ROWS($N$2:$N77),$N77,""))</f>
        <v/>
      </c>
    </row>
    <row r="78" customFormat="false" ht="15" hidden="false" customHeight="false" outlineLevel="0" collapsed="false">
      <c r="E78" s="25"/>
      <c r="M78" s="26" t="str">
        <f aca="false">IF($A78="","",$L78*$U78/100)</f>
        <v/>
      </c>
      <c r="W78" s="26" t="str">
        <f aca="false">IF($A78="","",U78*AB78/100)</f>
        <v/>
      </c>
      <c r="X78" s="26" t="str">
        <f aca="false">IF($A78="","",U78-W78)</f>
        <v/>
      </c>
      <c r="Y78" s="26" t="str">
        <f aca="false">IF($A78="","",U78-W78-M78)</f>
        <v/>
      </c>
      <c r="AB78" s="27" t="str">
        <f aca="false">IF($A78="","",IF($AK78=1,'كشف المطالبة'!$D$5,'كشف المطالبة'!$D$6)*100)</f>
        <v/>
      </c>
      <c r="AK78" s="28" t="str">
        <f aca="false">IF($A78="","",IF(OR($Q78=TRUE(),$Q78="TRUE"),1,0))</f>
        <v/>
      </c>
      <c r="AL78" s="28" t="str">
        <f aca="false">IF($N78="","",IF(MATCH($N78,$N$2:$N$3001,0)=ROWS($N$2:$N78),$N78,""))</f>
        <v/>
      </c>
    </row>
    <row r="79" customFormat="false" ht="15" hidden="false" customHeight="false" outlineLevel="0" collapsed="false">
      <c r="E79" s="25"/>
      <c r="M79" s="26" t="str">
        <f aca="false">IF($A79="","",$L79*$U79/100)</f>
        <v/>
      </c>
      <c r="W79" s="26" t="str">
        <f aca="false">IF($A79="","",U79*AB79/100)</f>
        <v/>
      </c>
      <c r="X79" s="26" t="str">
        <f aca="false">IF($A79="","",U79-W79)</f>
        <v/>
      </c>
      <c r="Y79" s="26" t="str">
        <f aca="false">IF($A79="","",U79-W79-M79)</f>
        <v/>
      </c>
      <c r="AB79" s="27" t="str">
        <f aca="false">IF($A79="","",IF($AK79=1,'كشف المطالبة'!$D$5,'كشف المطالبة'!$D$6)*100)</f>
        <v/>
      </c>
      <c r="AK79" s="28" t="str">
        <f aca="false">IF($A79="","",IF(OR($Q79=TRUE(),$Q79="TRUE"),1,0))</f>
        <v/>
      </c>
      <c r="AL79" s="28" t="str">
        <f aca="false">IF($N79="","",IF(MATCH($N79,$N$2:$N$3001,0)=ROWS($N$2:$N79),$N79,""))</f>
        <v/>
      </c>
    </row>
    <row r="80" customFormat="false" ht="15" hidden="false" customHeight="false" outlineLevel="0" collapsed="false">
      <c r="E80" s="25"/>
      <c r="M80" s="26" t="str">
        <f aca="false">IF($A80="","",$L80*$U80/100)</f>
        <v/>
      </c>
      <c r="W80" s="26" t="str">
        <f aca="false">IF($A80="","",U80*AB80/100)</f>
        <v/>
      </c>
      <c r="X80" s="26" t="str">
        <f aca="false">IF($A80="","",U80-W80)</f>
        <v/>
      </c>
      <c r="Y80" s="26" t="str">
        <f aca="false">IF($A80="","",U80-W80-M80)</f>
        <v/>
      </c>
      <c r="AB80" s="27" t="str">
        <f aca="false">IF($A80="","",IF($AK80=1,'كشف المطالبة'!$D$5,'كشف المطالبة'!$D$6)*100)</f>
        <v/>
      </c>
      <c r="AK80" s="28" t="str">
        <f aca="false">IF($A80="","",IF(OR($Q80=TRUE(),$Q80="TRUE"),1,0))</f>
        <v/>
      </c>
      <c r="AL80" s="28" t="str">
        <f aca="false">IF($N80="","",IF(MATCH($N80,$N$2:$N$3001,0)=ROWS($N$2:$N80),$N80,""))</f>
        <v/>
      </c>
    </row>
    <row r="81" customFormat="false" ht="15" hidden="false" customHeight="false" outlineLevel="0" collapsed="false">
      <c r="E81" s="25"/>
      <c r="M81" s="26" t="str">
        <f aca="false">IF($A81="","",$L81*$U81/100)</f>
        <v/>
      </c>
      <c r="W81" s="26" t="str">
        <f aca="false">IF($A81="","",U81*AB81/100)</f>
        <v/>
      </c>
      <c r="X81" s="26" t="str">
        <f aca="false">IF($A81="","",U81-W81)</f>
        <v/>
      </c>
      <c r="Y81" s="26" t="str">
        <f aca="false">IF($A81="","",U81-W81-M81)</f>
        <v/>
      </c>
      <c r="AB81" s="27" t="str">
        <f aca="false">IF($A81="","",IF($AK81=1,'كشف المطالبة'!$D$5,'كشف المطالبة'!$D$6)*100)</f>
        <v/>
      </c>
      <c r="AK81" s="28" t="str">
        <f aca="false">IF($A81="","",IF(OR($Q81=TRUE(),$Q81="TRUE"),1,0))</f>
        <v/>
      </c>
      <c r="AL81" s="28" t="str">
        <f aca="false">IF($N81="","",IF(MATCH($N81,$N$2:$N$3001,0)=ROWS($N$2:$N81),$N81,""))</f>
        <v/>
      </c>
    </row>
    <row r="82" customFormat="false" ht="15" hidden="false" customHeight="false" outlineLevel="0" collapsed="false">
      <c r="E82" s="25"/>
      <c r="M82" s="26" t="str">
        <f aca="false">IF($A82="","",$L82*$U82/100)</f>
        <v/>
      </c>
      <c r="W82" s="26" t="str">
        <f aca="false">IF($A82="","",U82*AB82/100)</f>
        <v/>
      </c>
      <c r="X82" s="26" t="str">
        <f aca="false">IF($A82="","",U82-W82)</f>
        <v/>
      </c>
      <c r="Y82" s="26" t="str">
        <f aca="false">IF($A82="","",U82-W82-M82)</f>
        <v/>
      </c>
      <c r="AB82" s="27" t="str">
        <f aca="false">IF($A82="","",IF($AK82=1,'كشف المطالبة'!$D$5,'كشف المطالبة'!$D$6)*100)</f>
        <v/>
      </c>
      <c r="AK82" s="28" t="str">
        <f aca="false">IF($A82="","",IF(OR($Q82=TRUE(),$Q82="TRUE"),1,0))</f>
        <v/>
      </c>
      <c r="AL82" s="28" t="str">
        <f aca="false">IF($N82="","",IF(MATCH($N82,$N$2:$N$3001,0)=ROWS($N$2:$N82),$N82,""))</f>
        <v/>
      </c>
    </row>
    <row r="83" customFormat="false" ht="15" hidden="false" customHeight="false" outlineLevel="0" collapsed="false">
      <c r="E83" s="25"/>
      <c r="M83" s="26" t="str">
        <f aca="false">IF($A83="","",$L83*$U83/100)</f>
        <v/>
      </c>
      <c r="W83" s="26" t="str">
        <f aca="false">IF($A83="","",U83*AB83/100)</f>
        <v/>
      </c>
      <c r="X83" s="26" t="str">
        <f aca="false">IF($A83="","",U83-W83)</f>
        <v/>
      </c>
      <c r="Y83" s="26" t="str">
        <f aca="false">IF($A83="","",U83-W83-M83)</f>
        <v/>
      </c>
      <c r="AB83" s="27" t="str">
        <f aca="false">IF($A83="","",IF($AK83=1,'كشف المطالبة'!$D$5,'كشف المطالبة'!$D$6)*100)</f>
        <v/>
      </c>
      <c r="AK83" s="28" t="str">
        <f aca="false">IF($A83="","",IF(OR($Q83=TRUE(),$Q83="TRUE"),1,0))</f>
        <v/>
      </c>
      <c r="AL83" s="28" t="str">
        <f aca="false">IF($N83="","",IF(MATCH($N83,$N$2:$N$3001,0)=ROWS($N$2:$N83),$N83,""))</f>
        <v/>
      </c>
    </row>
    <row r="84" customFormat="false" ht="15" hidden="false" customHeight="false" outlineLevel="0" collapsed="false">
      <c r="E84" s="25"/>
      <c r="M84" s="26" t="str">
        <f aca="false">IF($A84="","",$L84*$U84/100)</f>
        <v/>
      </c>
      <c r="W84" s="26" t="str">
        <f aca="false">IF($A84="","",U84*AB84/100)</f>
        <v/>
      </c>
      <c r="X84" s="26" t="str">
        <f aca="false">IF($A84="","",U84-W84)</f>
        <v/>
      </c>
      <c r="Y84" s="26" t="str">
        <f aca="false">IF($A84="","",U84-W84-M84)</f>
        <v/>
      </c>
      <c r="AB84" s="27" t="str">
        <f aca="false">IF($A84="","",IF($AK84=1,'كشف المطالبة'!$D$5,'كشف المطالبة'!$D$6)*100)</f>
        <v/>
      </c>
      <c r="AK84" s="28" t="str">
        <f aca="false">IF($A84="","",IF(OR($Q84=TRUE(),$Q84="TRUE"),1,0))</f>
        <v/>
      </c>
      <c r="AL84" s="28" t="str">
        <f aca="false">IF($N84="","",IF(MATCH($N84,$N$2:$N$3001,0)=ROWS($N$2:$N84),$N84,""))</f>
        <v/>
      </c>
    </row>
    <row r="85" customFormat="false" ht="15" hidden="false" customHeight="false" outlineLevel="0" collapsed="false">
      <c r="E85" s="25"/>
      <c r="M85" s="26" t="str">
        <f aca="false">IF($A85="","",$L85*$U85/100)</f>
        <v/>
      </c>
      <c r="W85" s="26" t="str">
        <f aca="false">IF($A85="","",U85*AB85/100)</f>
        <v/>
      </c>
      <c r="X85" s="26" t="str">
        <f aca="false">IF($A85="","",U85-W85)</f>
        <v/>
      </c>
      <c r="Y85" s="26" t="str">
        <f aca="false">IF($A85="","",U85-W85-M85)</f>
        <v/>
      </c>
      <c r="AB85" s="27" t="str">
        <f aca="false">IF($A85="","",IF($AK85=1,'كشف المطالبة'!$D$5,'كشف المطالبة'!$D$6)*100)</f>
        <v/>
      </c>
      <c r="AK85" s="28" t="str">
        <f aca="false">IF($A85="","",IF(OR($Q85=TRUE(),$Q85="TRUE"),1,0))</f>
        <v/>
      </c>
      <c r="AL85" s="28" t="str">
        <f aca="false">IF($N85="","",IF(MATCH($N85,$N$2:$N$3001,0)=ROWS($N$2:$N85),$N85,""))</f>
        <v/>
      </c>
    </row>
    <row r="86" customFormat="false" ht="15" hidden="false" customHeight="false" outlineLevel="0" collapsed="false">
      <c r="E86" s="25"/>
      <c r="M86" s="26" t="str">
        <f aca="false">IF($A86="","",$L86*$U86/100)</f>
        <v/>
      </c>
      <c r="W86" s="26" t="str">
        <f aca="false">IF($A86="","",U86*AB86/100)</f>
        <v/>
      </c>
      <c r="X86" s="26" t="str">
        <f aca="false">IF($A86="","",U86-W86)</f>
        <v/>
      </c>
      <c r="Y86" s="26" t="str">
        <f aca="false">IF($A86="","",U86-W86-M86)</f>
        <v/>
      </c>
      <c r="AB86" s="27" t="str">
        <f aca="false">IF($A86="","",IF($AK86=1,'كشف المطالبة'!$D$5,'كشف المطالبة'!$D$6)*100)</f>
        <v/>
      </c>
      <c r="AK86" s="28" t="str">
        <f aca="false">IF($A86="","",IF(OR($Q86=TRUE(),$Q86="TRUE"),1,0))</f>
        <v/>
      </c>
      <c r="AL86" s="28" t="str">
        <f aca="false">IF($N86="","",IF(MATCH($N86,$N$2:$N$3001,0)=ROWS($N$2:$N86),$N86,""))</f>
        <v/>
      </c>
    </row>
    <row r="87" customFormat="false" ht="15" hidden="false" customHeight="false" outlineLevel="0" collapsed="false">
      <c r="E87" s="25"/>
      <c r="M87" s="26" t="str">
        <f aca="false">IF($A87="","",$L87*$U87/100)</f>
        <v/>
      </c>
      <c r="W87" s="26" t="str">
        <f aca="false">IF($A87="","",U87*AB87/100)</f>
        <v/>
      </c>
      <c r="X87" s="26" t="str">
        <f aca="false">IF($A87="","",U87-W87)</f>
        <v/>
      </c>
      <c r="Y87" s="26" t="str">
        <f aca="false">IF($A87="","",U87-W87-M87)</f>
        <v/>
      </c>
      <c r="AB87" s="27" t="str">
        <f aca="false">IF($A87="","",IF($AK87=1,'كشف المطالبة'!$D$5,'كشف المطالبة'!$D$6)*100)</f>
        <v/>
      </c>
      <c r="AK87" s="28" t="str">
        <f aca="false">IF($A87="","",IF(OR($Q87=TRUE(),$Q87="TRUE"),1,0))</f>
        <v/>
      </c>
      <c r="AL87" s="28" t="str">
        <f aca="false">IF($N87="","",IF(MATCH($N87,$N$2:$N$3001,0)=ROWS($N$2:$N87),$N87,""))</f>
        <v/>
      </c>
    </row>
    <row r="88" customFormat="false" ht="15" hidden="false" customHeight="false" outlineLevel="0" collapsed="false">
      <c r="E88" s="25"/>
      <c r="M88" s="26" t="str">
        <f aca="false">IF($A88="","",$L88*$U88/100)</f>
        <v/>
      </c>
      <c r="W88" s="26" t="str">
        <f aca="false">IF($A88="","",U88*AB88/100)</f>
        <v/>
      </c>
      <c r="X88" s="26" t="str">
        <f aca="false">IF($A88="","",U88-W88)</f>
        <v/>
      </c>
      <c r="Y88" s="26" t="str">
        <f aca="false">IF($A88="","",U88-W88-M88)</f>
        <v/>
      </c>
      <c r="AB88" s="27" t="str">
        <f aca="false">IF($A88="","",IF($AK88=1,'كشف المطالبة'!$D$5,'كشف المطالبة'!$D$6)*100)</f>
        <v/>
      </c>
      <c r="AK88" s="28" t="str">
        <f aca="false">IF($A88="","",IF(OR($Q88=TRUE(),$Q88="TRUE"),1,0))</f>
        <v/>
      </c>
      <c r="AL88" s="28" t="str">
        <f aca="false">IF($N88="","",IF(MATCH($N88,$N$2:$N$3001,0)=ROWS($N$2:$N88),$N88,""))</f>
        <v/>
      </c>
    </row>
    <row r="89" customFormat="false" ht="15" hidden="false" customHeight="false" outlineLevel="0" collapsed="false">
      <c r="E89" s="25"/>
      <c r="M89" s="26" t="str">
        <f aca="false">IF($A89="","",$L89*$U89/100)</f>
        <v/>
      </c>
      <c r="W89" s="26" t="str">
        <f aca="false">IF($A89="","",U89*AB89/100)</f>
        <v/>
      </c>
      <c r="X89" s="26" t="str">
        <f aca="false">IF($A89="","",U89-W89)</f>
        <v/>
      </c>
      <c r="Y89" s="26" t="str">
        <f aca="false">IF($A89="","",U89-W89-M89)</f>
        <v/>
      </c>
      <c r="AB89" s="27" t="str">
        <f aca="false">IF($A89="","",IF($AK89=1,'كشف المطالبة'!$D$5,'كشف المطالبة'!$D$6)*100)</f>
        <v/>
      </c>
      <c r="AK89" s="28" t="str">
        <f aca="false">IF($A89="","",IF(OR($Q89=TRUE(),$Q89="TRUE"),1,0))</f>
        <v/>
      </c>
      <c r="AL89" s="28" t="str">
        <f aca="false">IF($N89="","",IF(MATCH($N89,$N$2:$N$3001,0)=ROWS($N$2:$N89),$N89,""))</f>
        <v/>
      </c>
    </row>
    <row r="90" customFormat="false" ht="15" hidden="false" customHeight="false" outlineLevel="0" collapsed="false">
      <c r="E90" s="25"/>
      <c r="M90" s="26" t="str">
        <f aca="false">IF($A90="","",$L90*$U90/100)</f>
        <v/>
      </c>
      <c r="W90" s="26" t="str">
        <f aca="false">IF($A90="","",U90*AB90/100)</f>
        <v/>
      </c>
      <c r="X90" s="26" t="str">
        <f aca="false">IF($A90="","",U90-W90)</f>
        <v/>
      </c>
      <c r="Y90" s="26" t="str">
        <f aca="false">IF($A90="","",U90-W90-M90)</f>
        <v/>
      </c>
      <c r="AB90" s="27" t="str">
        <f aca="false">IF($A90="","",IF($AK90=1,'كشف المطالبة'!$D$5,'كشف المطالبة'!$D$6)*100)</f>
        <v/>
      </c>
      <c r="AK90" s="28" t="str">
        <f aca="false">IF($A90="","",IF(OR($Q90=TRUE(),$Q90="TRUE"),1,0))</f>
        <v/>
      </c>
      <c r="AL90" s="28" t="str">
        <f aca="false">IF($N90="","",IF(MATCH($N90,$N$2:$N$3001,0)=ROWS($N$2:$N90),$N90,""))</f>
        <v/>
      </c>
    </row>
    <row r="91" customFormat="false" ht="15" hidden="false" customHeight="false" outlineLevel="0" collapsed="false">
      <c r="E91" s="25"/>
      <c r="M91" s="26" t="str">
        <f aca="false">IF($A91="","",$L91*$U91/100)</f>
        <v/>
      </c>
      <c r="W91" s="26" t="str">
        <f aca="false">IF($A91="","",U91*AB91/100)</f>
        <v/>
      </c>
      <c r="X91" s="26" t="str">
        <f aca="false">IF($A91="","",U91-W91)</f>
        <v/>
      </c>
      <c r="Y91" s="26" t="str">
        <f aca="false">IF($A91="","",U91-W91-M91)</f>
        <v/>
      </c>
      <c r="AB91" s="27" t="str">
        <f aca="false">IF($A91="","",IF($AK91=1,'كشف المطالبة'!$D$5,'كشف المطالبة'!$D$6)*100)</f>
        <v/>
      </c>
      <c r="AK91" s="28" t="str">
        <f aca="false">IF($A91="","",IF(OR($Q91=TRUE(),$Q91="TRUE"),1,0))</f>
        <v/>
      </c>
      <c r="AL91" s="28" t="str">
        <f aca="false">IF($N91="","",IF(MATCH($N91,$N$2:$N$3001,0)=ROWS($N$2:$N91),$N91,""))</f>
        <v/>
      </c>
    </row>
    <row r="92" customFormat="false" ht="15" hidden="false" customHeight="false" outlineLevel="0" collapsed="false">
      <c r="E92" s="25"/>
      <c r="M92" s="26" t="str">
        <f aca="false">IF($A92="","",$L92*$U92/100)</f>
        <v/>
      </c>
      <c r="W92" s="26" t="str">
        <f aca="false">IF($A92="","",U92*AB92/100)</f>
        <v/>
      </c>
      <c r="X92" s="26" t="str">
        <f aca="false">IF($A92="","",U92-W92)</f>
        <v/>
      </c>
      <c r="Y92" s="26" t="str">
        <f aca="false">IF($A92="","",U92-W92-M92)</f>
        <v/>
      </c>
      <c r="AB92" s="27" t="str">
        <f aca="false">IF($A92="","",IF($AK92=1,'كشف المطالبة'!$D$5,'كشف المطالبة'!$D$6)*100)</f>
        <v/>
      </c>
      <c r="AK92" s="28" t="str">
        <f aca="false">IF($A92="","",IF(OR($Q92=TRUE(),$Q92="TRUE"),1,0))</f>
        <v/>
      </c>
      <c r="AL92" s="28" t="str">
        <f aca="false">IF($N92="","",IF(MATCH($N92,$N$2:$N$3001,0)=ROWS($N$2:$N92),$N92,""))</f>
        <v/>
      </c>
    </row>
    <row r="93" customFormat="false" ht="15" hidden="false" customHeight="false" outlineLevel="0" collapsed="false">
      <c r="E93" s="25"/>
      <c r="M93" s="26" t="str">
        <f aca="false">IF($A93="","",$L93*$U93/100)</f>
        <v/>
      </c>
      <c r="W93" s="26" t="str">
        <f aca="false">IF($A93="","",U93*AB93/100)</f>
        <v/>
      </c>
      <c r="X93" s="26" t="str">
        <f aca="false">IF($A93="","",U93-W93)</f>
        <v/>
      </c>
      <c r="Y93" s="26" t="str">
        <f aca="false">IF($A93="","",U93-W93-M93)</f>
        <v/>
      </c>
      <c r="AB93" s="27" t="str">
        <f aca="false">IF($A93="","",IF($AK93=1,'كشف المطالبة'!$D$5,'كشف المطالبة'!$D$6)*100)</f>
        <v/>
      </c>
      <c r="AK93" s="28" t="str">
        <f aca="false">IF($A93="","",IF(OR($Q93=TRUE(),$Q93="TRUE"),1,0))</f>
        <v/>
      </c>
      <c r="AL93" s="28" t="str">
        <f aca="false">IF($N93="","",IF(MATCH($N93,$N$2:$N$3001,0)=ROWS($N$2:$N93),$N93,""))</f>
        <v/>
      </c>
    </row>
    <row r="94" customFormat="false" ht="15" hidden="false" customHeight="false" outlineLevel="0" collapsed="false">
      <c r="E94" s="25"/>
      <c r="M94" s="26" t="str">
        <f aca="false">IF($A94="","",$L94*$U94/100)</f>
        <v/>
      </c>
      <c r="W94" s="26" t="str">
        <f aca="false">IF($A94="","",U94*AB94/100)</f>
        <v/>
      </c>
      <c r="X94" s="26" t="str">
        <f aca="false">IF($A94="","",U94-W94)</f>
        <v/>
      </c>
      <c r="Y94" s="26" t="str">
        <f aca="false">IF($A94="","",U94-W94-M94)</f>
        <v/>
      </c>
      <c r="AB94" s="27" t="str">
        <f aca="false">IF($A94="","",IF($AK94=1,'كشف المطالبة'!$D$5,'كشف المطالبة'!$D$6)*100)</f>
        <v/>
      </c>
      <c r="AK94" s="28" t="str">
        <f aca="false">IF($A94="","",IF(OR($Q94=TRUE(),$Q94="TRUE"),1,0))</f>
        <v/>
      </c>
      <c r="AL94" s="28" t="str">
        <f aca="false">IF($N94="","",IF(MATCH($N94,$N$2:$N$3001,0)=ROWS($N$2:$N94),$N94,""))</f>
        <v/>
      </c>
    </row>
    <row r="95" customFormat="false" ht="15" hidden="false" customHeight="false" outlineLevel="0" collapsed="false">
      <c r="E95" s="25"/>
      <c r="M95" s="26" t="str">
        <f aca="false">IF($A95="","",$L95*$U95/100)</f>
        <v/>
      </c>
      <c r="W95" s="26" t="str">
        <f aca="false">IF($A95="","",U95*AB95/100)</f>
        <v/>
      </c>
      <c r="X95" s="26" t="str">
        <f aca="false">IF($A95="","",U95-W95)</f>
        <v/>
      </c>
      <c r="Y95" s="26" t="str">
        <f aca="false">IF($A95="","",U95-W95-M95)</f>
        <v/>
      </c>
      <c r="AB95" s="27" t="str">
        <f aca="false">IF($A95="","",IF($AK95=1,'كشف المطالبة'!$D$5,'كشف المطالبة'!$D$6)*100)</f>
        <v/>
      </c>
      <c r="AK95" s="28" t="str">
        <f aca="false">IF($A95="","",IF(OR($Q95=TRUE(),$Q95="TRUE"),1,0))</f>
        <v/>
      </c>
      <c r="AL95" s="28" t="str">
        <f aca="false">IF($N95="","",IF(MATCH($N95,$N$2:$N$3001,0)=ROWS($N$2:$N95),$N95,""))</f>
        <v/>
      </c>
    </row>
    <row r="96" customFormat="false" ht="15" hidden="false" customHeight="false" outlineLevel="0" collapsed="false">
      <c r="E96" s="25"/>
      <c r="M96" s="26" t="str">
        <f aca="false">IF($A96="","",$L96*$U96/100)</f>
        <v/>
      </c>
      <c r="W96" s="26" t="str">
        <f aca="false">IF($A96="","",U96*AB96/100)</f>
        <v/>
      </c>
      <c r="X96" s="26" t="str">
        <f aca="false">IF($A96="","",U96-W96)</f>
        <v/>
      </c>
      <c r="Y96" s="26" t="str">
        <f aca="false">IF($A96="","",U96-W96-M96)</f>
        <v/>
      </c>
      <c r="AB96" s="27" t="str">
        <f aca="false">IF($A96="","",IF($AK96=1,'كشف المطالبة'!$D$5,'كشف المطالبة'!$D$6)*100)</f>
        <v/>
      </c>
      <c r="AK96" s="28" t="str">
        <f aca="false">IF($A96="","",IF(OR($Q96=TRUE(),$Q96="TRUE"),1,0))</f>
        <v/>
      </c>
      <c r="AL96" s="28" t="str">
        <f aca="false">IF($N96="","",IF(MATCH($N96,$N$2:$N$3001,0)=ROWS($N$2:$N96),$N96,""))</f>
        <v/>
      </c>
    </row>
    <row r="97" customFormat="false" ht="15" hidden="false" customHeight="false" outlineLevel="0" collapsed="false">
      <c r="E97" s="25"/>
      <c r="M97" s="26" t="str">
        <f aca="false">IF($A97="","",$L97*$U97/100)</f>
        <v/>
      </c>
      <c r="W97" s="26" t="str">
        <f aca="false">IF($A97="","",U97*AB97/100)</f>
        <v/>
      </c>
      <c r="X97" s="26" t="str">
        <f aca="false">IF($A97="","",U97-W97)</f>
        <v/>
      </c>
      <c r="Y97" s="26" t="str">
        <f aca="false">IF($A97="","",U97-W97-M97)</f>
        <v/>
      </c>
      <c r="AB97" s="27" t="str">
        <f aca="false">IF($A97="","",IF($AK97=1,'كشف المطالبة'!$D$5,'كشف المطالبة'!$D$6)*100)</f>
        <v/>
      </c>
      <c r="AK97" s="28" t="str">
        <f aca="false">IF($A97="","",IF(OR($Q97=TRUE(),$Q97="TRUE"),1,0))</f>
        <v/>
      </c>
      <c r="AL97" s="28" t="str">
        <f aca="false">IF($N97="","",IF(MATCH($N97,$N$2:$N$3001,0)=ROWS($N$2:$N97),$N97,""))</f>
        <v/>
      </c>
    </row>
    <row r="98" customFormat="false" ht="15" hidden="false" customHeight="false" outlineLevel="0" collapsed="false">
      <c r="E98" s="25"/>
      <c r="M98" s="26" t="str">
        <f aca="false">IF($A98="","",$L98*$U98/100)</f>
        <v/>
      </c>
      <c r="W98" s="26" t="str">
        <f aca="false">IF($A98="","",U98*AB98/100)</f>
        <v/>
      </c>
      <c r="X98" s="26" t="str">
        <f aca="false">IF($A98="","",U98-W98)</f>
        <v/>
      </c>
      <c r="Y98" s="26" t="str">
        <f aca="false">IF($A98="","",U98-W98-M98)</f>
        <v/>
      </c>
      <c r="AB98" s="27" t="str">
        <f aca="false">IF($A98="","",IF($AK98=1,'كشف المطالبة'!$D$5,'كشف المطالبة'!$D$6)*100)</f>
        <v/>
      </c>
      <c r="AK98" s="28" t="str">
        <f aca="false">IF($A98="","",IF(OR($Q98=TRUE(),$Q98="TRUE"),1,0))</f>
        <v/>
      </c>
      <c r="AL98" s="28" t="str">
        <f aca="false">IF($N98="","",IF(MATCH($N98,$N$2:$N$3001,0)=ROWS($N$2:$N98),$N98,""))</f>
        <v/>
      </c>
    </row>
    <row r="99" customFormat="false" ht="15" hidden="false" customHeight="false" outlineLevel="0" collapsed="false">
      <c r="E99" s="25"/>
      <c r="M99" s="26" t="str">
        <f aca="false">IF($A99="","",$L99*$U99/100)</f>
        <v/>
      </c>
      <c r="W99" s="26" t="str">
        <f aca="false">IF($A99="","",U99*AB99/100)</f>
        <v/>
      </c>
      <c r="X99" s="26" t="str">
        <f aca="false">IF($A99="","",U99-W99)</f>
        <v/>
      </c>
      <c r="Y99" s="26" t="str">
        <f aca="false">IF($A99="","",U99-W99-M99)</f>
        <v/>
      </c>
      <c r="AB99" s="27" t="str">
        <f aca="false">IF($A99="","",IF($AK99=1,'كشف المطالبة'!$D$5,'كشف المطالبة'!$D$6)*100)</f>
        <v/>
      </c>
      <c r="AK99" s="28" t="str">
        <f aca="false">IF($A99="","",IF(OR($Q99=TRUE(),$Q99="TRUE"),1,0))</f>
        <v/>
      </c>
      <c r="AL99" s="28" t="str">
        <f aca="false">IF($N99="","",IF(MATCH($N99,$N$2:$N$3001,0)=ROWS($N$2:$N99),$N99,""))</f>
        <v/>
      </c>
    </row>
    <row r="100" customFormat="false" ht="15" hidden="false" customHeight="false" outlineLevel="0" collapsed="false">
      <c r="E100" s="25"/>
      <c r="M100" s="26" t="str">
        <f aca="false">IF($A100="","",$L100*$U100/100)</f>
        <v/>
      </c>
      <c r="W100" s="26" t="str">
        <f aca="false">IF($A100="","",U100*AB100/100)</f>
        <v/>
      </c>
      <c r="X100" s="26" t="str">
        <f aca="false">IF($A100="","",U100-W100)</f>
        <v/>
      </c>
      <c r="Y100" s="26" t="str">
        <f aca="false">IF($A100="","",U100-W100-M100)</f>
        <v/>
      </c>
      <c r="AB100" s="27" t="str">
        <f aca="false">IF($A100="","",IF($AK100=1,'كشف المطالبة'!$D$5,'كشف المطالبة'!$D$6)*100)</f>
        <v/>
      </c>
      <c r="AK100" s="28" t="str">
        <f aca="false">IF($A100="","",IF(OR($Q100=TRUE(),$Q100="TRUE"),1,0))</f>
        <v/>
      </c>
      <c r="AL100" s="28" t="str">
        <f aca="false">IF($N100="","",IF(MATCH($N100,$N$2:$N$3001,0)=ROWS($N$2:$N100),$N100,""))</f>
        <v/>
      </c>
    </row>
    <row r="101" customFormat="false" ht="15" hidden="false" customHeight="false" outlineLevel="0" collapsed="false">
      <c r="E101" s="25"/>
      <c r="M101" s="26" t="str">
        <f aca="false">IF($A101="","",$L101*$U101/100)</f>
        <v/>
      </c>
      <c r="W101" s="26" t="str">
        <f aca="false">IF($A101="","",U101*AB101/100)</f>
        <v/>
      </c>
      <c r="X101" s="26" t="str">
        <f aca="false">IF($A101="","",U101-W101)</f>
        <v/>
      </c>
      <c r="Y101" s="26" t="str">
        <f aca="false">IF($A101="","",U101-W101-M101)</f>
        <v/>
      </c>
      <c r="AB101" s="27" t="str">
        <f aca="false">IF($A101="","",IF($AK101=1,'كشف المطالبة'!$D$5,'كشف المطالبة'!$D$6)*100)</f>
        <v/>
      </c>
      <c r="AK101" s="28" t="str">
        <f aca="false">IF($A101="","",IF(OR($Q101=TRUE(),$Q101="TRUE"),1,0))</f>
        <v/>
      </c>
      <c r="AL101" s="28" t="str">
        <f aca="false">IF($N101="","",IF(MATCH($N101,$N$2:$N$3001,0)=ROWS($N$2:$N101),$N101,""))</f>
        <v/>
      </c>
    </row>
    <row r="102" customFormat="false" ht="15" hidden="false" customHeight="false" outlineLevel="0" collapsed="false">
      <c r="E102" s="25"/>
      <c r="M102" s="26" t="str">
        <f aca="false">IF($A102="","",$L102*$U102/100)</f>
        <v/>
      </c>
      <c r="W102" s="26" t="str">
        <f aca="false">IF($A102="","",U102*AB102/100)</f>
        <v/>
      </c>
      <c r="X102" s="26" t="str">
        <f aca="false">IF($A102="","",U102-W102)</f>
        <v/>
      </c>
      <c r="Y102" s="26" t="str">
        <f aca="false">IF($A102="","",U102-W102-M102)</f>
        <v/>
      </c>
      <c r="AB102" s="27" t="str">
        <f aca="false">IF($A102="","",IF($AK102=1,'كشف المطالبة'!$D$5,'كشف المطالبة'!$D$6)*100)</f>
        <v/>
      </c>
      <c r="AK102" s="28" t="str">
        <f aca="false">IF($A102="","",IF(OR($Q102=TRUE(),$Q102="TRUE"),1,0))</f>
        <v/>
      </c>
      <c r="AL102" s="28" t="str">
        <f aca="false">IF($N102="","",IF(MATCH($N102,$N$2:$N$3001,0)=ROWS($N$2:$N102),$N102,""))</f>
        <v/>
      </c>
    </row>
    <row r="103" customFormat="false" ht="15" hidden="false" customHeight="false" outlineLevel="0" collapsed="false">
      <c r="E103" s="25"/>
      <c r="M103" s="26" t="str">
        <f aca="false">IF($A103="","",$L103*$U103/100)</f>
        <v/>
      </c>
      <c r="W103" s="26" t="str">
        <f aca="false">IF($A103="","",U103*AB103/100)</f>
        <v/>
      </c>
      <c r="X103" s="26" t="str">
        <f aca="false">IF($A103="","",U103-W103)</f>
        <v/>
      </c>
      <c r="Y103" s="26" t="str">
        <f aca="false">IF($A103="","",U103-W103-M103)</f>
        <v/>
      </c>
      <c r="AB103" s="27" t="str">
        <f aca="false">IF($A103="","",IF($AK103=1,'كشف المطالبة'!$D$5,'كشف المطالبة'!$D$6)*100)</f>
        <v/>
      </c>
      <c r="AK103" s="28" t="str">
        <f aca="false">IF($A103="","",IF(OR($Q103=TRUE(),$Q103="TRUE"),1,0))</f>
        <v/>
      </c>
      <c r="AL103" s="28" t="str">
        <f aca="false">IF($N103="","",IF(MATCH($N103,$N$2:$N$3001,0)=ROWS($N$2:$N103),$N103,""))</f>
        <v/>
      </c>
    </row>
    <row r="104" customFormat="false" ht="15" hidden="false" customHeight="false" outlineLevel="0" collapsed="false">
      <c r="E104" s="25"/>
      <c r="M104" s="26" t="str">
        <f aca="false">IF($A104="","",$L104*$U104/100)</f>
        <v/>
      </c>
      <c r="W104" s="26" t="str">
        <f aca="false">IF($A104="","",U104*AB104/100)</f>
        <v/>
      </c>
      <c r="X104" s="26" t="str">
        <f aca="false">IF($A104="","",U104-W104)</f>
        <v/>
      </c>
      <c r="Y104" s="26" t="str">
        <f aca="false">IF($A104="","",U104-W104-M104)</f>
        <v/>
      </c>
      <c r="AB104" s="27" t="str">
        <f aca="false">IF($A104="","",IF($AK104=1,'كشف المطالبة'!$D$5,'كشف المطالبة'!$D$6)*100)</f>
        <v/>
      </c>
      <c r="AK104" s="28" t="str">
        <f aca="false">IF($A104="","",IF(OR($Q104=TRUE(),$Q104="TRUE"),1,0))</f>
        <v/>
      </c>
      <c r="AL104" s="28" t="str">
        <f aca="false">IF($N104="","",IF(MATCH($N104,$N$2:$N$3001,0)=ROWS($N$2:$N104),$N104,""))</f>
        <v/>
      </c>
    </row>
    <row r="105" customFormat="false" ht="15" hidden="false" customHeight="false" outlineLevel="0" collapsed="false">
      <c r="E105" s="25"/>
      <c r="M105" s="26" t="str">
        <f aca="false">IF($A105="","",$L105*$U105/100)</f>
        <v/>
      </c>
      <c r="W105" s="26" t="str">
        <f aca="false">IF($A105="","",U105*AB105/100)</f>
        <v/>
      </c>
      <c r="X105" s="26" t="str">
        <f aca="false">IF($A105="","",U105-W105)</f>
        <v/>
      </c>
      <c r="Y105" s="26" t="str">
        <f aca="false">IF($A105="","",U105-W105-M105)</f>
        <v/>
      </c>
      <c r="AB105" s="27" t="str">
        <f aca="false">IF($A105="","",IF($AK105=1,'كشف المطالبة'!$D$5,'كشف المطالبة'!$D$6)*100)</f>
        <v/>
      </c>
      <c r="AK105" s="28" t="str">
        <f aca="false">IF($A105="","",IF(OR($Q105=TRUE(),$Q105="TRUE"),1,0))</f>
        <v/>
      </c>
      <c r="AL105" s="28" t="str">
        <f aca="false">IF($N105="","",IF(MATCH($N105,$N$2:$N$3001,0)=ROWS($N$2:$N105),$N105,""))</f>
        <v/>
      </c>
    </row>
    <row r="106" customFormat="false" ht="15" hidden="false" customHeight="false" outlineLevel="0" collapsed="false">
      <c r="E106" s="25"/>
      <c r="M106" s="26" t="str">
        <f aca="false">IF($A106="","",$L106*$U106/100)</f>
        <v/>
      </c>
      <c r="W106" s="26" t="str">
        <f aca="false">IF($A106="","",U106*AB106/100)</f>
        <v/>
      </c>
      <c r="X106" s="26" t="str">
        <f aca="false">IF($A106="","",U106-W106)</f>
        <v/>
      </c>
      <c r="Y106" s="26" t="str">
        <f aca="false">IF($A106="","",U106-W106-M106)</f>
        <v/>
      </c>
      <c r="AB106" s="27" t="str">
        <f aca="false">IF($A106="","",IF($AK106=1,'كشف المطالبة'!$D$5,'كشف المطالبة'!$D$6)*100)</f>
        <v/>
      </c>
      <c r="AK106" s="28" t="str">
        <f aca="false">IF($A106="","",IF(OR($Q106=TRUE(),$Q106="TRUE"),1,0))</f>
        <v/>
      </c>
      <c r="AL106" s="28" t="str">
        <f aca="false">IF($N106="","",IF(MATCH($N106,$N$2:$N$3001,0)=ROWS($N$2:$N106),$N106,""))</f>
        <v/>
      </c>
    </row>
    <row r="107" customFormat="false" ht="15" hidden="false" customHeight="false" outlineLevel="0" collapsed="false">
      <c r="E107" s="25"/>
      <c r="M107" s="26" t="str">
        <f aca="false">IF($A107="","",$L107*$U107/100)</f>
        <v/>
      </c>
      <c r="W107" s="26" t="str">
        <f aca="false">IF($A107="","",U107*AB107/100)</f>
        <v/>
      </c>
      <c r="X107" s="26" t="str">
        <f aca="false">IF($A107="","",U107-W107)</f>
        <v/>
      </c>
      <c r="Y107" s="26" t="str">
        <f aca="false">IF($A107="","",U107-W107-M107)</f>
        <v/>
      </c>
      <c r="AB107" s="27" t="str">
        <f aca="false">IF($A107="","",IF($AK107=1,'كشف المطالبة'!$D$5,'كشف المطالبة'!$D$6)*100)</f>
        <v/>
      </c>
      <c r="AK107" s="28" t="str">
        <f aca="false">IF($A107="","",IF(OR($Q107=TRUE(),$Q107="TRUE"),1,0))</f>
        <v/>
      </c>
      <c r="AL107" s="28" t="str">
        <f aca="false">IF($N107="","",IF(MATCH($N107,$N$2:$N$3001,0)=ROWS($N$2:$N107),$N107,""))</f>
        <v/>
      </c>
    </row>
    <row r="108" customFormat="false" ht="15" hidden="false" customHeight="false" outlineLevel="0" collapsed="false">
      <c r="E108" s="25"/>
      <c r="M108" s="26" t="str">
        <f aca="false">IF($A108="","",$L108*$U108/100)</f>
        <v/>
      </c>
      <c r="W108" s="26" t="str">
        <f aca="false">IF($A108="","",U108*AB108/100)</f>
        <v/>
      </c>
      <c r="X108" s="26" t="str">
        <f aca="false">IF($A108="","",U108-W108)</f>
        <v/>
      </c>
      <c r="Y108" s="26" t="str">
        <f aca="false">IF($A108="","",U108-W108-M108)</f>
        <v/>
      </c>
      <c r="AB108" s="27" t="str">
        <f aca="false">IF($A108="","",IF($AK108=1,'كشف المطالبة'!$D$5,'كشف المطالبة'!$D$6)*100)</f>
        <v/>
      </c>
      <c r="AK108" s="28" t="str">
        <f aca="false">IF($A108="","",IF(OR($Q108=TRUE(),$Q108="TRUE"),1,0))</f>
        <v/>
      </c>
      <c r="AL108" s="28" t="str">
        <f aca="false">IF($N108="","",IF(MATCH($N108,$N$2:$N$3001,0)=ROWS($N$2:$N108),$N108,""))</f>
        <v/>
      </c>
    </row>
    <row r="109" customFormat="false" ht="15" hidden="false" customHeight="false" outlineLevel="0" collapsed="false">
      <c r="E109" s="25"/>
      <c r="M109" s="26" t="str">
        <f aca="false">IF($A109="","",$L109*$U109/100)</f>
        <v/>
      </c>
      <c r="W109" s="26" t="str">
        <f aca="false">IF($A109="","",U109*AB109/100)</f>
        <v/>
      </c>
      <c r="X109" s="26" t="str">
        <f aca="false">IF($A109="","",U109-W109)</f>
        <v/>
      </c>
      <c r="Y109" s="26" t="str">
        <f aca="false">IF($A109="","",U109-W109-M109)</f>
        <v/>
      </c>
      <c r="AB109" s="27" t="str">
        <f aca="false">IF($A109="","",IF($AK109=1,'كشف المطالبة'!$D$5,'كشف المطالبة'!$D$6)*100)</f>
        <v/>
      </c>
      <c r="AK109" s="28" t="str">
        <f aca="false">IF($A109="","",IF(OR($Q109=TRUE(),$Q109="TRUE"),1,0))</f>
        <v/>
      </c>
      <c r="AL109" s="28" t="str">
        <f aca="false">IF($N109="","",IF(MATCH($N109,$N$2:$N$3001,0)=ROWS($N$2:$N109),$N109,""))</f>
        <v/>
      </c>
    </row>
    <row r="110" customFormat="false" ht="15" hidden="false" customHeight="false" outlineLevel="0" collapsed="false">
      <c r="E110" s="25"/>
      <c r="M110" s="26" t="str">
        <f aca="false">IF($A110="","",$L110*$U110/100)</f>
        <v/>
      </c>
      <c r="W110" s="26" t="str">
        <f aca="false">IF($A110="","",U110*AB110/100)</f>
        <v/>
      </c>
      <c r="X110" s="26" t="str">
        <f aca="false">IF($A110="","",U110-W110)</f>
        <v/>
      </c>
      <c r="Y110" s="26" t="str">
        <f aca="false">IF($A110="","",U110-W110-M110)</f>
        <v/>
      </c>
      <c r="AB110" s="27" t="str">
        <f aca="false">IF($A110="","",IF($AK110=1,'كشف المطالبة'!$D$5,'كشف المطالبة'!$D$6)*100)</f>
        <v/>
      </c>
      <c r="AK110" s="28" t="str">
        <f aca="false">IF($A110="","",IF(OR($Q110=TRUE(),$Q110="TRUE"),1,0))</f>
        <v/>
      </c>
      <c r="AL110" s="28" t="str">
        <f aca="false">IF($N110="","",IF(MATCH($N110,$N$2:$N$3001,0)=ROWS($N$2:$N110),$N110,""))</f>
        <v/>
      </c>
    </row>
    <row r="111" customFormat="false" ht="15" hidden="false" customHeight="false" outlineLevel="0" collapsed="false">
      <c r="E111" s="25"/>
      <c r="M111" s="26" t="str">
        <f aca="false">IF($A111="","",$L111*$U111/100)</f>
        <v/>
      </c>
      <c r="W111" s="26" t="str">
        <f aca="false">IF($A111="","",U111*AB111/100)</f>
        <v/>
      </c>
      <c r="X111" s="26" t="str">
        <f aca="false">IF($A111="","",U111-W111)</f>
        <v/>
      </c>
      <c r="Y111" s="26" t="str">
        <f aca="false">IF($A111="","",U111-W111-M111)</f>
        <v/>
      </c>
      <c r="AB111" s="27" t="str">
        <f aca="false">IF($A111="","",IF($AK111=1,'كشف المطالبة'!$D$5,'كشف المطالبة'!$D$6)*100)</f>
        <v/>
      </c>
      <c r="AK111" s="28" t="str">
        <f aca="false">IF($A111="","",IF(OR($Q111=TRUE(),$Q111="TRUE"),1,0))</f>
        <v/>
      </c>
      <c r="AL111" s="28" t="str">
        <f aca="false">IF($N111="","",IF(MATCH($N111,$N$2:$N$3001,0)=ROWS($N$2:$N111),$N111,""))</f>
        <v/>
      </c>
    </row>
    <row r="112" customFormat="false" ht="15" hidden="false" customHeight="false" outlineLevel="0" collapsed="false">
      <c r="E112" s="25"/>
      <c r="M112" s="26" t="str">
        <f aca="false">IF($A112="","",$L112*$U112/100)</f>
        <v/>
      </c>
      <c r="W112" s="26" t="str">
        <f aca="false">IF($A112="","",U112*AB112/100)</f>
        <v/>
      </c>
      <c r="X112" s="26" t="str">
        <f aca="false">IF($A112="","",U112-W112)</f>
        <v/>
      </c>
      <c r="Y112" s="26" t="str">
        <f aca="false">IF($A112="","",U112-W112-M112)</f>
        <v/>
      </c>
      <c r="AB112" s="27" t="str">
        <f aca="false">IF($A112="","",IF($AK112=1,'كشف المطالبة'!$D$5,'كشف المطالبة'!$D$6)*100)</f>
        <v/>
      </c>
      <c r="AK112" s="28" t="str">
        <f aca="false">IF($A112="","",IF(OR($Q112=TRUE(),$Q112="TRUE"),1,0))</f>
        <v/>
      </c>
      <c r="AL112" s="28" t="str">
        <f aca="false">IF($N112="","",IF(MATCH($N112,$N$2:$N$3001,0)=ROWS($N$2:$N112),$N112,""))</f>
        <v/>
      </c>
    </row>
    <row r="113" customFormat="false" ht="15" hidden="false" customHeight="false" outlineLevel="0" collapsed="false">
      <c r="E113" s="25"/>
      <c r="M113" s="26" t="str">
        <f aca="false">IF($A113="","",$L113*$U113/100)</f>
        <v/>
      </c>
      <c r="W113" s="26" t="str">
        <f aca="false">IF($A113="","",U113*AB113/100)</f>
        <v/>
      </c>
      <c r="X113" s="26" t="str">
        <f aca="false">IF($A113="","",U113-W113)</f>
        <v/>
      </c>
      <c r="Y113" s="26" t="str">
        <f aca="false">IF($A113="","",U113-W113-M113)</f>
        <v/>
      </c>
      <c r="AB113" s="27" t="str">
        <f aca="false">IF($A113="","",IF($AK113=1,'كشف المطالبة'!$D$5,'كشف المطالبة'!$D$6)*100)</f>
        <v/>
      </c>
      <c r="AK113" s="28" t="str">
        <f aca="false">IF($A113="","",IF(OR($Q113=TRUE(),$Q113="TRUE"),1,0))</f>
        <v/>
      </c>
      <c r="AL113" s="28" t="str">
        <f aca="false">IF($N113="","",IF(MATCH($N113,$N$2:$N$3001,0)=ROWS($N$2:$N113),$N113,""))</f>
        <v/>
      </c>
    </row>
    <row r="114" customFormat="false" ht="15" hidden="false" customHeight="false" outlineLevel="0" collapsed="false">
      <c r="E114" s="25"/>
      <c r="M114" s="26" t="str">
        <f aca="false">IF($A114="","",$L114*$U114/100)</f>
        <v/>
      </c>
      <c r="W114" s="26" t="str">
        <f aca="false">IF($A114="","",U114*AB114/100)</f>
        <v/>
      </c>
      <c r="X114" s="26" t="str">
        <f aca="false">IF($A114="","",U114-W114)</f>
        <v/>
      </c>
      <c r="Y114" s="26" t="str">
        <f aca="false">IF($A114="","",U114-W114-M114)</f>
        <v/>
      </c>
      <c r="AB114" s="27" t="str">
        <f aca="false">IF($A114="","",IF($AK114=1,'كشف المطالبة'!$D$5,'كشف المطالبة'!$D$6)*100)</f>
        <v/>
      </c>
      <c r="AK114" s="28" t="str">
        <f aca="false">IF($A114="","",IF(OR($Q114=TRUE(),$Q114="TRUE"),1,0))</f>
        <v/>
      </c>
      <c r="AL114" s="28" t="str">
        <f aca="false">IF($N114="","",IF(MATCH($N114,$N$2:$N$3001,0)=ROWS($N$2:$N114),$N114,""))</f>
        <v/>
      </c>
    </row>
    <row r="115" customFormat="false" ht="15" hidden="false" customHeight="false" outlineLevel="0" collapsed="false">
      <c r="E115" s="25"/>
      <c r="M115" s="26" t="str">
        <f aca="false">IF($A115="","",$L115*$U115/100)</f>
        <v/>
      </c>
      <c r="W115" s="26" t="str">
        <f aca="false">IF($A115="","",U115*AB115/100)</f>
        <v/>
      </c>
      <c r="X115" s="26" t="str">
        <f aca="false">IF($A115="","",U115-W115)</f>
        <v/>
      </c>
      <c r="Y115" s="26" t="str">
        <f aca="false">IF($A115="","",U115-W115-M115)</f>
        <v/>
      </c>
      <c r="AB115" s="27" t="str">
        <f aca="false">IF($A115="","",IF($AK115=1,'كشف المطالبة'!$D$5,'كشف المطالبة'!$D$6)*100)</f>
        <v/>
      </c>
      <c r="AK115" s="28" t="str">
        <f aca="false">IF($A115="","",IF(OR($Q115=TRUE(),$Q115="TRUE"),1,0))</f>
        <v/>
      </c>
      <c r="AL115" s="28" t="str">
        <f aca="false">IF($N115="","",IF(MATCH($N115,$N$2:$N$3001,0)=ROWS($N$2:$N115),$N115,""))</f>
        <v/>
      </c>
    </row>
    <row r="116" customFormat="false" ht="15" hidden="false" customHeight="false" outlineLevel="0" collapsed="false">
      <c r="E116" s="25"/>
      <c r="M116" s="26" t="str">
        <f aca="false">IF($A116="","",$L116*$U116/100)</f>
        <v/>
      </c>
      <c r="W116" s="26" t="str">
        <f aca="false">IF($A116="","",U116*AB116/100)</f>
        <v/>
      </c>
      <c r="X116" s="26" t="str">
        <f aca="false">IF($A116="","",U116-W116)</f>
        <v/>
      </c>
      <c r="Y116" s="26" t="str">
        <f aca="false">IF($A116="","",U116-W116-M116)</f>
        <v/>
      </c>
      <c r="AB116" s="27" t="str">
        <f aca="false">IF($A116="","",IF($AK116=1,'كشف المطالبة'!$D$5,'كشف المطالبة'!$D$6)*100)</f>
        <v/>
      </c>
      <c r="AK116" s="28" t="str">
        <f aca="false">IF($A116="","",IF(OR($Q116=TRUE(),$Q116="TRUE"),1,0))</f>
        <v/>
      </c>
      <c r="AL116" s="28" t="str">
        <f aca="false">IF($N116="","",IF(MATCH($N116,$N$2:$N$3001,0)=ROWS($N$2:$N116),$N116,""))</f>
        <v/>
      </c>
    </row>
    <row r="117" customFormat="false" ht="15" hidden="false" customHeight="false" outlineLevel="0" collapsed="false">
      <c r="E117" s="25"/>
      <c r="M117" s="26" t="str">
        <f aca="false">IF($A117="","",$L117*$U117/100)</f>
        <v/>
      </c>
      <c r="W117" s="26" t="str">
        <f aca="false">IF($A117="","",U117*AB117/100)</f>
        <v/>
      </c>
      <c r="X117" s="26" t="str">
        <f aca="false">IF($A117="","",U117-W117)</f>
        <v/>
      </c>
      <c r="Y117" s="26" t="str">
        <f aca="false">IF($A117="","",U117-W117-M117)</f>
        <v/>
      </c>
      <c r="AB117" s="27" t="str">
        <f aca="false">IF($A117="","",IF($AK117=1,'كشف المطالبة'!$D$5,'كشف المطالبة'!$D$6)*100)</f>
        <v/>
      </c>
      <c r="AK117" s="28" t="str">
        <f aca="false">IF($A117="","",IF(OR($Q117=TRUE(),$Q117="TRUE"),1,0))</f>
        <v/>
      </c>
      <c r="AL117" s="28" t="str">
        <f aca="false">IF($N117="","",IF(MATCH($N117,$N$2:$N$3001,0)=ROWS($N$2:$N117),$N117,""))</f>
        <v/>
      </c>
    </row>
    <row r="118" customFormat="false" ht="15" hidden="false" customHeight="false" outlineLevel="0" collapsed="false">
      <c r="E118" s="25"/>
      <c r="M118" s="26" t="str">
        <f aca="false">IF($A118="","",$L118*$U118/100)</f>
        <v/>
      </c>
      <c r="W118" s="26" t="str">
        <f aca="false">IF($A118="","",U118*AB118/100)</f>
        <v/>
      </c>
      <c r="X118" s="26" t="str">
        <f aca="false">IF($A118="","",U118-W118)</f>
        <v/>
      </c>
      <c r="Y118" s="26" t="str">
        <f aca="false">IF($A118="","",U118-W118-M118)</f>
        <v/>
      </c>
      <c r="AB118" s="27" t="str">
        <f aca="false">IF($A118="","",IF($AK118=1,'كشف المطالبة'!$D$5,'كشف المطالبة'!$D$6)*100)</f>
        <v/>
      </c>
      <c r="AK118" s="28" t="str">
        <f aca="false">IF($A118="","",IF(OR($Q118=TRUE(),$Q118="TRUE"),1,0))</f>
        <v/>
      </c>
      <c r="AL118" s="28" t="str">
        <f aca="false">IF($N118="","",IF(MATCH($N118,$N$2:$N$3001,0)=ROWS($N$2:$N118),$N118,""))</f>
        <v/>
      </c>
    </row>
    <row r="119" customFormat="false" ht="15" hidden="false" customHeight="false" outlineLevel="0" collapsed="false">
      <c r="E119" s="25"/>
      <c r="M119" s="26" t="str">
        <f aca="false">IF($A119="","",$L119*$U119/100)</f>
        <v/>
      </c>
      <c r="W119" s="26" t="str">
        <f aca="false">IF($A119="","",U119*AB119/100)</f>
        <v/>
      </c>
      <c r="X119" s="26" t="str">
        <f aca="false">IF($A119="","",U119-W119)</f>
        <v/>
      </c>
      <c r="Y119" s="26" t="str">
        <f aca="false">IF($A119="","",U119-W119-M119)</f>
        <v/>
      </c>
      <c r="AB119" s="27" t="str">
        <f aca="false">IF($A119="","",IF($AK119=1,'كشف المطالبة'!$D$5,'كشف المطالبة'!$D$6)*100)</f>
        <v/>
      </c>
      <c r="AK119" s="28" t="str">
        <f aca="false">IF($A119="","",IF(OR($Q119=TRUE(),$Q119="TRUE"),1,0))</f>
        <v/>
      </c>
      <c r="AL119" s="28" t="str">
        <f aca="false">IF($N119="","",IF(MATCH($N119,$N$2:$N$3001,0)=ROWS($N$2:$N119),$N119,""))</f>
        <v/>
      </c>
    </row>
    <row r="120" customFormat="false" ht="15" hidden="false" customHeight="false" outlineLevel="0" collapsed="false">
      <c r="E120" s="25"/>
      <c r="M120" s="26" t="str">
        <f aca="false">IF($A120="","",$L120*$U120/100)</f>
        <v/>
      </c>
      <c r="W120" s="26" t="str">
        <f aca="false">IF($A120="","",U120*AB120/100)</f>
        <v/>
      </c>
      <c r="X120" s="26" t="str">
        <f aca="false">IF($A120="","",U120-W120)</f>
        <v/>
      </c>
      <c r="Y120" s="26" t="str">
        <f aca="false">IF($A120="","",U120-W120-M120)</f>
        <v/>
      </c>
      <c r="AB120" s="27" t="str">
        <f aca="false">IF($A120="","",IF($AK120=1,'كشف المطالبة'!$D$5,'كشف المطالبة'!$D$6)*100)</f>
        <v/>
      </c>
      <c r="AK120" s="28" t="str">
        <f aca="false">IF($A120="","",IF(OR($Q120=TRUE(),$Q120="TRUE"),1,0))</f>
        <v/>
      </c>
      <c r="AL120" s="28" t="str">
        <f aca="false">IF($N120="","",IF(MATCH($N120,$N$2:$N$3001,0)=ROWS($N$2:$N120),$N120,""))</f>
        <v/>
      </c>
    </row>
    <row r="121" customFormat="false" ht="15" hidden="false" customHeight="false" outlineLevel="0" collapsed="false">
      <c r="E121" s="25"/>
      <c r="M121" s="26" t="str">
        <f aca="false">IF($A121="","",$L121*$U121/100)</f>
        <v/>
      </c>
      <c r="W121" s="26" t="str">
        <f aca="false">IF($A121="","",U121*AB121/100)</f>
        <v/>
      </c>
      <c r="X121" s="26" t="str">
        <f aca="false">IF($A121="","",U121-W121)</f>
        <v/>
      </c>
      <c r="Y121" s="26" t="str">
        <f aca="false">IF($A121="","",U121-W121-M121)</f>
        <v/>
      </c>
      <c r="AB121" s="27" t="str">
        <f aca="false">IF($A121="","",IF($AK121=1,'كشف المطالبة'!$D$5,'كشف المطالبة'!$D$6)*100)</f>
        <v/>
      </c>
      <c r="AK121" s="28" t="str">
        <f aca="false">IF($A121="","",IF(OR($Q121=TRUE(),$Q121="TRUE"),1,0))</f>
        <v/>
      </c>
      <c r="AL121" s="28" t="str">
        <f aca="false">IF($N121="","",IF(MATCH($N121,$N$2:$N$3001,0)=ROWS($N$2:$N121),$N121,""))</f>
        <v/>
      </c>
    </row>
    <row r="122" customFormat="false" ht="15" hidden="false" customHeight="false" outlineLevel="0" collapsed="false">
      <c r="E122" s="25"/>
      <c r="M122" s="26" t="str">
        <f aca="false">IF($A122="","",$L122*$U122/100)</f>
        <v/>
      </c>
      <c r="W122" s="26" t="str">
        <f aca="false">IF($A122="","",U122*AB122/100)</f>
        <v/>
      </c>
      <c r="X122" s="26" t="str">
        <f aca="false">IF($A122="","",U122-W122)</f>
        <v/>
      </c>
      <c r="Y122" s="26" t="str">
        <f aca="false">IF($A122="","",U122-W122-M122)</f>
        <v/>
      </c>
      <c r="AB122" s="27" t="str">
        <f aca="false">IF($A122="","",IF($AK122=1,'كشف المطالبة'!$D$5,'كشف المطالبة'!$D$6)*100)</f>
        <v/>
      </c>
      <c r="AK122" s="28" t="str">
        <f aca="false">IF($A122="","",IF(OR($Q122=TRUE(),$Q122="TRUE"),1,0))</f>
        <v/>
      </c>
      <c r="AL122" s="28" t="str">
        <f aca="false">IF($N122="","",IF(MATCH($N122,$N$2:$N$3001,0)=ROWS($N$2:$N122),$N122,""))</f>
        <v/>
      </c>
    </row>
    <row r="123" customFormat="false" ht="15" hidden="false" customHeight="false" outlineLevel="0" collapsed="false">
      <c r="E123" s="25"/>
      <c r="M123" s="26" t="str">
        <f aca="false">IF($A123="","",$L123*$U123/100)</f>
        <v/>
      </c>
      <c r="W123" s="26" t="str">
        <f aca="false">IF($A123="","",U123*AB123/100)</f>
        <v/>
      </c>
      <c r="X123" s="26" t="str">
        <f aca="false">IF($A123="","",U123-W123)</f>
        <v/>
      </c>
      <c r="Y123" s="26" t="str">
        <f aca="false">IF($A123="","",U123-W123-M123)</f>
        <v/>
      </c>
      <c r="AB123" s="27" t="str">
        <f aca="false">IF($A123="","",IF($AK123=1,'كشف المطالبة'!$D$5,'كشف المطالبة'!$D$6)*100)</f>
        <v/>
      </c>
      <c r="AK123" s="28" t="str">
        <f aca="false">IF($A123="","",IF(OR($Q123=TRUE(),$Q123="TRUE"),1,0))</f>
        <v/>
      </c>
      <c r="AL123" s="28" t="str">
        <f aca="false">IF($N123="","",IF(MATCH($N123,$N$2:$N$3001,0)=ROWS($N$2:$N123),$N123,""))</f>
        <v/>
      </c>
    </row>
    <row r="124" customFormat="false" ht="15" hidden="false" customHeight="false" outlineLevel="0" collapsed="false">
      <c r="E124" s="25"/>
      <c r="M124" s="26" t="str">
        <f aca="false">IF($A124="","",$L124*$U124/100)</f>
        <v/>
      </c>
      <c r="W124" s="26" t="str">
        <f aca="false">IF($A124="","",U124*AB124/100)</f>
        <v/>
      </c>
      <c r="X124" s="26" t="str">
        <f aca="false">IF($A124="","",U124-W124)</f>
        <v/>
      </c>
      <c r="Y124" s="26" t="str">
        <f aca="false">IF($A124="","",U124-W124-M124)</f>
        <v/>
      </c>
      <c r="AB124" s="27" t="str">
        <f aca="false">IF($A124="","",IF($AK124=1,'كشف المطالبة'!$D$5,'كشف المطالبة'!$D$6)*100)</f>
        <v/>
      </c>
      <c r="AK124" s="28" t="str">
        <f aca="false">IF($A124="","",IF(OR($Q124=TRUE(),$Q124="TRUE"),1,0))</f>
        <v/>
      </c>
      <c r="AL124" s="28" t="str">
        <f aca="false">IF($N124="","",IF(MATCH($N124,$N$2:$N$3001,0)=ROWS($N$2:$N124),$N124,""))</f>
        <v/>
      </c>
    </row>
    <row r="125" customFormat="false" ht="15" hidden="false" customHeight="false" outlineLevel="0" collapsed="false">
      <c r="E125" s="25"/>
      <c r="M125" s="26" t="str">
        <f aca="false">IF($A125="","",$L125*$U125/100)</f>
        <v/>
      </c>
      <c r="W125" s="26" t="str">
        <f aca="false">IF($A125="","",U125*AB125/100)</f>
        <v/>
      </c>
      <c r="X125" s="26" t="str">
        <f aca="false">IF($A125="","",U125-W125)</f>
        <v/>
      </c>
      <c r="Y125" s="26" t="str">
        <f aca="false">IF($A125="","",U125-W125-M125)</f>
        <v/>
      </c>
      <c r="AB125" s="27" t="str">
        <f aca="false">IF($A125="","",IF($AK125=1,'كشف المطالبة'!$D$5,'كشف المطالبة'!$D$6)*100)</f>
        <v/>
      </c>
      <c r="AK125" s="28" t="str">
        <f aca="false">IF($A125="","",IF(OR($Q125=TRUE(),$Q125="TRUE"),1,0))</f>
        <v/>
      </c>
      <c r="AL125" s="28" t="str">
        <f aca="false">IF($N125="","",IF(MATCH($N125,$N$2:$N$3001,0)=ROWS($N$2:$N125),$N125,""))</f>
        <v/>
      </c>
    </row>
    <row r="126" customFormat="false" ht="15" hidden="false" customHeight="false" outlineLevel="0" collapsed="false">
      <c r="E126" s="25"/>
      <c r="M126" s="26" t="str">
        <f aca="false">IF($A126="","",$L126*$U126/100)</f>
        <v/>
      </c>
      <c r="W126" s="26" t="str">
        <f aca="false">IF($A126="","",U126*AB126/100)</f>
        <v/>
      </c>
      <c r="X126" s="26" t="str">
        <f aca="false">IF($A126="","",U126-W126)</f>
        <v/>
      </c>
      <c r="Y126" s="26" t="str">
        <f aca="false">IF($A126="","",U126-W126-M126)</f>
        <v/>
      </c>
      <c r="AB126" s="27" t="str">
        <f aca="false">IF($A126="","",IF($AK126=1,'كشف المطالبة'!$D$5,'كشف المطالبة'!$D$6)*100)</f>
        <v/>
      </c>
      <c r="AK126" s="28" t="str">
        <f aca="false">IF($A126="","",IF(OR($Q126=TRUE(),$Q126="TRUE"),1,0))</f>
        <v/>
      </c>
      <c r="AL126" s="28" t="str">
        <f aca="false">IF($N126="","",IF(MATCH($N126,$N$2:$N$3001,0)=ROWS($N$2:$N126),$N126,""))</f>
        <v/>
      </c>
    </row>
    <row r="127" customFormat="false" ht="15" hidden="false" customHeight="false" outlineLevel="0" collapsed="false">
      <c r="E127" s="25"/>
      <c r="M127" s="26" t="str">
        <f aca="false">IF($A127="","",$L127*$U127/100)</f>
        <v/>
      </c>
      <c r="W127" s="26" t="str">
        <f aca="false">IF($A127="","",U127*AB127/100)</f>
        <v/>
      </c>
      <c r="X127" s="26" t="str">
        <f aca="false">IF($A127="","",U127-W127)</f>
        <v/>
      </c>
      <c r="Y127" s="26" t="str">
        <f aca="false">IF($A127="","",U127-W127-M127)</f>
        <v/>
      </c>
      <c r="AB127" s="27" t="str">
        <f aca="false">IF($A127="","",IF($AK127=1,'كشف المطالبة'!$D$5,'كشف المطالبة'!$D$6)*100)</f>
        <v/>
      </c>
      <c r="AK127" s="28" t="str">
        <f aca="false">IF($A127="","",IF(OR($Q127=TRUE(),$Q127="TRUE"),1,0))</f>
        <v/>
      </c>
      <c r="AL127" s="28" t="str">
        <f aca="false">IF($N127="","",IF(MATCH($N127,$N$2:$N$3001,0)=ROWS($N$2:$N127),$N127,""))</f>
        <v/>
      </c>
    </row>
    <row r="128" customFormat="false" ht="15" hidden="false" customHeight="false" outlineLevel="0" collapsed="false">
      <c r="E128" s="25"/>
      <c r="M128" s="26" t="str">
        <f aca="false">IF($A128="","",$L128*$U128/100)</f>
        <v/>
      </c>
      <c r="W128" s="26" t="str">
        <f aca="false">IF($A128="","",U128*AB128/100)</f>
        <v/>
      </c>
      <c r="X128" s="26" t="str">
        <f aca="false">IF($A128="","",U128-W128)</f>
        <v/>
      </c>
      <c r="Y128" s="26" t="str">
        <f aca="false">IF($A128="","",U128-W128-M128)</f>
        <v/>
      </c>
      <c r="AB128" s="27" t="str">
        <f aca="false">IF($A128="","",IF($AK128=1,'كشف المطالبة'!$D$5,'كشف المطالبة'!$D$6)*100)</f>
        <v/>
      </c>
      <c r="AK128" s="28" t="str">
        <f aca="false">IF($A128="","",IF(OR($Q128=TRUE(),$Q128="TRUE"),1,0))</f>
        <v/>
      </c>
      <c r="AL128" s="28" t="str">
        <f aca="false">IF($N128="","",IF(MATCH($N128,$N$2:$N$3001,0)=ROWS($N$2:$N128),$N128,""))</f>
        <v/>
      </c>
    </row>
    <row r="129" customFormat="false" ht="15" hidden="false" customHeight="false" outlineLevel="0" collapsed="false">
      <c r="E129" s="25"/>
      <c r="M129" s="26" t="str">
        <f aca="false">IF($A129="","",$L129*$U129/100)</f>
        <v/>
      </c>
      <c r="W129" s="26" t="str">
        <f aca="false">IF($A129="","",U129*AB129/100)</f>
        <v/>
      </c>
      <c r="X129" s="26" t="str">
        <f aca="false">IF($A129="","",U129-W129)</f>
        <v/>
      </c>
      <c r="Y129" s="26" t="str">
        <f aca="false">IF($A129="","",U129-W129-M129)</f>
        <v/>
      </c>
      <c r="AB129" s="27" t="str">
        <f aca="false">IF($A129="","",IF($AK129=1,'كشف المطالبة'!$D$5,'كشف المطالبة'!$D$6)*100)</f>
        <v/>
      </c>
      <c r="AK129" s="28" t="str">
        <f aca="false">IF($A129="","",IF(OR($Q129=TRUE(),$Q129="TRUE"),1,0))</f>
        <v/>
      </c>
      <c r="AL129" s="28" t="str">
        <f aca="false">IF($N129="","",IF(MATCH($N129,$N$2:$N$3001,0)=ROWS($N$2:$N129),$N129,""))</f>
        <v/>
      </c>
    </row>
    <row r="130" customFormat="false" ht="15" hidden="false" customHeight="false" outlineLevel="0" collapsed="false">
      <c r="E130" s="25"/>
      <c r="M130" s="26" t="str">
        <f aca="false">IF($A130="","",$L130*$U130/100)</f>
        <v/>
      </c>
      <c r="W130" s="26" t="str">
        <f aca="false">IF($A130="","",U130*AB130/100)</f>
        <v/>
      </c>
      <c r="X130" s="26" t="str">
        <f aca="false">IF($A130="","",U130-W130)</f>
        <v/>
      </c>
      <c r="Y130" s="26" t="str">
        <f aca="false">IF($A130="","",U130-W130-M130)</f>
        <v/>
      </c>
      <c r="AB130" s="27" t="str">
        <f aca="false">IF($A130="","",IF($AK130=1,'كشف المطالبة'!$D$5,'كشف المطالبة'!$D$6)*100)</f>
        <v/>
      </c>
      <c r="AK130" s="28" t="str">
        <f aca="false">IF($A130="","",IF(OR($Q130=TRUE(),$Q130="TRUE"),1,0))</f>
        <v/>
      </c>
      <c r="AL130" s="28" t="str">
        <f aca="false">IF($N130="","",IF(MATCH($N130,$N$2:$N$3001,0)=ROWS($N$2:$N130),$N130,""))</f>
        <v/>
      </c>
    </row>
    <row r="131" customFormat="false" ht="15" hidden="false" customHeight="false" outlineLevel="0" collapsed="false">
      <c r="E131" s="25"/>
      <c r="M131" s="26" t="str">
        <f aca="false">IF($A131="","",$L131*$U131/100)</f>
        <v/>
      </c>
      <c r="W131" s="26" t="str">
        <f aca="false">IF($A131="","",U131*AB131/100)</f>
        <v/>
      </c>
      <c r="X131" s="26" t="str">
        <f aca="false">IF($A131="","",U131-W131)</f>
        <v/>
      </c>
      <c r="Y131" s="26" t="str">
        <f aca="false">IF($A131="","",U131-W131-M131)</f>
        <v/>
      </c>
      <c r="AB131" s="27" t="str">
        <f aca="false">IF($A131="","",IF($AK131=1,'كشف المطالبة'!$D$5,'كشف المطالبة'!$D$6)*100)</f>
        <v/>
      </c>
      <c r="AK131" s="28" t="str">
        <f aca="false">IF($A131="","",IF(OR($Q131=TRUE(),$Q131="TRUE"),1,0))</f>
        <v/>
      </c>
      <c r="AL131" s="28" t="str">
        <f aca="false">IF($N131="","",IF(MATCH($N131,$N$2:$N$3001,0)=ROWS($N$2:$N131),$N131,""))</f>
        <v/>
      </c>
    </row>
    <row r="132" customFormat="false" ht="15" hidden="false" customHeight="false" outlineLevel="0" collapsed="false">
      <c r="E132" s="25"/>
      <c r="M132" s="26" t="str">
        <f aca="false">IF($A132="","",$L132*$U132/100)</f>
        <v/>
      </c>
      <c r="W132" s="26" t="str">
        <f aca="false">IF($A132="","",U132*AB132/100)</f>
        <v/>
      </c>
      <c r="X132" s="26" t="str">
        <f aca="false">IF($A132="","",U132-W132)</f>
        <v/>
      </c>
      <c r="Y132" s="26" t="str">
        <f aca="false">IF($A132="","",U132-W132-M132)</f>
        <v/>
      </c>
      <c r="AB132" s="27" t="str">
        <f aca="false">IF($A132="","",IF($AK132=1,'كشف المطالبة'!$D$5,'كشف المطالبة'!$D$6)*100)</f>
        <v/>
      </c>
      <c r="AK132" s="28" t="str">
        <f aca="false">IF($A132="","",IF(OR($Q132=TRUE(),$Q132="TRUE"),1,0))</f>
        <v/>
      </c>
      <c r="AL132" s="28" t="str">
        <f aca="false">IF($N132="","",IF(MATCH($N132,$N$2:$N$3001,0)=ROWS($N$2:$N132),$N132,""))</f>
        <v/>
      </c>
    </row>
    <row r="133" customFormat="false" ht="15" hidden="false" customHeight="false" outlineLevel="0" collapsed="false">
      <c r="E133" s="25"/>
      <c r="M133" s="26" t="str">
        <f aca="false">IF($A133="","",$L133*$U133/100)</f>
        <v/>
      </c>
      <c r="W133" s="26" t="str">
        <f aca="false">IF($A133="","",U133*AB133/100)</f>
        <v/>
      </c>
      <c r="X133" s="26" t="str">
        <f aca="false">IF($A133="","",U133-W133)</f>
        <v/>
      </c>
      <c r="Y133" s="26" t="str">
        <f aca="false">IF($A133="","",U133-W133-M133)</f>
        <v/>
      </c>
      <c r="AB133" s="27" t="str">
        <f aca="false">IF($A133="","",IF($AK133=1,'كشف المطالبة'!$D$5,'كشف المطالبة'!$D$6)*100)</f>
        <v/>
      </c>
      <c r="AK133" s="28" t="str">
        <f aca="false">IF($A133="","",IF(OR($Q133=TRUE(),$Q133="TRUE"),1,0))</f>
        <v/>
      </c>
      <c r="AL133" s="28" t="str">
        <f aca="false">IF($N133="","",IF(MATCH($N133,$N$2:$N$3001,0)=ROWS($N$2:$N133),$N133,""))</f>
        <v/>
      </c>
    </row>
    <row r="134" customFormat="false" ht="15" hidden="false" customHeight="false" outlineLevel="0" collapsed="false">
      <c r="E134" s="25"/>
      <c r="M134" s="26" t="str">
        <f aca="false">IF($A134="","",$L134*$U134/100)</f>
        <v/>
      </c>
      <c r="W134" s="26" t="str">
        <f aca="false">IF($A134="","",U134*AB134/100)</f>
        <v/>
      </c>
      <c r="X134" s="26" t="str">
        <f aca="false">IF($A134="","",U134-W134)</f>
        <v/>
      </c>
      <c r="Y134" s="26" t="str">
        <f aca="false">IF($A134="","",U134-W134-M134)</f>
        <v/>
      </c>
      <c r="AB134" s="27" t="str">
        <f aca="false">IF($A134="","",IF($AK134=1,'كشف المطالبة'!$D$5,'كشف المطالبة'!$D$6)*100)</f>
        <v/>
      </c>
      <c r="AK134" s="28" t="str">
        <f aca="false">IF($A134="","",IF(OR($Q134=TRUE(),$Q134="TRUE"),1,0))</f>
        <v/>
      </c>
      <c r="AL134" s="28" t="str">
        <f aca="false">IF($N134="","",IF(MATCH($N134,$N$2:$N$3001,0)=ROWS($N$2:$N134),$N134,""))</f>
        <v/>
      </c>
    </row>
    <row r="135" customFormat="false" ht="15" hidden="false" customHeight="false" outlineLevel="0" collapsed="false">
      <c r="E135" s="25"/>
      <c r="M135" s="26" t="str">
        <f aca="false">IF($A135="","",$L135*$U135/100)</f>
        <v/>
      </c>
      <c r="W135" s="26" t="str">
        <f aca="false">IF($A135="","",U135*AB135/100)</f>
        <v/>
      </c>
      <c r="X135" s="26" t="str">
        <f aca="false">IF($A135="","",U135-W135)</f>
        <v/>
      </c>
      <c r="Y135" s="26" t="str">
        <f aca="false">IF($A135="","",U135-W135-M135)</f>
        <v/>
      </c>
      <c r="AB135" s="27" t="str">
        <f aca="false">IF($A135="","",IF($AK135=1,'كشف المطالبة'!$D$5,'كشف المطالبة'!$D$6)*100)</f>
        <v/>
      </c>
      <c r="AK135" s="28" t="str">
        <f aca="false">IF($A135="","",IF(OR($Q135=TRUE(),$Q135="TRUE"),1,0))</f>
        <v/>
      </c>
      <c r="AL135" s="28" t="str">
        <f aca="false">IF($N135="","",IF(MATCH($N135,$N$2:$N$3001,0)=ROWS($N$2:$N135),$N135,""))</f>
        <v/>
      </c>
    </row>
    <row r="136" customFormat="false" ht="15" hidden="false" customHeight="false" outlineLevel="0" collapsed="false">
      <c r="E136" s="25"/>
      <c r="M136" s="26" t="str">
        <f aca="false">IF($A136="","",$L136*$U136/100)</f>
        <v/>
      </c>
      <c r="W136" s="26" t="str">
        <f aca="false">IF($A136="","",U136*AB136/100)</f>
        <v/>
      </c>
      <c r="X136" s="26" t="str">
        <f aca="false">IF($A136="","",U136-W136)</f>
        <v/>
      </c>
      <c r="Y136" s="26" t="str">
        <f aca="false">IF($A136="","",U136-W136-M136)</f>
        <v/>
      </c>
      <c r="AB136" s="27" t="str">
        <f aca="false">IF($A136="","",IF($AK136=1,'كشف المطالبة'!$D$5,'كشف المطالبة'!$D$6)*100)</f>
        <v/>
      </c>
      <c r="AK136" s="28" t="str">
        <f aca="false">IF($A136="","",IF(OR($Q136=TRUE(),$Q136="TRUE"),1,0))</f>
        <v/>
      </c>
      <c r="AL136" s="28" t="str">
        <f aca="false">IF($N136="","",IF(MATCH($N136,$N$2:$N$3001,0)=ROWS($N$2:$N136),$N136,""))</f>
        <v/>
      </c>
    </row>
    <row r="137" customFormat="false" ht="15" hidden="false" customHeight="false" outlineLevel="0" collapsed="false">
      <c r="E137" s="25"/>
      <c r="M137" s="26" t="str">
        <f aca="false">IF($A137="","",$L137*$U137/100)</f>
        <v/>
      </c>
      <c r="W137" s="26" t="str">
        <f aca="false">IF($A137="","",U137*AB137/100)</f>
        <v/>
      </c>
      <c r="X137" s="26" t="str">
        <f aca="false">IF($A137="","",U137-W137)</f>
        <v/>
      </c>
      <c r="Y137" s="26" t="str">
        <f aca="false">IF($A137="","",U137-W137-M137)</f>
        <v/>
      </c>
      <c r="AB137" s="27" t="str">
        <f aca="false">IF($A137="","",IF($AK137=1,'كشف المطالبة'!$D$5,'كشف المطالبة'!$D$6)*100)</f>
        <v/>
      </c>
      <c r="AK137" s="28" t="str">
        <f aca="false">IF($A137="","",IF(OR($Q137=TRUE(),$Q137="TRUE"),1,0))</f>
        <v/>
      </c>
      <c r="AL137" s="28" t="str">
        <f aca="false">IF($N137="","",IF(MATCH($N137,$N$2:$N$3001,0)=ROWS($N$2:$N137),$N137,""))</f>
        <v/>
      </c>
    </row>
    <row r="138" customFormat="false" ht="15" hidden="false" customHeight="false" outlineLevel="0" collapsed="false">
      <c r="E138" s="25"/>
      <c r="M138" s="26" t="str">
        <f aca="false">IF($A138="","",$L138*$U138/100)</f>
        <v/>
      </c>
      <c r="W138" s="26" t="str">
        <f aca="false">IF($A138="","",U138*AB138/100)</f>
        <v/>
      </c>
      <c r="X138" s="26" t="str">
        <f aca="false">IF($A138="","",U138-W138)</f>
        <v/>
      </c>
      <c r="Y138" s="26" t="str">
        <f aca="false">IF($A138="","",U138-W138-M138)</f>
        <v/>
      </c>
      <c r="AB138" s="27" t="str">
        <f aca="false">IF($A138="","",IF($AK138=1,'كشف المطالبة'!$D$5,'كشف المطالبة'!$D$6)*100)</f>
        <v/>
      </c>
      <c r="AK138" s="28" t="str">
        <f aca="false">IF($A138="","",IF(OR($Q138=TRUE(),$Q138="TRUE"),1,0))</f>
        <v/>
      </c>
      <c r="AL138" s="28" t="str">
        <f aca="false">IF($N138="","",IF(MATCH($N138,$N$2:$N$3001,0)=ROWS($N$2:$N138),$N138,""))</f>
        <v/>
      </c>
    </row>
    <row r="139" customFormat="false" ht="15" hidden="false" customHeight="false" outlineLevel="0" collapsed="false">
      <c r="E139" s="25"/>
      <c r="M139" s="26" t="str">
        <f aca="false">IF($A139="","",$L139*$U139/100)</f>
        <v/>
      </c>
      <c r="W139" s="26" t="str">
        <f aca="false">IF($A139="","",U139*AB139/100)</f>
        <v/>
      </c>
      <c r="X139" s="26" t="str">
        <f aca="false">IF($A139="","",U139-W139)</f>
        <v/>
      </c>
      <c r="Y139" s="26" t="str">
        <f aca="false">IF($A139="","",U139-W139-M139)</f>
        <v/>
      </c>
      <c r="AB139" s="27" t="str">
        <f aca="false">IF($A139="","",IF($AK139=1,'كشف المطالبة'!$D$5,'كشف المطالبة'!$D$6)*100)</f>
        <v/>
      </c>
      <c r="AK139" s="28" t="str">
        <f aca="false">IF($A139="","",IF(OR($Q139=TRUE(),$Q139="TRUE"),1,0))</f>
        <v/>
      </c>
      <c r="AL139" s="28" t="str">
        <f aca="false">IF($N139="","",IF(MATCH($N139,$N$2:$N$3001,0)=ROWS($N$2:$N139),$N139,""))</f>
        <v/>
      </c>
    </row>
    <row r="140" customFormat="false" ht="15" hidden="false" customHeight="false" outlineLevel="0" collapsed="false">
      <c r="E140" s="25"/>
      <c r="M140" s="26" t="str">
        <f aca="false">IF($A140="","",$L140*$U140/100)</f>
        <v/>
      </c>
      <c r="W140" s="26" t="str">
        <f aca="false">IF($A140="","",U140*AB140/100)</f>
        <v/>
      </c>
      <c r="X140" s="26" t="str">
        <f aca="false">IF($A140="","",U140-W140)</f>
        <v/>
      </c>
      <c r="Y140" s="26" t="str">
        <f aca="false">IF($A140="","",U140-W140-M140)</f>
        <v/>
      </c>
      <c r="AB140" s="27" t="str">
        <f aca="false">IF($A140="","",IF($AK140=1,'كشف المطالبة'!$D$5,'كشف المطالبة'!$D$6)*100)</f>
        <v/>
      </c>
      <c r="AK140" s="28" t="str">
        <f aca="false">IF($A140="","",IF(OR($Q140=TRUE(),$Q140="TRUE"),1,0))</f>
        <v/>
      </c>
      <c r="AL140" s="28" t="str">
        <f aca="false">IF($N140="","",IF(MATCH($N140,$N$2:$N$3001,0)=ROWS($N$2:$N140),$N140,""))</f>
        <v/>
      </c>
    </row>
    <row r="141" customFormat="false" ht="15" hidden="false" customHeight="false" outlineLevel="0" collapsed="false">
      <c r="E141" s="25"/>
      <c r="M141" s="26" t="str">
        <f aca="false">IF($A141="","",$L141*$U141/100)</f>
        <v/>
      </c>
      <c r="W141" s="26" t="str">
        <f aca="false">IF($A141="","",U141*AB141/100)</f>
        <v/>
      </c>
      <c r="X141" s="26" t="str">
        <f aca="false">IF($A141="","",U141-W141)</f>
        <v/>
      </c>
      <c r="Y141" s="26" t="str">
        <f aca="false">IF($A141="","",U141-W141-M141)</f>
        <v/>
      </c>
      <c r="AB141" s="27" t="str">
        <f aca="false">IF($A141="","",IF($AK141=1,'كشف المطالبة'!$D$5,'كشف المطالبة'!$D$6)*100)</f>
        <v/>
      </c>
      <c r="AK141" s="28" t="str">
        <f aca="false">IF($A141="","",IF(OR($Q141=TRUE(),$Q141="TRUE"),1,0))</f>
        <v/>
      </c>
      <c r="AL141" s="28" t="str">
        <f aca="false">IF($N141="","",IF(MATCH($N141,$N$2:$N$3001,0)=ROWS($N$2:$N141),$N141,""))</f>
        <v/>
      </c>
    </row>
    <row r="142" customFormat="false" ht="15" hidden="false" customHeight="false" outlineLevel="0" collapsed="false">
      <c r="E142" s="25"/>
      <c r="M142" s="26" t="str">
        <f aca="false">IF($A142="","",$L142*$U142/100)</f>
        <v/>
      </c>
      <c r="W142" s="26" t="str">
        <f aca="false">IF($A142="","",U142*AB142/100)</f>
        <v/>
      </c>
      <c r="X142" s="26" t="str">
        <f aca="false">IF($A142="","",U142-W142)</f>
        <v/>
      </c>
      <c r="Y142" s="26" t="str">
        <f aca="false">IF($A142="","",U142-W142-M142)</f>
        <v/>
      </c>
      <c r="AB142" s="27" t="str">
        <f aca="false">IF($A142="","",IF($AK142=1,'كشف المطالبة'!$D$5,'كشف المطالبة'!$D$6)*100)</f>
        <v/>
      </c>
      <c r="AK142" s="28" t="str">
        <f aca="false">IF($A142="","",IF(OR($Q142=TRUE(),$Q142="TRUE"),1,0))</f>
        <v/>
      </c>
      <c r="AL142" s="28" t="str">
        <f aca="false">IF($N142="","",IF(MATCH($N142,$N$2:$N$3001,0)=ROWS($N$2:$N142),$N142,""))</f>
        <v/>
      </c>
    </row>
    <row r="143" customFormat="false" ht="15" hidden="false" customHeight="false" outlineLevel="0" collapsed="false">
      <c r="E143" s="25"/>
      <c r="M143" s="26" t="str">
        <f aca="false">IF($A143="","",$L143*$U143/100)</f>
        <v/>
      </c>
      <c r="W143" s="26" t="str">
        <f aca="false">IF($A143="","",U143*AB143/100)</f>
        <v/>
      </c>
      <c r="X143" s="26" t="str">
        <f aca="false">IF($A143="","",U143-W143)</f>
        <v/>
      </c>
      <c r="Y143" s="26" t="str">
        <f aca="false">IF($A143="","",U143-W143-M143)</f>
        <v/>
      </c>
      <c r="AB143" s="27" t="str">
        <f aca="false">IF($A143="","",IF($AK143=1,'كشف المطالبة'!$D$5,'كشف المطالبة'!$D$6)*100)</f>
        <v/>
      </c>
      <c r="AK143" s="28" t="str">
        <f aca="false">IF($A143="","",IF(OR($Q143=TRUE(),$Q143="TRUE"),1,0))</f>
        <v/>
      </c>
      <c r="AL143" s="28" t="str">
        <f aca="false">IF($N143="","",IF(MATCH($N143,$N$2:$N$3001,0)=ROWS($N$2:$N143),$N143,""))</f>
        <v/>
      </c>
    </row>
    <row r="144" customFormat="false" ht="15" hidden="false" customHeight="false" outlineLevel="0" collapsed="false">
      <c r="E144" s="25"/>
      <c r="M144" s="26" t="str">
        <f aca="false">IF($A144="","",$L144*$U144/100)</f>
        <v/>
      </c>
      <c r="W144" s="26" t="str">
        <f aca="false">IF($A144="","",U144*AB144/100)</f>
        <v/>
      </c>
      <c r="X144" s="26" t="str">
        <f aca="false">IF($A144="","",U144-W144)</f>
        <v/>
      </c>
      <c r="Y144" s="26" t="str">
        <f aca="false">IF($A144="","",U144-W144-M144)</f>
        <v/>
      </c>
      <c r="AB144" s="27" t="str">
        <f aca="false">IF($A144="","",IF($AK144=1,'كشف المطالبة'!$D$5,'كشف المطالبة'!$D$6)*100)</f>
        <v/>
      </c>
      <c r="AK144" s="28" t="str">
        <f aca="false">IF($A144="","",IF(OR($Q144=TRUE(),$Q144="TRUE"),1,0))</f>
        <v/>
      </c>
      <c r="AL144" s="28" t="str">
        <f aca="false">IF($N144="","",IF(MATCH($N144,$N$2:$N$3001,0)=ROWS($N$2:$N144),$N144,""))</f>
        <v/>
      </c>
    </row>
    <row r="145" customFormat="false" ht="15" hidden="false" customHeight="false" outlineLevel="0" collapsed="false">
      <c r="E145" s="25"/>
      <c r="M145" s="26" t="str">
        <f aca="false">IF($A145="","",$L145*$U145/100)</f>
        <v/>
      </c>
      <c r="W145" s="26" t="str">
        <f aca="false">IF($A145="","",U145*AB145/100)</f>
        <v/>
      </c>
      <c r="X145" s="26" t="str">
        <f aca="false">IF($A145="","",U145-W145)</f>
        <v/>
      </c>
      <c r="Y145" s="26" t="str">
        <f aca="false">IF($A145="","",U145-W145-M145)</f>
        <v/>
      </c>
      <c r="AB145" s="27" t="str">
        <f aca="false">IF($A145="","",IF($AK145=1,'كشف المطالبة'!$D$5,'كشف المطالبة'!$D$6)*100)</f>
        <v/>
      </c>
      <c r="AK145" s="28" t="str">
        <f aca="false">IF($A145="","",IF(OR($Q145=TRUE(),$Q145="TRUE"),1,0))</f>
        <v/>
      </c>
      <c r="AL145" s="28" t="str">
        <f aca="false">IF($N145="","",IF(MATCH($N145,$N$2:$N$3001,0)=ROWS($N$2:$N145),$N145,""))</f>
        <v/>
      </c>
    </row>
    <row r="146" customFormat="false" ht="15" hidden="false" customHeight="false" outlineLevel="0" collapsed="false">
      <c r="E146" s="25"/>
      <c r="M146" s="26" t="str">
        <f aca="false">IF($A146="","",$L146*$U146/100)</f>
        <v/>
      </c>
      <c r="W146" s="26" t="str">
        <f aca="false">IF($A146="","",U146*AB146/100)</f>
        <v/>
      </c>
      <c r="X146" s="26" t="str">
        <f aca="false">IF($A146="","",U146-W146)</f>
        <v/>
      </c>
      <c r="Y146" s="26" t="str">
        <f aca="false">IF($A146="","",U146-W146-M146)</f>
        <v/>
      </c>
      <c r="AB146" s="27" t="str">
        <f aca="false">IF($A146="","",IF($AK146=1,'كشف المطالبة'!$D$5,'كشف المطالبة'!$D$6)*100)</f>
        <v/>
      </c>
      <c r="AK146" s="28" t="str">
        <f aca="false">IF($A146="","",IF(OR($Q146=TRUE(),$Q146="TRUE"),1,0))</f>
        <v/>
      </c>
      <c r="AL146" s="28" t="str">
        <f aca="false">IF($N146="","",IF(MATCH($N146,$N$2:$N$3001,0)=ROWS($N$2:$N146),$N146,""))</f>
        <v/>
      </c>
    </row>
    <row r="147" customFormat="false" ht="15" hidden="false" customHeight="false" outlineLevel="0" collapsed="false">
      <c r="E147" s="25"/>
      <c r="M147" s="26" t="str">
        <f aca="false">IF($A147="","",$L147*$U147/100)</f>
        <v/>
      </c>
      <c r="W147" s="26" t="str">
        <f aca="false">IF($A147="","",U147*AB147/100)</f>
        <v/>
      </c>
      <c r="X147" s="26" t="str">
        <f aca="false">IF($A147="","",U147-W147)</f>
        <v/>
      </c>
      <c r="Y147" s="26" t="str">
        <f aca="false">IF($A147="","",U147-W147-M147)</f>
        <v/>
      </c>
      <c r="AB147" s="27" t="str">
        <f aca="false">IF($A147="","",IF($AK147=1,'كشف المطالبة'!$D$5,'كشف المطالبة'!$D$6)*100)</f>
        <v/>
      </c>
      <c r="AK147" s="28" t="str">
        <f aca="false">IF($A147="","",IF(OR($Q147=TRUE(),$Q147="TRUE"),1,0))</f>
        <v/>
      </c>
      <c r="AL147" s="28" t="str">
        <f aca="false">IF($N147="","",IF(MATCH($N147,$N$2:$N$3001,0)=ROWS($N$2:$N147),$N147,""))</f>
        <v/>
      </c>
    </row>
    <row r="148" customFormat="false" ht="15" hidden="false" customHeight="false" outlineLevel="0" collapsed="false">
      <c r="E148" s="25"/>
      <c r="M148" s="26" t="str">
        <f aca="false">IF($A148="","",$L148*$U148/100)</f>
        <v/>
      </c>
      <c r="W148" s="26" t="str">
        <f aca="false">IF($A148="","",U148*AB148/100)</f>
        <v/>
      </c>
      <c r="X148" s="26" t="str">
        <f aca="false">IF($A148="","",U148-W148)</f>
        <v/>
      </c>
      <c r="Y148" s="26" t="str">
        <f aca="false">IF($A148="","",U148-W148-M148)</f>
        <v/>
      </c>
      <c r="AB148" s="27" t="str">
        <f aca="false">IF($A148="","",IF($AK148=1,'كشف المطالبة'!$D$5,'كشف المطالبة'!$D$6)*100)</f>
        <v/>
      </c>
      <c r="AK148" s="28" t="str">
        <f aca="false">IF($A148="","",IF(OR($Q148=TRUE(),$Q148="TRUE"),1,0))</f>
        <v/>
      </c>
      <c r="AL148" s="28" t="str">
        <f aca="false">IF($N148="","",IF(MATCH($N148,$N$2:$N$3001,0)=ROWS($N$2:$N148),$N148,""))</f>
        <v/>
      </c>
    </row>
    <row r="149" customFormat="false" ht="15" hidden="false" customHeight="false" outlineLevel="0" collapsed="false">
      <c r="E149" s="25"/>
      <c r="M149" s="26" t="str">
        <f aca="false">IF($A149="","",$L149*$U149/100)</f>
        <v/>
      </c>
      <c r="W149" s="26" t="str">
        <f aca="false">IF($A149="","",U149*AB149/100)</f>
        <v/>
      </c>
      <c r="X149" s="26" t="str">
        <f aca="false">IF($A149="","",U149-W149)</f>
        <v/>
      </c>
      <c r="Y149" s="26" t="str">
        <f aca="false">IF($A149="","",U149-W149-M149)</f>
        <v/>
      </c>
      <c r="AB149" s="27" t="str">
        <f aca="false">IF($A149="","",IF($AK149=1,'كشف المطالبة'!$D$5,'كشف المطالبة'!$D$6)*100)</f>
        <v/>
      </c>
      <c r="AK149" s="28" t="str">
        <f aca="false">IF($A149="","",IF(OR($Q149=TRUE(),$Q149="TRUE"),1,0))</f>
        <v/>
      </c>
      <c r="AL149" s="28" t="str">
        <f aca="false">IF($N149="","",IF(MATCH($N149,$N$2:$N$3001,0)=ROWS($N$2:$N149),$N149,""))</f>
        <v/>
      </c>
    </row>
    <row r="150" customFormat="false" ht="15" hidden="false" customHeight="false" outlineLevel="0" collapsed="false">
      <c r="E150" s="25"/>
      <c r="M150" s="26" t="str">
        <f aca="false">IF($A150="","",$L150*$U150/100)</f>
        <v/>
      </c>
      <c r="W150" s="26" t="str">
        <f aca="false">IF($A150="","",U150*AB150/100)</f>
        <v/>
      </c>
      <c r="X150" s="26" t="str">
        <f aca="false">IF($A150="","",U150-W150)</f>
        <v/>
      </c>
      <c r="Y150" s="26" t="str">
        <f aca="false">IF($A150="","",U150-W150-M150)</f>
        <v/>
      </c>
      <c r="AB150" s="27" t="str">
        <f aca="false">IF($A150="","",IF($AK150=1,'كشف المطالبة'!$D$5,'كشف المطالبة'!$D$6)*100)</f>
        <v/>
      </c>
      <c r="AK150" s="28" t="str">
        <f aca="false">IF($A150="","",IF(OR($Q150=TRUE(),$Q150="TRUE"),1,0))</f>
        <v/>
      </c>
      <c r="AL150" s="28" t="str">
        <f aca="false">IF($N150="","",IF(MATCH($N150,$N$2:$N$3001,0)=ROWS($N$2:$N150),$N150,""))</f>
        <v/>
      </c>
    </row>
    <row r="151" customFormat="false" ht="15" hidden="false" customHeight="false" outlineLevel="0" collapsed="false">
      <c r="E151" s="25"/>
      <c r="M151" s="26" t="str">
        <f aca="false">IF($A151="","",$L151*$U151/100)</f>
        <v/>
      </c>
      <c r="W151" s="26" t="str">
        <f aca="false">IF($A151="","",U151*AB151/100)</f>
        <v/>
      </c>
      <c r="X151" s="26" t="str">
        <f aca="false">IF($A151="","",U151-W151)</f>
        <v/>
      </c>
      <c r="Y151" s="26" t="str">
        <f aca="false">IF($A151="","",U151-W151-M151)</f>
        <v/>
      </c>
      <c r="AB151" s="27" t="str">
        <f aca="false">IF($A151="","",IF($AK151=1,'كشف المطالبة'!$D$5,'كشف المطالبة'!$D$6)*100)</f>
        <v/>
      </c>
      <c r="AK151" s="28" t="str">
        <f aca="false">IF($A151="","",IF(OR($Q151=TRUE(),$Q151="TRUE"),1,0))</f>
        <v/>
      </c>
      <c r="AL151" s="28" t="str">
        <f aca="false">IF($N151="","",IF(MATCH($N151,$N$2:$N$3001,0)=ROWS($N$2:$N151),$N151,""))</f>
        <v/>
      </c>
    </row>
    <row r="152" customFormat="false" ht="15" hidden="false" customHeight="false" outlineLevel="0" collapsed="false">
      <c r="E152" s="25"/>
      <c r="M152" s="26" t="str">
        <f aca="false">IF($A152="","",$L152*$U152/100)</f>
        <v/>
      </c>
      <c r="W152" s="26" t="str">
        <f aca="false">IF($A152="","",U152*AB152/100)</f>
        <v/>
      </c>
      <c r="X152" s="26" t="str">
        <f aca="false">IF($A152="","",U152-W152)</f>
        <v/>
      </c>
      <c r="Y152" s="26" t="str">
        <f aca="false">IF($A152="","",U152-W152-M152)</f>
        <v/>
      </c>
      <c r="AB152" s="27" t="str">
        <f aca="false">IF($A152="","",IF($AK152=1,'كشف المطالبة'!$D$5,'كشف المطالبة'!$D$6)*100)</f>
        <v/>
      </c>
      <c r="AK152" s="28" t="str">
        <f aca="false">IF($A152="","",IF(OR($Q152=TRUE(),$Q152="TRUE"),1,0))</f>
        <v/>
      </c>
      <c r="AL152" s="28" t="str">
        <f aca="false">IF($N152="","",IF(MATCH($N152,$N$2:$N$3001,0)=ROWS($N$2:$N152),$N152,""))</f>
        <v/>
      </c>
    </row>
    <row r="153" customFormat="false" ht="15" hidden="false" customHeight="false" outlineLevel="0" collapsed="false">
      <c r="E153" s="25"/>
      <c r="M153" s="26" t="str">
        <f aca="false">IF($A153="","",$L153*$U153/100)</f>
        <v/>
      </c>
      <c r="W153" s="26" t="str">
        <f aca="false">IF($A153="","",U153*AB153/100)</f>
        <v/>
      </c>
      <c r="X153" s="26" t="str">
        <f aca="false">IF($A153="","",U153-W153)</f>
        <v/>
      </c>
      <c r="Y153" s="26" t="str">
        <f aca="false">IF($A153="","",U153-W153-M153)</f>
        <v/>
      </c>
      <c r="AB153" s="27" t="str">
        <f aca="false">IF($A153="","",IF($AK153=1,'كشف المطالبة'!$D$5,'كشف المطالبة'!$D$6)*100)</f>
        <v/>
      </c>
      <c r="AK153" s="28" t="str">
        <f aca="false">IF($A153="","",IF(OR($Q153=TRUE(),$Q153="TRUE"),1,0))</f>
        <v/>
      </c>
      <c r="AL153" s="28" t="str">
        <f aca="false">IF($N153="","",IF(MATCH($N153,$N$2:$N$3001,0)=ROWS($N$2:$N153),$N153,""))</f>
        <v/>
      </c>
    </row>
    <row r="154" customFormat="false" ht="15" hidden="false" customHeight="false" outlineLevel="0" collapsed="false">
      <c r="E154" s="25"/>
      <c r="M154" s="26" t="str">
        <f aca="false">IF($A154="","",$L154*$U154/100)</f>
        <v/>
      </c>
      <c r="W154" s="26" t="str">
        <f aca="false">IF($A154="","",U154*AB154/100)</f>
        <v/>
      </c>
      <c r="X154" s="26" t="str">
        <f aca="false">IF($A154="","",U154-W154)</f>
        <v/>
      </c>
      <c r="Y154" s="26" t="str">
        <f aca="false">IF($A154="","",U154-W154-M154)</f>
        <v/>
      </c>
      <c r="AB154" s="27" t="str">
        <f aca="false">IF($A154="","",IF($AK154=1,'كشف المطالبة'!$D$5,'كشف المطالبة'!$D$6)*100)</f>
        <v/>
      </c>
      <c r="AK154" s="28" t="str">
        <f aca="false">IF($A154="","",IF(OR($Q154=TRUE(),$Q154="TRUE"),1,0))</f>
        <v/>
      </c>
      <c r="AL154" s="28" t="str">
        <f aca="false">IF($N154="","",IF(MATCH($N154,$N$2:$N$3001,0)=ROWS($N$2:$N154),$N154,""))</f>
        <v/>
      </c>
    </row>
    <row r="155" customFormat="false" ht="15" hidden="false" customHeight="false" outlineLevel="0" collapsed="false">
      <c r="E155" s="25"/>
      <c r="M155" s="26" t="str">
        <f aca="false">IF($A155="","",$L155*$U155/100)</f>
        <v/>
      </c>
      <c r="W155" s="26" t="str">
        <f aca="false">IF($A155="","",U155*AB155/100)</f>
        <v/>
      </c>
      <c r="X155" s="26" t="str">
        <f aca="false">IF($A155="","",U155-W155)</f>
        <v/>
      </c>
      <c r="Y155" s="26" t="str">
        <f aca="false">IF($A155="","",U155-W155-M155)</f>
        <v/>
      </c>
      <c r="AB155" s="27" t="str">
        <f aca="false">IF($A155="","",IF($AK155=1,'كشف المطالبة'!$D$5,'كشف المطالبة'!$D$6)*100)</f>
        <v/>
      </c>
      <c r="AK155" s="28" t="str">
        <f aca="false">IF($A155="","",IF(OR($Q155=TRUE(),$Q155="TRUE"),1,0))</f>
        <v/>
      </c>
      <c r="AL155" s="28" t="str">
        <f aca="false">IF($N155="","",IF(MATCH($N155,$N$2:$N$3001,0)=ROWS($N$2:$N155),$N155,""))</f>
        <v/>
      </c>
    </row>
    <row r="156" customFormat="false" ht="15" hidden="false" customHeight="false" outlineLevel="0" collapsed="false">
      <c r="E156" s="25"/>
      <c r="M156" s="26" t="str">
        <f aca="false">IF($A156="","",$L156*$U156/100)</f>
        <v/>
      </c>
      <c r="W156" s="26" t="str">
        <f aca="false">IF($A156="","",U156*AB156/100)</f>
        <v/>
      </c>
      <c r="X156" s="26" t="str">
        <f aca="false">IF($A156="","",U156-W156)</f>
        <v/>
      </c>
      <c r="Y156" s="26" t="str">
        <f aca="false">IF($A156="","",U156-W156-M156)</f>
        <v/>
      </c>
      <c r="AB156" s="27" t="str">
        <f aca="false">IF($A156="","",IF($AK156=1,'كشف المطالبة'!$D$5,'كشف المطالبة'!$D$6)*100)</f>
        <v/>
      </c>
      <c r="AK156" s="28" t="str">
        <f aca="false">IF($A156="","",IF(OR($Q156=TRUE(),$Q156="TRUE"),1,0))</f>
        <v/>
      </c>
      <c r="AL156" s="28" t="str">
        <f aca="false">IF($N156="","",IF(MATCH($N156,$N$2:$N$3001,0)=ROWS($N$2:$N156),$N156,""))</f>
        <v/>
      </c>
    </row>
    <row r="157" customFormat="false" ht="15" hidden="false" customHeight="false" outlineLevel="0" collapsed="false">
      <c r="E157" s="25"/>
      <c r="M157" s="26" t="str">
        <f aca="false">IF($A157="","",$L157*$U157/100)</f>
        <v/>
      </c>
      <c r="W157" s="26" t="str">
        <f aca="false">IF($A157="","",U157*AB157/100)</f>
        <v/>
      </c>
      <c r="X157" s="26" t="str">
        <f aca="false">IF($A157="","",U157-W157)</f>
        <v/>
      </c>
      <c r="Y157" s="26" t="str">
        <f aca="false">IF($A157="","",U157-W157-M157)</f>
        <v/>
      </c>
      <c r="AB157" s="27" t="str">
        <f aca="false">IF($A157="","",IF($AK157=1,'كشف المطالبة'!$D$5,'كشف المطالبة'!$D$6)*100)</f>
        <v/>
      </c>
      <c r="AK157" s="28" t="str">
        <f aca="false">IF($A157="","",IF(OR($Q157=TRUE(),$Q157="TRUE"),1,0))</f>
        <v/>
      </c>
      <c r="AL157" s="28" t="str">
        <f aca="false">IF($N157="","",IF(MATCH($N157,$N$2:$N$3001,0)=ROWS($N$2:$N157),$N157,""))</f>
        <v/>
      </c>
    </row>
    <row r="158" customFormat="false" ht="15" hidden="false" customHeight="false" outlineLevel="0" collapsed="false">
      <c r="E158" s="25"/>
      <c r="M158" s="26" t="str">
        <f aca="false">IF($A158="","",$L158*$U158/100)</f>
        <v/>
      </c>
      <c r="W158" s="26" t="str">
        <f aca="false">IF($A158="","",U158*AB158/100)</f>
        <v/>
      </c>
      <c r="X158" s="26" t="str">
        <f aca="false">IF($A158="","",U158-W158)</f>
        <v/>
      </c>
      <c r="Y158" s="26" t="str">
        <f aca="false">IF($A158="","",U158-W158-M158)</f>
        <v/>
      </c>
      <c r="AB158" s="27" t="str">
        <f aca="false">IF($A158="","",IF($AK158=1,'كشف المطالبة'!$D$5,'كشف المطالبة'!$D$6)*100)</f>
        <v/>
      </c>
      <c r="AK158" s="28" t="str">
        <f aca="false">IF($A158="","",IF(OR($Q158=TRUE(),$Q158="TRUE"),1,0))</f>
        <v/>
      </c>
      <c r="AL158" s="28" t="str">
        <f aca="false">IF($N158="","",IF(MATCH($N158,$N$2:$N$3001,0)=ROWS($N$2:$N158),$N158,""))</f>
        <v/>
      </c>
    </row>
    <row r="159" customFormat="false" ht="15" hidden="false" customHeight="false" outlineLevel="0" collapsed="false">
      <c r="E159" s="25"/>
      <c r="M159" s="26" t="str">
        <f aca="false">IF($A159="","",$L159*$U159/100)</f>
        <v/>
      </c>
      <c r="W159" s="26" t="str">
        <f aca="false">IF($A159="","",U159*AB159/100)</f>
        <v/>
      </c>
      <c r="X159" s="26" t="str">
        <f aca="false">IF($A159="","",U159-W159)</f>
        <v/>
      </c>
      <c r="Y159" s="26" t="str">
        <f aca="false">IF($A159="","",U159-W159-M159)</f>
        <v/>
      </c>
      <c r="AB159" s="27" t="str">
        <f aca="false">IF($A159="","",IF($AK159=1,'كشف المطالبة'!$D$5,'كشف المطالبة'!$D$6)*100)</f>
        <v/>
      </c>
      <c r="AK159" s="28" t="str">
        <f aca="false">IF($A159="","",IF(OR($Q159=TRUE(),$Q159="TRUE"),1,0))</f>
        <v/>
      </c>
      <c r="AL159" s="28" t="str">
        <f aca="false">IF($N159="","",IF(MATCH($N159,$N$2:$N$3001,0)=ROWS($N$2:$N159),$N159,""))</f>
        <v/>
      </c>
    </row>
    <row r="160" customFormat="false" ht="15" hidden="false" customHeight="false" outlineLevel="0" collapsed="false">
      <c r="E160" s="25"/>
      <c r="M160" s="26" t="str">
        <f aca="false">IF($A160="","",$L160*$U160/100)</f>
        <v/>
      </c>
      <c r="W160" s="26" t="str">
        <f aca="false">IF($A160="","",U160*AB160/100)</f>
        <v/>
      </c>
      <c r="X160" s="26" t="str">
        <f aca="false">IF($A160="","",U160-W160)</f>
        <v/>
      </c>
      <c r="Y160" s="26" t="str">
        <f aca="false">IF($A160="","",U160-W160-M160)</f>
        <v/>
      </c>
      <c r="AB160" s="27" t="str">
        <f aca="false">IF($A160="","",IF($AK160=1,'كشف المطالبة'!$D$5,'كشف المطالبة'!$D$6)*100)</f>
        <v/>
      </c>
      <c r="AK160" s="28" t="str">
        <f aca="false">IF($A160="","",IF(OR($Q160=TRUE(),$Q160="TRUE"),1,0))</f>
        <v/>
      </c>
      <c r="AL160" s="28" t="str">
        <f aca="false">IF($N160="","",IF(MATCH($N160,$N$2:$N$3001,0)=ROWS($N$2:$N160),$N160,""))</f>
        <v/>
      </c>
    </row>
    <row r="161" customFormat="false" ht="15" hidden="false" customHeight="false" outlineLevel="0" collapsed="false">
      <c r="E161" s="25"/>
      <c r="M161" s="26" t="str">
        <f aca="false">IF($A161="","",$L161*$U161/100)</f>
        <v/>
      </c>
      <c r="W161" s="26" t="str">
        <f aca="false">IF($A161="","",U161*AB161/100)</f>
        <v/>
      </c>
      <c r="X161" s="26" t="str">
        <f aca="false">IF($A161="","",U161-W161)</f>
        <v/>
      </c>
      <c r="Y161" s="26" t="str">
        <f aca="false">IF($A161="","",U161-W161-M161)</f>
        <v/>
      </c>
      <c r="AB161" s="27" t="str">
        <f aca="false">IF($A161="","",IF($AK161=1,'كشف المطالبة'!$D$5,'كشف المطالبة'!$D$6)*100)</f>
        <v/>
      </c>
      <c r="AK161" s="28" t="str">
        <f aca="false">IF($A161="","",IF(OR($Q161=TRUE(),$Q161="TRUE"),1,0))</f>
        <v/>
      </c>
      <c r="AL161" s="28" t="str">
        <f aca="false">IF($N161="","",IF(MATCH($N161,$N$2:$N$3001,0)=ROWS($N$2:$N161),$N161,""))</f>
        <v/>
      </c>
    </row>
    <row r="162" customFormat="false" ht="15" hidden="false" customHeight="false" outlineLevel="0" collapsed="false">
      <c r="E162" s="25"/>
      <c r="M162" s="26" t="str">
        <f aca="false">IF($A162="","",$L162*$U162/100)</f>
        <v/>
      </c>
      <c r="W162" s="26" t="str">
        <f aca="false">IF($A162="","",U162*AB162/100)</f>
        <v/>
      </c>
      <c r="X162" s="26" t="str">
        <f aca="false">IF($A162="","",U162-W162)</f>
        <v/>
      </c>
      <c r="Y162" s="26" t="str">
        <f aca="false">IF($A162="","",U162-W162-M162)</f>
        <v/>
      </c>
      <c r="AB162" s="27" t="str">
        <f aca="false">IF($A162="","",IF($AK162=1,'كشف المطالبة'!$D$5,'كشف المطالبة'!$D$6)*100)</f>
        <v/>
      </c>
      <c r="AK162" s="28" t="str">
        <f aca="false">IF($A162="","",IF(OR($Q162=TRUE(),$Q162="TRUE"),1,0))</f>
        <v/>
      </c>
      <c r="AL162" s="28" t="str">
        <f aca="false">IF($N162="","",IF(MATCH($N162,$N$2:$N$3001,0)=ROWS($N$2:$N162),$N162,""))</f>
        <v/>
      </c>
    </row>
    <row r="163" customFormat="false" ht="15" hidden="false" customHeight="false" outlineLevel="0" collapsed="false">
      <c r="E163" s="25"/>
      <c r="M163" s="26" t="str">
        <f aca="false">IF($A163="","",$L163*$U163/100)</f>
        <v/>
      </c>
      <c r="W163" s="26" t="str">
        <f aca="false">IF($A163="","",U163*AB163/100)</f>
        <v/>
      </c>
      <c r="X163" s="26" t="str">
        <f aca="false">IF($A163="","",U163-W163)</f>
        <v/>
      </c>
      <c r="Y163" s="26" t="str">
        <f aca="false">IF($A163="","",U163-W163-M163)</f>
        <v/>
      </c>
      <c r="AB163" s="27" t="str">
        <f aca="false">IF($A163="","",IF($AK163=1,'كشف المطالبة'!$D$5,'كشف المطالبة'!$D$6)*100)</f>
        <v/>
      </c>
      <c r="AK163" s="28" t="str">
        <f aca="false">IF($A163="","",IF(OR($Q163=TRUE(),$Q163="TRUE"),1,0))</f>
        <v/>
      </c>
      <c r="AL163" s="28" t="str">
        <f aca="false">IF($N163="","",IF(MATCH($N163,$N$2:$N$3001,0)=ROWS($N$2:$N163),$N163,""))</f>
        <v/>
      </c>
    </row>
    <row r="164" customFormat="false" ht="15" hidden="false" customHeight="false" outlineLevel="0" collapsed="false">
      <c r="E164" s="25"/>
      <c r="M164" s="26" t="str">
        <f aca="false">IF($A164="","",$L164*$U164/100)</f>
        <v/>
      </c>
      <c r="W164" s="26" t="str">
        <f aca="false">IF($A164="","",U164*AB164/100)</f>
        <v/>
      </c>
      <c r="X164" s="26" t="str">
        <f aca="false">IF($A164="","",U164-W164)</f>
        <v/>
      </c>
      <c r="Y164" s="26" t="str">
        <f aca="false">IF($A164="","",U164-W164-M164)</f>
        <v/>
      </c>
      <c r="AB164" s="27" t="str">
        <f aca="false">IF($A164="","",IF($AK164=1,'كشف المطالبة'!$D$5,'كشف المطالبة'!$D$6)*100)</f>
        <v/>
      </c>
      <c r="AK164" s="28" t="str">
        <f aca="false">IF($A164="","",IF(OR($Q164=TRUE(),$Q164="TRUE"),1,0))</f>
        <v/>
      </c>
      <c r="AL164" s="28" t="str">
        <f aca="false">IF($N164="","",IF(MATCH($N164,$N$2:$N$3001,0)=ROWS($N$2:$N164),$N164,""))</f>
        <v/>
      </c>
    </row>
    <row r="165" customFormat="false" ht="15" hidden="false" customHeight="false" outlineLevel="0" collapsed="false">
      <c r="E165" s="25"/>
      <c r="M165" s="26" t="str">
        <f aca="false">IF($A165="","",$L165*$U165/100)</f>
        <v/>
      </c>
      <c r="W165" s="26" t="str">
        <f aca="false">IF($A165="","",U165*AB165/100)</f>
        <v/>
      </c>
      <c r="X165" s="26" t="str">
        <f aca="false">IF($A165="","",U165-W165)</f>
        <v/>
      </c>
      <c r="Y165" s="26" t="str">
        <f aca="false">IF($A165="","",U165-W165-M165)</f>
        <v/>
      </c>
      <c r="AB165" s="27" t="str">
        <f aca="false">IF($A165="","",IF($AK165=1,'كشف المطالبة'!$D$5,'كشف المطالبة'!$D$6)*100)</f>
        <v/>
      </c>
      <c r="AK165" s="28" t="str">
        <f aca="false">IF($A165="","",IF(OR($Q165=TRUE(),$Q165="TRUE"),1,0))</f>
        <v/>
      </c>
      <c r="AL165" s="28" t="str">
        <f aca="false">IF($N165="","",IF(MATCH($N165,$N$2:$N$3001,0)=ROWS($N$2:$N165),$N165,""))</f>
        <v/>
      </c>
    </row>
    <row r="166" customFormat="false" ht="15" hidden="false" customHeight="false" outlineLevel="0" collapsed="false">
      <c r="E166" s="25"/>
      <c r="M166" s="26" t="str">
        <f aca="false">IF($A166="","",$L166*$U166/100)</f>
        <v/>
      </c>
      <c r="W166" s="26" t="str">
        <f aca="false">IF($A166="","",U166*AB166/100)</f>
        <v/>
      </c>
      <c r="X166" s="26" t="str">
        <f aca="false">IF($A166="","",U166-W166)</f>
        <v/>
      </c>
      <c r="Y166" s="26" t="str">
        <f aca="false">IF($A166="","",U166-W166-M166)</f>
        <v/>
      </c>
      <c r="AB166" s="27" t="str">
        <f aca="false">IF($A166="","",IF($AK166=1,'كشف المطالبة'!$D$5,'كشف المطالبة'!$D$6)*100)</f>
        <v/>
      </c>
      <c r="AK166" s="28" t="str">
        <f aca="false">IF($A166="","",IF(OR($Q166=TRUE(),$Q166="TRUE"),1,0))</f>
        <v/>
      </c>
      <c r="AL166" s="28" t="str">
        <f aca="false">IF($N166="","",IF(MATCH($N166,$N$2:$N$3001,0)=ROWS($N$2:$N166),$N166,""))</f>
        <v/>
      </c>
    </row>
    <row r="167" customFormat="false" ht="15" hidden="false" customHeight="false" outlineLevel="0" collapsed="false">
      <c r="E167" s="25"/>
      <c r="M167" s="26" t="str">
        <f aca="false">IF($A167="","",$L167*$U167/100)</f>
        <v/>
      </c>
      <c r="W167" s="26" t="str">
        <f aca="false">IF($A167="","",U167*AB167/100)</f>
        <v/>
      </c>
      <c r="X167" s="26" t="str">
        <f aca="false">IF($A167="","",U167-W167)</f>
        <v/>
      </c>
      <c r="Y167" s="26" t="str">
        <f aca="false">IF($A167="","",U167-W167-M167)</f>
        <v/>
      </c>
      <c r="AB167" s="27" t="str">
        <f aca="false">IF($A167="","",IF($AK167=1,'كشف المطالبة'!$D$5,'كشف المطالبة'!$D$6)*100)</f>
        <v/>
      </c>
      <c r="AK167" s="28" t="str">
        <f aca="false">IF($A167="","",IF(OR($Q167=TRUE(),$Q167="TRUE"),1,0))</f>
        <v/>
      </c>
      <c r="AL167" s="28" t="str">
        <f aca="false">IF($N167="","",IF(MATCH($N167,$N$2:$N$3001,0)=ROWS($N$2:$N167),$N167,""))</f>
        <v/>
      </c>
    </row>
    <row r="168" customFormat="false" ht="15" hidden="false" customHeight="false" outlineLevel="0" collapsed="false">
      <c r="E168" s="25"/>
      <c r="M168" s="26" t="str">
        <f aca="false">IF($A168="","",$L168*$U168/100)</f>
        <v/>
      </c>
      <c r="W168" s="26" t="str">
        <f aca="false">IF($A168="","",U168*AB168/100)</f>
        <v/>
      </c>
      <c r="X168" s="26" t="str">
        <f aca="false">IF($A168="","",U168-W168)</f>
        <v/>
      </c>
      <c r="Y168" s="26" t="str">
        <f aca="false">IF($A168="","",U168-W168-M168)</f>
        <v/>
      </c>
      <c r="AB168" s="27" t="str">
        <f aca="false">IF($A168="","",IF($AK168=1,'كشف المطالبة'!$D$5,'كشف المطالبة'!$D$6)*100)</f>
        <v/>
      </c>
      <c r="AK168" s="28" t="str">
        <f aca="false">IF($A168="","",IF(OR($Q168=TRUE(),$Q168="TRUE"),1,0))</f>
        <v/>
      </c>
      <c r="AL168" s="28" t="str">
        <f aca="false">IF($N168="","",IF(MATCH($N168,$N$2:$N$3001,0)=ROWS($N$2:$N168),$N168,""))</f>
        <v/>
      </c>
    </row>
    <row r="169" customFormat="false" ht="15" hidden="false" customHeight="false" outlineLevel="0" collapsed="false">
      <c r="E169" s="25"/>
      <c r="M169" s="26" t="str">
        <f aca="false">IF($A169="","",$L169*$U169/100)</f>
        <v/>
      </c>
      <c r="W169" s="26" t="str">
        <f aca="false">IF($A169="","",U169*AB169/100)</f>
        <v/>
      </c>
      <c r="X169" s="26" t="str">
        <f aca="false">IF($A169="","",U169-W169)</f>
        <v/>
      </c>
      <c r="Y169" s="26" t="str">
        <f aca="false">IF($A169="","",U169-W169-M169)</f>
        <v/>
      </c>
      <c r="AB169" s="27" t="str">
        <f aca="false">IF($A169="","",IF($AK169=1,'كشف المطالبة'!$D$5,'كشف المطالبة'!$D$6)*100)</f>
        <v/>
      </c>
      <c r="AK169" s="28" t="str">
        <f aca="false">IF($A169="","",IF(OR($Q169=TRUE(),$Q169="TRUE"),1,0))</f>
        <v/>
      </c>
      <c r="AL169" s="28" t="str">
        <f aca="false">IF($N169="","",IF(MATCH($N169,$N$2:$N$3001,0)=ROWS($N$2:$N169),$N169,""))</f>
        <v/>
      </c>
    </row>
    <row r="170" customFormat="false" ht="15" hidden="false" customHeight="false" outlineLevel="0" collapsed="false">
      <c r="E170" s="25"/>
      <c r="M170" s="26" t="str">
        <f aca="false">IF($A170="","",$L170*$U170/100)</f>
        <v/>
      </c>
      <c r="W170" s="26" t="str">
        <f aca="false">IF($A170="","",U170*AB170/100)</f>
        <v/>
      </c>
      <c r="X170" s="26" t="str">
        <f aca="false">IF($A170="","",U170-W170)</f>
        <v/>
      </c>
      <c r="Y170" s="26" t="str">
        <f aca="false">IF($A170="","",U170-W170-M170)</f>
        <v/>
      </c>
      <c r="AB170" s="27" t="str">
        <f aca="false">IF($A170="","",IF($AK170=1,'كشف المطالبة'!$D$5,'كشف المطالبة'!$D$6)*100)</f>
        <v/>
      </c>
      <c r="AK170" s="28" t="str">
        <f aca="false">IF($A170="","",IF(OR($Q170=TRUE(),$Q170="TRUE"),1,0))</f>
        <v/>
      </c>
      <c r="AL170" s="28" t="str">
        <f aca="false">IF($N170="","",IF(MATCH($N170,$N$2:$N$3001,0)=ROWS($N$2:$N170),$N170,""))</f>
        <v/>
      </c>
    </row>
    <row r="171" customFormat="false" ht="15" hidden="false" customHeight="false" outlineLevel="0" collapsed="false">
      <c r="E171" s="25"/>
      <c r="M171" s="26" t="str">
        <f aca="false">IF($A171="","",$L171*$U171/100)</f>
        <v/>
      </c>
      <c r="W171" s="26" t="str">
        <f aca="false">IF($A171="","",U171*AB171/100)</f>
        <v/>
      </c>
      <c r="X171" s="26" t="str">
        <f aca="false">IF($A171="","",U171-W171)</f>
        <v/>
      </c>
      <c r="Y171" s="26" t="str">
        <f aca="false">IF($A171="","",U171-W171-M171)</f>
        <v/>
      </c>
      <c r="AB171" s="27" t="str">
        <f aca="false">IF($A171="","",IF($AK171=1,'كشف المطالبة'!$D$5,'كشف المطالبة'!$D$6)*100)</f>
        <v/>
      </c>
      <c r="AK171" s="28" t="str">
        <f aca="false">IF($A171="","",IF(OR($Q171=TRUE(),$Q171="TRUE"),1,0))</f>
        <v/>
      </c>
      <c r="AL171" s="28" t="str">
        <f aca="false">IF($N171="","",IF(MATCH($N171,$N$2:$N$3001,0)=ROWS($N$2:$N171),$N171,""))</f>
        <v/>
      </c>
    </row>
    <row r="172" customFormat="false" ht="15" hidden="false" customHeight="false" outlineLevel="0" collapsed="false">
      <c r="E172" s="25"/>
      <c r="M172" s="26" t="str">
        <f aca="false">IF($A172="","",$L172*$U172/100)</f>
        <v/>
      </c>
      <c r="W172" s="26" t="str">
        <f aca="false">IF($A172="","",U172*AB172/100)</f>
        <v/>
      </c>
      <c r="X172" s="26" t="str">
        <f aca="false">IF($A172="","",U172-W172)</f>
        <v/>
      </c>
      <c r="Y172" s="26" t="str">
        <f aca="false">IF($A172="","",U172-W172-M172)</f>
        <v/>
      </c>
      <c r="AB172" s="27" t="str">
        <f aca="false">IF($A172="","",IF($AK172=1,'كشف المطالبة'!$D$5,'كشف المطالبة'!$D$6)*100)</f>
        <v/>
      </c>
      <c r="AK172" s="28" t="str">
        <f aca="false">IF($A172="","",IF(OR($Q172=TRUE(),$Q172="TRUE"),1,0))</f>
        <v/>
      </c>
      <c r="AL172" s="28" t="str">
        <f aca="false">IF($N172="","",IF(MATCH($N172,$N$2:$N$3001,0)=ROWS($N$2:$N172),$N172,""))</f>
        <v/>
      </c>
    </row>
    <row r="173" customFormat="false" ht="15" hidden="false" customHeight="false" outlineLevel="0" collapsed="false">
      <c r="E173" s="25"/>
      <c r="M173" s="26" t="str">
        <f aca="false">IF($A173="","",$L173*$U173/100)</f>
        <v/>
      </c>
      <c r="W173" s="26" t="str">
        <f aca="false">IF($A173="","",U173*AB173/100)</f>
        <v/>
      </c>
      <c r="X173" s="26" t="str">
        <f aca="false">IF($A173="","",U173-W173)</f>
        <v/>
      </c>
      <c r="Y173" s="26" t="str">
        <f aca="false">IF($A173="","",U173-W173-M173)</f>
        <v/>
      </c>
      <c r="AB173" s="27" t="str">
        <f aca="false">IF($A173="","",IF($AK173=1,'كشف المطالبة'!$D$5,'كشف المطالبة'!$D$6)*100)</f>
        <v/>
      </c>
      <c r="AK173" s="28" t="str">
        <f aca="false">IF($A173="","",IF(OR($Q173=TRUE(),$Q173="TRUE"),1,0))</f>
        <v/>
      </c>
      <c r="AL173" s="28" t="str">
        <f aca="false">IF($N173="","",IF(MATCH($N173,$N$2:$N$3001,0)=ROWS($N$2:$N173),$N173,""))</f>
        <v/>
      </c>
    </row>
    <row r="174" customFormat="false" ht="15" hidden="false" customHeight="false" outlineLevel="0" collapsed="false">
      <c r="E174" s="25"/>
      <c r="M174" s="26" t="str">
        <f aca="false">IF($A174="","",$L174*$U174/100)</f>
        <v/>
      </c>
      <c r="W174" s="26" t="str">
        <f aca="false">IF($A174="","",U174*AB174/100)</f>
        <v/>
      </c>
      <c r="X174" s="26" t="str">
        <f aca="false">IF($A174="","",U174-W174)</f>
        <v/>
      </c>
      <c r="Y174" s="26" t="str">
        <f aca="false">IF($A174="","",U174-W174-M174)</f>
        <v/>
      </c>
      <c r="AB174" s="27" t="str">
        <f aca="false">IF($A174="","",IF($AK174=1,'كشف المطالبة'!$D$5,'كشف المطالبة'!$D$6)*100)</f>
        <v/>
      </c>
      <c r="AK174" s="28" t="str">
        <f aca="false">IF($A174="","",IF(OR($Q174=TRUE(),$Q174="TRUE"),1,0))</f>
        <v/>
      </c>
      <c r="AL174" s="28" t="str">
        <f aca="false">IF($N174="","",IF(MATCH($N174,$N$2:$N$3001,0)=ROWS($N$2:$N174),$N174,""))</f>
        <v/>
      </c>
    </row>
    <row r="175" customFormat="false" ht="15" hidden="false" customHeight="false" outlineLevel="0" collapsed="false">
      <c r="E175" s="25"/>
      <c r="M175" s="26" t="str">
        <f aca="false">IF($A175="","",$L175*$U175/100)</f>
        <v/>
      </c>
      <c r="W175" s="26" t="str">
        <f aca="false">IF($A175="","",U175*AB175/100)</f>
        <v/>
      </c>
      <c r="X175" s="26" t="str">
        <f aca="false">IF($A175="","",U175-W175)</f>
        <v/>
      </c>
      <c r="Y175" s="26" t="str">
        <f aca="false">IF($A175="","",U175-W175-M175)</f>
        <v/>
      </c>
      <c r="AB175" s="27" t="str">
        <f aca="false">IF($A175="","",IF($AK175=1,'كشف المطالبة'!$D$5,'كشف المطالبة'!$D$6)*100)</f>
        <v/>
      </c>
      <c r="AK175" s="28" t="str">
        <f aca="false">IF($A175="","",IF(OR($Q175=TRUE(),$Q175="TRUE"),1,0))</f>
        <v/>
      </c>
      <c r="AL175" s="28" t="str">
        <f aca="false">IF($N175="","",IF(MATCH($N175,$N$2:$N$3001,0)=ROWS($N$2:$N175),$N175,""))</f>
        <v/>
      </c>
    </row>
    <row r="176" customFormat="false" ht="15" hidden="false" customHeight="false" outlineLevel="0" collapsed="false">
      <c r="E176" s="25"/>
      <c r="M176" s="26" t="str">
        <f aca="false">IF($A176="","",$L176*$U176/100)</f>
        <v/>
      </c>
      <c r="W176" s="26" t="str">
        <f aca="false">IF($A176="","",U176*AB176/100)</f>
        <v/>
      </c>
      <c r="X176" s="26" t="str">
        <f aca="false">IF($A176="","",U176-W176)</f>
        <v/>
      </c>
      <c r="Y176" s="26" t="str">
        <f aca="false">IF($A176="","",U176-W176-M176)</f>
        <v/>
      </c>
      <c r="AB176" s="27" t="str">
        <f aca="false">IF($A176="","",IF($AK176=1,'كشف المطالبة'!$D$5,'كشف المطالبة'!$D$6)*100)</f>
        <v/>
      </c>
      <c r="AK176" s="28" t="str">
        <f aca="false">IF($A176="","",IF(OR($Q176=TRUE(),$Q176="TRUE"),1,0))</f>
        <v/>
      </c>
      <c r="AL176" s="28" t="str">
        <f aca="false">IF($N176="","",IF(MATCH($N176,$N$2:$N$3001,0)=ROWS($N$2:$N176),$N176,""))</f>
        <v/>
      </c>
    </row>
    <row r="177" customFormat="false" ht="15" hidden="false" customHeight="false" outlineLevel="0" collapsed="false">
      <c r="E177" s="25"/>
      <c r="M177" s="26" t="str">
        <f aca="false">IF($A177="","",$L177*$U177/100)</f>
        <v/>
      </c>
      <c r="W177" s="26" t="str">
        <f aca="false">IF($A177="","",U177*AB177/100)</f>
        <v/>
      </c>
      <c r="X177" s="26" t="str">
        <f aca="false">IF($A177="","",U177-W177)</f>
        <v/>
      </c>
      <c r="Y177" s="26" t="str">
        <f aca="false">IF($A177="","",U177-W177-M177)</f>
        <v/>
      </c>
      <c r="AB177" s="27" t="str">
        <f aca="false">IF($A177="","",IF($AK177=1,'كشف المطالبة'!$D$5,'كشف المطالبة'!$D$6)*100)</f>
        <v/>
      </c>
      <c r="AK177" s="28" t="str">
        <f aca="false">IF($A177="","",IF(OR($Q177=TRUE(),$Q177="TRUE"),1,0))</f>
        <v/>
      </c>
      <c r="AL177" s="28" t="str">
        <f aca="false">IF($N177="","",IF(MATCH($N177,$N$2:$N$3001,0)=ROWS($N$2:$N177),$N177,""))</f>
        <v/>
      </c>
    </row>
    <row r="178" customFormat="false" ht="15" hidden="false" customHeight="false" outlineLevel="0" collapsed="false">
      <c r="E178" s="25"/>
      <c r="M178" s="26" t="str">
        <f aca="false">IF($A178="","",$L178*$U178/100)</f>
        <v/>
      </c>
      <c r="W178" s="26" t="str">
        <f aca="false">IF($A178="","",U178*AB178/100)</f>
        <v/>
      </c>
      <c r="X178" s="26" t="str">
        <f aca="false">IF($A178="","",U178-W178)</f>
        <v/>
      </c>
      <c r="Y178" s="26" t="str">
        <f aca="false">IF($A178="","",U178-W178-M178)</f>
        <v/>
      </c>
      <c r="AB178" s="27" t="str">
        <f aca="false">IF($A178="","",IF($AK178=1,'كشف المطالبة'!$D$5,'كشف المطالبة'!$D$6)*100)</f>
        <v/>
      </c>
      <c r="AK178" s="28" t="str">
        <f aca="false">IF($A178="","",IF(OR($Q178=TRUE(),$Q178="TRUE"),1,0))</f>
        <v/>
      </c>
      <c r="AL178" s="28" t="str">
        <f aca="false">IF($N178="","",IF(MATCH($N178,$N$2:$N$3001,0)=ROWS($N$2:$N178),$N178,""))</f>
        <v/>
      </c>
    </row>
    <row r="179" customFormat="false" ht="15" hidden="false" customHeight="false" outlineLevel="0" collapsed="false">
      <c r="E179" s="25"/>
      <c r="M179" s="26" t="str">
        <f aca="false">IF($A179="","",$L179*$U179/100)</f>
        <v/>
      </c>
      <c r="W179" s="26" t="str">
        <f aca="false">IF($A179="","",U179*AB179/100)</f>
        <v/>
      </c>
      <c r="X179" s="26" t="str">
        <f aca="false">IF($A179="","",U179-W179)</f>
        <v/>
      </c>
      <c r="Y179" s="26" t="str">
        <f aca="false">IF($A179="","",U179-W179-M179)</f>
        <v/>
      </c>
      <c r="AB179" s="27" t="str">
        <f aca="false">IF($A179="","",IF($AK179=1,'كشف المطالبة'!$D$5,'كشف المطالبة'!$D$6)*100)</f>
        <v/>
      </c>
      <c r="AK179" s="28" t="str">
        <f aca="false">IF($A179="","",IF(OR($Q179=TRUE(),$Q179="TRUE"),1,0))</f>
        <v/>
      </c>
      <c r="AL179" s="28" t="str">
        <f aca="false">IF($N179="","",IF(MATCH($N179,$N$2:$N$3001,0)=ROWS($N$2:$N179),$N179,""))</f>
        <v/>
      </c>
    </row>
    <row r="180" customFormat="false" ht="15" hidden="false" customHeight="false" outlineLevel="0" collapsed="false">
      <c r="E180" s="25"/>
      <c r="M180" s="26" t="str">
        <f aca="false">IF($A180="","",$L180*$U180/100)</f>
        <v/>
      </c>
      <c r="W180" s="26" t="str">
        <f aca="false">IF($A180="","",U180*AB180/100)</f>
        <v/>
      </c>
      <c r="X180" s="26" t="str">
        <f aca="false">IF($A180="","",U180-W180)</f>
        <v/>
      </c>
      <c r="Y180" s="26" t="str">
        <f aca="false">IF($A180="","",U180-W180-M180)</f>
        <v/>
      </c>
      <c r="AB180" s="27" t="str">
        <f aca="false">IF($A180="","",IF($AK180=1,'كشف المطالبة'!$D$5,'كشف المطالبة'!$D$6)*100)</f>
        <v/>
      </c>
      <c r="AK180" s="28" t="str">
        <f aca="false">IF($A180="","",IF(OR($Q180=TRUE(),$Q180="TRUE"),1,0))</f>
        <v/>
      </c>
      <c r="AL180" s="28" t="str">
        <f aca="false">IF($N180="","",IF(MATCH($N180,$N$2:$N$3001,0)=ROWS($N$2:$N180),$N180,""))</f>
        <v/>
      </c>
    </row>
    <row r="181" customFormat="false" ht="15" hidden="false" customHeight="false" outlineLevel="0" collapsed="false">
      <c r="E181" s="25"/>
      <c r="M181" s="26" t="str">
        <f aca="false">IF($A181="","",$L181*$U181/100)</f>
        <v/>
      </c>
      <c r="W181" s="26" t="str">
        <f aca="false">IF($A181="","",U181*AB181/100)</f>
        <v/>
      </c>
      <c r="X181" s="26" t="str">
        <f aca="false">IF($A181="","",U181-W181)</f>
        <v/>
      </c>
      <c r="Y181" s="26" t="str">
        <f aca="false">IF($A181="","",U181-W181-M181)</f>
        <v/>
      </c>
      <c r="AB181" s="27" t="str">
        <f aca="false">IF($A181="","",IF($AK181=1,'كشف المطالبة'!$D$5,'كشف المطالبة'!$D$6)*100)</f>
        <v/>
      </c>
      <c r="AK181" s="28" t="str">
        <f aca="false">IF($A181="","",IF(OR($Q181=TRUE(),$Q181="TRUE"),1,0))</f>
        <v/>
      </c>
      <c r="AL181" s="28" t="str">
        <f aca="false">IF($N181="","",IF(MATCH($N181,$N$2:$N$3001,0)=ROWS($N$2:$N181),$N181,""))</f>
        <v/>
      </c>
    </row>
    <row r="182" customFormat="false" ht="15" hidden="false" customHeight="false" outlineLevel="0" collapsed="false">
      <c r="E182" s="25"/>
      <c r="M182" s="26" t="str">
        <f aca="false">IF($A182="","",$L182*$U182/100)</f>
        <v/>
      </c>
      <c r="W182" s="26" t="str">
        <f aca="false">IF($A182="","",U182*AB182/100)</f>
        <v/>
      </c>
      <c r="X182" s="26" t="str">
        <f aca="false">IF($A182="","",U182-W182)</f>
        <v/>
      </c>
      <c r="Y182" s="26" t="str">
        <f aca="false">IF($A182="","",U182-W182-M182)</f>
        <v/>
      </c>
      <c r="AB182" s="27" t="str">
        <f aca="false">IF($A182="","",IF($AK182=1,'كشف المطالبة'!$D$5,'كشف المطالبة'!$D$6)*100)</f>
        <v/>
      </c>
      <c r="AK182" s="28" t="str">
        <f aca="false">IF($A182="","",IF(OR($Q182=TRUE(),$Q182="TRUE"),1,0))</f>
        <v/>
      </c>
      <c r="AL182" s="28" t="str">
        <f aca="false">IF($N182="","",IF(MATCH($N182,$N$2:$N$3001,0)=ROWS($N$2:$N182),$N182,""))</f>
        <v/>
      </c>
    </row>
    <row r="183" customFormat="false" ht="15" hidden="false" customHeight="false" outlineLevel="0" collapsed="false">
      <c r="E183" s="25"/>
      <c r="M183" s="26" t="str">
        <f aca="false">IF($A183="","",$L183*$U183/100)</f>
        <v/>
      </c>
      <c r="W183" s="26" t="str">
        <f aca="false">IF($A183="","",U183*AB183/100)</f>
        <v/>
      </c>
      <c r="X183" s="26" t="str">
        <f aca="false">IF($A183="","",U183-W183)</f>
        <v/>
      </c>
      <c r="Y183" s="26" t="str">
        <f aca="false">IF($A183="","",U183-W183-M183)</f>
        <v/>
      </c>
      <c r="AB183" s="27" t="str">
        <f aca="false">IF($A183="","",IF($AK183=1,'كشف المطالبة'!$D$5,'كشف المطالبة'!$D$6)*100)</f>
        <v/>
      </c>
      <c r="AK183" s="28" t="str">
        <f aca="false">IF($A183="","",IF(OR($Q183=TRUE(),$Q183="TRUE"),1,0))</f>
        <v/>
      </c>
      <c r="AL183" s="28" t="str">
        <f aca="false">IF($N183="","",IF(MATCH($N183,$N$2:$N$3001,0)=ROWS($N$2:$N183),$N183,""))</f>
        <v/>
      </c>
    </row>
    <row r="184" customFormat="false" ht="15" hidden="false" customHeight="false" outlineLevel="0" collapsed="false">
      <c r="E184" s="25"/>
      <c r="M184" s="26" t="str">
        <f aca="false">IF($A184="","",$L184*$U184/100)</f>
        <v/>
      </c>
      <c r="W184" s="26" t="str">
        <f aca="false">IF($A184="","",U184*AB184/100)</f>
        <v/>
      </c>
      <c r="X184" s="26" t="str">
        <f aca="false">IF($A184="","",U184-W184)</f>
        <v/>
      </c>
      <c r="Y184" s="26" t="str">
        <f aca="false">IF($A184="","",U184-W184-M184)</f>
        <v/>
      </c>
      <c r="AB184" s="27" t="str">
        <f aca="false">IF($A184="","",IF($AK184=1,'كشف المطالبة'!$D$5,'كشف المطالبة'!$D$6)*100)</f>
        <v/>
      </c>
      <c r="AK184" s="28" t="str">
        <f aca="false">IF($A184="","",IF(OR($Q184=TRUE(),$Q184="TRUE"),1,0))</f>
        <v/>
      </c>
      <c r="AL184" s="28" t="str">
        <f aca="false">IF($N184="","",IF(MATCH($N184,$N$2:$N$3001,0)=ROWS($N$2:$N184),$N184,""))</f>
        <v/>
      </c>
    </row>
    <row r="185" customFormat="false" ht="15" hidden="false" customHeight="false" outlineLevel="0" collapsed="false">
      <c r="E185" s="25"/>
      <c r="M185" s="26" t="str">
        <f aca="false">IF($A185="","",$L185*$U185/100)</f>
        <v/>
      </c>
      <c r="W185" s="26" t="str">
        <f aca="false">IF($A185="","",U185*AB185/100)</f>
        <v/>
      </c>
      <c r="X185" s="26" t="str">
        <f aca="false">IF($A185="","",U185-W185)</f>
        <v/>
      </c>
      <c r="Y185" s="26" t="str">
        <f aca="false">IF($A185="","",U185-W185-M185)</f>
        <v/>
      </c>
      <c r="AB185" s="27" t="str">
        <f aca="false">IF($A185="","",IF($AK185=1,'كشف المطالبة'!$D$5,'كشف المطالبة'!$D$6)*100)</f>
        <v/>
      </c>
      <c r="AK185" s="28" t="str">
        <f aca="false">IF($A185="","",IF(OR($Q185=TRUE(),$Q185="TRUE"),1,0))</f>
        <v/>
      </c>
      <c r="AL185" s="28" t="str">
        <f aca="false">IF($N185="","",IF(MATCH($N185,$N$2:$N$3001,0)=ROWS($N$2:$N185),$N185,""))</f>
        <v/>
      </c>
    </row>
    <row r="186" customFormat="false" ht="15" hidden="false" customHeight="false" outlineLevel="0" collapsed="false">
      <c r="E186" s="25"/>
      <c r="M186" s="26" t="str">
        <f aca="false">IF($A186="","",$L186*$U186/100)</f>
        <v/>
      </c>
      <c r="W186" s="26" t="str">
        <f aca="false">IF($A186="","",U186*AB186/100)</f>
        <v/>
      </c>
      <c r="X186" s="26" t="str">
        <f aca="false">IF($A186="","",U186-W186)</f>
        <v/>
      </c>
      <c r="Y186" s="26" t="str">
        <f aca="false">IF($A186="","",U186-W186-M186)</f>
        <v/>
      </c>
      <c r="AB186" s="27" t="str">
        <f aca="false">IF($A186="","",IF($AK186=1,'كشف المطالبة'!$D$5,'كشف المطالبة'!$D$6)*100)</f>
        <v/>
      </c>
      <c r="AK186" s="28" t="str">
        <f aca="false">IF($A186="","",IF(OR($Q186=TRUE(),$Q186="TRUE"),1,0))</f>
        <v/>
      </c>
      <c r="AL186" s="28" t="str">
        <f aca="false">IF($N186="","",IF(MATCH($N186,$N$2:$N$3001,0)=ROWS($N$2:$N186),$N186,""))</f>
        <v/>
      </c>
    </row>
    <row r="187" customFormat="false" ht="15" hidden="false" customHeight="false" outlineLevel="0" collapsed="false">
      <c r="E187" s="25"/>
      <c r="M187" s="26" t="str">
        <f aca="false">IF($A187="","",$L187*$U187/100)</f>
        <v/>
      </c>
      <c r="W187" s="26" t="str">
        <f aca="false">IF($A187="","",U187*AB187/100)</f>
        <v/>
      </c>
      <c r="X187" s="26" t="str">
        <f aca="false">IF($A187="","",U187-W187)</f>
        <v/>
      </c>
      <c r="Y187" s="26" t="str">
        <f aca="false">IF($A187="","",U187-W187-M187)</f>
        <v/>
      </c>
      <c r="AB187" s="27" t="str">
        <f aca="false">IF($A187="","",IF($AK187=1,'كشف المطالبة'!$D$5,'كشف المطالبة'!$D$6)*100)</f>
        <v/>
      </c>
      <c r="AK187" s="28" t="str">
        <f aca="false">IF($A187="","",IF(OR($Q187=TRUE(),$Q187="TRUE"),1,0))</f>
        <v/>
      </c>
      <c r="AL187" s="28" t="str">
        <f aca="false">IF($N187="","",IF(MATCH($N187,$N$2:$N$3001,0)=ROWS($N$2:$N187),$N187,""))</f>
        <v/>
      </c>
    </row>
    <row r="188" customFormat="false" ht="15" hidden="false" customHeight="false" outlineLevel="0" collapsed="false">
      <c r="E188" s="25"/>
      <c r="M188" s="26" t="str">
        <f aca="false">IF($A188="","",$L188*$U188/100)</f>
        <v/>
      </c>
      <c r="W188" s="26" t="str">
        <f aca="false">IF($A188="","",U188*AB188/100)</f>
        <v/>
      </c>
      <c r="X188" s="26" t="str">
        <f aca="false">IF($A188="","",U188-W188)</f>
        <v/>
      </c>
      <c r="Y188" s="26" t="str">
        <f aca="false">IF($A188="","",U188-W188-M188)</f>
        <v/>
      </c>
      <c r="AB188" s="27" t="str">
        <f aca="false">IF($A188="","",IF($AK188=1,'كشف المطالبة'!$D$5,'كشف المطالبة'!$D$6)*100)</f>
        <v/>
      </c>
      <c r="AK188" s="28" t="str">
        <f aca="false">IF($A188="","",IF(OR($Q188=TRUE(),$Q188="TRUE"),1,0))</f>
        <v/>
      </c>
      <c r="AL188" s="28" t="str">
        <f aca="false">IF($N188="","",IF(MATCH($N188,$N$2:$N$3001,0)=ROWS($N$2:$N188),$N188,""))</f>
        <v/>
      </c>
    </row>
    <row r="189" customFormat="false" ht="15" hidden="false" customHeight="false" outlineLevel="0" collapsed="false">
      <c r="E189" s="25"/>
      <c r="M189" s="26" t="str">
        <f aca="false">IF($A189="","",$L189*$U189/100)</f>
        <v/>
      </c>
      <c r="W189" s="26" t="str">
        <f aca="false">IF($A189="","",U189*AB189/100)</f>
        <v/>
      </c>
      <c r="X189" s="26" t="str">
        <f aca="false">IF($A189="","",U189-W189)</f>
        <v/>
      </c>
      <c r="Y189" s="26" t="str">
        <f aca="false">IF($A189="","",U189-W189-M189)</f>
        <v/>
      </c>
      <c r="AB189" s="27" t="str">
        <f aca="false">IF($A189="","",IF($AK189=1,'كشف المطالبة'!$D$5,'كشف المطالبة'!$D$6)*100)</f>
        <v/>
      </c>
      <c r="AK189" s="28" t="str">
        <f aca="false">IF($A189="","",IF(OR($Q189=TRUE(),$Q189="TRUE"),1,0))</f>
        <v/>
      </c>
      <c r="AL189" s="28" t="str">
        <f aca="false">IF($N189="","",IF(MATCH($N189,$N$2:$N$3001,0)=ROWS($N$2:$N189),$N189,""))</f>
        <v/>
      </c>
    </row>
    <row r="190" customFormat="false" ht="15" hidden="false" customHeight="false" outlineLevel="0" collapsed="false">
      <c r="E190" s="25"/>
      <c r="M190" s="26" t="str">
        <f aca="false">IF($A190="","",$L190*$U190/100)</f>
        <v/>
      </c>
      <c r="W190" s="26" t="str">
        <f aca="false">IF($A190="","",U190*AB190/100)</f>
        <v/>
      </c>
      <c r="X190" s="26" t="str">
        <f aca="false">IF($A190="","",U190-W190)</f>
        <v/>
      </c>
      <c r="Y190" s="26" t="str">
        <f aca="false">IF($A190="","",U190-W190-M190)</f>
        <v/>
      </c>
      <c r="AB190" s="27" t="str">
        <f aca="false">IF($A190="","",IF($AK190=1,'كشف المطالبة'!$D$5,'كشف المطالبة'!$D$6)*100)</f>
        <v/>
      </c>
      <c r="AK190" s="28" t="str">
        <f aca="false">IF($A190="","",IF(OR($Q190=TRUE(),$Q190="TRUE"),1,0))</f>
        <v/>
      </c>
      <c r="AL190" s="28" t="str">
        <f aca="false">IF($N190="","",IF(MATCH($N190,$N$2:$N$3001,0)=ROWS($N$2:$N190),$N190,""))</f>
        <v/>
      </c>
    </row>
    <row r="191" customFormat="false" ht="15" hidden="false" customHeight="false" outlineLevel="0" collapsed="false">
      <c r="E191" s="25"/>
      <c r="M191" s="26" t="str">
        <f aca="false">IF($A191="","",$L191*$U191/100)</f>
        <v/>
      </c>
      <c r="W191" s="26" t="str">
        <f aca="false">IF($A191="","",U191*AB191/100)</f>
        <v/>
      </c>
      <c r="X191" s="26" t="str">
        <f aca="false">IF($A191="","",U191-W191)</f>
        <v/>
      </c>
      <c r="Y191" s="26" t="str">
        <f aca="false">IF($A191="","",U191-W191-M191)</f>
        <v/>
      </c>
      <c r="AB191" s="27" t="str">
        <f aca="false">IF($A191="","",IF($AK191=1,'كشف المطالبة'!$D$5,'كشف المطالبة'!$D$6)*100)</f>
        <v/>
      </c>
      <c r="AK191" s="28" t="str">
        <f aca="false">IF($A191="","",IF(OR($Q191=TRUE(),$Q191="TRUE"),1,0))</f>
        <v/>
      </c>
      <c r="AL191" s="28" t="str">
        <f aca="false">IF($N191="","",IF(MATCH($N191,$N$2:$N$3001,0)=ROWS($N$2:$N191),$N191,""))</f>
        <v/>
      </c>
    </row>
    <row r="192" customFormat="false" ht="15" hidden="false" customHeight="false" outlineLevel="0" collapsed="false">
      <c r="E192" s="25"/>
      <c r="M192" s="26" t="str">
        <f aca="false">IF($A192="","",$L192*$U192/100)</f>
        <v/>
      </c>
      <c r="W192" s="26" t="str">
        <f aca="false">IF($A192="","",U192*AB192/100)</f>
        <v/>
      </c>
      <c r="X192" s="26" t="str">
        <f aca="false">IF($A192="","",U192-W192)</f>
        <v/>
      </c>
      <c r="Y192" s="26" t="str">
        <f aca="false">IF($A192="","",U192-W192-M192)</f>
        <v/>
      </c>
      <c r="AB192" s="27" t="str">
        <f aca="false">IF($A192="","",IF($AK192=1,'كشف المطالبة'!$D$5,'كشف المطالبة'!$D$6)*100)</f>
        <v/>
      </c>
      <c r="AK192" s="28" t="str">
        <f aca="false">IF($A192="","",IF(OR($Q192=TRUE(),$Q192="TRUE"),1,0))</f>
        <v/>
      </c>
      <c r="AL192" s="28" t="str">
        <f aca="false">IF($N192="","",IF(MATCH($N192,$N$2:$N$3001,0)=ROWS($N$2:$N192),$N192,""))</f>
        <v/>
      </c>
    </row>
    <row r="193" customFormat="false" ht="15" hidden="false" customHeight="false" outlineLevel="0" collapsed="false">
      <c r="E193" s="25"/>
      <c r="M193" s="26" t="str">
        <f aca="false">IF($A193="","",$L193*$U193/100)</f>
        <v/>
      </c>
      <c r="W193" s="26" t="str">
        <f aca="false">IF($A193="","",U193*AB193/100)</f>
        <v/>
      </c>
      <c r="X193" s="26" t="str">
        <f aca="false">IF($A193="","",U193-W193)</f>
        <v/>
      </c>
      <c r="Y193" s="26" t="str">
        <f aca="false">IF($A193="","",U193-W193-M193)</f>
        <v/>
      </c>
      <c r="AB193" s="27" t="str">
        <f aca="false">IF($A193="","",IF($AK193=1,'كشف المطالبة'!$D$5,'كشف المطالبة'!$D$6)*100)</f>
        <v/>
      </c>
      <c r="AK193" s="28" t="str">
        <f aca="false">IF($A193="","",IF(OR($Q193=TRUE(),$Q193="TRUE"),1,0))</f>
        <v/>
      </c>
      <c r="AL193" s="28" t="str">
        <f aca="false">IF($N193="","",IF(MATCH($N193,$N$2:$N$3001,0)=ROWS($N$2:$N193),$N193,""))</f>
        <v/>
      </c>
    </row>
    <row r="194" customFormat="false" ht="15" hidden="false" customHeight="false" outlineLevel="0" collapsed="false">
      <c r="E194" s="25"/>
      <c r="M194" s="26" t="str">
        <f aca="false">IF($A194="","",$L194*$U194/100)</f>
        <v/>
      </c>
      <c r="W194" s="26" t="str">
        <f aca="false">IF($A194="","",U194*AB194/100)</f>
        <v/>
      </c>
      <c r="X194" s="26" t="str">
        <f aca="false">IF($A194="","",U194-W194)</f>
        <v/>
      </c>
      <c r="Y194" s="26" t="str">
        <f aca="false">IF($A194="","",U194-W194-M194)</f>
        <v/>
      </c>
      <c r="AB194" s="27" t="str">
        <f aca="false">IF($A194="","",IF($AK194=1,'كشف المطالبة'!$D$5,'كشف المطالبة'!$D$6)*100)</f>
        <v/>
      </c>
      <c r="AK194" s="28" t="str">
        <f aca="false">IF($A194="","",IF(OR($Q194=TRUE(),$Q194="TRUE"),1,0))</f>
        <v/>
      </c>
      <c r="AL194" s="28" t="str">
        <f aca="false">IF($N194="","",IF(MATCH($N194,$N$2:$N$3001,0)=ROWS($N$2:$N194),$N194,""))</f>
        <v/>
      </c>
    </row>
    <row r="195" customFormat="false" ht="15" hidden="false" customHeight="false" outlineLevel="0" collapsed="false">
      <c r="E195" s="25"/>
      <c r="M195" s="26" t="str">
        <f aca="false">IF($A195="","",$L195*$U195/100)</f>
        <v/>
      </c>
      <c r="W195" s="26" t="str">
        <f aca="false">IF($A195="","",U195*AB195/100)</f>
        <v/>
      </c>
      <c r="X195" s="26" t="str">
        <f aca="false">IF($A195="","",U195-W195)</f>
        <v/>
      </c>
      <c r="Y195" s="26" t="str">
        <f aca="false">IF($A195="","",U195-W195-M195)</f>
        <v/>
      </c>
      <c r="AB195" s="27" t="str">
        <f aca="false">IF($A195="","",IF($AK195=1,'كشف المطالبة'!$D$5,'كشف المطالبة'!$D$6)*100)</f>
        <v/>
      </c>
      <c r="AK195" s="28" t="str">
        <f aca="false">IF($A195="","",IF(OR($Q195=TRUE(),$Q195="TRUE"),1,0))</f>
        <v/>
      </c>
      <c r="AL195" s="28" t="str">
        <f aca="false">IF($N195="","",IF(MATCH($N195,$N$2:$N$3001,0)=ROWS($N$2:$N195),$N195,""))</f>
        <v/>
      </c>
    </row>
    <row r="196" customFormat="false" ht="15" hidden="false" customHeight="false" outlineLevel="0" collapsed="false">
      <c r="E196" s="25"/>
      <c r="M196" s="26" t="str">
        <f aca="false">IF($A196="","",$L196*$U196/100)</f>
        <v/>
      </c>
      <c r="W196" s="26" t="str">
        <f aca="false">IF($A196="","",U196*AB196/100)</f>
        <v/>
      </c>
      <c r="X196" s="26" t="str">
        <f aca="false">IF($A196="","",U196-W196)</f>
        <v/>
      </c>
      <c r="Y196" s="26" t="str">
        <f aca="false">IF($A196="","",U196-W196-M196)</f>
        <v/>
      </c>
      <c r="AB196" s="27" t="str">
        <f aca="false">IF($A196="","",IF($AK196=1,'كشف المطالبة'!$D$5,'كشف المطالبة'!$D$6)*100)</f>
        <v/>
      </c>
      <c r="AK196" s="28" t="str">
        <f aca="false">IF($A196="","",IF(OR($Q196=TRUE(),$Q196="TRUE"),1,0))</f>
        <v/>
      </c>
      <c r="AL196" s="28" t="str">
        <f aca="false">IF($N196="","",IF(MATCH($N196,$N$2:$N$3001,0)=ROWS($N$2:$N196),$N196,""))</f>
        <v/>
      </c>
    </row>
    <row r="197" customFormat="false" ht="15" hidden="false" customHeight="false" outlineLevel="0" collapsed="false">
      <c r="E197" s="25"/>
      <c r="M197" s="26" t="str">
        <f aca="false">IF($A197="","",$L197*$U197/100)</f>
        <v/>
      </c>
      <c r="W197" s="26" t="str">
        <f aca="false">IF($A197="","",U197*AB197/100)</f>
        <v/>
      </c>
      <c r="X197" s="26" t="str">
        <f aca="false">IF($A197="","",U197-W197)</f>
        <v/>
      </c>
      <c r="Y197" s="26" t="str">
        <f aca="false">IF($A197="","",U197-W197-M197)</f>
        <v/>
      </c>
      <c r="AB197" s="27" t="str">
        <f aca="false">IF($A197="","",IF($AK197=1,'كشف المطالبة'!$D$5,'كشف المطالبة'!$D$6)*100)</f>
        <v/>
      </c>
      <c r="AK197" s="28" t="str">
        <f aca="false">IF($A197="","",IF(OR($Q197=TRUE(),$Q197="TRUE"),1,0))</f>
        <v/>
      </c>
      <c r="AL197" s="28" t="str">
        <f aca="false">IF($N197="","",IF(MATCH($N197,$N$2:$N$3001,0)=ROWS($N$2:$N197),$N197,""))</f>
        <v/>
      </c>
    </row>
    <row r="198" customFormat="false" ht="15" hidden="false" customHeight="false" outlineLevel="0" collapsed="false">
      <c r="E198" s="25"/>
      <c r="M198" s="26" t="str">
        <f aca="false">IF($A198="","",$L198*$U198/100)</f>
        <v/>
      </c>
      <c r="W198" s="26" t="str">
        <f aca="false">IF($A198="","",U198*AB198/100)</f>
        <v/>
      </c>
      <c r="X198" s="26" t="str">
        <f aca="false">IF($A198="","",U198-W198)</f>
        <v/>
      </c>
      <c r="Y198" s="26" t="str">
        <f aca="false">IF($A198="","",U198-W198-M198)</f>
        <v/>
      </c>
      <c r="AB198" s="27" t="str">
        <f aca="false">IF($A198="","",IF($AK198=1,'كشف المطالبة'!$D$5,'كشف المطالبة'!$D$6)*100)</f>
        <v/>
      </c>
      <c r="AK198" s="28" t="str">
        <f aca="false">IF($A198="","",IF(OR($Q198=TRUE(),$Q198="TRUE"),1,0))</f>
        <v/>
      </c>
      <c r="AL198" s="28" t="str">
        <f aca="false">IF($N198="","",IF(MATCH($N198,$N$2:$N$3001,0)=ROWS($N$2:$N198),$N198,""))</f>
        <v/>
      </c>
    </row>
    <row r="199" customFormat="false" ht="15" hidden="false" customHeight="false" outlineLevel="0" collapsed="false">
      <c r="E199" s="25"/>
      <c r="M199" s="26" t="str">
        <f aca="false">IF($A199="","",$L199*$U199/100)</f>
        <v/>
      </c>
      <c r="W199" s="26" t="str">
        <f aca="false">IF($A199="","",U199*AB199/100)</f>
        <v/>
      </c>
      <c r="X199" s="26" t="str">
        <f aca="false">IF($A199="","",U199-W199)</f>
        <v/>
      </c>
      <c r="Y199" s="26" t="str">
        <f aca="false">IF($A199="","",U199-W199-M199)</f>
        <v/>
      </c>
      <c r="AB199" s="27" t="str">
        <f aca="false">IF($A199="","",IF($AK199=1,'كشف المطالبة'!$D$5,'كشف المطالبة'!$D$6)*100)</f>
        <v/>
      </c>
      <c r="AK199" s="28" t="str">
        <f aca="false">IF($A199="","",IF(OR($Q199=TRUE(),$Q199="TRUE"),1,0))</f>
        <v/>
      </c>
      <c r="AL199" s="28" t="str">
        <f aca="false">IF($N199="","",IF(MATCH($N199,$N$2:$N$3001,0)=ROWS($N$2:$N199),$N199,""))</f>
        <v/>
      </c>
    </row>
    <row r="200" customFormat="false" ht="15" hidden="false" customHeight="false" outlineLevel="0" collapsed="false">
      <c r="E200" s="25"/>
      <c r="M200" s="26" t="str">
        <f aca="false">IF($A200="","",$L200*$U200/100)</f>
        <v/>
      </c>
      <c r="W200" s="26" t="str">
        <f aca="false">IF($A200="","",U200*AB200/100)</f>
        <v/>
      </c>
      <c r="X200" s="26" t="str">
        <f aca="false">IF($A200="","",U200-W200)</f>
        <v/>
      </c>
      <c r="Y200" s="26" t="str">
        <f aca="false">IF($A200="","",U200-W200-M200)</f>
        <v/>
      </c>
      <c r="AB200" s="27" t="str">
        <f aca="false">IF($A200="","",IF($AK200=1,'كشف المطالبة'!$D$5,'كشف المطالبة'!$D$6)*100)</f>
        <v/>
      </c>
      <c r="AK200" s="28" t="str">
        <f aca="false">IF($A200="","",IF(OR($Q200=TRUE(),$Q200="TRUE"),1,0))</f>
        <v/>
      </c>
      <c r="AL200" s="28" t="str">
        <f aca="false">IF($N200="","",IF(MATCH($N200,$N$2:$N$3001,0)=ROWS($N$2:$N200),$N200,""))</f>
        <v/>
      </c>
    </row>
    <row r="201" customFormat="false" ht="15" hidden="false" customHeight="false" outlineLevel="0" collapsed="false">
      <c r="E201" s="25"/>
      <c r="M201" s="26" t="str">
        <f aca="false">IF($A201="","",$L201*$U201/100)</f>
        <v/>
      </c>
      <c r="W201" s="26" t="str">
        <f aca="false">IF($A201="","",U201*AB201/100)</f>
        <v/>
      </c>
      <c r="X201" s="26" t="str">
        <f aca="false">IF($A201="","",U201-W201)</f>
        <v/>
      </c>
      <c r="Y201" s="26" t="str">
        <f aca="false">IF($A201="","",U201-W201-M201)</f>
        <v/>
      </c>
      <c r="AB201" s="27" t="str">
        <f aca="false">IF($A201="","",IF($AK201=1,'كشف المطالبة'!$D$5,'كشف المطالبة'!$D$6)*100)</f>
        <v/>
      </c>
      <c r="AK201" s="28" t="str">
        <f aca="false">IF($A201="","",IF(OR($Q201=TRUE(),$Q201="TRUE"),1,0))</f>
        <v/>
      </c>
      <c r="AL201" s="28" t="str">
        <f aca="false">IF($N201="","",IF(MATCH($N201,$N$2:$N$3001,0)=ROWS($N$2:$N201),$N201,""))</f>
        <v/>
      </c>
    </row>
    <row r="202" customFormat="false" ht="15" hidden="false" customHeight="false" outlineLevel="0" collapsed="false">
      <c r="E202" s="25"/>
      <c r="M202" s="26" t="str">
        <f aca="false">IF($A202="","",$L202*$U202/100)</f>
        <v/>
      </c>
      <c r="W202" s="26" t="str">
        <f aca="false">IF($A202="","",U202*AB202/100)</f>
        <v/>
      </c>
      <c r="X202" s="26" t="str">
        <f aca="false">IF($A202="","",U202-W202)</f>
        <v/>
      </c>
      <c r="Y202" s="26" t="str">
        <f aca="false">IF($A202="","",U202-W202-M202)</f>
        <v/>
      </c>
      <c r="AB202" s="27" t="str">
        <f aca="false">IF($A202="","",IF($AK202=1,'كشف المطالبة'!$D$5,'كشف المطالبة'!$D$6)*100)</f>
        <v/>
      </c>
      <c r="AK202" s="28" t="str">
        <f aca="false">IF($A202="","",IF(OR($Q202=TRUE(),$Q202="TRUE"),1,0))</f>
        <v/>
      </c>
      <c r="AL202" s="28" t="str">
        <f aca="false">IF($N202="","",IF(MATCH($N202,$N$2:$N$3001,0)=ROWS($N$2:$N202),$N202,""))</f>
        <v/>
      </c>
    </row>
    <row r="203" customFormat="false" ht="15" hidden="false" customHeight="false" outlineLevel="0" collapsed="false">
      <c r="E203" s="25"/>
      <c r="M203" s="26" t="str">
        <f aca="false">IF($A203="","",$L203*$U203/100)</f>
        <v/>
      </c>
      <c r="W203" s="26" t="str">
        <f aca="false">IF($A203="","",U203*AB203/100)</f>
        <v/>
      </c>
      <c r="X203" s="26" t="str">
        <f aca="false">IF($A203="","",U203-W203)</f>
        <v/>
      </c>
      <c r="Y203" s="26" t="str">
        <f aca="false">IF($A203="","",U203-W203-M203)</f>
        <v/>
      </c>
      <c r="AB203" s="27" t="str">
        <f aca="false">IF($A203="","",IF($AK203=1,'كشف المطالبة'!$D$5,'كشف المطالبة'!$D$6)*100)</f>
        <v/>
      </c>
      <c r="AK203" s="28" t="str">
        <f aca="false">IF($A203="","",IF(OR($Q203=TRUE(),$Q203="TRUE"),1,0))</f>
        <v/>
      </c>
      <c r="AL203" s="28" t="str">
        <f aca="false">IF($N203="","",IF(MATCH($N203,$N$2:$N$3001,0)=ROWS($N$2:$N203),$N203,""))</f>
        <v/>
      </c>
    </row>
    <row r="204" customFormat="false" ht="15" hidden="false" customHeight="false" outlineLevel="0" collapsed="false">
      <c r="E204" s="25"/>
      <c r="M204" s="26" t="str">
        <f aca="false">IF($A204="","",$L204*$U204/100)</f>
        <v/>
      </c>
      <c r="W204" s="26" t="str">
        <f aca="false">IF($A204="","",U204*AB204/100)</f>
        <v/>
      </c>
      <c r="X204" s="26" t="str">
        <f aca="false">IF($A204="","",U204-W204)</f>
        <v/>
      </c>
      <c r="Y204" s="26" t="str">
        <f aca="false">IF($A204="","",U204-W204-M204)</f>
        <v/>
      </c>
      <c r="AB204" s="27" t="str">
        <f aca="false">IF($A204="","",IF($AK204=1,'كشف المطالبة'!$D$5,'كشف المطالبة'!$D$6)*100)</f>
        <v/>
      </c>
      <c r="AK204" s="28" t="str">
        <f aca="false">IF($A204="","",IF(OR($Q204=TRUE(),$Q204="TRUE"),1,0))</f>
        <v/>
      </c>
      <c r="AL204" s="28" t="str">
        <f aca="false">IF($N204="","",IF(MATCH($N204,$N$2:$N$3001,0)=ROWS($N$2:$N204),$N204,""))</f>
        <v/>
      </c>
    </row>
    <row r="205" customFormat="false" ht="15" hidden="false" customHeight="false" outlineLevel="0" collapsed="false">
      <c r="E205" s="25"/>
      <c r="M205" s="26" t="str">
        <f aca="false">IF($A205="","",$L205*$U205/100)</f>
        <v/>
      </c>
      <c r="W205" s="26" t="str">
        <f aca="false">IF($A205="","",U205*AB205/100)</f>
        <v/>
      </c>
      <c r="X205" s="26" t="str">
        <f aca="false">IF($A205="","",U205-W205)</f>
        <v/>
      </c>
      <c r="Y205" s="26" t="str">
        <f aca="false">IF($A205="","",U205-W205-M205)</f>
        <v/>
      </c>
      <c r="AB205" s="27" t="str">
        <f aca="false">IF($A205="","",IF($AK205=1,'كشف المطالبة'!$D$5,'كشف المطالبة'!$D$6)*100)</f>
        <v/>
      </c>
      <c r="AK205" s="28" t="str">
        <f aca="false">IF($A205="","",IF(OR($Q205=TRUE(),$Q205="TRUE"),1,0))</f>
        <v/>
      </c>
      <c r="AL205" s="28" t="str">
        <f aca="false">IF($N205="","",IF(MATCH($N205,$N$2:$N$3001,0)=ROWS($N$2:$N205),$N205,""))</f>
        <v/>
      </c>
    </row>
    <row r="206" customFormat="false" ht="15" hidden="false" customHeight="false" outlineLevel="0" collapsed="false">
      <c r="E206" s="25"/>
      <c r="M206" s="26" t="str">
        <f aca="false">IF($A206="","",$L206*$U206/100)</f>
        <v/>
      </c>
      <c r="W206" s="26" t="str">
        <f aca="false">IF($A206="","",U206*AB206/100)</f>
        <v/>
      </c>
      <c r="X206" s="26" t="str">
        <f aca="false">IF($A206="","",U206-W206)</f>
        <v/>
      </c>
      <c r="Y206" s="26" t="str">
        <f aca="false">IF($A206="","",U206-W206-M206)</f>
        <v/>
      </c>
      <c r="AB206" s="27" t="str">
        <f aca="false">IF($A206="","",IF($AK206=1,'كشف المطالبة'!$D$5,'كشف المطالبة'!$D$6)*100)</f>
        <v/>
      </c>
      <c r="AK206" s="28" t="str">
        <f aca="false">IF($A206="","",IF(OR($Q206=TRUE(),$Q206="TRUE"),1,0))</f>
        <v/>
      </c>
      <c r="AL206" s="28" t="str">
        <f aca="false">IF($N206="","",IF(MATCH($N206,$N$2:$N$3001,0)=ROWS($N$2:$N206),$N206,""))</f>
        <v/>
      </c>
    </row>
    <row r="207" customFormat="false" ht="15" hidden="false" customHeight="false" outlineLevel="0" collapsed="false">
      <c r="E207" s="25"/>
      <c r="M207" s="26" t="str">
        <f aca="false">IF($A207="","",$L207*$U207/100)</f>
        <v/>
      </c>
      <c r="W207" s="26" t="str">
        <f aca="false">IF($A207="","",U207*AB207/100)</f>
        <v/>
      </c>
      <c r="X207" s="26" t="str">
        <f aca="false">IF($A207="","",U207-W207)</f>
        <v/>
      </c>
      <c r="Y207" s="26" t="str">
        <f aca="false">IF($A207="","",U207-W207-M207)</f>
        <v/>
      </c>
      <c r="AB207" s="27" t="str">
        <f aca="false">IF($A207="","",IF($AK207=1,'كشف المطالبة'!$D$5,'كشف المطالبة'!$D$6)*100)</f>
        <v/>
      </c>
      <c r="AK207" s="28" t="str">
        <f aca="false">IF($A207="","",IF(OR($Q207=TRUE(),$Q207="TRUE"),1,0))</f>
        <v/>
      </c>
      <c r="AL207" s="28" t="str">
        <f aca="false">IF($N207="","",IF(MATCH($N207,$N$2:$N$3001,0)=ROWS($N$2:$N207),$N207,""))</f>
        <v/>
      </c>
    </row>
    <row r="208" customFormat="false" ht="15" hidden="false" customHeight="false" outlineLevel="0" collapsed="false">
      <c r="E208" s="25"/>
      <c r="M208" s="26" t="str">
        <f aca="false">IF($A208="","",$L208*$U208/100)</f>
        <v/>
      </c>
      <c r="W208" s="26" t="str">
        <f aca="false">IF($A208="","",U208*AB208/100)</f>
        <v/>
      </c>
      <c r="X208" s="26" t="str">
        <f aca="false">IF($A208="","",U208-W208)</f>
        <v/>
      </c>
      <c r="Y208" s="26" t="str">
        <f aca="false">IF($A208="","",U208-W208-M208)</f>
        <v/>
      </c>
      <c r="AB208" s="27" t="str">
        <f aca="false">IF($A208="","",IF($AK208=1,'كشف المطالبة'!$D$5,'كشف المطالبة'!$D$6)*100)</f>
        <v/>
      </c>
      <c r="AK208" s="28" t="str">
        <f aca="false">IF($A208="","",IF(OR($Q208=TRUE(),$Q208="TRUE"),1,0))</f>
        <v/>
      </c>
      <c r="AL208" s="28" t="str">
        <f aca="false">IF($N208="","",IF(MATCH($N208,$N$2:$N$3001,0)=ROWS($N$2:$N208),$N208,""))</f>
        <v/>
      </c>
    </row>
    <row r="209" customFormat="false" ht="15" hidden="false" customHeight="false" outlineLevel="0" collapsed="false">
      <c r="E209" s="25"/>
      <c r="M209" s="26" t="str">
        <f aca="false">IF($A209="","",$L209*$U209/100)</f>
        <v/>
      </c>
      <c r="W209" s="26" t="str">
        <f aca="false">IF($A209="","",U209*AB209/100)</f>
        <v/>
      </c>
      <c r="X209" s="26" t="str">
        <f aca="false">IF($A209="","",U209-W209)</f>
        <v/>
      </c>
      <c r="Y209" s="26" t="str">
        <f aca="false">IF($A209="","",U209-W209-M209)</f>
        <v/>
      </c>
      <c r="AB209" s="27" t="str">
        <f aca="false">IF($A209="","",IF($AK209=1,'كشف المطالبة'!$D$5,'كشف المطالبة'!$D$6)*100)</f>
        <v/>
      </c>
      <c r="AK209" s="28" t="str">
        <f aca="false">IF($A209="","",IF(OR($Q209=TRUE(),$Q209="TRUE"),1,0))</f>
        <v/>
      </c>
      <c r="AL209" s="28" t="str">
        <f aca="false">IF($N209="","",IF(MATCH($N209,$N$2:$N$3001,0)=ROWS($N$2:$N209),$N209,""))</f>
        <v/>
      </c>
    </row>
    <row r="210" customFormat="false" ht="15" hidden="false" customHeight="false" outlineLevel="0" collapsed="false">
      <c r="E210" s="25"/>
      <c r="M210" s="26" t="str">
        <f aca="false">IF($A210="","",$L210*$U210/100)</f>
        <v/>
      </c>
      <c r="W210" s="26" t="str">
        <f aca="false">IF($A210="","",U210*AB210/100)</f>
        <v/>
      </c>
      <c r="X210" s="26" t="str">
        <f aca="false">IF($A210="","",U210-W210)</f>
        <v/>
      </c>
      <c r="Y210" s="26" t="str">
        <f aca="false">IF($A210="","",U210-W210-M210)</f>
        <v/>
      </c>
      <c r="AB210" s="27" t="str">
        <f aca="false">IF($A210="","",IF($AK210=1,'كشف المطالبة'!$D$5,'كشف المطالبة'!$D$6)*100)</f>
        <v/>
      </c>
      <c r="AK210" s="28" t="str">
        <f aca="false">IF($A210="","",IF(OR($Q210=TRUE(),$Q210="TRUE"),1,0))</f>
        <v/>
      </c>
      <c r="AL210" s="28" t="str">
        <f aca="false">IF($N210="","",IF(MATCH($N210,$N$2:$N$3001,0)=ROWS($N$2:$N210),$N210,""))</f>
        <v/>
      </c>
    </row>
    <row r="211" customFormat="false" ht="15" hidden="false" customHeight="false" outlineLevel="0" collapsed="false">
      <c r="E211" s="25"/>
      <c r="M211" s="26" t="str">
        <f aca="false">IF($A211="","",$L211*$U211/100)</f>
        <v/>
      </c>
      <c r="W211" s="26" t="str">
        <f aca="false">IF($A211="","",U211*AB211/100)</f>
        <v/>
      </c>
      <c r="X211" s="26" t="str">
        <f aca="false">IF($A211="","",U211-W211)</f>
        <v/>
      </c>
      <c r="Y211" s="26" t="str">
        <f aca="false">IF($A211="","",U211-W211-M211)</f>
        <v/>
      </c>
      <c r="AB211" s="27" t="str">
        <f aca="false">IF($A211="","",IF($AK211=1,'كشف المطالبة'!$D$5,'كشف المطالبة'!$D$6)*100)</f>
        <v/>
      </c>
      <c r="AK211" s="28" t="str">
        <f aca="false">IF($A211="","",IF(OR($Q211=TRUE(),$Q211="TRUE"),1,0))</f>
        <v/>
      </c>
      <c r="AL211" s="28" t="str">
        <f aca="false">IF($N211="","",IF(MATCH($N211,$N$2:$N$3001,0)=ROWS($N$2:$N211),$N211,""))</f>
        <v/>
      </c>
    </row>
    <row r="212" customFormat="false" ht="15" hidden="false" customHeight="false" outlineLevel="0" collapsed="false">
      <c r="E212" s="25"/>
      <c r="M212" s="26" t="str">
        <f aca="false">IF($A212="","",$L212*$U212/100)</f>
        <v/>
      </c>
      <c r="W212" s="26" t="str">
        <f aca="false">IF($A212="","",U212*AB212/100)</f>
        <v/>
      </c>
      <c r="X212" s="26" t="str">
        <f aca="false">IF($A212="","",U212-W212)</f>
        <v/>
      </c>
      <c r="Y212" s="26" t="str">
        <f aca="false">IF($A212="","",U212-W212-M212)</f>
        <v/>
      </c>
      <c r="AB212" s="27" t="str">
        <f aca="false">IF($A212="","",IF($AK212=1,'كشف المطالبة'!$D$5,'كشف المطالبة'!$D$6)*100)</f>
        <v/>
      </c>
      <c r="AK212" s="28" t="str">
        <f aca="false">IF($A212="","",IF(OR($Q212=TRUE(),$Q212="TRUE"),1,0))</f>
        <v/>
      </c>
      <c r="AL212" s="28" t="str">
        <f aca="false">IF($N212="","",IF(MATCH($N212,$N$2:$N$3001,0)=ROWS($N$2:$N212),$N212,""))</f>
        <v/>
      </c>
    </row>
    <row r="213" customFormat="false" ht="15" hidden="false" customHeight="false" outlineLevel="0" collapsed="false">
      <c r="E213" s="25"/>
      <c r="M213" s="26" t="str">
        <f aca="false">IF($A213="","",$L213*$U213/100)</f>
        <v/>
      </c>
      <c r="W213" s="26" t="str">
        <f aca="false">IF($A213="","",U213*AB213/100)</f>
        <v/>
      </c>
      <c r="X213" s="26" t="str">
        <f aca="false">IF($A213="","",U213-W213)</f>
        <v/>
      </c>
      <c r="Y213" s="26" t="str">
        <f aca="false">IF($A213="","",U213-W213-M213)</f>
        <v/>
      </c>
      <c r="AB213" s="27" t="str">
        <f aca="false">IF($A213="","",IF($AK213=1,'كشف المطالبة'!$D$5,'كشف المطالبة'!$D$6)*100)</f>
        <v/>
      </c>
      <c r="AK213" s="28" t="str">
        <f aca="false">IF($A213="","",IF(OR($Q213=TRUE(),$Q213="TRUE"),1,0))</f>
        <v/>
      </c>
      <c r="AL213" s="28" t="str">
        <f aca="false">IF($N213="","",IF(MATCH($N213,$N$2:$N$3001,0)=ROWS($N$2:$N213),$N213,""))</f>
        <v/>
      </c>
    </row>
    <row r="214" customFormat="false" ht="15" hidden="false" customHeight="false" outlineLevel="0" collapsed="false">
      <c r="E214" s="25"/>
      <c r="M214" s="26" t="str">
        <f aca="false">IF($A214="","",$L214*$U214/100)</f>
        <v/>
      </c>
      <c r="W214" s="26" t="str">
        <f aca="false">IF($A214="","",U214*AB214/100)</f>
        <v/>
      </c>
      <c r="X214" s="26" t="str">
        <f aca="false">IF($A214="","",U214-W214)</f>
        <v/>
      </c>
      <c r="Y214" s="26" t="str">
        <f aca="false">IF($A214="","",U214-W214-M214)</f>
        <v/>
      </c>
      <c r="AB214" s="27" t="str">
        <f aca="false">IF($A214="","",IF($AK214=1,'كشف المطالبة'!$D$5,'كشف المطالبة'!$D$6)*100)</f>
        <v/>
      </c>
      <c r="AK214" s="28" t="str">
        <f aca="false">IF($A214="","",IF(OR($Q214=TRUE(),$Q214="TRUE"),1,0))</f>
        <v/>
      </c>
      <c r="AL214" s="28" t="str">
        <f aca="false">IF($N214="","",IF(MATCH($N214,$N$2:$N$3001,0)=ROWS($N$2:$N214),$N214,""))</f>
        <v/>
      </c>
    </row>
    <row r="215" customFormat="false" ht="15" hidden="false" customHeight="false" outlineLevel="0" collapsed="false">
      <c r="E215" s="25"/>
      <c r="M215" s="26" t="str">
        <f aca="false">IF($A215="","",$L215*$U215/100)</f>
        <v/>
      </c>
      <c r="W215" s="26" t="str">
        <f aca="false">IF($A215="","",U215*AB215/100)</f>
        <v/>
      </c>
      <c r="X215" s="26" t="str">
        <f aca="false">IF($A215="","",U215-W215)</f>
        <v/>
      </c>
      <c r="Y215" s="26" t="str">
        <f aca="false">IF($A215="","",U215-W215-M215)</f>
        <v/>
      </c>
      <c r="AB215" s="27" t="str">
        <f aca="false">IF($A215="","",IF($AK215=1,'كشف المطالبة'!$D$5,'كشف المطالبة'!$D$6)*100)</f>
        <v/>
      </c>
      <c r="AK215" s="28" t="str">
        <f aca="false">IF($A215="","",IF(OR($Q215=TRUE(),$Q215="TRUE"),1,0))</f>
        <v/>
      </c>
      <c r="AL215" s="28" t="str">
        <f aca="false">IF($N215="","",IF(MATCH($N215,$N$2:$N$3001,0)=ROWS($N$2:$N215),$N215,""))</f>
        <v/>
      </c>
    </row>
    <row r="216" customFormat="false" ht="15" hidden="false" customHeight="false" outlineLevel="0" collapsed="false">
      <c r="E216" s="25"/>
      <c r="M216" s="26" t="str">
        <f aca="false">IF($A216="","",$L216*$U216/100)</f>
        <v/>
      </c>
      <c r="W216" s="26" t="str">
        <f aca="false">IF($A216="","",U216*AB216/100)</f>
        <v/>
      </c>
      <c r="X216" s="26" t="str">
        <f aca="false">IF($A216="","",U216-W216)</f>
        <v/>
      </c>
      <c r="Y216" s="26" t="str">
        <f aca="false">IF($A216="","",U216-W216-M216)</f>
        <v/>
      </c>
      <c r="AB216" s="27" t="str">
        <f aca="false">IF($A216="","",IF($AK216=1,'كشف المطالبة'!$D$5,'كشف المطالبة'!$D$6)*100)</f>
        <v/>
      </c>
      <c r="AK216" s="28" t="str">
        <f aca="false">IF($A216="","",IF(OR($Q216=TRUE(),$Q216="TRUE"),1,0))</f>
        <v/>
      </c>
      <c r="AL216" s="28" t="str">
        <f aca="false">IF($N216="","",IF(MATCH($N216,$N$2:$N$3001,0)=ROWS($N$2:$N216),$N216,""))</f>
        <v/>
      </c>
    </row>
    <row r="217" customFormat="false" ht="15" hidden="false" customHeight="false" outlineLevel="0" collapsed="false">
      <c r="E217" s="25"/>
      <c r="M217" s="26" t="str">
        <f aca="false">IF($A217="","",$L217*$U217/100)</f>
        <v/>
      </c>
      <c r="W217" s="26" t="str">
        <f aca="false">IF($A217="","",U217*AB217/100)</f>
        <v/>
      </c>
      <c r="X217" s="26" t="str">
        <f aca="false">IF($A217="","",U217-W217)</f>
        <v/>
      </c>
      <c r="Y217" s="26" t="str">
        <f aca="false">IF($A217="","",U217-W217-M217)</f>
        <v/>
      </c>
      <c r="AB217" s="27" t="str">
        <f aca="false">IF($A217="","",IF($AK217=1,'كشف المطالبة'!$D$5,'كشف المطالبة'!$D$6)*100)</f>
        <v/>
      </c>
      <c r="AK217" s="28" t="str">
        <f aca="false">IF($A217="","",IF(OR($Q217=TRUE(),$Q217="TRUE"),1,0))</f>
        <v/>
      </c>
      <c r="AL217" s="28" t="str">
        <f aca="false">IF($N217="","",IF(MATCH($N217,$N$2:$N$3001,0)=ROWS($N$2:$N217),$N217,""))</f>
        <v/>
      </c>
    </row>
    <row r="218" customFormat="false" ht="15" hidden="false" customHeight="false" outlineLevel="0" collapsed="false">
      <c r="E218" s="25"/>
      <c r="M218" s="26" t="str">
        <f aca="false">IF($A218="","",$L218*$U218/100)</f>
        <v/>
      </c>
      <c r="W218" s="26" t="str">
        <f aca="false">IF($A218="","",U218*AB218/100)</f>
        <v/>
      </c>
      <c r="X218" s="26" t="str">
        <f aca="false">IF($A218="","",U218-W218)</f>
        <v/>
      </c>
      <c r="Y218" s="26" t="str">
        <f aca="false">IF($A218="","",U218-W218-M218)</f>
        <v/>
      </c>
      <c r="AB218" s="27" t="str">
        <f aca="false">IF($A218="","",IF($AK218=1,'كشف المطالبة'!$D$5,'كشف المطالبة'!$D$6)*100)</f>
        <v/>
      </c>
      <c r="AK218" s="28" t="str">
        <f aca="false">IF($A218="","",IF(OR($Q218=TRUE(),$Q218="TRUE"),1,0))</f>
        <v/>
      </c>
      <c r="AL218" s="28" t="str">
        <f aca="false">IF($N218="","",IF(MATCH($N218,$N$2:$N$3001,0)=ROWS($N$2:$N218),$N218,""))</f>
        <v/>
      </c>
    </row>
    <row r="219" customFormat="false" ht="15" hidden="false" customHeight="false" outlineLevel="0" collapsed="false">
      <c r="E219" s="25"/>
      <c r="M219" s="26" t="str">
        <f aca="false">IF($A219="","",$L219*$U219/100)</f>
        <v/>
      </c>
      <c r="W219" s="26" t="str">
        <f aca="false">IF($A219="","",U219*AB219/100)</f>
        <v/>
      </c>
      <c r="X219" s="26" t="str">
        <f aca="false">IF($A219="","",U219-W219)</f>
        <v/>
      </c>
      <c r="Y219" s="26" t="str">
        <f aca="false">IF($A219="","",U219-W219-M219)</f>
        <v/>
      </c>
      <c r="AB219" s="27" t="str">
        <f aca="false">IF($A219="","",IF($AK219=1,'كشف المطالبة'!$D$5,'كشف المطالبة'!$D$6)*100)</f>
        <v/>
      </c>
      <c r="AK219" s="28" t="str">
        <f aca="false">IF($A219="","",IF(OR($Q219=TRUE(),$Q219="TRUE"),1,0))</f>
        <v/>
      </c>
      <c r="AL219" s="28" t="str">
        <f aca="false">IF($N219="","",IF(MATCH($N219,$N$2:$N$3001,0)=ROWS($N$2:$N219),$N219,""))</f>
        <v/>
      </c>
    </row>
    <row r="220" customFormat="false" ht="15" hidden="false" customHeight="false" outlineLevel="0" collapsed="false">
      <c r="E220" s="25"/>
      <c r="M220" s="26" t="str">
        <f aca="false">IF($A220="","",$L220*$U220/100)</f>
        <v/>
      </c>
      <c r="W220" s="26" t="str">
        <f aca="false">IF($A220="","",U220*AB220/100)</f>
        <v/>
      </c>
      <c r="X220" s="26" t="str">
        <f aca="false">IF($A220="","",U220-W220)</f>
        <v/>
      </c>
      <c r="Y220" s="26" t="str">
        <f aca="false">IF($A220="","",U220-W220-M220)</f>
        <v/>
      </c>
      <c r="AB220" s="27" t="str">
        <f aca="false">IF($A220="","",IF($AK220=1,'كشف المطالبة'!$D$5,'كشف المطالبة'!$D$6)*100)</f>
        <v/>
      </c>
      <c r="AK220" s="28" t="str">
        <f aca="false">IF($A220="","",IF(OR($Q220=TRUE(),$Q220="TRUE"),1,0))</f>
        <v/>
      </c>
      <c r="AL220" s="28" t="str">
        <f aca="false">IF($N220="","",IF(MATCH($N220,$N$2:$N$3001,0)=ROWS($N$2:$N220),$N220,""))</f>
        <v/>
      </c>
    </row>
    <row r="221" customFormat="false" ht="15" hidden="false" customHeight="false" outlineLevel="0" collapsed="false">
      <c r="E221" s="25"/>
      <c r="M221" s="26" t="str">
        <f aca="false">IF($A221="","",$L221*$U221/100)</f>
        <v/>
      </c>
      <c r="W221" s="26" t="str">
        <f aca="false">IF($A221="","",U221*AB221/100)</f>
        <v/>
      </c>
      <c r="X221" s="26" t="str">
        <f aca="false">IF($A221="","",U221-W221)</f>
        <v/>
      </c>
      <c r="Y221" s="26" t="str">
        <f aca="false">IF($A221="","",U221-W221-M221)</f>
        <v/>
      </c>
      <c r="AB221" s="27" t="str">
        <f aca="false">IF($A221="","",IF($AK221=1,'كشف المطالبة'!$D$5,'كشف المطالبة'!$D$6)*100)</f>
        <v/>
      </c>
      <c r="AK221" s="28" t="str">
        <f aca="false">IF($A221="","",IF(OR($Q221=TRUE(),$Q221="TRUE"),1,0))</f>
        <v/>
      </c>
      <c r="AL221" s="28" t="str">
        <f aca="false">IF($N221="","",IF(MATCH($N221,$N$2:$N$3001,0)=ROWS($N$2:$N221),$N221,""))</f>
        <v/>
      </c>
    </row>
    <row r="222" customFormat="false" ht="15" hidden="false" customHeight="false" outlineLevel="0" collapsed="false">
      <c r="E222" s="25"/>
      <c r="M222" s="26" t="str">
        <f aca="false">IF($A222="","",$L222*$U222/100)</f>
        <v/>
      </c>
      <c r="W222" s="26" t="str">
        <f aca="false">IF($A222="","",U222*AB222/100)</f>
        <v/>
      </c>
      <c r="X222" s="26" t="str">
        <f aca="false">IF($A222="","",U222-W222)</f>
        <v/>
      </c>
      <c r="Y222" s="26" t="str">
        <f aca="false">IF($A222="","",U222-W222-M222)</f>
        <v/>
      </c>
      <c r="AB222" s="27" t="str">
        <f aca="false">IF($A222="","",IF($AK222=1,'كشف المطالبة'!$D$5,'كشف المطالبة'!$D$6)*100)</f>
        <v/>
      </c>
      <c r="AK222" s="28" t="str">
        <f aca="false">IF($A222="","",IF(OR($Q222=TRUE(),$Q222="TRUE"),1,0))</f>
        <v/>
      </c>
      <c r="AL222" s="28" t="str">
        <f aca="false">IF($N222="","",IF(MATCH($N222,$N$2:$N$3001,0)=ROWS($N$2:$N222),$N222,""))</f>
        <v/>
      </c>
    </row>
    <row r="223" customFormat="false" ht="15" hidden="false" customHeight="false" outlineLevel="0" collapsed="false">
      <c r="E223" s="25"/>
      <c r="M223" s="26" t="str">
        <f aca="false">IF($A223="","",$L223*$U223/100)</f>
        <v/>
      </c>
      <c r="W223" s="26" t="str">
        <f aca="false">IF($A223="","",U223*AB223/100)</f>
        <v/>
      </c>
      <c r="X223" s="26" t="str">
        <f aca="false">IF($A223="","",U223-W223)</f>
        <v/>
      </c>
      <c r="Y223" s="26" t="str">
        <f aca="false">IF($A223="","",U223-W223-M223)</f>
        <v/>
      </c>
      <c r="AB223" s="27" t="str">
        <f aca="false">IF($A223="","",IF($AK223=1,'كشف المطالبة'!$D$5,'كشف المطالبة'!$D$6)*100)</f>
        <v/>
      </c>
      <c r="AK223" s="28" t="str">
        <f aca="false">IF($A223="","",IF(OR($Q223=TRUE(),$Q223="TRUE"),1,0))</f>
        <v/>
      </c>
      <c r="AL223" s="28" t="str">
        <f aca="false">IF($N223="","",IF(MATCH($N223,$N$2:$N$3001,0)=ROWS($N$2:$N223),$N223,""))</f>
        <v/>
      </c>
    </row>
    <row r="224" customFormat="false" ht="15" hidden="false" customHeight="false" outlineLevel="0" collapsed="false">
      <c r="E224" s="25"/>
      <c r="M224" s="26" t="str">
        <f aca="false">IF($A224="","",$L224*$U224/100)</f>
        <v/>
      </c>
      <c r="W224" s="26" t="str">
        <f aca="false">IF($A224="","",U224*AB224/100)</f>
        <v/>
      </c>
      <c r="X224" s="26" t="str">
        <f aca="false">IF($A224="","",U224-W224)</f>
        <v/>
      </c>
      <c r="Y224" s="26" t="str">
        <f aca="false">IF($A224="","",U224-W224-M224)</f>
        <v/>
      </c>
      <c r="AB224" s="27" t="str">
        <f aca="false">IF($A224="","",IF($AK224=1,'كشف المطالبة'!$D$5,'كشف المطالبة'!$D$6)*100)</f>
        <v/>
      </c>
      <c r="AK224" s="28" t="str">
        <f aca="false">IF($A224="","",IF(OR($Q224=TRUE(),$Q224="TRUE"),1,0))</f>
        <v/>
      </c>
      <c r="AL224" s="28" t="str">
        <f aca="false">IF($N224="","",IF(MATCH($N224,$N$2:$N$3001,0)=ROWS($N$2:$N224),$N224,""))</f>
        <v/>
      </c>
    </row>
    <row r="225" customFormat="false" ht="15" hidden="false" customHeight="false" outlineLevel="0" collapsed="false">
      <c r="E225" s="25"/>
      <c r="M225" s="26" t="str">
        <f aca="false">IF($A225="","",$L225*$U225/100)</f>
        <v/>
      </c>
      <c r="W225" s="26" t="str">
        <f aca="false">IF($A225="","",U225*AB225/100)</f>
        <v/>
      </c>
      <c r="X225" s="26" t="str">
        <f aca="false">IF($A225="","",U225-W225)</f>
        <v/>
      </c>
      <c r="Y225" s="26" t="str">
        <f aca="false">IF($A225="","",U225-W225-M225)</f>
        <v/>
      </c>
      <c r="AB225" s="27" t="str">
        <f aca="false">IF($A225="","",IF($AK225=1,'كشف المطالبة'!$D$5,'كشف المطالبة'!$D$6)*100)</f>
        <v/>
      </c>
      <c r="AK225" s="28" t="str">
        <f aca="false">IF($A225="","",IF(OR($Q225=TRUE(),$Q225="TRUE"),1,0))</f>
        <v/>
      </c>
      <c r="AL225" s="28" t="str">
        <f aca="false">IF($N225="","",IF(MATCH($N225,$N$2:$N$3001,0)=ROWS($N$2:$N225),$N225,""))</f>
        <v/>
      </c>
    </row>
    <row r="226" customFormat="false" ht="15" hidden="false" customHeight="false" outlineLevel="0" collapsed="false">
      <c r="E226" s="25"/>
      <c r="M226" s="26" t="str">
        <f aca="false">IF($A226="","",$L226*$U226/100)</f>
        <v/>
      </c>
      <c r="W226" s="26" t="str">
        <f aca="false">IF($A226="","",U226*AB226/100)</f>
        <v/>
      </c>
      <c r="X226" s="26" t="str">
        <f aca="false">IF($A226="","",U226-W226)</f>
        <v/>
      </c>
      <c r="Y226" s="26" t="str">
        <f aca="false">IF($A226="","",U226-W226-M226)</f>
        <v/>
      </c>
      <c r="AB226" s="27" t="str">
        <f aca="false">IF($A226="","",IF($AK226=1,'كشف المطالبة'!$D$5,'كشف المطالبة'!$D$6)*100)</f>
        <v/>
      </c>
      <c r="AK226" s="28" t="str">
        <f aca="false">IF($A226="","",IF(OR($Q226=TRUE(),$Q226="TRUE"),1,0))</f>
        <v/>
      </c>
      <c r="AL226" s="28" t="str">
        <f aca="false">IF($N226="","",IF(MATCH($N226,$N$2:$N$3001,0)=ROWS($N$2:$N226),$N226,""))</f>
        <v/>
      </c>
    </row>
    <row r="227" customFormat="false" ht="15" hidden="false" customHeight="false" outlineLevel="0" collapsed="false">
      <c r="E227" s="25"/>
      <c r="M227" s="26" t="str">
        <f aca="false">IF($A227="","",$L227*$U227/100)</f>
        <v/>
      </c>
      <c r="W227" s="26" t="str">
        <f aca="false">IF($A227="","",U227*AB227/100)</f>
        <v/>
      </c>
      <c r="X227" s="26" t="str">
        <f aca="false">IF($A227="","",U227-W227)</f>
        <v/>
      </c>
      <c r="Y227" s="26" t="str">
        <f aca="false">IF($A227="","",U227-W227-M227)</f>
        <v/>
      </c>
      <c r="AB227" s="27" t="str">
        <f aca="false">IF($A227="","",IF($AK227=1,'كشف المطالبة'!$D$5,'كشف المطالبة'!$D$6)*100)</f>
        <v/>
      </c>
      <c r="AK227" s="28" t="str">
        <f aca="false">IF($A227="","",IF(OR($Q227=TRUE(),$Q227="TRUE"),1,0))</f>
        <v/>
      </c>
      <c r="AL227" s="28" t="str">
        <f aca="false">IF($N227="","",IF(MATCH($N227,$N$2:$N$3001,0)=ROWS($N$2:$N227),$N227,""))</f>
        <v/>
      </c>
    </row>
    <row r="228" customFormat="false" ht="15" hidden="false" customHeight="false" outlineLevel="0" collapsed="false">
      <c r="E228" s="25"/>
      <c r="M228" s="26" t="str">
        <f aca="false">IF($A228="","",$L228*$U228/100)</f>
        <v/>
      </c>
      <c r="W228" s="26" t="str">
        <f aca="false">IF($A228="","",U228*AB228/100)</f>
        <v/>
      </c>
      <c r="X228" s="26" t="str">
        <f aca="false">IF($A228="","",U228-W228)</f>
        <v/>
      </c>
      <c r="Y228" s="26" t="str">
        <f aca="false">IF($A228="","",U228-W228-M228)</f>
        <v/>
      </c>
      <c r="AB228" s="27" t="str">
        <f aca="false">IF($A228="","",IF($AK228=1,'كشف المطالبة'!$D$5,'كشف المطالبة'!$D$6)*100)</f>
        <v/>
      </c>
      <c r="AK228" s="28" t="str">
        <f aca="false">IF($A228="","",IF(OR($Q228=TRUE(),$Q228="TRUE"),1,0))</f>
        <v/>
      </c>
      <c r="AL228" s="28" t="str">
        <f aca="false">IF($N228="","",IF(MATCH($N228,$N$2:$N$3001,0)=ROWS($N$2:$N228),$N228,""))</f>
        <v/>
      </c>
    </row>
    <row r="229" customFormat="false" ht="15" hidden="false" customHeight="false" outlineLevel="0" collapsed="false">
      <c r="E229" s="25"/>
      <c r="M229" s="26" t="str">
        <f aca="false">IF($A229="","",$L229*$U229/100)</f>
        <v/>
      </c>
      <c r="W229" s="26" t="str">
        <f aca="false">IF($A229="","",U229*AB229/100)</f>
        <v/>
      </c>
      <c r="X229" s="26" t="str">
        <f aca="false">IF($A229="","",U229-W229)</f>
        <v/>
      </c>
      <c r="Y229" s="26" t="str">
        <f aca="false">IF($A229="","",U229-W229-M229)</f>
        <v/>
      </c>
      <c r="AB229" s="27" t="str">
        <f aca="false">IF($A229="","",IF($AK229=1,'كشف المطالبة'!$D$5,'كشف المطالبة'!$D$6)*100)</f>
        <v/>
      </c>
      <c r="AK229" s="28" t="str">
        <f aca="false">IF($A229="","",IF(OR($Q229=TRUE(),$Q229="TRUE"),1,0))</f>
        <v/>
      </c>
      <c r="AL229" s="28" t="str">
        <f aca="false">IF($N229="","",IF(MATCH($N229,$N$2:$N$3001,0)=ROWS($N$2:$N229),$N229,""))</f>
        <v/>
      </c>
    </row>
    <row r="230" customFormat="false" ht="15" hidden="false" customHeight="false" outlineLevel="0" collapsed="false">
      <c r="E230" s="25"/>
      <c r="M230" s="26" t="str">
        <f aca="false">IF($A230="","",$L230*$U230/100)</f>
        <v/>
      </c>
      <c r="W230" s="26" t="str">
        <f aca="false">IF($A230="","",U230*AB230/100)</f>
        <v/>
      </c>
      <c r="X230" s="26" t="str">
        <f aca="false">IF($A230="","",U230-W230)</f>
        <v/>
      </c>
      <c r="Y230" s="26" t="str">
        <f aca="false">IF($A230="","",U230-W230-M230)</f>
        <v/>
      </c>
      <c r="AB230" s="27" t="str">
        <f aca="false">IF($A230="","",IF($AK230=1,'كشف المطالبة'!$D$5,'كشف المطالبة'!$D$6)*100)</f>
        <v/>
      </c>
      <c r="AK230" s="28" t="str">
        <f aca="false">IF($A230="","",IF(OR($Q230=TRUE(),$Q230="TRUE"),1,0))</f>
        <v/>
      </c>
      <c r="AL230" s="28" t="str">
        <f aca="false">IF($N230="","",IF(MATCH($N230,$N$2:$N$3001,0)=ROWS($N$2:$N230),$N230,""))</f>
        <v/>
      </c>
    </row>
    <row r="231" customFormat="false" ht="15" hidden="false" customHeight="false" outlineLevel="0" collapsed="false">
      <c r="E231" s="25"/>
      <c r="M231" s="26" t="str">
        <f aca="false">IF($A231="","",$L231*$U231/100)</f>
        <v/>
      </c>
      <c r="W231" s="26" t="str">
        <f aca="false">IF($A231="","",U231*AB231/100)</f>
        <v/>
      </c>
      <c r="X231" s="26" t="str">
        <f aca="false">IF($A231="","",U231-W231)</f>
        <v/>
      </c>
      <c r="Y231" s="26" t="str">
        <f aca="false">IF($A231="","",U231-W231-M231)</f>
        <v/>
      </c>
      <c r="AB231" s="27" t="str">
        <f aca="false">IF($A231="","",IF($AK231=1,'كشف المطالبة'!$D$5,'كشف المطالبة'!$D$6)*100)</f>
        <v/>
      </c>
      <c r="AK231" s="28" t="str">
        <f aca="false">IF($A231="","",IF(OR($Q231=TRUE(),$Q231="TRUE"),1,0))</f>
        <v/>
      </c>
      <c r="AL231" s="28" t="str">
        <f aca="false">IF($N231="","",IF(MATCH($N231,$N$2:$N$3001,0)=ROWS($N$2:$N231),$N231,""))</f>
        <v/>
      </c>
    </row>
    <row r="232" customFormat="false" ht="15" hidden="false" customHeight="false" outlineLevel="0" collapsed="false">
      <c r="E232" s="25"/>
      <c r="M232" s="26" t="str">
        <f aca="false">IF($A232="","",$L232*$U232/100)</f>
        <v/>
      </c>
      <c r="W232" s="26" t="str">
        <f aca="false">IF($A232="","",U232*AB232/100)</f>
        <v/>
      </c>
      <c r="X232" s="26" t="str">
        <f aca="false">IF($A232="","",U232-W232)</f>
        <v/>
      </c>
      <c r="Y232" s="26" t="str">
        <f aca="false">IF($A232="","",U232-W232-M232)</f>
        <v/>
      </c>
      <c r="AB232" s="27" t="str">
        <f aca="false">IF($A232="","",IF($AK232=1,'كشف المطالبة'!$D$5,'كشف المطالبة'!$D$6)*100)</f>
        <v/>
      </c>
      <c r="AK232" s="28" t="str">
        <f aca="false">IF($A232="","",IF(OR($Q232=TRUE(),$Q232="TRUE"),1,0))</f>
        <v/>
      </c>
      <c r="AL232" s="28" t="str">
        <f aca="false">IF($N232="","",IF(MATCH($N232,$N$2:$N$3001,0)=ROWS($N$2:$N232),$N232,""))</f>
        <v/>
      </c>
    </row>
    <row r="233" customFormat="false" ht="15" hidden="false" customHeight="false" outlineLevel="0" collapsed="false">
      <c r="E233" s="25"/>
      <c r="M233" s="26" t="str">
        <f aca="false">IF($A233="","",$L233*$U233/100)</f>
        <v/>
      </c>
      <c r="W233" s="26" t="str">
        <f aca="false">IF($A233="","",U233*AB233/100)</f>
        <v/>
      </c>
      <c r="X233" s="26" t="str">
        <f aca="false">IF($A233="","",U233-W233)</f>
        <v/>
      </c>
      <c r="Y233" s="26" t="str">
        <f aca="false">IF($A233="","",U233-W233-M233)</f>
        <v/>
      </c>
      <c r="AB233" s="27" t="str">
        <f aca="false">IF($A233="","",IF($AK233=1,'كشف المطالبة'!$D$5,'كشف المطالبة'!$D$6)*100)</f>
        <v/>
      </c>
      <c r="AK233" s="28" t="str">
        <f aca="false">IF($A233="","",IF(OR($Q233=TRUE(),$Q233="TRUE"),1,0))</f>
        <v/>
      </c>
      <c r="AL233" s="28" t="str">
        <f aca="false">IF($N233="","",IF(MATCH($N233,$N$2:$N$3001,0)=ROWS($N$2:$N233),$N233,""))</f>
        <v/>
      </c>
    </row>
    <row r="234" customFormat="false" ht="15" hidden="false" customHeight="false" outlineLevel="0" collapsed="false">
      <c r="E234" s="25"/>
      <c r="M234" s="26" t="str">
        <f aca="false">IF($A234="","",$L234*$U234/100)</f>
        <v/>
      </c>
      <c r="W234" s="26" t="str">
        <f aca="false">IF($A234="","",U234*AB234/100)</f>
        <v/>
      </c>
      <c r="X234" s="26" t="str">
        <f aca="false">IF($A234="","",U234-W234)</f>
        <v/>
      </c>
      <c r="Y234" s="26" t="str">
        <f aca="false">IF($A234="","",U234-W234-M234)</f>
        <v/>
      </c>
      <c r="AB234" s="27" t="str">
        <f aca="false">IF($A234="","",IF($AK234=1,'كشف المطالبة'!$D$5,'كشف المطالبة'!$D$6)*100)</f>
        <v/>
      </c>
      <c r="AK234" s="28" t="str">
        <f aca="false">IF($A234="","",IF(OR($Q234=TRUE(),$Q234="TRUE"),1,0))</f>
        <v/>
      </c>
      <c r="AL234" s="28" t="str">
        <f aca="false">IF($N234="","",IF(MATCH($N234,$N$2:$N$3001,0)=ROWS($N$2:$N234),$N234,""))</f>
        <v/>
      </c>
    </row>
    <row r="235" customFormat="false" ht="15" hidden="false" customHeight="false" outlineLevel="0" collapsed="false">
      <c r="E235" s="25"/>
      <c r="M235" s="26" t="str">
        <f aca="false">IF($A235="","",$L235*$U235/100)</f>
        <v/>
      </c>
      <c r="W235" s="26" t="str">
        <f aca="false">IF($A235="","",U235*AB235/100)</f>
        <v/>
      </c>
      <c r="X235" s="26" t="str">
        <f aca="false">IF($A235="","",U235-W235)</f>
        <v/>
      </c>
      <c r="Y235" s="26" t="str">
        <f aca="false">IF($A235="","",U235-W235-M235)</f>
        <v/>
      </c>
      <c r="AB235" s="27" t="str">
        <f aca="false">IF($A235="","",IF($AK235=1,'كشف المطالبة'!$D$5,'كشف المطالبة'!$D$6)*100)</f>
        <v/>
      </c>
      <c r="AK235" s="28" t="str">
        <f aca="false">IF($A235="","",IF(OR($Q235=TRUE(),$Q235="TRUE"),1,0))</f>
        <v/>
      </c>
      <c r="AL235" s="28" t="str">
        <f aca="false">IF($N235="","",IF(MATCH($N235,$N$2:$N$3001,0)=ROWS($N$2:$N235),$N235,""))</f>
        <v/>
      </c>
    </row>
    <row r="236" customFormat="false" ht="15" hidden="false" customHeight="false" outlineLevel="0" collapsed="false">
      <c r="E236" s="25"/>
      <c r="M236" s="26" t="str">
        <f aca="false">IF($A236="","",$L236*$U236/100)</f>
        <v/>
      </c>
      <c r="W236" s="26" t="str">
        <f aca="false">IF($A236="","",U236*AB236/100)</f>
        <v/>
      </c>
      <c r="X236" s="26" t="str">
        <f aca="false">IF($A236="","",U236-W236)</f>
        <v/>
      </c>
      <c r="Y236" s="26" t="str">
        <f aca="false">IF($A236="","",U236-W236-M236)</f>
        <v/>
      </c>
      <c r="AB236" s="27" t="str">
        <f aca="false">IF($A236="","",IF($AK236=1,'كشف المطالبة'!$D$5,'كشف المطالبة'!$D$6)*100)</f>
        <v/>
      </c>
      <c r="AK236" s="28" t="str">
        <f aca="false">IF($A236="","",IF(OR($Q236=TRUE(),$Q236="TRUE"),1,0))</f>
        <v/>
      </c>
      <c r="AL236" s="28" t="str">
        <f aca="false">IF($N236="","",IF(MATCH($N236,$N$2:$N$3001,0)=ROWS($N$2:$N236),$N236,""))</f>
        <v/>
      </c>
    </row>
    <row r="237" customFormat="false" ht="15" hidden="false" customHeight="false" outlineLevel="0" collapsed="false">
      <c r="E237" s="25"/>
      <c r="M237" s="26" t="str">
        <f aca="false">IF($A237="","",$L237*$U237/100)</f>
        <v/>
      </c>
      <c r="W237" s="26" t="str">
        <f aca="false">IF($A237="","",U237*AB237/100)</f>
        <v/>
      </c>
      <c r="X237" s="26" t="str">
        <f aca="false">IF($A237="","",U237-W237)</f>
        <v/>
      </c>
      <c r="Y237" s="26" t="str">
        <f aca="false">IF($A237="","",U237-W237-M237)</f>
        <v/>
      </c>
      <c r="AB237" s="27" t="str">
        <f aca="false">IF($A237="","",IF($AK237=1,'كشف المطالبة'!$D$5,'كشف المطالبة'!$D$6)*100)</f>
        <v/>
      </c>
      <c r="AK237" s="28" t="str">
        <f aca="false">IF($A237="","",IF(OR($Q237=TRUE(),$Q237="TRUE"),1,0))</f>
        <v/>
      </c>
      <c r="AL237" s="28" t="str">
        <f aca="false">IF($N237="","",IF(MATCH($N237,$N$2:$N$3001,0)=ROWS($N$2:$N237),$N237,""))</f>
        <v/>
      </c>
    </row>
    <row r="238" customFormat="false" ht="15" hidden="false" customHeight="false" outlineLevel="0" collapsed="false">
      <c r="E238" s="25"/>
      <c r="M238" s="26" t="str">
        <f aca="false">IF($A238="","",$L238*$U238/100)</f>
        <v/>
      </c>
      <c r="W238" s="26" t="str">
        <f aca="false">IF($A238="","",U238*AB238/100)</f>
        <v/>
      </c>
      <c r="X238" s="26" t="str">
        <f aca="false">IF($A238="","",U238-W238)</f>
        <v/>
      </c>
      <c r="Y238" s="26" t="str">
        <f aca="false">IF($A238="","",U238-W238-M238)</f>
        <v/>
      </c>
      <c r="AB238" s="27" t="str">
        <f aca="false">IF($A238="","",IF($AK238=1,'كشف المطالبة'!$D$5,'كشف المطالبة'!$D$6)*100)</f>
        <v/>
      </c>
      <c r="AK238" s="28" t="str">
        <f aca="false">IF($A238="","",IF(OR($Q238=TRUE(),$Q238="TRUE"),1,0))</f>
        <v/>
      </c>
      <c r="AL238" s="28" t="str">
        <f aca="false">IF($N238="","",IF(MATCH($N238,$N$2:$N$3001,0)=ROWS($N$2:$N238),$N238,""))</f>
        <v/>
      </c>
    </row>
    <row r="239" customFormat="false" ht="15" hidden="false" customHeight="false" outlineLevel="0" collapsed="false">
      <c r="E239" s="25"/>
      <c r="M239" s="26" t="str">
        <f aca="false">IF($A239="","",$L239*$U239/100)</f>
        <v/>
      </c>
      <c r="W239" s="26" t="str">
        <f aca="false">IF($A239="","",U239*AB239/100)</f>
        <v/>
      </c>
      <c r="X239" s="26" t="str">
        <f aca="false">IF($A239="","",U239-W239)</f>
        <v/>
      </c>
      <c r="Y239" s="26" t="str">
        <f aca="false">IF($A239="","",U239-W239-M239)</f>
        <v/>
      </c>
      <c r="AB239" s="27" t="str">
        <f aca="false">IF($A239="","",IF($AK239=1,'كشف المطالبة'!$D$5,'كشف المطالبة'!$D$6)*100)</f>
        <v/>
      </c>
      <c r="AK239" s="28" t="str">
        <f aca="false">IF($A239="","",IF(OR($Q239=TRUE(),$Q239="TRUE"),1,0))</f>
        <v/>
      </c>
      <c r="AL239" s="28" t="str">
        <f aca="false">IF($N239="","",IF(MATCH($N239,$N$2:$N$3001,0)=ROWS($N$2:$N239),$N239,""))</f>
        <v/>
      </c>
    </row>
    <row r="240" customFormat="false" ht="15" hidden="false" customHeight="false" outlineLevel="0" collapsed="false">
      <c r="E240" s="25"/>
      <c r="M240" s="26" t="str">
        <f aca="false">IF($A240="","",$L240*$U240/100)</f>
        <v/>
      </c>
      <c r="W240" s="26" t="str">
        <f aca="false">IF($A240="","",U240*AB240/100)</f>
        <v/>
      </c>
      <c r="X240" s="26" t="str">
        <f aca="false">IF($A240="","",U240-W240)</f>
        <v/>
      </c>
      <c r="Y240" s="26" t="str">
        <f aca="false">IF($A240="","",U240-W240-M240)</f>
        <v/>
      </c>
      <c r="AB240" s="27" t="str">
        <f aca="false">IF($A240="","",IF($AK240=1,'كشف المطالبة'!$D$5,'كشف المطالبة'!$D$6)*100)</f>
        <v/>
      </c>
      <c r="AK240" s="28" t="str">
        <f aca="false">IF($A240="","",IF(OR($Q240=TRUE(),$Q240="TRUE"),1,0))</f>
        <v/>
      </c>
      <c r="AL240" s="28" t="str">
        <f aca="false">IF($N240="","",IF(MATCH($N240,$N$2:$N$3001,0)=ROWS($N$2:$N240),$N240,""))</f>
        <v/>
      </c>
    </row>
    <row r="241" customFormat="false" ht="15" hidden="false" customHeight="false" outlineLevel="0" collapsed="false">
      <c r="E241" s="25"/>
      <c r="M241" s="26" t="str">
        <f aca="false">IF($A241="","",$L241*$U241/100)</f>
        <v/>
      </c>
      <c r="W241" s="26" t="str">
        <f aca="false">IF($A241="","",U241*AB241/100)</f>
        <v/>
      </c>
      <c r="X241" s="26" t="str">
        <f aca="false">IF($A241="","",U241-W241)</f>
        <v/>
      </c>
      <c r="Y241" s="26" t="str">
        <f aca="false">IF($A241="","",U241-W241-M241)</f>
        <v/>
      </c>
      <c r="AB241" s="27" t="str">
        <f aca="false">IF($A241="","",IF($AK241=1,'كشف المطالبة'!$D$5,'كشف المطالبة'!$D$6)*100)</f>
        <v/>
      </c>
      <c r="AK241" s="28" t="str">
        <f aca="false">IF($A241="","",IF(OR($Q241=TRUE(),$Q241="TRUE"),1,0))</f>
        <v/>
      </c>
      <c r="AL241" s="28" t="str">
        <f aca="false">IF($N241="","",IF(MATCH($N241,$N$2:$N$3001,0)=ROWS($N$2:$N241),$N241,""))</f>
        <v/>
      </c>
    </row>
    <row r="242" customFormat="false" ht="15" hidden="false" customHeight="false" outlineLevel="0" collapsed="false">
      <c r="E242" s="25"/>
      <c r="M242" s="26" t="str">
        <f aca="false">IF($A242="","",$L242*$U242/100)</f>
        <v/>
      </c>
      <c r="W242" s="26" t="str">
        <f aca="false">IF($A242="","",U242*AB242/100)</f>
        <v/>
      </c>
      <c r="X242" s="26" t="str">
        <f aca="false">IF($A242="","",U242-W242)</f>
        <v/>
      </c>
      <c r="Y242" s="26" t="str">
        <f aca="false">IF($A242="","",U242-W242-M242)</f>
        <v/>
      </c>
      <c r="AB242" s="27" t="str">
        <f aca="false">IF($A242="","",IF($AK242=1,'كشف المطالبة'!$D$5,'كشف المطالبة'!$D$6)*100)</f>
        <v/>
      </c>
      <c r="AK242" s="28" t="str">
        <f aca="false">IF($A242="","",IF(OR($Q242=TRUE(),$Q242="TRUE"),1,0))</f>
        <v/>
      </c>
      <c r="AL242" s="28" t="str">
        <f aca="false">IF($N242="","",IF(MATCH($N242,$N$2:$N$3001,0)=ROWS($N$2:$N242),$N242,""))</f>
        <v/>
      </c>
    </row>
    <row r="243" customFormat="false" ht="15" hidden="false" customHeight="false" outlineLevel="0" collapsed="false">
      <c r="E243" s="25"/>
      <c r="M243" s="26" t="str">
        <f aca="false">IF($A243="","",$L243*$U243/100)</f>
        <v/>
      </c>
      <c r="W243" s="26" t="str">
        <f aca="false">IF($A243="","",U243*AB243/100)</f>
        <v/>
      </c>
      <c r="X243" s="26" t="str">
        <f aca="false">IF($A243="","",U243-W243)</f>
        <v/>
      </c>
      <c r="Y243" s="26" t="str">
        <f aca="false">IF($A243="","",U243-W243-M243)</f>
        <v/>
      </c>
      <c r="AB243" s="27" t="str">
        <f aca="false">IF($A243="","",IF($AK243=1,'كشف المطالبة'!$D$5,'كشف المطالبة'!$D$6)*100)</f>
        <v/>
      </c>
      <c r="AK243" s="28" t="str">
        <f aca="false">IF($A243="","",IF(OR($Q243=TRUE(),$Q243="TRUE"),1,0))</f>
        <v/>
      </c>
      <c r="AL243" s="28" t="str">
        <f aca="false">IF($N243="","",IF(MATCH($N243,$N$2:$N$3001,0)=ROWS($N$2:$N243),$N243,""))</f>
        <v/>
      </c>
    </row>
    <row r="244" customFormat="false" ht="15" hidden="false" customHeight="false" outlineLevel="0" collapsed="false">
      <c r="E244" s="25"/>
      <c r="M244" s="26" t="str">
        <f aca="false">IF($A244="","",$L244*$U244/100)</f>
        <v/>
      </c>
      <c r="W244" s="26" t="str">
        <f aca="false">IF($A244="","",U244*AB244/100)</f>
        <v/>
      </c>
      <c r="X244" s="26" t="str">
        <f aca="false">IF($A244="","",U244-W244)</f>
        <v/>
      </c>
      <c r="Y244" s="26" t="str">
        <f aca="false">IF($A244="","",U244-W244-M244)</f>
        <v/>
      </c>
      <c r="AB244" s="27" t="str">
        <f aca="false">IF($A244="","",IF($AK244=1,'كشف المطالبة'!$D$5,'كشف المطالبة'!$D$6)*100)</f>
        <v/>
      </c>
      <c r="AK244" s="28" t="str">
        <f aca="false">IF($A244="","",IF(OR($Q244=TRUE(),$Q244="TRUE"),1,0))</f>
        <v/>
      </c>
      <c r="AL244" s="28" t="str">
        <f aca="false">IF($N244="","",IF(MATCH($N244,$N$2:$N$3001,0)=ROWS($N$2:$N244),$N244,""))</f>
        <v/>
      </c>
    </row>
    <row r="245" customFormat="false" ht="15" hidden="false" customHeight="false" outlineLevel="0" collapsed="false">
      <c r="E245" s="25"/>
      <c r="M245" s="26" t="str">
        <f aca="false">IF($A245="","",$L245*$U245/100)</f>
        <v/>
      </c>
      <c r="W245" s="26" t="str">
        <f aca="false">IF($A245="","",U245*AB245/100)</f>
        <v/>
      </c>
      <c r="X245" s="26" t="str">
        <f aca="false">IF($A245="","",U245-W245)</f>
        <v/>
      </c>
      <c r="Y245" s="26" t="str">
        <f aca="false">IF($A245="","",U245-W245-M245)</f>
        <v/>
      </c>
      <c r="AB245" s="27" t="str">
        <f aca="false">IF($A245="","",IF($AK245=1,'كشف المطالبة'!$D$5,'كشف المطالبة'!$D$6)*100)</f>
        <v/>
      </c>
      <c r="AK245" s="28" t="str">
        <f aca="false">IF($A245="","",IF(OR($Q245=TRUE(),$Q245="TRUE"),1,0))</f>
        <v/>
      </c>
      <c r="AL245" s="28" t="str">
        <f aca="false">IF($N245="","",IF(MATCH($N245,$N$2:$N$3001,0)=ROWS($N$2:$N245),$N245,""))</f>
        <v/>
      </c>
    </row>
    <row r="246" customFormat="false" ht="15" hidden="false" customHeight="false" outlineLevel="0" collapsed="false">
      <c r="E246" s="25"/>
      <c r="M246" s="26" t="str">
        <f aca="false">IF($A246="","",$L246*$U246/100)</f>
        <v/>
      </c>
      <c r="W246" s="26" t="str">
        <f aca="false">IF($A246="","",U246*AB246/100)</f>
        <v/>
      </c>
      <c r="X246" s="26" t="str">
        <f aca="false">IF($A246="","",U246-W246)</f>
        <v/>
      </c>
      <c r="Y246" s="26" t="str">
        <f aca="false">IF($A246="","",U246-W246-M246)</f>
        <v/>
      </c>
      <c r="AB246" s="27" t="str">
        <f aca="false">IF($A246="","",IF($AK246=1,'كشف المطالبة'!$D$5,'كشف المطالبة'!$D$6)*100)</f>
        <v/>
      </c>
      <c r="AK246" s="28" t="str">
        <f aca="false">IF($A246="","",IF(OR($Q246=TRUE(),$Q246="TRUE"),1,0))</f>
        <v/>
      </c>
      <c r="AL246" s="28" t="str">
        <f aca="false">IF($N246="","",IF(MATCH($N246,$N$2:$N$3001,0)=ROWS($N$2:$N246),$N246,""))</f>
        <v/>
      </c>
    </row>
    <row r="247" customFormat="false" ht="15" hidden="false" customHeight="false" outlineLevel="0" collapsed="false">
      <c r="E247" s="25"/>
      <c r="M247" s="26" t="str">
        <f aca="false">IF($A247="","",$L247*$U247/100)</f>
        <v/>
      </c>
      <c r="W247" s="26" t="str">
        <f aca="false">IF($A247="","",U247*AB247/100)</f>
        <v/>
      </c>
      <c r="X247" s="26" t="str">
        <f aca="false">IF($A247="","",U247-W247)</f>
        <v/>
      </c>
      <c r="Y247" s="26" t="str">
        <f aca="false">IF($A247="","",U247-W247-M247)</f>
        <v/>
      </c>
      <c r="AB247" s="27" t="str">
        <f aca="false">IF($A247="","",IF($AK247=1,'كشف المطالبة'!$D$5,'كشف المطالبة'!$D$6)*100)</f>
        <v/>
      </c>
      <c r="AK247" s="28" t="str">
        <f aca="false">IF($A247="","",IF(OR($Q247=TRUE(),$Q247="TRUE"),1,0))</f>
        <v/>
      </c>
      <c r="AL247" s="28" t="str">
        <f aca="false">IF($N247="","",IF(MATCH($N247,$N$2:$N$3001,0)=ROWS($N$2:$N247),$N247,""))</f>
        <v/>
      </c>
    </row>
    <row r="248" customFormat="false" ht="15" hidden="false" customHeight="false" outlineLevel="0" collapsed="false">
      <c r="E248" s="25"/>
      <c r="M248" s="26" t="str">
        <f aca="false">IF($A248="","",$L248*$U248/100)</f>
        <v/>
      </c>
      <c r="W248" s="26" t="str">
        <f aca="false">IF($A248="","",U248*AB248/100)</f>
        <v/>
      </c>
      <c r="X248" s="26" t="str">
        <f aca="false">IF($A248="","",U248-W248)</f>
        <v/>
      </c>
      <c r="Y248" s="26" t="str">
        <f aca="false">IF($A248="","",U248-W248-M248)</f>
        <v/>
      </c>
      <c r="AB248" s="27" t="str">
        <f aca="false">IF($A248="","",IF($AK248=1,'كشف المطالبة'!$D$5,'كشف المطالبة'!$D$6)*100)</f>
        <v/>
      </c>
      <c r="AK248" s="28" t="str">
        <f aca="false">IF($A248="","",IF(OR($Q248=TRUE(),$Q248="TRUE"),1,0))</f>
        <v/>
      </c>
      <c r="AL248" s="28" t="str">
        <f aca="false">IF($N248="","",IF(MATCH($N248,$N$2:$N$3001,0)=ROWS($N$2:$N248),$N248,""))</f>
        <v/>
      </c>
    </row>
    <row r="249" customFormat="false" ht="15" hidden="false" customHeight="false" outlineLevel="0" collapsed="false">
      <c r="E249" s="25"/>
      <c r="M249" s="26" t="str">
        <f aca="false">IF($A249="","",$L249*$U249/100)</f>
        <v/>
      </c>
      <c r="W249" s="26" t="str">
        <f aca="false">IF($A249="","",U249*AB249/100)</f>
        <v/>
      </c>
      <c r="X249" s="26" t="str">
        <f aca="false">IF($A249="","",U249-W249)</f>
        <v/>
      </c>
      <c r="Y249" s="26" t="str">
        <f aca="false">IF($A249="","",U249-W249-M249)</f>
        <v/>
      </c>
      <c r="AB249" s="27" t="str">
        <f aca="false">IF($A249="","",IF($AK249=1,'كشف المطالبة'!$D$5,'كشف المطالبة'!$D$6)*100)</f>
        <v/>
      </c>
      <c r="AK249" s="28" t="str">
        <f aca="false">IF($A249="","",IF(OR($Q249=TRUE(),$Q249="TRUE"),1,0))</f>
        <v/>
      </c>
      <c r="AL249" s="28" t="str">
        <f aca="false">IF($N249="","",IF(MATCH($N249,$N$2:$N$3001,0)=ROWS($N$2:$N249),$N249,""))</f>
        <v/>
      </c>
    </row>
    <row r="250" customFormat="false" ht="15" hidden="false" customHeight="false" outlineLevel="0" collapsed="false">
      <c r="E250" s="25"/>
      <c r="M250" s="26" t="str">
        <f aca="false">IF($A250="","",$L250*$U250/100)</f>
        <v/>
      </c>
      <c r="W250" s="26" t="str">
        <f aca="false">IF($A250="","",U250*AB250/100)</f>
        <v/>
      </c>
      <c r="X250" s="26" t="str">
        <f aca="false">IF($A250="","",U250-W250)</f>
        <v/>
      </c>
      <c r="Y250" s="26" t="str">
        <f aca="false">IF($A250="","",U250-W250-M250)</f>
        <v/>
      </c>
      <c r="AB250" s="27" t="str">
        <f aca="false">IF($A250="","",IF($AK250=1,'كشف المطالبة'!$D$5,'كشف المطالبة'!$D$6)*100)</f>
        <v/>
      </c>
      <c r="AK250" s="28" t="str">
        <f aca="false">IF($A250="","",IF(OR($Q250=TRUE(),$Q250="TRUE"),1,0))</f>
        <v/>
      </c>
      <c r="AL250" s="28" t="str">
        <f aca="false">IF($N250="","",IF(MATCH($N250,$N$2:$N$3001,0)=ROWS($N$2:$N250),$N250,""))</f>
        <v/>
      </c>
    </row>
    <row r="251" customFormat="false" ht="15" hidden="false" customHeight="false" outlineLevel="0" collapsed="false">
      <c r="E251" s="25"/>
      <c r="M251" s="26" t="str">
        <f aca="false">IF($A251="","",$L251*$U251/100)</f>
        <v/>
      </c>
      <c r="W251" s="26" t="str">
        <f aca="false">IF($A251="","",U251*AB251/100)</f>
        <v/>
      </c>
      <c r="X251" s="26" t="str">
        <f aca="false">IF($A251="","",U251-W251)</f>
        <v/>
      </c>
      <c r="Y251" s="26" t="str">
        <f aca="false">IF($A251="","",U251-W251-M251)</f>
        <v/>
      </c>
      <c r="AB251" s="27" t="str">
        <f aca="false">IF($A251="","",IF($AK251=1,'كشف المطالبة'!$D$5,'كشف المطالبة'!$D$6)*100)</f>
        <v/>
      </c>
      <c r="AK251" s="28" t="str">
        <f aca="false">IF($A251="","",IF(OR($Q251=TRUE(),$Q251="TRUE"),1,0))</f>
        <v/>
      </c>
      <c r="AL251" s="28" t="str">
        <f aca="false">IF($N251="","",IF(MATCH($N251,$N$2:$N$3001,0)=ROWS($N$2:$N251),$N251,""))</f>
        <v/>
      </c>
    </row>
    <row r="252" customFormat="false" ht="15" hidden="false" customHeight="false" outlineLevel="0" collapsed="false">
      <c r="E252" s="25"/>
      <c r="M252" s="26" t="str">
        <f aca="false">IF($A252="","",$L252*$U252/100)</f>
        <v/>
      </c>
      <c r="W252" s="26" t="str">
        <f aca="false">IF($A252="","",U252*AB252/100)</f>
        <v/>
      </c>
      <c r="X252" s="26" t="str">
        <f aca="false">IF($A252="","",U252-W252)</f>
        <v/>
      </c>
      <c r="Y252" s="26" t="str">
        <f aca="false">IF($A252="","",U252-W252-M252)</f>
        <v/>
      </c>
      <c r="AB252" s="27" t="str">
        <f aca="false">IF($A252="","",IF($AK252=1,'كشف المطالبة'!$D$5,'كشف المطالبة'!$D$6)*100)</f>
        <v/>
      </c>
      <c r="AK252" s="28" t="str">
        <f aca="false">IF($A252="","",IF(OR($Q252=TRUE(),$Q252="TRUE"),1,0))</f>
        <v/>
      </c>
      <c r="AL252" s="28" t="str">
        <f aca="false">IF($N252="","",IF(MATCH($N252,$N$2:$N$3001,0)=ROWS($N$2:$N252),$N252,""))</f>
        <v/>
      </c>
    </row>
    <row r="253" customFormat="false" ht="15" hidden="false" customHeight="false" outlineLevel="0" collapsed="false">
      <c r="E253" s="25"/>
      <c r="M253" s="26" t="str">
        <f aca="false">IF($A253="","",$L253*$U253/100)</f>
        <v/>
      </c>
      <c r="W253" s="26" t="str">
        <f aca="false">IF($A253="","",U253*AB253/100)</f>
        <v/>
      </c>
      <c r="X253" s="26" t="str">
        <f aca="false">IF($A253="","",U253-W253)</f>
        <v/>
      </c>
      <c r="Y253" s="26" t="str">
        <f aca="false">IF($A253="","",U253-W253-M253)</f>
        <v/>
      </c>
      <c r="AB253" s="27" t="str">
        <f aca="false">IF($A253="","",IF($AK253=1,'كشف المطالبة'!$D$5,'كشف المطالبة'!$D$6)*100)</f>
        <v/>
      </c>
      <c r="AK253" s="28" t="str">
        <f aca="false">IF($A253="","",IF(OR($Q253=TRUE(),$Q253="TRUE"),1,0))</f>
        <v/>
      </c>
      <c r="AL253" s="28" t="str">
        <f aca="false">IF($N253="","",IF(MATCH($N253,$N$2:$N$3001,0)=ROWS($N$2:$N253),$N253,""))</f>
        <v/>
      </c>
    </row>
    <row r="254" customFormat="false" ht="15" hidden="false" customHeight="false" outlineLevel="0" collapsed="false">
      <c r="E254" s="25"/>
      <c r="M254" s="26" t="str">
        <f aca="false">IF($A254="","",$L254*$U254/100)</f>
        <v/>
      </c>
      <c r="W254" s="26" t="str">
        <f aca="false">IF($A254="","",U254*AB254/100)</f>
        <v/>
      </c>
      <c r="X254" s="26" t="str">
        <f aca="false">IF($A254="","",U254-W254)</f>
        <v/>
      </c>
      <c r="Y254" s="26" t="str">
        <f aca="false">IF($A254="","",U254-W254-M254)</f>
        <v/>
      </c>
      <c r="AB254" s="27" t="str">
        <f aca="false">IF($A254="","",IF($AK254=1,'كشف المطالبة'!$D$5,'كشف المطالبة'!$D$6)*100)</f>
        <v/>
      </c>
      <c r="AK254" s="28" t="str">
        <f aca="false">IF($A254="","",IF(OR($Q254=TRUE(),$Q254="TRUE"),1,0))</f>
        <v/>
      </c>
      <c r="AL254" s="28" t="str">
        <f aca="false">IF($N254="","",IF(MATCH($N254,$N$2:$N$3001,0)=ROWS($N$2:$N254),$N254,""))</f>
        <v/>
      </c>
    </row>
    <row r="255" customFormat="false" ht="15" hidden="false" customHeight="false" outlineLevel="0" collapsed="false">
      <c r="E255" s="25"/>
      <c r="M255" s="26" t="str">
        <f aca="false">IF($A255="","",$L255*$U255/100)</f>
        <v/>
      </c>
      <c r="W255" s="26" t="str">
        <f aca="false">IF($A255="","",U255*AB255/100)</f>
        <v/>
      </c>
      <c r="X255" s="26" t="str">
        <f aca="false">IF($A255="","",U255-W255)</f>
        <v/>
      </c>
      <c r="Y255" s="26" t="str">
        <f aca="false">IF($A255="","",U255-W255-M255)</f>
        <v/>
      </c>
      <c r="AB255" s="27" t="str">
        <f aca="false">IF($A255="","",IF($AK255=1,'كشف المطالبة'!$D$5,'كشف المطالبة'!$D$6)*100)</f>
        <v/>
      </c>
      <c r="AK255" s="28" t="str">
        <f aca="false">IF($A255="","",IF(OR($Q255=TRUE(),$Q255="TRUE"),1,0))</f>
        <v/>
      </c>
      <c r="AL255" s="28" t="str">
        <f aca="false">IF($N255="","",IF(MATCH($N255,$N$2:$N$3001,0)=ROWS($N$2:$N255),$N255,""))</f>
        <v/>
      </c>
    </row>
    <row r="256" customFormat="false" ht="15" hidden="false" customHeight="false" outlineLevel="0" collapsed="false">
      <c r="E256" s="25"/>
      <c r="M256" s="26" t="str">
        <f aca="false">IF($A256="","",$L256*$U256/100)</f>
        <v/>
      </c>
      <c r="W256" s="26" t="str">
        <f aca="false">IF($A256="","",U256*AB256/100)</f>
        <v/>
      </c>
      <c r="X256" s="26" t="str">
        <f aca="false">IF($A256="","",U256-W256)</f>
        <v/>
      </c>
      <c r="Y256" s="26" t="str">
        <f aca="false">IF($A256="","",U256-W256-M256)</f>
        <v/>
      </c>
      <c r="AB256" s="27" t="str">
        <f aca="false">IF($A256="","",IF($AK256=1,'كشف المطالبة'!$D$5,'كشف المطالبة'!$D$6)*100)</f>
        <v/>
      </c>
      <c r="AK256" s="28" t="str">
        <f aca="false">IF($A256="","",IF(OR($Q256=TRUE(),$Q256="TRUE"),1,0))</f>
        <v/>
      </c>
      <c r="AL256" s="28" t="str">
        <f aca="false">IF($N256="","",IF(MATCH($N256,$N$2:$N$3001,0)=ROWS($N$2:$N256),$N256,""))</f>
        <v/>
      </c>
    </row>
    <row r="257" customFormat="false" ht="15" hidden="false" customHeight="false" outlineLevel="0" collapsed="false">
      <c r="E257" s="25"/>
      <c r="M257" s="26" t="str">
        <f aca="false">IF($A257="","",$L257*$U257/100)</f>
        <v/>
      </c>
      <c r="W257" s="26" t="str">
        <f aca="false">IF($A257="","",U257*AB257/100)</f>
        <v/>
      </c>
      <c r="X257" s="26" t="str">
        <f aca="false">IF($A257="","",U257-W257)</f>
        <v/>
      </c>
      <c r="Y257" s="26" t="str">
        <f aca="false">IF($A257="","",U257-W257-M257)</f>
        <v/>
      </c>
      <c r="AB257" s="27" t="str">
        <f aca="false">IF($A257="","",IF($AK257=1,'كشف المطالبة'!$D$5,'كشف المطالبة'!$D$6)*100)</f>
        <v/>
      </c>
      <c r="AK257" s="28" t="str">
        <f aca="false">IF($A257="","",IF(OR($Q257=TRUE(),$Q257="TRUE"),1,0))</f>
        <v/>
      </c>
      <c r="AL257" s="28" t="str">
        <f aca="false">IF($N257="","",IF(MATCH($N257,$N$2:$N$3001,0)=ROWS($N$2:$N257),$N257,""))</f>
        <v/>
      </c>
    </row>
    <row r="258" customFormat="false" ht="15" hidden="false" customHeight="false" outlineLevel="0" collapsed="false">
      <c r="E258" s="25"/>
      <c r="M258" s="26" t="str">
        <f aca="false">IF($A258="","",$L258*$U258/100)</f>
        <v/>
      </c>
      <c r="W258" s="26" t="str">
        <f aca="false">IF($A258="","",U258*AB258/100)</f>
        <v/>
      </c>
      <c r="X258" s="26" t="str">
        <f aca="false">IF($A258="","",U258-W258)</f>
        <v/>
      </c>
      <c r="Y258" s="26" t="str">
        <f aca="false">IF($A258="","",U258-W258-M258)</f>
        <v/>
      </c>
      <c r="AB258" s="27" t="str">
        <f aca="false">IF($A258="","",IF($AK258=1,'كشف المطالبة'!$D$5,'كشف المطالبة'!$D$6)*100)</f>
        <v/>
      </c>
      <c r="AK258" s="28" t="str">
        <f aca="false">IF($A258="","",IF(OR($Q258=TRUE(),$Q258="TRUE"),1,0))</f>
        <v/>
      </c>
      <c r="AL258" s="28" t="str">
        <f aca="false">IF($N258="","",IF(MATCH($N258,$N$2:$N$3001,0)=ROWS($N$2:$N258),$N258,""))</f>
        <v/>
      </c>
    </row>
    <row r="259" customFormat="false" ht="15" hidden="false" customHeight="false" outlineLevel="0" collapsed="false">
      <c r="E259" s="25"/>
      <c r="M259" s="26" t="str">
        <f aca="false">IF($A259="","",$L259*$U259/100)</f>
        <v/>
      </c>
      <c r="W259" s="26" t="str">
        <f aca="false">IF($A259="","",U259*AB259/100)</f>
        <v/>
      </c>
      <c r="X259" s="26" t="str">
        <f aca="false">IF($A259="","",U259-W259)</f>
        <v/>
      </c>
      <c r="Y259" s="26" t="str">
        <f aca="false">IF($A259="","",U259-W259-M259)</f>
        <v/>
      </c>
      <c r="AB259" s="27" t="str">
        <f aca="false">IF($A259="","",IF($AK259=1,'كشف المطالبة'!$D$5,'كشف المطالبة'!$D$6)*100)</f>
        <v/>
      </c>
      <c r="AK259" s="28" t="str">
        <f aca="false">IF($A259="","",IF(OR($Q259=TRUE(),$Q259="TRUE"),1,0))</f>
        <v/>
      </c>
      <c r="AL259" s="28" t="str">
        <f aca="false">IF($N259="","",IF(MATCH($N259,$N$2:$N$3001,0)=ROWS($N$2:$N259),$N259,""))</f>
        <v/>
      </c>
    </row>
    <row r="260" customFormat="false" ht="15" hidden="false" customHeight="false" outlineLevel="0" collapsed="false">
      <c r="E260" s="25"/>
      <c r="M260" s="26" t="str">
        <f aca="false">IF($A260="","",$L260*$U260/100)</f>
        <v/>
      </c>
      <c r="W260" s="26" t="str">
        <f aca="false">IF($A260="","",U260*AB260/100)</f>
        <v/>
      </c>
      <c r="X260" s="26" t="str">
        <f aca="false">IF($A260="","",U260-W260)</f>
        <v/>
      </c>
      <c r="Y260" s="26" t="str">
        <f aca="false">IF($A260="","",U260-W260-M260)</f>
        <v/>
      </c>
      <c r="AB260" s="27" t="str">
        <f aca="false">IF($A260="","",IF($AK260=1,'كشف المطالبة'!$D$5,'كشف المطالبة'!$D$6)*100)</f>
        <v/>
      </c>
      <c r="AK260" s="28" t="str">
        <f aca="false">IF($A260="","",IF(OR($Q260=TRUE(),$Q260="TRUE"),1,0))</f>
        <v/>
      </c>
      <c r="AL260" s="28" t="str">
        <f aca="false">IF($N260="","",IF(MATCH($N260,$N$2:$N$3001,0)=ROWS($N$2:$N260),$N260,""))</f>
        <v/>
      </c>
    </row>
    <row r="261" customFormat="false" ht="15" hidden="false" customHeight="false" outlineLevel="0" collapsed="false">
      <c r="E261" s="25"/>
      <c r="M261" s="26" t="str">
        <f aca="false">IF($A261="","",$L261*$U261/100)</f>
        <v/>
      </c>
      <c r="W261" s="26" t="str">
        <f aca="false">IF($A261="","",U261*AB261/100)</f>
        <v/>
      </c>
      <c r="X261" s="26" t="str">
        <f aca="false">IF($A261="","",U261-W261)</f>
        <v/>
      </c>
      <c r="Y261" s="26" t="str">
        <f aca="false">IF($A261="","",U261-W261-M261)</f>
        <v/>
      </c>
      <c r="AB261" s="27" t="str">
        <f aca="false">IF($A261="","",IF($AK261=1,'كشف المطالبة'!$D$5,'كشف المطالبة'!$D$6)*100)</f>
        <v/>
      </c>
      <c r="AK261" s="28" t="str">
        <f aca="false">IF($A261="","",IF(OR($Q261=TRUE(),$Q261="TRUE"),1,0))</f>
        <v/>
      </c>
      <c r="AL261" s="28" t="str">
        <f aca="false">IF($N261="","",IF(MATCH($N261,$N$2:$N$3001,0)=ROWS($N$2:$N261),$N261,""))</f>
        <v/>
      </c>
    </row>
    <row r="262" customFormat="false" ht="15" hidden="false" customHeight="false" outlineLevel="0" collapsed="false">
      <c r="E262" s="25"/>
      <c r="M262" s="26" t="str">
        <f aca="false">IF($A262="","",$L262*$U262/100)</f>
        <v/>
      </c>
      <c r="W262" s="26" t="str">
        <f aca="false">IF($A262="","",U262*AB262/100)</f>
        <v/>
      </c>
      <c r="X262" s="26" t="str">
        <f aca="false">IF($A262="","",U262-W262)</f>
        <v/>
      </c>
      <c r="Y262" s="26" t="str">
        <f aca="false">IF($A262="","",U262-W262-M262)</f>
        <v/>
      </c>
      <c r="AB262" s="27" t="str">
        <f aca="false">IF($A262="","",IF($AK262=1,'كشف المطالبة'!$D$5,'كشف المطالبة'!$D$6)*100)</f>
        <v/>
      </c>
      <c r="AK262" s="28" t="str">
        <f aca="false">IF($A262="","",IF(OR($Q262=TRUE(),$Q262="TRUE"),1,0))</f>
        <v/>
      </c>
      <c r="AL262" s="28" t="str">
        <f aca="false">IF($N262="","",IF(MATCH($N262,$N$2:$N$3001,0)=ROWS($N$2:$N262),$N262,""))</f>
        <v/>
      </c>
    </row>
    <row r="263" customFormat="false" ht="15" hidden="false" customHeight="false" outlineLevel="0" collapsed="false">
      <c r="E263" s="25"/>
      <c r="M263" s="26" t="str">
        <f aca="false">IF($A263="","",$L263*$U263/100)</f>
        <v/>
      </c>
      <c r="W263" s="26" t="str">
        <f aca="false">IF($A263="","",U263*AB263/100)</f>
        <v/>
      </c>
      <c r="X263" s="26" t="str">
        <f aca="false">IF($A263="","",U263-W263)</f>
        <v/>
      </c>
      <c r="Y263" s="26" t="str">
        <f aca="false">IF($A263="","",U263-W263-M263)</f>
        <v/>
      </c>
      <c r="AB263" s="27" t="str">
        <f aca="false">IF($A263="","",IF($AK263=1,'كشف المطالبة'!$D$5,'كشف المطالبة'!$D$6)*100)</f>
        <v/>
      </c>
      <c r="AK263" s="28" t="str">
        <f aca="false">IF($A263="","",IF(OR($Q263=TRUE(),$Q263="TRUE"),1,0))</f>
        <v/>
      </c>
      <c r="AL263" s="28" t="str">
        <f aca="false">IF($N263="","",IF(MATCH($N263,$N$2:$N$3001,0)=ROWS($N$2:$N263),$N263,""))</f>
        <v/>
      </c>
    </row>
    <row r="264" customFormat="false" ht="15" hidden="false" customHeight="false" outlineLevel="0" collapsed="false">
      <c r="E264" s="25"/>
      <c r="M264" s="26" t="str">
        <f aca="false">IF($A264="","",$L264*$U264/100)</f>
        <v/>
      </c>
      <c r="W264" s="26" t="str">
        <f aca="false">IF($A264="","",U264*AB264/100)</f>
        <v/>
      </c>
      <c r="X264" s="26" t="str">
        <f aca="false">IF($A264="","",U264-W264)</f>
        <v/>
      </c>
      <c r="Y264" s="26" t="str">
        <f aca="false">IF($A264="","",U264-W264-M264)</f>
        <v/>
      </c>
      <c r="AB264" s="27" t="str">
        <f aca="false">IF($A264="","",IF($AK264=1,'كشف المطالبة'!$D$5,'كشف المطالبة'!$D$6)*100)</f>
        <v/>
      </c>
      <c r="AK264" s="28" t="str">
        <f aca="false">IF($A264="","",IF(OR($Q264=TRUE(),$Q264="TRUE"),1,0))</f>
        <v/>
      </c>
      <c r="AL264" s="28" t="str">
        <f aca="false">IF($N264="","",IF(MATCH($N264,$N$2:$N$3001,0)=ROWS($N$2:$N264),$N264,""))</f>
        <v/>
      </c>
    </row>
    <row r="265" customFormat="false" ht="15" hidden="false" customHeight="false" outlineLevel="0" collapsed="false">
      <c r="E265" s="25"/>
      <c r="M265" s="26" t="str">
        <f aca="false">IF($A265="","",$L265*$U265/100)</f>
        <v/>
      </c>
      <c r="W265" s="26" t="str">
        <f aca="false">IF($A265="","",U265*AB265/100)</f>
        <v/>
      </c>
      <c r="X265" s="26" t="str">
        <f aca="false">IF($A265="","",U265-W265)</f>
        <v/>
      </c>
      <c r="Y265" s="26" t="str">
        <f aca="false">IF($A265="","",U265-W265-M265)</f>
        <v/>
      </c>
      <c r="AB265" s="27" t="str">
        <f aca="false">IF($A265="","",IF($AK265=1,'كشف المطالبة'!$D$5,'كشف المطالبة'!$D$6)*100)</f>
        <v/>
      </c>
      <c r="AK265" s="28" t="str">
        <f aca="false">IF($A265="","",IF(OR($Q265=TRUE(),$Q265="TRUE"),1,0))</f>
        <v/>
      </c>
      <c r="AL265" s="28" t="str">
        <f aca="false">IF($N265="","",IF(MATCH($N265,$N$2:$N$3001,0)=ROWS($N$2:$N265),$N265,""))</f>
        <v/>
      </c>
    </row>
    <row r="266" customFormat="false" ht="15" hidden="false" customHeight="false" outlineLevel="0" collapsed="false">
      <c r="E266" s="25"/>
      <c r="M266" s="26" t="str">
        <f aca="false">IF($A266="","",$L266*$U266/100)</f>
        <v/>
      </c>
      <c r="W266" s="26" t="str">
        <f aca="false">IF($A266="","",U266*AB266/100)</f>
        <v/>
      </c>
      <c r="X266" s="26" t="str">
        <f aca="false">IF($A266="","",U266-W266)</f>
        <v/>
      </c>
      <c r="Y266" s="26" t="str">
        <f aca="false">IF($A266="","",U266-W266-M266)</f>
        <v/>
      </c>
      <c r="AB266" s="27" t="str">
        <f aca="false">IF($A266="","",IF($AK266=1,'كشف المطالبة'!$D$5,'كشف المطالبة'!$D$6)*100)</f>
        <v/>
      </c>
      <c r="AK266" s="28" t="str">
        <f aca="false">IF($A266="","",IF(OR($Q266=TRUE(),$Q266="TRUE"),1,0))</f>
        <v/>
      </c>
      <c r="AL266" s="28" t="str">
        <f aca="false">IF($N266="","",IF(MATCH($N266,$N$2:$N$3001,0)=ROWS($N$2:$N266),$N266,""))</f>
        <v/>
      </c>
    </row>
    <row r="267" customFormat="false" ht="15" hidden="false" customHeight="false" outlineLevel="0" collapsed="false">
      <c r="E267" s="25"/>
      <c r="M267" s="26" t="str">
        <f aca="false">IF($A267="","",$L267*$U267/100)</f>
        <v/>
      </c>
      <c r="W267" s="26" t="str">
        <f aca="false">IF($A267="","",U267*AB267/100)</f>
        <v/>
      </c>
      <c r="X267" s="26" t="str">
        <f aca="false">IF($A267="","",U267-W267)</f>
        <v/>
      </c>
      <c r="Y267" s="26" t="str">
        <f aca="false">IF($A267="","",U267-W267-M267)</f>
        <v/>
      </c>
      <c r="AB267" s="27" t="str">
        <f aca="false">IF($A267="","",IF($AK267=1,'كشف المطالبة'!$D$5,'كشف المطالبة'!$D$6)*100)</f>
        <v/>
      </c>
      <c r="AK267" s="28" t="str">
        <f aca="false">IF($A267="","",IF(OR($Q267=TRUE(),$Q267="TRUE"),1,0))</f>
        <v/>
      </c>
      <c r="AL267" s="28" t="str">
        <f aca="false">IF($N267="","",IF(MATCH($N267,$N$2:$N$3001,0)=ROWS($N$2:$N267),$N267,""))</f>
        <v/>
      </c>
    </row>
    <row r="268" customFormat="false" ht="15" hidden="false" customHeight="false" outlineLevel="0" collapsed="false">
      <c r="E268" s="25"/>
      <c r="M268" s="26" t="str">
        <f aca="false">IF($A268="","",$L268*$U268/100)</f>
        <v/>
      </c>
      <c r="W268" s="26" t="str">
        <f aca="false">IF($A268="","",U268*AB268/100)</f>
        <v/>
      </c>
      <c r="X268" s="26" t="str">
        <f aca="false">IF($A268="","",U268-W268)</f>
        <v/>
      </c>
      <c r="Y268" s="26" t="str">
        <f aca="false">IF($A268="","",U268-W268-M268)</f>
        <v/>
      </c>
      <c r="AB268" s="27" t="str">
        <f aca="false">IF($A268="","",IF($AK268=1,'كشف المطالبة'!$D$5,'كشف المطالبة'!$D$6)*100)</f>
        <v/>
      </c>
      <c r="AK268" s="28" t="str">
        <f aca="false">IF($A268="","",IF(OR($Q268=TRUE(),$Q268="TRUE"),1,0))</f>
        <v/>
      </c>
      <c r="AL268" s="28" t="str">
        <f aca="false">IF($N268="","",IF(MATCH($N268,$N$2:$N$3001,0)=ROWS($N$2:$N268),$N268,""))</f>
        <v/>
      </c>
    </row>
    <row r="269" customFormat="false" ht="15" hidden="false" customHeight="false" outlineLevel="0" collapsed="false">
      <c r="E269" s="25"/>
      <c r="M269" s="26" t="str">
        <f aca="false">IF($A269="","",$L269*$U269/100)</f>
        <v/>
      </c>
      <c r="W269" s="26" t="str">
        <f aca="false">IF($A269="","",U269*AB269/100)</f>
        <v/>
      </c>
      <c r="X269" s="26" t="str">
        <f aca="false">IF($A269="","",U269-W269)</f>
        <v/>
      </c>
      <c r="Y269" s="26" t="str">
        <f aca="false">IF($A269="","",U269-W269-M269)</f>
        <v/>
      </c>
      <c r="AB269" s="27" t="str">
        <f aca="false">IF($A269="","",IF($AK269=1,'كشف المطالبة'!$D$5,'كشف المطالبة'!$D$6)*100)</f>
        <v/>
      </c>
      <c r="AK269" s="28" t="str">
        <f aca="false">IF($A269="","",IF(OR($Q269=TRUE(),$Q269="TRUE"),1,0))</f>
        <v/>
      </c>
      <c r="AL269" s="28" t="str">
        <f aca="false">IF($N269="","",IF(MATCH($N269,$N$2:$N$3001,0)=ROWS($N$2:$N269),$N269,""))</f>
        <v/>
      </c>
    </row>
    <row r="270" customFormat="false" ht="15" hidden="false" customHeight="false" outlineLevel="0" collapsed="false">
      <c r="E270" s="25"/>
      <c r="M270" s="26" t="str">
        <f aca="false">IF($A270="","",$L270*$U270/100)</f>
        <v/>
      </c>
      <c r="W270" s="26" t="str">
        <f aca="false">IF($A270="","",U270*AB270/100)</f>
        <v/>
      </c>
      <c r="X270" s="26" t="str">
        <f aca="false">IF($A270="","",U270-W270)</f>
        <v/>
      </c>
      <c r="Y270" s="26" t="str">
        <f aca="false">IF($A270="","",U270-W270-M270)</f>
        <v/>
      </c>
      <c r="AB270" s="27" t="str">
        <f aca="false">IF($A270="","",IF($AK270=1,'كشف المطالبة'!$D$5,'كشف المطالبة'!$D$6)*100)</f>
        <v/>
      </c>
      <c r="AK270" s="28" t="str">
        <f aca="false">IF($A270="","",IF(OR($Q270=TRUE(),$Q270="TRUE"),1,0))</f>
        <v/>
      </c>
      <c r="AL270" s="28" t="str">
        <f aca="false">IF($N270="","",IF(MATCH($N270,$N$2:$N$3001,0)=ROWS($N$2:$N270),$N270,""))</f>
        <v/>
      </c>
    </row>
    <row r="271" customFormat="false" ht="15" hidden="false" customHeight="false" outlineLevel="0" collapsed="false">
      <c r="E271" s="25"/>
      <c r="M271" s="26" t="str">
        <f aca="false">IF($A271="","",$L271*$U271/100)</f>
        <v/>
      </c>
      <c r="W271" s="26" t="str">
        <f aca="false">IF($A271="","",U271*AB271/100)</f>
        <v/>
      </c>
      <c r="X271" s="26" t="str">
        <f aca="false">IF($A271="","",U271-W271)</f>
        <v/>
      </c>
      <c r="Y271" s="26" t="str">
        <f aca="false">IF($A271="","",U271-W271-M271)</f>
        <v/>
      </c>
      <c r="AB271" s="27" t="str">
        <f aca="false">IF($A271="","",IF($AK271=1,'كشف المطالبة'!$D$5,'كشف المطالبة'!$D$6)*100)</f>
        <v/>
      </c>
      <c r="AK271" s="28" t="str">
        <f aca="false">IF($A271="","",IF(OR($Q271=TRUE(),$Q271="TRUE"),1,0))</f>
        <v/>
      </c>
      <c r="AL271" s="28" t="str">
        <f aca="false">IF($N271="","",IF(MATCH($N271,$N$2:$N$3001,0)=ROWS($N$2:$N271),$N271,""))</f>
        <v/>
      </c>
    </row>
    <row r="272" customFormat="false" ht="15" hidden="false" customHeight="false" outlineLevel="0" collapsed="false">
      <c r="E272" s="25"/>
      <c r="M272" s="26" t="str">
        <f aca="false">IF($A272="","",$L272*$U272/100)</f>
        <v/>
      </c>
      <c r="W272" s="26" t="str">
        <f aca="false">IF($A272="","",U272*AB272/100)</f>
        <v/>
      </c>
      <c r="X272" s="26" t="str">
        <f aca="false">IF($A272="","",U272-W272)</f>
        <v/>
      </c>
      <c r="Y272" s="26" t="str">
        <f aca="false">IF($A272="","",U272-W272-M272)</f>
        <v/>
      </c>
      <c r="AB272" s="27" t="str">
        <f aca="false">IF($A272="","",IF($AK272=1,'كشف المطالبة'!$D$5,'كشف المطالبة'!$D$6)*100)</f>
        <v/>
      </c>
      <c r="AK272" s="28" t="str">
        <f aca="false">IF($A272="","",IF(OR($Q272=TRUE(),$Q272="TRUE"),1,0))</f>
        <v/>
      </c>
      <c r="AL272" s="28" t="str">
        <f aca="false">IF($N272="","",IF(MATCH($N272,$N$2:$N$3001,0)=ROWS($N$2:$N272),$N272,""))</f>
        <v/>
      </c>
    </row>
    <row r="273" customFormat="false" ht="15" hidden="false" customHeight="false" outlineLevel="0" collapsed="false">
      <c r="E273" s="25"/>
      <c r="M273" s="26" t="str">
        <f aca="false">IF($A273="","",$L273*$U273/100)</f>
        <v/>
      </c>
      <c r="W273" s="26" t="str">
        <f aca="false">IF($A273="","",U273*AB273/100)</f>
        <v/>
      </c>
      <c r="X273" s="26" t="str">
        <f aca="false">IF($A273="","",U273-W273)</f>
        <v/>
      </c>
      <c r="Y273" s="26" t="str">
        <f aca="false">IF($A273="","",U273-W273-M273)</f>
        <v/>
      </c>
      <c r="AB273" s="27" t="str">
        <f aca="false">IF($A273="","",IF($AK273=1,'كشف المطالبة'!$D$5,'كشف المطالبة'!$D$6)*100)</f>
        <v/>
      </c>
      <c r="AK273" s="28" t="str">
        <f aca="false">IF($A273="","",IF(OR($Q273=TRUE(),$Q273="TRUE"),1,0))</f>
        <v/>
      </c>
      <c r="AL273" s="28" t="str">
        <f aca="false">IF($N273="","",IF(MATCH($N273,$N$2:$N$3001,0)=ROWS($N$2:$N273),$N273,""))</f>
        <v/>
      </c>
    </row>
    <row r="274" customFormat="false" ht="15" hidden="false" customHeight="false" outlineLevel="0" collapsed="false">
      <c r="E274" s="25"/>
      <c r="M274" s="26" t="str">
        <f aca="false">IF($A274="","",$L274*$U274/100)</f>
        <v/>
      </c>
      <c r="W274" s="26" t="str">
        <f aca="false">IF($A274="","",U274*AB274/100)</f>
        <v/>
      </c>
      <c r="X274" s="26" t="str">
        <f aca="false">IF($A274="","",U274-W274)</f>
        <v/>
      </c>
      <c r="Y274" s="26" t="str">
        <f aca="false">IF($A274="","",U274-W274-M274)</f>
        <v/>
      </c>
      <c r="AB274" s="27" t="str">
        <f aca="false">IF($A274="","",IF($AK274=1,'كشف المطالبة'!$D$5,'كشف المطالبة'!$D$6)*100)</f>
        <v/>
      </c>
      <c r="AK274" s="28" t="str">
        <f aca="false">IF($A274="","",IF(OR($Q274=TRUE(),$Q274="TRUE"),1,0))</f>
        <v/>
      </c>
      <c r="AL274" s="28" t="str">
        <f aca="false">IF($N274="","",IF(MATCH($N274,$N$2:$N$3001,0)=ROWS($N$2:$N274),$N274,""))</f>
        <v/>
      </c>
    </row>
    <row r="275" customFormat="false" ht="15" hidden="false" customHeight="false" outlineLevel="0" collapsed="false">
      <c r="E275" s="25"/>
      <c r="M275" s="26" t="str">
        <f aca="false">IF($A275="","",$L275*$U275/100)</f>
        <v/>
      </c>
      <c r="W275" s="26" t="str">
        <f aca="false">IF($A275="","",U275*AB275/100)</f>
        <v/>
      </c>
      <c r="X275" s="26" t="str">
        <f aca="false">IF($A275="","",U275-W275)</f>
        <v/>
      </c>
      <c r="Y275" s="26" t="str">
        <f aca="false">IF($A275="","",U275-W275-M275)</f>
        <v/>
      </c>
      <c r="AB275" s="27" t="str">
        <f aca="false">IF($A275="","",IF($AK275=1,'كشف المطالبة'!$D$5,'كشف المطالبة'!$D$6)*100)</f>
        <v/>
      </c>
      <c r="AK275" s="28" t="str">
        <f aca="false">IF($A275="","",IF(OR($Q275=TRUE(),$Q275="TRUE"),1,0))</f>
        <v/>
      </c>
      <c r="AL275" s="28" t="str">
        <f aca="false">IF($N275="","",IF(MATCH($N275,$N$2:$N$3001,0)=ROWS($N$2:$N275),$N275,""))</f>
        <v/>
      </c>
    </row>
    <row r="276" customFormat="false" ht="15" hidden="false" customHeight="false" outlineLevel="0" collapsed="false">
      <c r="E276" s="25"/>
      <c r="M276" s="26" t="str">
        <f aca="false">IF($A276="","",$L276*$U276/100)</f>
        <v/>
      </c>
      <c r="W276" s="26" t="str">
        <f aca="false">IF($A276="","",U276*AB276/100)</f>
        <v/>
      </c>
      <c r="X276" s="26" t="str">
        <f aca="false">IF($A276="","",U276-W276)</f>
        <v/>
      </c>
      <c r="Y276" s="26" t="str">
        <f aca="false">IF($A276="","",U276-W276-M276)</f>
        <v/>
      </c>
      <c r="AB276" s="27" t="str">
        <f aca="false">IF($A276="","",IF($AK276=1,'كشف المطالبة'!$D$5,'كشف المطالبة'!$D$6)*100)</f>
        <v/>
      </c>
      <c r="AK276" s="28" t="str">
        <f aca="false">IF($A276="","",IF(OR($Q276=TRUE(),$Q276="TRUE"),1,0))</f>
        <v/>
      </c>
      <c r="AL276" s="28" t="str">
        <f aca="false">IF($N276="","",IF(MATCH($N276,$N$2:$N$3001,0)=ROWS($N$2:$N276),$N276,""))</f>
        <v/>
      </c>
    </row>
    <row r="277" customFormat="false" ht="15" hidden="false" customHeight="false" outlineLevel="0" collapsed="false">
      <c r="E277" s="25"/>
      <c r="M277" s="26" t="str">
        <f aca="false">IF($A277="","",$L277*$U277/100)</f>
        <v/>
      </c>
      <c r="W277" s="26" t="str">
        <f aca="false">IF($A277="","",U277*AB277/100)</f>
        <v/>
      </c>
      <c r="X277" s="26" t="str">
        <f aca="false">IF($A277="","",U277-W277)</f>
        <v/>
      </c>
      <c r="Y277" s="26" t="str">
        <f aca="false">IF($A277="","",U277-W277-M277)</f>
        <v/>
      </c>
      <c r="AB277" s="27" t="str">
        <f aca="false">IF($A277="","",IF($AK277=1,'كشف المطالبة'!$D$5,'كشف المطالبة'!$D$6)*100)</f>
        <v/>
      </c>
      <c r="AK277" s="28" t="str">
        <f aca="false">IF($A277="","",IF(OR($Q277=TRUE(),$Q277="TRUE"),1,0))</f>
        <v/>
      </c>
      <c r="AL277" s="28" t="str">
        <f aca="false">IF($N277="","",IF(MATCH($N277,$N$2:$N$3001,0)=ROWS($N$2:$N277),$N277,""))</f>
        <v/>
      </c>
    </row>
    <row r="278" customFormat="false" ht="15" hidden="false" customHeight="false" outlineLevel="0" collapsed="false">
      <c r="E278" s="25"/>
      <c r="M278" s="26" t="str">
        <f aca="false">IF($A278="","",$L278*$U278/100)</f>
        <v/>
      </c>
      <c r="W278" s="26" t="str">
        <f aca="false">IF($A278="","",U278*AB278/100)</f>
        <v/>
      </c>
      <c r="X278" s="26" t="str">
        <f aca="false">IF($A278="","",U278-W278)</f>
        <v/>
      </c>
      <c r="Y278" s="26" t="str">
        <f aca="false">IF($A278="","",U278-W278-M278)</f>
        <v/>
      </c>
      <c r="AB278" s="27" t="str">
        <f aca="false">IF($A278="","",IF($AK278=1,'كشف المطالبة'!$D$5,'كشف المطالبة'!$D$6)*100)</f>
        <v/>
      </c>
      <c r="AK278" s="28" t="str">
        <f aca="false">IF($A278="","",IF(OR($Q278=TRUE(),$Q278="TRUE"),1,0))</f>
        <v/>
      </c>
      <c r="AL278" s="28" t="str">
        <f aca="false">IF($N278="","",IF(MATCH($N278,$N$2:$N$3001,0)=ROWS($N$2:$N278),$N278,""))</f>
        <v/>
      </c>
    </row>
    <row r="279" customFormat="false" ht="15" hidden="false" customHeight="false" outlineLevel="0" collapsed="false">
      <c r="E279" s="25"/>
      <c r="M279" s="26" t="str">
        <f aca="false">IF($A279="","",$L279*$U279/100)</f>
        <v/>
      </c>
      <c r="W279" s="26" t="str">
        <f aca="false">IF($A279="","",U279*AB279/100)</f>
        <v/>
      </c>
      <c r="X279" s="26" t="str">
        <f aca="false">IF($A279="","",U279-W279)</f>
        <v/>
      </c>
      <c r="Y279" s="26" t="str">
        <f aca="false">IF($A279="","",U279-W279-M279)</f>
        <v/>
      </c>
      <c r="AB279" s="27" t="str">
        <f aca="false">IF($A279="","",IF($AK279=1,'كشف المطالبة'!$D$5,'كشف المطالبة'!$D$6)*100)</f>
        <v/>
      </c>
      <c r="AK279" s="28" t="str">
        <f aca="false">IF($A279="","",IF(OR($Q279=TRUE(),$Q279="TRUE"),1,0))</f>
        <v/>
      </c>
      <c r="AL279" s="28" t="str">
        <f aca="false">IF($N279="","",IF(MATCH($N279,$N$2:$N$3001,0)=ROWS($N$2:$N279),$N279,""))</f>
        <v/>
      </c>
    </row>
    <row r="280" customFormat="false" ht="15" hidden="false" customHeight="false" outlineLevel="0" collapsed="false">
      <c r="E280" s="25"/>
      <c r="M280" s="26" t="str">
        <f aca="false">IF($A280="","",$L280*$U280/100)</f>
        <v/>
      </c>
      <c r="W280" s="26" t="str">
        <f aca="false">IF($A280="","",U280*AB280/100)</f>
        <v/>
      </c>
      <c r="X280" s="26" t="str">
        <f aca="false">IF($A280="","",U280-W280)</f>
        <v/>
      </c>
      <c r="Y280" s="26" t="str">
        <f aca="false">IF($A280="","",U280-W280-M280)</f>
        <v/>
      </c>
      <c r="AB280" s="27" t="str">
        <f aca="false">IF($A280="","",IF($AK280=1,'كشف المطالبة'!$D$5,'كشف المطالبة'!$D$6)*100)</f>
        <v/>
      </c>
      <c r="AK280" s="28" t="str">
        <f aca="false">IF($A280="","",IF(OR($Q280=TRUE(),$Q280="TRUE"),1,0))</f>
        <v/>
      </c>
      <c r="AL280" s="28" t="str">
        <f aca="false">IF($N280="","",IF(MATCH($N280,$N$2:$N$3001,0)=ROWS($N$2:$N280),$N280,""))</f>
        <v/>
      </c>
    </row>
    <row r="281" customFormat="false" ht="15" hidden="false" customHeight="false" outlineLevel="0" collapsed="false">
      <c r="E281" s="25"/>
      <c r="M281" s="26" t="str">
        <f aca="false">IF($A281="","",$L281*$U281/100)</f>
        <v/>
      </c>
      <c r="W281" s="26" t="str">
        <f aca="false">IF($A281="","",U281*AB281/100)</f>
        <v/>
      </c>
      <c r="X281" s="26" t="str">
        <f aca="false">IF($A281="","",U281-W281)</f>
        <v/>
      </c>
      <c r="Y281" s="26" t="str">
        <f aca="false">IF($A281="","",U281-W281-M281)</f>
        <v/>
      </c>
      <c r="AB281" s="27" t="str">
        <f aca="false">IF($A281="","",IF($AK281=1,'كشف المطالبة'!$D$5,'كشف المطالبة'!$D$6)*100)</f>
        <v/>
      </c>
      <c r="AK281" s="28" t="str">
        <f aca="false">IF($A281="","",IF(OR($Q281=TRUE(),$Q281="TRUE"),1,0))</f>
        <v/>
      </c>
      <c r="AL281" s="28" t="str">
        <f aca="false">IF($N281="","",IF(MATCH($N281,$N$2:$N$3001,0)=ROWS($N$2:$N281),$N281,""))</f>
        <v/>
      </c>
    </row>
    <row r="282" customFormat="false" ht="15" hidden="false" customHeight="false" outlineLevel="0" collapsed="false">
      <c r="E282" s="25"/>
      <c r="M282" s="26" t="str">
        <f aca="false">IF($A282="","",$L282*$U282/100)</f>
        <v/>
      </c>
      <c r="W282" s="26" t="str">
        <f aca="false">IF($A282="","",U282*AB282/100)</f>
        <v/>
      </c>
      <c r="X282" s="26" t="str">
        <f aca="false">IF($A282="","",U282-W282)</f>
        <v/>
      </c>
      <c r="Y282" s="26" t="str">
        <f aca="false">IF($A282="","",U282-W282-M282)</f>
        <v/>
      </c>
      <c r="AB282" s="27" t="str">
        <f aca="false">IF($A282="","",IF($AK282=1,'كشف المطالبة'!$D$5,'كشف المطالبة'!$D$6)*100)</f>
        <v/>
      </c>
      <c r="AK282" s="28" t="str">
        <f aca="false">IF($A282="","",IF(OR($Q282=TRUE(),$Q282="TRUE"),1,0))</f>
        <v/>
      </c>
      <c r="AL282" s="28" t="str">
        <f aca="false">IF($N282="","",IF(MATCH($N282,$N$2:$N$3001,0)=ROWS($N$2:$N282),$N282,""))</f>
        <v/>
      </c>
    </row>
    <row r="283" customFormat="false" ht="15" hidden="false" customHeight="false" outlineLevel="0" collapsed="false">
      <c r="E283" s="25"/>
      <c r="M283" s="26" t="str">
        <f aca="false">IF($A283="","",$L283*$U283/100)</f>
        <v/>
      </c>
      <c r="W283" s="26" t="str">
        <f aca="false">IF($A283="","",U283*AB283/100)</f>
        <v/>
      </c>
      <c r="X283" s="26" t="str">
        <f aca="false">IF($A283="","",U283-W283)</f>
        <v/>
      </c>
      <c r="Y283" s="26" t="str">
        <f aca="false">IF($A283="","",U283-W283-M283)</f>
        <v/>
      </c>
      <c r="AB283" s="27" t="str">
        <f aca="false">IF($A283="","",IF($AK283=1,'كشف المطالبة'!$D$5,'كشف المطالبة'!$D$6)*100)</f>
        <v/>
      </c>
      <c r="AK283" s="28" t="str">
        <f aca="false">IF($A283="","",IF(OR($Q283=TRUE(),$Q283="TRUE"),1,0))</f>
        <v/>
      </c>
      <c r="AL283" s="28" t="str">
        <f aca="false">IF($N283="","",IF(MATCH($N283,$N$2:$N$3001,0)=ROWS($N$2:$N283),$N283,""))</f>
        <v/>
      </c>
    </row>
    <row r="284" customFormat="false" ht="15" hidden="false" customHeight="false" outlineLevel="0" collapsed="false">
      <c r="E284" s="25"/>
      <c r="M284" s="26" t="str">
        <f aca="false">IF($A284="","",$L284*$U284/100)</f>
        <v/>
      </c>
      <c r="W284" s="26" t="str">
        <f aca="false">IF($A284="","",U284*AB284/100)</f>
        <v/>
      </c>
      <c r="X284" s="26" t="str">
        <f aca="false">IF($A284="","",U284-W284)</f>
        <v/>
      </c>
      <c r="Y284" s="26" t="str">
        <f aca="false">IF($A284="","",U284-W284-M284)</f>
        <v/>
      </c>
      <c r="AB284" s="27" t="str">
        <f aca="false">IF($A284="","",IF($AK284=1,'كشف المطالبة'!$D$5,'كشف المطالبة'!$D$6)*100)</f>
        <v/>
      </c>
      <c r="AK284" s="28" t="str">
        <f aca="false">IF($A284="","",IF(OR($Q284=TRUE(),$Q284="TRUE"),1,0))</f>
        <v/>
      </c>
      <c r="AL284" s="28" t="str">
        <f aca="false">IF($N284="","",IF(MATCH($N284,$N$2:$N$3001,0)=ROWS($N$2:$N284),$N284,""))</f>
        <v/>
      </c>
    </row>
    <row r="285" customFormat="false" ht="15" hidden="false" customHeight="false" outlineLevel="0" collapsed="false">
      <c r="E285" s="25"/>
      <c r="M285" s="26" t="str">
        <f aca="false">IF($A285="","",$L285*$U285/100)</f>
        <v/>
      </c>
      <c r="W285" s="26" t="str">
        <f aca="false">IF($A285="","",U285*AB285/100)</f>
        <v/>
      </c>
      <c r="X285" s="26" t="str">
        <f aca="false">IF($A285="","",U285-W285)</f>
        <v/>
      </c>
      <c r="Y285" s="26" t="str">
        <f aca="false">IF($A285="","",U285-W285-M285)</f>
        <v/>
      </c>
      <c r="AB285" s="27" t="str">
        <f aca="false">IF($A285="","",IF($AK285=1,'كشف المطالبة'!$D$5,'كشف المطالبة'!$D$6)*100)</f>
        <v/>
      </c>
      <c r="AK285" s="28" t="str">
        <f aca="false">IF($A285="","",IF(OR($Q285=TRUE(),$Q285="TRUE"),1,0))</f>
        <v/>
      </c>
      <c r="AL285" s="28" t="str">
        <f aca="false">IF($N285="","",IF(MATCH($N285,$N$2:$N$3001,0)=ROWS($N$2:$N285),$N285,""))</f>
        <v/>
      </c>
    </row>
    <row r="286" customFormat="false" ht="15" hidden="false" customHeight="false" outlineLevel="0" collapsed="false">
      <c r="E286" s="25"/>
      <c r="M286" s="26" t="str">
        <f aca="false">IF($A286="","",$L286*$U286/100)</f>
        <v/>
      </c>
      <c r="W286" s="26" t="str">
        <f aca="false">IF($A286="","",U286*AB286/100)</f>
        <v/>
      </c>
      <c r="X286" s="26" t="str">
        <f aca="false">IF($A286="","",U286-W286)</f>
        <v/>
      </c>
      <c r="Y286" s="26" t="str">
        <f aca="false">IF($A286="","",U286-W286-M286)</f>
        <v/>
      </c>
      <c r="AB286" s="27" t="str">
        <f aca="false">IF($A286="","",IF($AK286=1,'كشف المطالبة'!$D$5,'كشف المطالبة'!$D$6)*100)</f>
        <v/>
      </c>
      <c r="AK286" s="28" t="str">
        <f aca="false">IF($A286="","",IF(OR($Q286=TRUE(),$Q286="TRUE"),1,0))</f>
        <v/>
      </c>
      <c r="AL286" s="28" t="str">
        <f aca="false">IF($N286="","",IF(MATCH($N286,$N$2:$N$3001,0)=ROWS($N$2:$N286),$N286,""))</f>
        <v/>
      </c>
    </row>
    <row r="287" customFormat="false" ht="15" hidden="false" customHeight="false" outlineLevel="0" collapsed="false">
      <c r="E287" s="25"/>
      <c r="M287" s="26" t="str">
        <f aca="false">IF($A287="","",$L287*$U287/100)</f>
        <v/>
      </c>
      <c r="W287" s="26" t="str">
        <f aca="false">IF($A287="","",U287*AB287/100)</f>
        <v/>
      </c>
      <c r="X287" s="26" t="str">
        <f aca="false">IF($A287="","",U287-W287)</f>
        <v/>
      </c>
      <c r="Y287" s="26" t="str">
        <f aca="false">IF($A287="","",U287-W287-M287)</f>
        <v/>
      </c>
      <c r="AB287" s="27" t="str">
        <f aca="false">IF($A287="","",IF($AK287=1,'كشف المطالبة'!$D$5,'كشف المطالبة'!$D$6)*100)</f>
        <v/>
      </c>
      <c r="AK287" s="28" t="str">
        <f aca="false">IF($A287="","",IF(OR($Q287=TRUE(),$Q287="TRUE"),1,0))</f>
        <v/>
      </c>
      <c r="AL287" s="28" t="str">
        <f aca="false">IF($N287="","",IF(MATCH($N287,$N$2:$N$3001,0)=ROWS($N$2:$N287),$N287,""))</f>
        <v/>
      </c>
    </row>
    <row r="288" customFormat="false" ht="15" hidden="false" customHeight="false" outlineLevel="0" collapsed="false">
      <c r="E288" s="25"/>
      <c r="M288" s="26" t="str">
        <f aca="false">IF($A288="","",$L288*$U288/100)</f>
        <v/>
      </c>
      <c r="W288" s="26" t="str">
        <f aca="false">IF($A288="","",U288*AB288/100)</f>
        <v/>
      </c>
      <c r="X288" s="26" t="str">
        <f aca="false">IF($A288="","",U288-W288)</f>
        <v/>
      </c>
      <c r="Y288" s="26" t="str">
        <f aca="false">IF($A288="","",U288-W288-M288)</f>
        <v/>
      </c>
      <c r="AB288" s="27" t="str">
        <f aca="false">IF($A288="","",IF($AK288=1,'كشف المطالبة'!$D$5,'كشف المطالبة'!$D$6)*100)</f>
        <v/>
      </c>
      <c r="AK288" s="28" t="str">
        <f aca="false">IF($A288="","",IF(OR($Q288=TRUE(),$Q288="TRUE"),1,0))</f>
        <v/>
      </c>
      <c r="AL288" s="28" t="str">
        <f aca="false">IF($N288="","",IF(MATCH($N288,$N$2:$N$3001,0)=ROWS($N$2:$N288),$N288,""))</f>
        <v/>
      </c>
    </row>
    <row r="289" customFormat="false" ht="15" hidden="false" customHeight="false" outlineLevel="0" collapsed="false">
      <c r="E289" s="25"/>
      <c r="M289" s="26" t="str">
        <f aca="false">IF($A289="","",$L289*$U289/100)</f>
        <v/>
      </c>
      <c r="W289" s="26" t="str">
        <f aca="false">IF($A289="","",U289*AB289/100)</f>
        <v/>
      </c>
      <c r="X289" s="26" t="str">
        <f aca="false">IF($A289="","",U289-W289)</f>
        <v/>
      </c>
      <c r="Y289" s="26" t="str">
        <f aca="false">IF($A289="","",U289-W289-M289)</f>
        <v/>
      </c>
      <c r="AB289" s="27" t="str">
        <f aca="false">IF($A289="","",IF($AK289=1,'كشف المطالبة'!$D$5,'كشف المطالبة'!$D$6)*100)</f>
        <v/>
      </c>
      <c r="AK289" s="28" t="str">
        <f aca="false">IF($A289="","",IF(OR($Q289=TRUE(),$Q289="TRUE"),1,0))</f>
        <v/>
      </c>
      <c r="AL289" s="28" t="str">
        <f aca="false">IF($N289="","",IF(MATCH($N289,$N$2:$N$3001,0)=ROWS($N$2:$N289),$N289,""))</f>
        <v/>
      </c>
    </row>
    <row r="290" customFormat="false" ht="15" hidden="false" customHeight="false" outlineLevel="0" collapsed="false">
      <c r="E290" s="25"/>
      <c r="M290" s="26" t="str">
        <f aca="false">IF($A290="","",$L290*$U290/100)</f>
        <v/>
      </c>
      <c r="W290" s="26" t="str">
        <f aca="false">IF($A290="","",U290*AB290/100)</f>
        <v/>
      </c>
      <c r="X290" s="26" t="str">
        <f aca="false">IF($A290="","",U290-W290)</f>
        <v/>
      </c>
      <c r="Y290" s="26" t="str">
        <f aca="false">IF($A290="","",U290-W290-M290)</f>
        <v/>
      </c>
      <c r="AB290" s="27" t="str">
        <f aca="false">IF($A290="","",IF($AK290=1,'كشف المطالبة'!$D$5,'كشف المطالبة'!$D$6)*100)</f>
        <v/>
      </c>
      <c r="AK290" s="28" t="str">
        <f aca="false">IF($A290="","",IF(OR($Q290=TRUE(),$Q290="TRUE"),1,0))</f>
        <v/>
      </c>
      <c r="AL290" s="28" t="str">
        <f aca="false">IF($N290="","",IF(MATCH($N290,$N$2:$N$3001,0)=ROWS($N$2:$N290),$N290,""))</f>
        <v/>
      </c>
    </row>
    <row r="291" customFormat="false" ht="15" hidden="false" customHeight="false" outlineLevel="0" collapsed="false">
      <c r="E291" s="25"/>
      <c r="M291" s="26" t="str">
        <f aca="false">IF($A291="","",$L291*$U291/100)</f>
        <v/>
      </c>
      <c r="W291" s="26" t="str">
        <f aca="false">IF($A291="","",U291*AB291/100)</f>
        <v/>
      </c>
      <c r="X291" s="26" t="str">
        <f aca="false">IF($A291="","",U291-W291)</f>
        <v/>
      </c>
      <c r="Y291" s="26" t="str">
        <f aca="false">IF($A291="","",U291-W291-M291)</f>
        <v/>
      </c>
      <c r="AB291" s="27" t="str">
        <f aca="false">IF($A291="","",IF($AK291=1,'كشف المطالبة'!$D$5,'كشف المطالبة'!$D$6)*100)</f>
        <v/>
      </c>
      <c r="AK291" s="28" t="str">
        <f aca="false">IF($A291="","",IF(OR($Q291=TRUE(),$Q291="TRUE"),1,0))</f>
        <v/>
      </c>
      <c r="AL291" s="28" t="str">
        <f aca="false">IF($N291="","",IF(MATCH($N291,$N$2:$N$3001,0)=ROWS($N$2:$N291),$N291,""))</f>
        <v/>
      </c>
    </row>
    <row r="292" customFormat="false" ht="15" hidden="false" customHeight="false" outlineLevel="0" collapsed="false">
      <c r="E292" s="25"/>
      <c r="M292" s="26" t="str">
        <f aca="false">IF($A292="","",$L292*$U292/100)</f>
        <v/>
      </c>
      <c r="W292" s="26" t="str">
        <f aca="false">IF($A292="","",U292*AB292/100)</f>
        <v/>
      </c>
      <c r="X292" s="26" t="str">
        <f aca="false">IF($A292="","",U292-W292)</f>
        <v/>
      </c>
      <c r="Y292" s="26" t="str">
        <f aca="false">IF($A292="","",U292-W292-M292)</f>
        <v/>
      </c>
      <c r="AB292" s="27" t="str">
        <f aca="false">IF($A292="","",IF($AK292=1,'كشف المطالبة'!$D$5,'كشف المطالبة'!$D$6)*100)</f>
        <v/>
      </c>
      <c r="AK292" s="28" t="str">
        <f aca="false">IF($A292="","",IF(OR($Q292=TRUE(),$Q292="TRUE"),1,0))</f>
        <v/>
      </c>
      <c r="AL292" s="28" t="str">
        <f aca="false">IF($N292="","",IF(MATCH($N292,$N$2:$N$3001,0)=ROWS($N$2:$N292),$N292,""))</f>
        <v/>
      </c>
    </row>
    <row r="293" customFormat="false" ht="15" hidden="false" customHeight="false" outlineLevel="0" collapsed="false">
      <c r="E293" s="25"/>
      <c r="M293" s="26" t="str">
        <f aca="false">IF($A293="","",$L293*$U293/100)</f>
        <v/>
      </c>
      <c r="W293" s="26" t="str">
        <f aca="false">IF($A293="","",U293*AB293/100)</f>
        <v/>
      </c>
      <c r="X293" s="26" t="str">
        <f aca="false">IF($A293="","",U293-W293)</f>
        <v/>
      </c>
      <c r="Y293" s="26" t="str">
        <f aca="false">IF($A293="","",U293-W293-M293)</f>
        <v/>
      </c>
      <c r="AB293" s="27" t="str">
        <f aca="false">IF($A293="","",IF($AK293=1,'كشف المطالبة'!$D$5,'كشف المطالبة'!$D$6)*100)</f>
        <v/>
      </c>
      <c r="AK293" s="28" t="str">
        <f aca="false">IF($A293="","",IF(OR($Q293=TRUE(),$Q293="TRUE"),1,0))</f>
        <v/>
      </c>
      <c r="AL293" s="28" t="str">
        <f aca="false">IF($N293="","",IF(MATCH($N293,$N$2:$N$3001,0)=ROWS($N$2:$N293),$N293,""))</f>
        <v/>
      </c>
    </row>
    <row r="294" customFormat="false" ht="15" hidden="false" customHeight="false" outlineLevel="0" collapsed="false">
      <c r="E294" s="25"/>
      <c r="M294" s="26" t="str">
        <f aca="false">IF($A294="","",$L294*$U294/100)</f>
        <v/>
      </c>
      <c r="W294" s="26" t="str">
        <f aca="false">IF($A294="","",U294*AB294/100)</f>
        <v/>
      </c>
      <c r="X294" s="26" t="str">
        <f aca="false">IF($A294="","",U294-W294)</f>
        <v/>
      </c>
      <c r="Y294" s="26" t="str">
        <f aca="false">IF($A294="","",U294-W294-M294)</f>
        <v/>
      </c>
      <c r="AB294" s="27" t="str">
        <f aca="false">IF($A294="","",IF($AK294=1,'كشف المطالبة'!$D$5,'كشف المطالبة'!$D$6)*100)</f>
        <v/>
      </c>
      <c r="AK294" s="28" t="str">
        <f aca="false">IF($A294="","",IF(OR($Q294=TRUE(),$Q294="TRUE"),1,0))</f>
        <v/>
      </c>
      <c r="AL294" s="28" t="str">
        <f aca="false">IF($N294="","",IF(MATCH($N294,$N$2:$N$3001,0)=ROWS($N$2:$N294),$N294,""))</f>
        <v/>
      </c>
    </row>
    <row r="295" customFormat="false" ht="15" hidden="false" customHeight="false" outlineLevel="0" collapsed="false">
      <c r="E295" s="25"/>
      <c r="M295" s="26" t="str">
        <f aca="false">IF($A295="","",$L295*$U295/100)</f>
        <v/>
      </c>
      <c r="W295" s="26" t="str">
        <f aca="false">IF($A295="","",U295*AB295/100)</f>
        <v/>
      </c>
      <c r="X295" s="26" t="str">
        <f aca="false">IF($A295="","",U295-W295)</f>
        <v/>
      </c>
      <c r="Y295" s="26" t="str">
        <f aca="false">IF($A295="","",U295-W295-M295)</f>
        <v/>
      </c>
      <c r="AB295" s="27" t="str">
        <f aca="false">IF($A295="","",IF($AK295=1,'كشف المطالبة'!$D$5,'كشف المطالبة'!$D$6)*100)</f>
        <v/>
      </c>
      <c r="AK295" s="28" t="str">
        <f aca="false">IF($A295="","",IF(OR($Q295=TRUE(),$Q295="TRUE"),1,0))</f>
        <v/>
      </c>
      <c r="AL295" s="28" t="str">
        <f aca="false">IF($N295="","",IF(MATCH($N295,$N$2:$N$3001,0)=ROWS($N$2:$N295),$N295,""))</f>
        <v/>
      </c>
    </row>
    <row r="296" customFormat="false" ht="15" hidden="false" customHeight="false" outlineLevel="0" collapsed="false">
      <c r="E296" s="25"/>
      <c r="M296" s="26" t="str">
        <f aca="false">IF($A296="","",$L296*$U296/100)</f>
        <v/>
      </c>
      <c r="W296" s="26" t="str">
        <f aca="false">IF($A296="","",U296*AB296/100)</f>
        <v/>
      </c>
      <c r="X296" s="26" t="str">
        <f aca="false">IF($A296="","",U296-W296)</f>
        <v/>
      </c>
      <c r="Y296" s="26" t="str">
        <f aca="false">IF($A296="","",U296-W296-M296)</f>
        <v/>
      </c>
      <c r="AB296" s="27" t="str">
        <f aca="false">IF($A296="","",IF($AK296=1,'كشف المطالبة'!$D$5,'كشف المطالبة'!$D$6)*100)</f>
        <v/>
      </c>
      <c r="AK296" s="28" t="str">
        <f aca="false">IF($A296="","",IF(OR($Q296=TRUE(),$Q296="TRUE"),1,0))</f>
        <v/>
      </c>
      <c r="AL296" s="28" t="str">
        <f aca="false">IF($N296="","",IF(MATCH($N296,$N$2:$N$3001,0)=ROWS($N$2:$N296),$N296,""))</f>
        <v/>
      </c>
    </row>
    <row r="297" customFormat="false" ht="15" hidden="false" customHeight="false" outlineLevel="0" collapsed="false">
      <c r="E297" s="25"/>
      <c r="M297" s="26" t="str">
        <f aca="false">IF($A297="","",$L297*$U297/100)</f>
        <v/>
      </c>
      <c r="W297" s="26" t="str">
        <f aca="false">IF($A297="","",U297*AB297/100)</f>
        <v/>
      </c>
      <c r="X297" s="26" t="str">
        <f aca="false">IF($A297="","",U297-W297)</f>
        <v/>
      </c>
      <c r="Y297" s="26" t="str">
        <f aca="false">IF($A297="","",U297-W297-M297)</f>
        <v/>
      </c>
      <c r="AB297" s="27" t="str">
        <f aca="false">IF($A297="","",IF($AK297=1,'كشف المطالبة'!$D$5,'كشف المطالبة'!$D$6)*100)</f>
        <v/>
      </c>
      <c r="AK297" s="28" t="str">
        <f aca="false">IF($A297="","",IF(OR($Q297=TRUE(),$Q297="TRUE"),1,0))</f>
        <v/>
      </c>
      <c r="AL297" s="28" t="str">
        <f aca="false">IF($N297="","",IF(MATCH($N297,$N$2:$N$3001,0)=ROWS($N$2:$N297),$N297,""))</f>
        <v/>
      </c>
    </row>
    <row r="298" customFormat="false" ht="15" hidden="false" customHeight="false" outlineLevel="0" collapsed="false">
      <c r="E298" s="25"/>
      <c r="M298" s="26" t="str">
        <f aca="false">IF($A298="","",$L298*$U298/100)</f>
        <v/>
      </c>
      <c r="W298" s="26" t="str">
        <f aca="false">IF($A298="","",U298*AB298/100)</f>
        <v/>
      </c>
      <c r="X298" s="26" t="str">
        <f aca="false">IF($A298="","",U298-W298)</f>
        <v/>
      </c>
      <c r="Y298" s="26" t="str">
        <f aca="false">IF($A298="","",U298-W298-M298)</f>
        <v/>
      </c>
      <c r="AB298" s="27" t="str">
        <f aca="false">IF($A298="","",IF($AK298=1,'كشف المطالبة'!$D$5,'كشف المطالبة'!$D$6)*100)</f>
        <v/>
      </c>
      <c r="AK298" s="28" t="str">
        <f aca="false">IF($A298="","",IF(OR($Q298=TRUE(),$Q298="TRUE"),1,0))</f>
        <v/>
      </c>
      <c r="AL298" s="28" t="str">
        <f aca="false">IF($N298="","",IF(MATCH($N298,$N$2:$N$3001,0)=ROWS($N$2:$N298),$N298,""))</f>
        <v/>
      </c>
    </row>
    <row r="299" customFormat="false" ht="15" hidden="false" customHeight="false" outlineLevel="0" collapsed="false">
      <c r="E299" s="25"/>
      <c r="M299" s="26" t="str">
        <f aca="false">IF($A299="","",$L299*$U299/100)</f>
        <v/>
      </c>
      <c r="W299" s="26" t="str">
        <f aca="false">IF($A299="","",U299*AB299/100)</f>
        <v/>
      </c>
      <c r="X299" s="26" t="str">
        <f aca="false">IF($A299="","",U299-W299)</f>
        <v/>
      </c>
      <c r="Y299" s="26" t="str">
        <f aca="false">IF($A299="","",U299-W299-M299)</f>
        <v/>
      </c>
      <c r="AB299" s="27" t="str">
        <f aca="false">IF($A299="","",IF($AK299=1,'كشف المطالبة'!$D$5,'كشف المطالبة'!$D$6)*100)</f>
        <v/>
      </c>
      <c r="AK299" s="28" t="str">
        <f aca="false">IF($A299="","",IF(OR($Q299=TRUE(),$Q299="TRUE"),1,0))</f>
        <v/>
      </c>
      <c r="AL299" s="28" t="str">
        <f aca="false">IF($N299="","",IF(MATCH($N299,$N$2:$N$3001,0)=ROWS($N$2:$N299),$N299,""))</f>
        <v/>
      </c>
    </row>
    <row r="300" customFormat="false" ht="15" hidden="false" customHeight="false" outlineLevel="0" collapsed="false">
      <c r="E300" s="25"/>
      <c r="M300" s="26" t="str">
        <f aca="false">IF($A300="","",$L300*$U300/100)</f>
        <v/>
      </c>
      <c r="W300" s="26" t="str">
        <f aca="false">IF($A300="","",U300*AB300/100)</f>
        <v/>
      </c>
      <c r="X300" s="26" t="str">
        <f aca="false">IF($A300="","",U300-W300)</f>
        <v/>
      </c>
      <c r="Y300" s="26" t="str">
        <f aca="false">IF($A300="","",U300-W300-M300)</f>
        <v/>
      </c>
      <c r="AB300" s="27" t="str">
        <f aca="false">IF($A300="","",IF($AK300=1,'كشف المطالبة'!$D$5,'كشف المطالبة'!$D$6)*100)</f>
        <v/>
      </c>
      <c r="AK300" s="28" t="str">
        <f aca="false">IF($A300="","",IF(OR($Q300=TRUE(),$Q300="TRUE"),1,0))</f>
        <v/>
      </c>
      <c r="AL300" s="28" t="str">
        <f aca="false">IF($N300="","",IF(MATCH($N300,$N$2:$N$3001,0)=ROWS($N$2:$N300),$N300,""))</f>
        <v/>
      </c>
    </row>
    <row r="301" customFormat="false" ht="15" hidden="false" customHeight="false" outlineLevel="0" collapsed="false">
      <c r="E301" s="25"/>
      <c r="M301" s="26" t="str">
        <f aca="false">IF($A301="","",$L301*$U301/100)</f>
        <v/>
      </c>
      <c r="W301" s="26" t="str">
        <f aca="false">IF($A301="","",U301*AB301/100)</f>
        <v/>
      </c>
      <c r="X301" s="26" t="str">
        <f aca="false">IF($A301="","",U301-W301)</f>
        <v/>
      </c>
      <c r="Y301" s="26" t="str">
        <f aca="false">IF($A301="","",U301-W301-M301)</f>
        <v/>
      </c>
      <c r="AB301" s="27" t="str">
        <f aca="false">IF($A301="","",IF($AK301=1,'كشف المطالبة'!$D$5,'كشف المطالبة'!$D$6)*100)</f>
        <v/>
      </c>
      <c r="AK301" s="28" t="str">
        <f aca="false">IF($A301="","",IF(OR($Q301=TRUE(),$Q301="TRUE"),1,0))</f>
        <v/>
      </c>
      <c r="AL301" s="28" t="str">
        <f aca="false">IF($N301="","",IF(MATCH($N301,$N$2:$N$3001,0)=ROWS($N$2:$N301),$N301,""))</f>
        <v/>
      </c>
    </row>
    <row r="302" customFormat="false" ht="15" hidden="false" customHeight="false" outlineLevel="0" collapsed="false">
      <c r="E302" s="25"/>
      <c r="M302" s="26" t="str">
        <f aca="false">IF($A302="","",$L302*$U302/100)</f>
        <v/>
      </c>
      <c r="W302" s="26" t="str">
        <f aca="false">IF($A302="","",U302*AB302/100)</f>
        <v/>
      </c>
      <c r="X302" s="26" t="str">
        <f aca="false">IF($A302="","",U302-W302)</f>
        <v/>
      </c>
      <c r="Y302" s="26" t="str">
        <f aca="false">IF($A302="","",U302-W302-M302)</f>
        <v/>
      </c>
      <c r="AB302" s="27" t="str">
        <f aca="false">IF($A302="","",IF($AK302=1,'كشف المطالبة'!$D$5,'كشف المطالبة'!$D$6)*100)</f>
        <v/>
      </c>
      <c r="AK302" s="28" t="str">
        <f aca="false">IF($A302="","",IF(OR($Q302=TRUE(),$Q302="TRUE"),1,0))</f>
        <v/>
      </c>
      <c r="AL302" s="28" t="str">
        <f aca="false">IF($N302="","",IF(MATCH($N302,$N$2:$N$3001,0)=ROWS($N$2:$N302),$N302,""))</f>
        <v/>
      </c>
    </row>
    <row r="303" customFormat="false" ht="15" hidden="false" customHeight="false" outlineLevel="0" collapsed="false">
      <c r="E303" s="25"/>
      <c r="M303" s="26" t="str">
        <f aca="false">IF($A303="","",$L303*$U303/100)</f>
        <v/>
      </c>
      <c r="W303" s="26" t="str">
        <f aca="false">IF($A303="","",U303*AB303/100)</f>
        <v/>
      </c>
      <c r="X303" s="26" t="str">
        <f aca="false">IF($A303="","",U303-W303)</f>
        <v/>
      </c>
      <c r="Y303" s="26" t="str">
        <f aca="false">IF($A303="","",U303-W303-M303)</f>
        <v/>
      </c>
      <c r="AB303" s="27" t="str">
        <f aca="false">IF($A303="","",IF($AK303=1,'كشف المطالبة'!$D$5,'كشف المطالبة'!$D$6)*100)</f>
        <v/>
      </c>
      <c r="AK303" s="28" t="str">
        <f aca="false">IF($A303="","",IF(OR($Q303=TRUE(),$Q303="TRUE"),1,0))</f>
        <v/>
      </c>
      <c r="AL303" s="28" t="str">
        <f aca="false">IF($N303="","",IF(MATCH($N303,$N$2:$N$3001,0)=ROWS($N$2:$N303),$N303,""))</f>
        <v/>
      </c>
    </row>
    <row r="304" customFormat="false" ht="15" hidden="false" customHeight="false" outlineLevel="0" collapsed="false">
      <c r="E304" s="25"/>
      <c r="M304" s="26" t="str">
        <f aca="false">IF($A304="","",$L304*$U304/100)</f>
        <v/>
      </c>
      <c r="W304" s="26" t="str">
        <f aca="false">IF($A304="","",U304*AB304/100)</f>
        <v/>
      </c>
      <c r="X304" s="26" t="str">
        <f aca="false">IF($A304="","",U304-W304)</f>
        <v/>
      </c>
      <c r="Y304" s="26" t="str">
        <f aca="false">IF($A304="","",U304-W304-M304)</f>
        <v/>
      </c>
      <c r="AB304" s="27" t="str">
        <f aca="false">IF($A304="","",IF($AK304=1,'كشف المطالبة'!$D$5,'كشف المطالبة'!$D$6)*100)</f>
        <v/>
      </c>
      <c r="AK304" s="28" t="str">
        <f aca="false">IF($A304="","",IF(OR($Q304=TRUE(),$Q304="TRUE"),1,0))</f>
        <v/>
      </c>
      <c r="AL304" s="28" t="str">
        <f aca="false">IF($N304="","",IF(MATCH($N304,$N$2:$N$3001,0)=ROWS($N$2:$N304),$N304,""))</f>
        <v/>
      </c>
    </row>
    <row r="305" customFormat="false" ht="15" hidden="false" customHeight="false" outlineLevel="0" collapsed="false">
      <c r="E305" s="25"/>
      <c r="M305" s="26" t="str">
        <f aca="false">IF($A305="","",$L305*$U305/100)</f>
        <v/>
      </c>
      <c r="W305" s="26" t="str">
        <f aca="false">IF($A305="","",U305*AB305/100)</f>
        <v/>
      </c>
      <c r="X305" s="26" t="str">
        <f aca="false">IF($A305="","",U305-W305)</f>
        <v/>
      </c>
      <c r="Y305" s="26" t="str">
        <f aca="false">IF($A305="","",U305-W305-M305)</f>
        <v/>
      </c>
      <c r="AB305" s="27" t="str">
        <f aca="false">IF($A305="","",IF($AK305=1,'كشف المطالبة'!$D$5,'كشف المطالبة'!$D$6)*100)</f>
        <v/>
      </c>
      <c r="AK305" s="28" t="str">
        <f aca="false">IF($A305="","",IF(OR($Q305=TRUE(),$Q305="TRUE"),1,0))</f>
        <v/>
      </c>
      <c r="AL305" s="28" t="str">
        <f aca="false">IF($N305="","",IF(MATCH($N305,$N$2:$N$3001,0)=ROWS($N$2:$N305),$N305,""))</f>
        <v/>
      </c>
    </row>
    <row r="306" customFormat="false" ht="15" hidden="false" customHeight="false" outlineLevel="0" collapsed="false">
      <c r="E306" s="25"/>
      <c r="M306" s="26" t="str">
        <f aca="false">IF($A306="","",$L306*$U306/100)</f>
        <v/>
      </c>
      <c r="W306" s="26" t="str">
        <f aca="false">IF($A306="","",U306*AB306/100)</f>
        <v/>
      </c>
      <c r="X306" s="26" t="str">
        <f aca="false">IF($A306="","",U306-W306)</f>
        <v/>
      </c>
      <c r="Y306" s="26" t="str">
        <f aca="false">IF($A306="","",U306-W306-M306)</f>
        <v/>
      </c>
      <c r="AB306" s="27" t="str">
        <f aca="false">IF($A306="","",IF($AK306=1,'كشف المطالبة'!$D$5,'كشف المطالبة'!$D$6)*100)</f>
        <v/>
      </c>
      <c r="AK306" s="28" t="str">
        <f aca="false">IF($A306="","",IF(OR($Q306=TRUE(),$Q306="TRUE"),1,0))</f>
        <v/>
      </c>
      <c r="AL306" s="28" t="str">
        <f aca="false">IF($N306="","",IF(MATCH($N306,$N$2:$N$3001,0)=ROWS($N$2:$N306),$N306,""))</f>
        <v/>
      </c>
    </row>
    <row r="307" customFormat="false" ht="15" hidden="false" customHeight="false" outlineLevel="0" collapsed="false">
      <c r="E307" s="25"/>
      <c r="M307" s="26" t="str">
        <f aca="false">IF($A307="","",$L307*$U307/100)</f>
        <v/>
      </c>
      <c r="W307" s="26" t="str">
        <f aca="false">IF($A307="","",U307*AB307/100)</f>
        <v/>
      </c>
      <c r="X307" s="26" t="str">
        <f aca="false">IF($A307="","",U307-W307)</f>
        <v/>
      </c>
      <c r="Y307" s="26" t="str">
        <f aca="false">IF($A307="","",U307-W307-M307)</f>
        <v/>
      </c>
      <c r="AB307" s="27" t="str">
        <f aca="false">IF($A307="","",IF($AK307=1,'كشف المطالبة'!$D$5,'كشف المطالبة'!$D$6)*100)</f>
        <v/>
      </c>
      <c r="AK307" s="28" t="str">
        <f aca="false">IF($A307="","",IF(OR($Q307=TRUE(),$Q307="TRUE"),1,0))</f>
        <v/>
      </c>
      <c r="AL307" s="28" t="str">
        <f aca="false">IF($N307="","",IF(MATCH($N307,$N$2:$N$3001,0)=ROWS($N$2:$N307),$N307,""))</f>
        <v/>
      </c>
    </row>
    <row r="308" customFormat="false" ht="15" hidden="false" customHeight="false" outlineLevel="0" collapsed="false">
      <c r="E308" s="25"/>
      <c r="M308" s="26" t="str">
        <f aca="false">IF($A308="","",$L308*$U308/100)</f>
        <v/>
      </c>
      <c r="W308" s="26" t="str">
        <f aca="false">IF($A308="","",U308*AB308/100)</f>
        <v/>
      </c>
      <c r="X308" s="26" t="str">
        <f aca="false">IF($A308="","",U308-W308)</f>
        <v/>
      </c>
      <c r="Y308" s="26" t="str">
        <f aca="false">IF($A308="","",U308-W308-M308)</f>
        <v/>
      </c>
      <c r="AB308" s="27" t="str">
        <f aca="false">IF($A308="","",IF($AK308=1,'كشف المطالبة'!$D$5,'كشف المطالبة'!$D$6)*100)</f>
        <v/>
      </c>
      <c r="AK308" s="28" t="str">
        <f aca="false">IF($A308="","",IF(OR($Q308=TRUE(),$Q308="TRUE"),1,0))</f>
        <v/>
      </c>
      <c r="AL308" s="28" t="str">
        <f aca="false">IF($N308="","",IF(MATCH($N308,$N$2:$N$3001,0)=ROWS($N$2:$N308),$N308,""))</f>
        <v/>
      </c>
    </row>
    <row r="309" customFormat="false" ht="15" hidden="false" customHeight="false" outlineLevel="0" collapsed="false">
      <c r="E309" s="25"/>
      <c r="M309" s="26" t="str">
        <f aca="false">IF($A309="","",$L309*$U309/100)</f>
        <v/>
      </c>
      <c r="W309" s="26" t="str">
        <f aca="false">IF($A309="","",U309*AB309/100)</f>
        <v/>
      </c>
      <c r="X309" s="26" t="str">
        <f aca="false">IF($A309="","",U309-W309)</f>
        <v/>
      </c>
      <c r="Y309" s="26" t="str">
        <f aca="false">IF($A309="","",U309-W309-M309)</f>
        <v/>
      </c>
      <c r="AB309" s="27" t="str">
        <f aca="false">IF($A309="","",IF($AK309=1,'كشف المطالبة'!$D$5,'كشف المطالبة'!$D$6)*100)</f>
        <v/>
      </c>
      <c r="AK309" s="28" t="str">
        <f aca="false">IF($A309="","",IF(OR($Q309=TRUE(),$Q309="TRUE"),1,0))</f>
        <v/>
      </c>
      <c r="AL309" s="28" t="str">
        <f aca="false">IF($N309="","",IF(MATCH($N309,$N$2:$N$3001,0)=ROWS($N$2:$N309),$N309,""))</f>
        <v/>
      </c>
    </row>
    <row r="310" customFormat="false" ht="15" hidden="false" customHeight="false" outlineLevel="0" collapsed="false">
      <c r="E310" s="25"/>
      <c r="M310" s="26" t="str">
        <f aca="false">IF($A310="","",$L310*$U310/100)</f>
        <v/>
      </c>
      <c r="W310" s="26" t="str">
        <f aca="false">IF($A310="","",U310*AB310/100)</f>
        <v/>
      </c>
      <c r="X310" s="26" t="str">
        <f aca="false">IF($A310="","",U310-W310)</f>
        <v/>
      </c>
      <c r="Y310" s="26" t="str">
        <f aca="false">IF($A310="","",U310-W310-M310)</f>
        <v/>
      </c>
      <c r="AB310" s="27" t="str">
        <f aca="false">IF($A310="","",IF($AK310=1,'كشف المطالبة'!$D$5,'كشف المطالبة'!$D$6)*100)</f>
        <v/>
      </c>
      <c r="AK310" s="28" t="str">
        <f aca="false">IF($A310="","",IF(OR($Q310=TRUE(),$Q310="TRUE"),1,0))</f>
        <v/>
      </c>
      <c r="AL310" s="28" t="str">
        <f aca="false">IF($N310="","",IF(MATCH($N310,$N$2:$N$3001,0)=ROWS($N$2:$N310),$N310,""))</f>
        <v/>
      </c>
    </row>
    <row r="311" customFormat="false" ht="15" hidden="false" customHeight="false" outlineLevel="0" collapsed="false">
      <c r="E311" s="25"/>
      <c r="M311" s="26" t="str">
        <f aca="false">IF($A311="","",$L311*$U311/100)</f>
        <v/>
      </c>
      <c r="W311" s="26" t="str">
        <f aca="false">IF($A311="","",U311*AB311/100)</f>
        <v/>
      </c>
      <c r="X311" s="26" t="str">
        <f aca="false">IF($A311="","",U311-W311)</f>
        <v/>
      </c>
      <c r="Y311" s="26" t="str">
        <f aca="false">IF($A311="","",U311-W311-M311)</f>
        <v/>
      </c>
      <c r="AB311" s="27" t="str">
        <f aca="false">IF($A311="","",IF($AK311=1,'كشف المطالبة'!$D$5,'كشف المطالبة'!$D$6)*100)</f>
        <v/>
      </c>
      <c r="AK311" s="28" t="str">
        <f aca="false">IF($A311="","",IF(OR($Q311=TRUE(),$Q311="TRUE"),1,0))</f>
        <v/>
      </c>
      <c r="AL311" s="28" t="str">
        <f aca="false">IF($N311="","",IF(MATCH($N311,$N$2:$N$3001,0)=ROWS($N$2:$N311),$N311,""))</f>
        <v/>
      </c>
    </row>
    <row r="312" customFormat="false" ht="15" hidden="false" customHeight="false" outlineLevel="0" collapsed="false">
      <c r="E312" s="25"/>
      <c r="M312" s="26" t="str">
        <f aca="false">IF($A312="","",$L312*$U312/100)</f>
        <v/>
      </c>
      <c r="W312" s="26" t="str">
        <f aca="false">IF($A312="","",U312*AB312/100)</f>
        <v/>
      </c>
      <c r="X312" s="26" t="str">
        <f aca="false">IF($A312="","",U312-W312)</f>
        <v/>
      </c>
      <c r="Y312" s="26" t="str">
        <f aca="false">IF($A312="","",U312-W312-M312)</f>
        <v/>
      </c>
      <c r="AB312" s="27" t="str">
        <f aca="false">IF($A312="","",IF($AK312=1,'كشف المطالبة'!$D$5,'كشف المطالبة'!$D$6)*100)</f>
        <v/>
      </c>
      <c r="AK312" s="28" t="str">
        <f aca="false">IF($A312="","",IF(OR($Q312=TRUE(),$Q312="TRUE"),1,0))</f>
        <v/>
      </c>
      <c r="AL312" s="28" t="str">
        <f aca="false">IF($N312="","",IF(MATCH($N312,$N$2:$N$3001,0)=ROWS($N$2:$N312),$N312,""))</f>
        <v/>
      </c>
    </row>
    <row r="313" customFormat="false" ht="15" hidden="false" customHeight="false" outlineLevel="0" collapsed="false">
      <c r="E313" s="25"/>
      <c r="M313" s="26" t="str">
        <f aca="false">IF($A313="","",$L313*$U313/100)</f>
        <v/>
      </c>
      <c r="W313" s="26" t="str">
        <f aca="false">IF($A313="","",U313*AB313/100)</f>
        <v/>
      </c>
      <c r="X313" s="26" t="str">
        <f aca="false">IF($A313="","",U313-W313)</f>
        <v/>
      </c>
      <c r="Y313" s="26" t="str">
        <f aca="false">IF($A313="","",U313-W313-M313)</f>
        <v/>
      </c>
      <c r="AB313" s="27" t="str">
        <f aca="false">IF($A313="","",IF($AK313=1,'كشف المطالبة'!$D$5,'كشف المطالبة'!$D$6)*100)</f>
        <v/>
      </c>
      <c r="AK313" s="28" t="str">
        <f aca="false">IF($A313="","",IF(OR($Q313=TRUE(),$Q313="TRUE"),1,0))</f>
        <v/>
      </c>
      <c r="AL313" s="28" t="str">
        <f aca="false">IF($N313="","",IF(MATCH($N313,$N$2:$N$3001,0)=ROWS($N$2:$N313),$N313,""))</f>
        <v/>
      </c>
    </row>
    <row r="314" customFormat="false" ht="15" hidden="false" customHeight="false" outlineLevel="0" collapsed="false">
      <c r="E314" s="25"/>
      <c r="M314" s="26" t="str">
        <f aca="false">IF($A314="","",$L314*$U314/100)</f>
        <v/>
      </c>
      <c r="W314" s="26" t="str">
        <f aca="false">IF($A314="","",U314*AB314/100)</f>
        <v/>
      </c>
      <c r="X314" s="26" t="str">
        <f aca="false">IF($A314="","",U314-W314)</f>
        <v/>
      </c>
      <c r="Y314" s="26" t="str">
        <f aca="false">IF($A314="","",U314-W314-M314)</f>
        <v/>
      </c>
      <c r="AB314" s="27" t="str">
        <f aca="false">IF($A314="","",IF($AK314=1,'كشف المطالبة'!$D$5,'كشف المطالبة'!$D$6)*100)</f>
        <v/>
      </c>
      <c r="AK314" s="28" t="str">
        <f aca="false">IF($A314="","",IF(OR($Q314=TRUE(),$Q314="TRUE"),1,0))</f>
        <v/>
      </c>
      <c r="AL314" s="28" t="str">
        <f aca="false">IF($N314="","",IF(MATCH($N314,$N$2:$N$3001,0)=ROWS($N$2:$N314),$N314,""))</f>
        <v/>
      </c>
    </row>
    <row r="315" customFormat="false" ht="15" hidden="false" customHeight="false" outlineLevel="0" collapsed="false">
      <c r="E315" s="25"/>
      <c r="M315" s="26" t="str">
        <f aca="false">IF($A315="","",$L315*$U315/100)</f>
        <v/>
      </c>
      <c r="W315" s="26" t="str">
        <f aca="false">IF($A315="","",U315*AB315/100)</f>
        <v/>
      </c>
      <c r="X315" s="26" t="str">
        <f aca="false">IF($A315="","",U315-W315)</f>
        <v/>
      </c>
      <c r="Y315" s="26" t="str">
        <f aca="false">IF($A315="","",U315-W315-M315)</f>
        <v/>
      </c>
      <c r="AB315" s="27" t="str">
        <f aca="false">IF($A315="","",IF($AK315=1,'كشف المطالبة'!$D$5,'كشف المطالبة'!$D$6)*100)</f>
        <v/>
      </c>
      <c r="AK315" s="28" t="str">
        <f aca="false">IF($A315="","",IF(OR($Q315=TRUE(),$Q315="TRUE"),1,0))</f>
        <v/>
      </c>
      <c r="AL315" s="28" t="str">
        <f aca="false">IF($N315="","",IF(MATCH($N315,$N$2:$N$3001,0)=ROWS($N$2:$N315),$N315,""))</f>
        <v/>
      </c>
    </row>
    <row r="316" customFormat="false" ht="15" hidden="false" customHeight="false" outlineLevel="0" collapsed="false">
      <c r="E316" s="25"/>
      <c r="M316" s="26" t="str">
        <f aca="false">IF($A316="","",$L316*$U316/100)</f>
        <v/>
      </c>
      <c r="W316" s="26" t="str">
        <f aca="false">IF($A316="","",U316*AB316/100)</f>
        <v/>
      </c>
      <c r="X316" s="26" t="str">
        <f aca="false">IF($A316="","",U316-W316)</f>
        <v/>
      </c>
      <c r="Y316" s="26" t="str">
        <f aca="false">IF($A316="","",U316-W316-M316)</f>
        <v/>
      </c>
      <c r="AB316" s="27" t="str">
        <f aca="false">IF($A316="","",IF($AK316=1,'كشف المطالبة'!$D$5,'كشف المطالبة'!$D$6)*100)</f>
        <v/>
      </c>
      <c r="AK316" s="28" t="str">
        <f aca="false">IF($A316="","",IF(OR($Q316=TRUE(),$Q316="TRUE"),1,0))</f>
        <v/>
      </c>
      <c r="AL316" s="28" t="str">
        <f aca="false">IF($N316="","",IF(MATCH($N316,$N$2:$N$3001,0)=ROWS($N$2:$N316),$N316,""))</f>
        <v/>
      </c>
    </row>
    <row r="317" customFormat="false" ht="15" hidden="false" customHeight="false" outlineLevel="0" collapsed="false">
      <c r="E317" s="25"/>
      <c r="M317" s="26" t="str">
        <f aca="false">IF($A317="","",$L317*$U317/100)</f>
        <v/>
      </c>
      <c r="W317" s="26" t="str">
        <f aca="false">IF($A317="","",U317*AB317/100)</f>
        <v/>
      </c>
      <c r="X317" s="26" t="str">
        <f aca="false">IF($A317="","",U317-W317)</f>
        <v/>
      </c>
      <c r="Y317" s="26" t="str">
        <f aca="false">IF($A317="","",U317-W317-M317)</f>
        <v/>
      </c>
      <c r="AB317" s="27" t="str">
        <f aca="false">IF($A317="","",IF($AK317=1,'كشف المطالبة'!$D$5,'كشف المطالبة'!$D$6)*100)</f>
        <v/>
      </c>
      <c r="AK317" s="28" t="str">
        <f aca="false">IF($A317="","",IF(OR($Q317=TRUE(),$Q317="TRUE"),1,0))</f>
        <v/>
      </c>
      <c r="AL317" s="28" t="str">
        <f aca="false">IF($N317="","",IF(MATCH($N317,$N$2:$N$3001,0)=ROWS($N$2:$N317),$N317,""))</f>
        <v/>
      </c>
    </row>
    <row r="318" customFormat="false" ht="15" hidden="false" customHeight="false" outlineLevel="0" collapsed="false">
      <c r="E318" s="25"/>
      <c r="M318" s="26" t="str">
        <f aca="false">IF($A318="","",$L318*$U318/100)</f>
        <v/>
      </c>
      <c r="W318" s="26" t="str">
        <f aca="false">IF($A318="","",U318*AB318/100)</f>
        <v/>
      </c>
      <c r="X318" s="26" t="str">
        <f aca="false">IF($A318="","",U318-W318)</f>
        <v/>
      </c>
      <c r="Y318" s="26" t="str">
        <f aca="false">IF($A318="","",U318-W318-M318)</f>
        <v/>
      </c>
      <c r="AB318" s="27" t="str">
        <f aca="false">IF($A318="","",IF($AK318=1,'كشف المطالبة'!$D$5,'كشف المطالبة'!$D$6)*100)</f>
        <v/>
      </c>
      <c r="AK318" s="28" t="str">
        <f aca="false">IF($A318="","",IF(OR($Q318=TRUE(),$Q318="TRUE"),1,0))</f>
        <v/>
      </c>
      <c r="AL318" s="28" t="str">
        <f aca="false">IF($N318="","",IF(MATCH($N318,$N$2:$N$3001,0)=ROWS($N$2:$N318),$N318,""))</f>
        <v/>
      </c>
    </row>
    <row r="319" customFormat="false" ht="15" hidden="false" customHeight="false" outlineLevel="0" collapsed="false">
      <c r="E319" s="25"/>
      <c r="M319" s="26" t="str">
        <f aca="false">IF($A319="","",$L319*$U319/100)</f>
        <v/>
      </c>
      <c r="W319" s="26" t="str">
        <f aca="false">IF($A319="","",U319*AB319/100)</f>
        <v/>
      </c>
      <c r="X319" s="26" t="str">
        <f aca="false">IF($A319="","",U319-W319)</f>
        <v/>
      </c>
      <c r="Y319" s="26" t="str">
        <f aca="false">IF($A319="","",U319-W319-M319)</f>
        <v/>
      </c>
      <c r="AB319" s="27" t="str">
        <f aca="false">IF($A319="","",IF($AK319=1,'كشف المطالبة'!$D$5,'كشف المطالبة'!$D$6)*100)</f>
        <v/>
      </c>
      <c r="AK319" s="28" t="str">
        <f aca="false">IF($A319="","",IF(OR($Q319=TRUE(),$Q319="TRUE"),1,0))</f>
        <v/>
      </c>
      <c r="AL319" s="28" t="str">
        <f aca="false">IF($N319="","",IF(MATCH($N319,$N$2:$N$3001,0)=ROWS($N$2:$N319),$N319,""))</f>
        <v/>
      </c>
    </row>
    <row r="320" customFormat="false" ht="15" hidden="false" customHeight="false" outlineLevel="0" collapsed="false">
      <c r="E320" s="25"/>
      <c r="M320" s="26" t="str">
        <f aca="false">IF($A320="","",$L320*$U320/100)</f>
        <v/>
      </c>
      <c r="W320" s="26" t="str">
        <f aca="false">IF($A320="","",U320*AB320/100)</f>
        <v/>
      </c>
      <c r="X320" s="26" t="str">
        <f aca="false">IF($A320="","",U320-W320)</f>
        <v/>
      </c>
      <c r="Y320" s="26" t="str">
        <f aca="false">IF($A320="","",U320-W320-M320)</f>
        <v/>
      </c>
      <c r="AB320" s="27" t="str">
        <f aca="false">IF($A320="","",IF($AK320=1,'كشف المطالبة'!$D$5,'كشف المطالبة'!$D$6)*100)</f>
        <v/>
      </c>
      <c r="AK320" s="28" t="str">
        <f aca="false">IF($A320="","",IF(OR($Q320=TRUE(),$Q320="TRUE"),1,0))</f>
        <v/>
      </c>
      <c r="AL320" s="28" t="str">
        <f aca="false">IF($N320="","",IF(MATCH($N320,$N$2:$N$3001,0)=ROWS($N$2:$N320),$N320,""))</f>
        <v/>
      </c>
    </row>
    <row r="321" customFormat="false" ht="15" hidden="false" customHeight="false" outlineLevel="0" collapsed="false">
      <c r="E321" s="25"/>
      <c r="M321" s="26" t="str">
        <f aca="false">IF($A321="","",$L321*$U321/100)</f>
        <v/>
      </c>
      <c r="W321" s="26" t="str">
        <f aca="false">IF($A321="","",U321*AB321/100)</f>
        <v/>
      </c>
      <c r="X321" s="26" t="str">
        <f aca="false">IF($A321="","",U321-W321)</f>
        <v/>
      </c>
      <c r="Y321" s="26" t="str">
        <f aca="false">IF($A321="","",U321-W321-M321)</f>
        <v/>
      </c>
      <c r="AB321" s="27" t="str">
        <f aca="false">IF($A321="","",IF($AK321=1,'كشف المطالبة'!$D$5,'كشف المطالبة'!$D$6)*100)</f>
        <v/>
      </c>
      <c r="AK321" s="28" t="str">
        <f aca="false">IF($A321="","",IF(OR($Q321=TRUE(),$Q321="TRUE"),1,0))</f>
        <v/>
      </c>
      <c r="AL321" s="28" t="str">
        <f aca="false">IF($N321="","",IF(MATCH($N321,$N$2:$N$3001,0)=ROWS($N$2:$N321),$N321,""))</f>
        <v/>
      </c>
    </row>
    <row r="322" customFormat="false" ht="15" hidden="false" customHeight="false" outlineLevel="0" collapsed="false">
      <c r="E322" s="25"/>
      <c r="M322" s="26" t="str">
        <f aca="false">IF($A322="","",$L322*$U322/100)</f>
        <v/>
      </c>
      <c r="W322" s="26" t="str">
        <f aca="false">IF($A322="","",U322*AB322/100)</f>
        <v/>
      </c>
      <c r="X322" s="26" t="str">
        <f aca="false">IF($A322="","",U322-W322)</f>
        <v/>
      </c>
      <c r="Y322" s="26" t="str">
        <f aca="false">IF($A322="","",U322-W322-M322)</f>
        <v/>
      </c>
      <c r="AB322" s="27" t="str">
        <f aca="false">IF($A322="","",IF($AK322=1,'كشف المطالبة'!$D$5,'كشف المطالبة'!$D$6)*100)</f>
        <v/>
      </c>
      <c r="AK322" s="28" t="str">
        <f aca="false">IF($A322="","",IF(OR($Q322=TRUE(),$Q322="TRUE"),1,0))</f>
        <v/>
      </c>
      <c r="AL322" s="28" t="str">
        <f aca="false">IF($N322="","",IF(MATCH($N322,$N$2:$N$3001,0)=ROWS($N$2:$N322),$N322,""))</f>
        <v/>
      </c>
    </row>
    <row r="323" customFormat="false" ht="15" hidden="false" customHeight="false" outlineLevel="0" collapsed="false">
      <c r="E323" s="25"/>
      <c r="M323" s="26" t="str">
        <f aca="false">IF($A323="","",$L323*$U323/100)</f>
        <v/>
      </c>
      <c r="W323" s="26" t="str">
        <f aca="false">IF($A323="","",U323*AB323/100)</f>
        <v/>
      </c>
      <c r="X323" s="26" t="str">
        <f aca="false">IF($A323="","",U323-W323)</f>
        <v/>
      </c>
      <c r="Y323" s="26" t="str">
        <f aca="false">IF($A323="","",U323-W323-M323)</f>
        <v/>
      </c>
      <c r="AB323" s="27" t="str">
        <f aca="false">IF($A323="","",IF($AK323=1,'كشف المطالبة'!$D$5,'كشف المطالبة'!$D$6)*100)</f>
        <v/>
      </c>
      <c r="AK323" s="28" t="str">
        <f aca="false">IF($A323="","",IF(OR($Q323=TRUE(),$Q323="TRUE"),1,0))</f>
        <v/>
      </c>
      <c r="AL323" s="28" t="str">
        <f aca="false">IF($N323="","",IF(MATCH($N323,$N$2:$N$3001,0)=ROWS($N$2:$N323),$N323,""))</f>
        <v/>
      </c>
    </row>
    <row r="324" customFormat="false" ht="15" hidden="false" customHeight="false" outlineLevel="0" collapsed="false">
      <c r="E324" s="25"/>
      <c r="M324" s="26" t="str">
        <f aca="false">IF($A324="","",$L324*$U324/100)</f>
        <v/>
      </c>
      <c r="W324" s="26" t="str">
        <f aca="false">IF($A324="","",U324*AB324/100)</f>
        <v/>
      </c>
      <c r="X324" s="26" t="str">
        <f aca="false">IF($A324="","",U324-W324)</f>
        <v/>
      </c>
      <c r="Y324" s="26" t="str">
        <f aca="false">IF($A324="","",U324-W324-M324)</f>
        <v/>
      </c>
      <c r="AB324" s="27" t="str">
        <f aca="false">IF($A324="","",IF($AK324=1,'كشف المطالبة'!$D$5,'كشف المطالبة'!$D$6)*100)</f>
        <v/>
      </c>
      <c r="AK324" s="28" t="str">
        <f aca="false">IF($A324="","",IF(OR($Q324=TRUE(),$Q324="TRUE"),1,0))</f>
        <v/>
      </c>
      <c r="AL324" s="28" t="str">
        <f aca="false">IF($N324="","",IF(MATCH($N324,$N$2:$N$3001,0)=ROWS($N$2:$N324),$N324,""))</f>
        <v/>
      </c>
    </row>
    <row r="325" customFormat="false" ht="15" hidden="false" customHeight="false" outlineLevel="0" collapsed="false">
      <c r="E325" s="25"/>
      <c r="M325" s="26" t="str">
        <f aca="false">IF($A325="","",$L325*$U325/100)</f>
        <v/>
      </c>
      <c r="W325" s="26" t="str">
        <f aca="false">IF($A325="","",U325*AB325/100)</f>
        <v/>
      </c>
      <c r="X325" s="26" t="str">
        <f aca="false">IF($A325="","",U325-W325)</f>
        <v/>
      </c>
      <c r="Y325" s="26" t="str">
        <f aca="false">IF($A325="","",U325-W325-M325)</f>
        <v/>
      </c>
      <c r="AB325" s="27" t="str">
        <f aca="false">IF($A325="","",IF($AK325=1,'كشف المطالبة'!$D$5,'كشف المطالبة'!$D$6)*100)</f>
        <v/>
      </c>
      <c r="AK325" s="28" t="str">
        <f aca="false">IF($A325="","",IF(OR($Q325=TRUE(),$Q325="TRUE"),1,0))</f>
        <v/>
      </c>
      <c r="AL325" s="28" t="str">
        <f aca="false">IF($N325="","",IF(MATCH($N325,$N$2:$N$3001,0)=ROWS($N$2:$N325),$N325,""))</f>
        <v/>
      </c>
    </row>
    <row r="326" customFormat="false" ht="15" hidden="false" customHeight="false" outlineLevel="0" collapsed="false">
      <c r="E326" s="25"/>
      <c r="M326" s="26" t="str">
        <f aca="false">IF($A326="","",$L326*$U326/100)</f>
        <v/>
      </c>
      <c r="W326" s="26" t="str">
        <f aca="false">IF($A326="","",U326*AB326/100)</f>
        <v/>
      </c>
      <c r="X326" s="26" t="str">
        <f aca="false">IF($A326="","",U326-W326)</f>
        <v/>
      </c>
      <c r="Y326" s="26" t="str">
        <f aca="false">IF($A326="","",U326-W326-M326)</f>
        <v/>
      </c>
      <c r="AB326" s="27" t="str">
        <f aca="false">IF($A326="","",IF($AK326=1,'كشف المطالبة'!$D$5,'كشف المطالبة'!$D$6)*100)</f>
        <v/>
      </c>
      <c r="AK326" s="28" t="str">
        <f aca="false">IF($A326="","",IF(OR($Q326=TRUE(),$Q326="TRUE"),1,0))</f>
        <v/>
      </c>
      <c r="AL326" s="28" t="str">
        <f aca="false">IF($N326="","",IF(MATCH($N326,$N$2:$N$3001,0)=ROWS($N$2:$N326),$N326,""))</f>
        <v/>
      </c>
    </row>
    <row r="327" customFormat="false" ht="15" hidden="false" customHeight="false" outlineLevel="0" collapsed="false">
      <c r="E327" s="25"/>
      <c r="M327" s="26" t="str">
        <f aca="false">IF($A327="","",$L327*$U327/100)</f>
        <v/>
      </c>
      <c r="W327" s="26" t="str">
        <f aca="false">IF($A327="","",U327*AB327/100)</f>
        <v/>
      </c>
      <c r="X327" s="26" t="str">
        <f aca="false">IF($A327="","",U327-W327)</f>
        <v/>
      </c>
      <c r="Y327" s="26" t="str">
        <f aca="false">IF($A327="","",U327-W327-M327)</f>
        <v/>
      </c>
      <c r="AB327" s="27" t="str">
        <f aca="false">IF($A327="","",IF($AK327=1,'كشف المطالبة'!$D$5,'كشف المطالبة'!$D$6)*100)</f>
        <v/>
      </c>
      <c r="AK327" s="28" t="str">
        <f aca="false">IF($A327="","",IF(OR($Q327=TRUE(),$Q327="TRUE"),1,0))</f>
        <v/>
      </c>
      <c r="AL327" s="28" t="str">
        <f aca="false">IF($N327="","",IF(MATCH($N327,$N$2:$N$3001,0)=ROWS($N$2:$N327),$N327,""))</f>
        <v/>
      </c>
    </row>
    <row r="328" customFormat="false" ht="15" hidden="false" customHeight="false" outlineLevel="0" collapsed="false">
      <c r="E328" s="25"/>
      <c r="M328" s="26" t="str">
        <f aca="false">IF($A328="","",$L328*$U328/100)</f>
        <v/>
      </c>
      <c r="W328" s="26" t="str">
        <f aca="false">IF($A328="","",U328*AB328/100)</f>
        <v/>
      </c>
      <c r="X328" s="26" t="str">
        <f aca="false">IF($A328="","",U328-W328)</f>
        <v/>
      </c>
      <c r="Y328" s="26" t="str">
        <f aca="false">IF($A328="","",U328-W328-M328)</f>
        <v/>
      </c>
      <c r="AB328" s="27" t="str">
        <f aca="false">IF($A328="","",IF($AK328=1,'كشف المطالبة'!$D$5,'كشف المطالبة'!$D$6)*100)</f>
        <v/>
      </c>
      <c r="AK328" s="28" t="str">
        <f aca="false">IF($A328="","",IF(OR($Q328=TRUE(),$Q328="TRUE"),1,0))</f>
        <v/>
      </c>
      <c r="AL328" s="28" t="str">
        <f aca="false">IF($N328="","",IF(MATCH($N328,$N$2:$N$3001,0)=ROWS($N$2:$N328),$N328,""))</f>
        <v/>
      </c>
    </row>
    <row r="329" customFormat="false" ht="15" hidden="false" customHeight="false" outlineLevel="0" collapsed="false">
      <c r="E329" s="25"/>
      <c r="M329" s="26" t="str">
        <f aca="false">IF($A329="","",$L329*$U329/100)</f>
        <v/>
      </c>
      <c r="W329" s="26" t="str">
        <f aca="false">IF($A329="","",U329*AB329/100)</f>
        <v/>
      </c>
      <c r="X329" s="26" t="str">
        <f aca="false">IF($A329="","",U329-W329)</f>
        <v/>
      </c>
      <c r="Y329" s="26" t="str">
        <f aca="false">IF($A329="","",U329-W329-M329)</f>
        <v/>
      </c>
      <c r="AB329" s="27" t="str">
        <f aca="false">IF($A329="","",IF($AK329=1,'كشف المطالبة'!$D$5,'كشف المطالبة'!$D$6)*100)</f>
        <v/>
      </c>
      <c r="AK329" s="28" t="str">
        <f aca="false">IF($A329="","",IF(OR($Q329=TRUE(),$Q329="TRUE"),1,0))</f>
        <v/>
      </c>
      <c r="AL329" s="28" t="str">
        <f aca="false">IF($N329="","",IF(MATCH($N329,$N$2:$N$3001,0)=ROWS($N$2:$N329),$N329,""))</f>
        <v/>
      </c>
    </row>
    <row r="330" customFormat="false" ht="15" hidden="false" customHeight="false" outlineLevel="0" collapsed="false">
      <c r="E330" s="25"/>
      <c r="M330" s="26" t="str">
        <f aca="false">IF($A330="","",$L330*$U330/100)</f>
        <v/>
      </c>
      <c r="W330" s="26" t="str">
        <f aca="false">IF($A330="","",U330*AB330/100)</f>
        <v/>
      </c>
      <c r="X330" s="26" t="str">
        <f aca="false">IF($A330="","",U330-W330)</f>
        <v/>
      </c>
      <c r="Y330" s="26" t="str">
        <f aca="false">IF($A330="","",U330-W330-M330)</f>
        <v/>
      </c>
      <c r="AB330" s="27" t="str">
        <f aca="false">IF($A330="","",IF($AK330=1,'كشف المطالبة'!$D$5,'كشف المطالبة'!$D$6)*100)</f>
        <v/>
      </c>
      <c r="AK330" s="28" t="str">
        <f aca="false">IF($A330="","",IF(OR($Q330=TRUE(),$Q330="TRUE"),1,0))</f>
        <v/>
      </c>
      <c r="AL330" s="28" t="str">
        <f aca="false">IF($N330="","",IF(MATCH($N330,$N$2:$N$3001,0)=ROWS($N$2:$N330),$N330,""))</f>
        <v/>
      </c>
    </row>
    <row r="331" customFormat="false" ht="15" hidden="false" customHeight="false" outlineLevel="0" collapsed="false">
      <c r="E331" s="25"/>
      <c r="M331" s="26" t="str">
        <f aca="false">IF($A331="","",$L331*$U331/100)</f>
        <v/>
      </c>
      <c r="W331" s="26" t="str">
        <f aca="false">IF($A331="","",U331*AB331/100)</f>
        <v/>
      </c>
      <c r="X331" s="26" t="str">
        <f aca="false">IF($A331="","",U331-W331)</f>
        <v/>
      </c>
      <c r="Y331" s="26" t="str">
        <f aca="false">IF($A331="","",U331-W331-M331)</f>
        <v/>
      </c>
      <c r="AB331" s="27" t="str">
        <f aca="false">IF($A331="","",IF($AK331=1,'كشف المطالبة'!$D$5,'كشف المطالبة'!$D$6)*100)</f>
        <v/>
      </c>
      <c r="AK331" s="28" t="str">
        <f aca="false">IF($A331="","",IF(OR($Q331=TRUE(),$Q331="TRUE"),1,0))</f>
        <v/>
      </c>
      <c r="AL331" s="28" t="str">
        <f aca="false">IF($N331="","",IF(MATCH($N331,$N$2:$N$3001,0)=ROWS($N$2:$N331),$N331,""))</f>
        <v/>
      </c>
    </row>
    <row r="332" customFormat="false" ht="15" hidden="false" customHeight="false" outlineLevel="0" collapsed="false">
      <c r="E332" s="25"/>
      <c r="M332" s="26" t="str">
        <f aca="false">IF($A332="","",$L332*$U332/100)</f>
        <v/>
      </c>
      <c r="W332" s="26" t="str">
        <f aca="false">IF($A332="","",U332*AB332/100)</f>
        <v/>
      </c>
      <c r="X332" s="26" t="str">
        <f aca="false">IF($A332="","",U332-W332)</f>
        <v/>
      </c>
      <c r="Y332" s="26" t="str">
        <f aca="false">IF($A332="","",U332-W332-M332)</f>
        <v/>
      </c>
      <c r="AB332" s="27" t="str">
        <f aca="false">IF($A332="","",IF($AK332=1,'كشف المطالبة'!$D$5,'كشف المطالبة'!$D$6)*100)</f>
        <v/>
      </c>
      <c r="AK332" s="28" t="str">
        <f aca="false">IF($A332="","",IF(OR($Q332=TRUE(),$Q332="TRUE"),1,0))</f>
        <v/>
      </c>
      <c r="AL332" s="28" t="str">
        <f aca="false">IF($N332="","",IF(MATCH($N332,$N$2:$N$3001,0)=ROWS($N$2:$N332),$N332,""))</f>
        <v/>
      </c>
    </row>
    <row r="333" customFormat="false" ht="15" hidden="false" customHeight="false" outlineLevel="0" collapsed="false">
      <c r="E333" s="25"/>
      <c r="M333" s="26" t="str">
        <f aca="false">IF($A333="","",$L333*$U333/100)</f>
        <v/>
      </c>
      <c r="W333" s="26" t="str">
        <f aca="false">IF($A333="","",U333*AB333/100)</f>
        <v/>
      </c>
      <c r="X333" s="26" t="str">
        <f aca="false">IF($A333="","",U333-W333)</f>
        <v/>
      </c>
      <c r="Y333" s="26" t="str">
        <f aca="false">IF($A333="","",U333-W333-M333)</f>
        <v/>
      </c>
      <c r="AB333" s="27" t="str">
        <f aca="false">IF($A333="","",IF($AK333=1,'كشف المطالبة'!$D$5,'كشف المطالبة'!$D$6)*100)</f>
        <v/>
      </c>
      <c r="AK333" s="28" t="str">
        <f aca="false">IF($A333="","",IF(OR($Q333=TRUE(),$Q333="TRUE"),1,0))</f>
        <v/>
      </c>
      <c r="AL333" s="28" t="str">
        <f aca="false">IF($N333="","",IF(MATCH($N333,$N$2:$N$3001,0)=ROWS($N$2:$N333),$N333,""))</f>
        <v/>
      </c>
    </row>
    <row r="334" customFormat="false" ht="15" hidden="false" customHeight="false" outlineLevel="0" collapsed="false">
      <c r="E334" s="25"/>
      <c r="M334" s="26" t="str">
        <f aca="false">IF($A334="","",$L334*$U334/100)</f>
        <v/>
      </c>
      <c r="W334" s="26" t="str">
        <f aca="false">IF($A334="","",U334*AB334/100)</f>
        <v/>
      </c>
      <c r="X334" s="26" t="str">
        <f aca="false">IF($A334="","",U334-W334)</f>
        <v/>
      </c>
      <c r="Y334" s="26" t="str">
        <f aca="false">IF($A334="","",U334-W334-M334)</f>
        <v/>
      </c>
      <c r="AB334" s="27" t="str">
        <f aca="false">IF($A334="","",IF($AK334=1,'كشف المطالبة'!$D$5,'كشف المطالبة'!$D$6)*100)</f>
        <v/>
      </c>
      <c r="AK334" s="28" t="str">
        <f aca="false">IF($A334="","",IF(OR($Q334=TRUE(),$Q334="TRUE"),1,0))</f>
        <v/>
      </c>
      <c r="AL334" s="28" t="str">
        <f aca="false">IF($N334="","",IF(MATCH($N334,$N$2:$N$3001,0)=ROWS($N$2:$N334),$N334,""))</f>
        <v/>
      </c>
    </row>
    <row r="335" customFormat="false" ht="15" hidden="false" customHeight="false" outlineLevel="0" collapsed="false">
      <c r="E335" s="25"/>
      <c r="M335" s="26" t="str">
        <f aca="false">IF($A335="","",$L335*$U335/100)</f>
        <v/>
      </c>
      <c r="W335" s="26" t="str">
        <f aca="false">IF($A335="","",U335*AB335/100)</f>
        <v/>
      </c>
      <c r="X335" s="26" t="str">
        <f aca="false">IF($A335="","",U335-W335)</f>
        <v/>
      </c>
      <c r="Y335" s="26" t="str">
        <f aca="false">IF($A335="","",U335-W335-M335)</f>
        <v/>
      </c>
      <c r="AB335" s="27" t="str">
        <f aca="false">IF($A335="","",IF($AK335=1,'كشف المطالبة'!$D$5,'كشف المطالبة'!$D$6)*100)</f>
        <v/>
      </c>
      <c r="AK335" s="28" t="str">
        <f aca="false">IF($A335="","",IF(OR($Q335=TRUE(),$Q335="TRUE"),1,0))</f>
        <v/>
      </c>
      <c r="AL335" s="28" t="str">
        <f aca="false">IF($N335="","",IF(MATCH($N335,$N$2:$N$3001,0)=ROWS($N$2:$N335),$N335,""))</f>
        <v/>
      </c>
    </row>
    <row r="336" customFormat="false" ht="15" hidden="false" customHeight="false" outlineLevel="0" collapsed="false">
      <c r="E336" s="25"/>
      <c r="M336" s="26" t="str">
        <f aca="false">IF($A336="","",$L336*$U336/100)</f>
        <v/>
      </c>
      <c r="W336" s="26" t="str">
        <f aca="false">IF($A336="","",U336*AB336/100)</f>
        <v/>
      </c>
      <c r="X336" s="26" t="str">
        <f aca="false">IF($A336="","",U336-W336)</f>
        <v/>
      </c>
      <c r="Y336" s="26" t="str">
        <f aca="false">IF($A336="","",U336-W336-M336)</f>
        <v/>
      </c>
      <c r="AB336" s="27" t="str">
        <f aca="false">IF($A336="","",IF($AK336=1,'كشف المطالبة'!$D$5,'كشف المطالبة'!$D$6)*100)</f>
        <v/>
      </c>
      <c r="AK336" s="28" t="str">
        <f aca="false">IF($A336="","",IF(OR($Q336=TRUE(),$Q336="TRUE"),1,0))</f>
        <v/>
      </c>
      <c r="AL336" s="28" t="str">
        <f aca="false">IF($N336="","",IF(MATCH($N336,$N$2:$N$3001,0)=ROWS($N$2:$N336),$N336,""))</f>
        <v/>
      </c>
    </row>
    <row r="337" customFormat="false" ht="15" hidden="false" customHeight="false" outlineLevel="0" collapsed="false">
      <c r="E337" s="25"/>
      <c r="M337" s="26" t="str">
        <f aca="false">IF($A337="","",$L337*$U337/100)</f>
        <v/>
      </c>
      <c r="W337" s="26" t="str">
        <f aca="false">IF($A337="","",U337*AB337/100)</f>
        <v/>
      </c>
      <c r="X337" s="26" t="str">
        <f aca="false">IF($A337="","",U337-W337)</f>
        <v/>
      </c>
      <c r="Y337" s="26" t="str">
        <f aca="false">IF($A337="","",U337-W337-M337)</f>
        <v/>
      </c>
      <c r="AB337" s="27" t="str">
        <f aca="false">IF($A337="","",IF($AK337=1,'كشف المطالبة'!$D$5,'كشف المطالبة'!$D$6)*100)</f>
        <v/>
      </c>
      <c r="AK337" s="28" t="str">
        <f aca="false">IF($A337="","",IF(OR($Q337=TRUE(),$Q337="TRUE"),1,0))</f>
        <v/>
      </c>
      <c r="AL337" s="28" t="str">
        <f aca="false">IF($N337="","",IF(MATCH($N337,$N$2:$N$3001,0)=ROWS($N$2:$N337),$N337,""))</f>
        <v/>
      </c>
    </row>
    <row r="338" customFormat="false" ht="15" hidden="false" customHeight="false" outlineLevel="0" collapsed="false">
      <c r="E338" s="25"/>
      <c r="M338" s="26" t="str">
        <f aca="false">IF($A338="","",$L338*$U338/100)</f>
        <v/>
      </c>
      <c r="W338" s="26" t="str">
        <f aca="false">IF($A338="","",U338*AB338/100)</f>
        <v/>
      </c>
      <c r="X338" s="26" t="str">
        <f aca="false">IF($A338="","",U338-W338)</f>
        <v/>
      </c>
      <c r="Y338" s="26" t="str">
        <f aca="false">IF($A338="","",U338-W338-M338)</f>
        <v/>
      </c>
      <c r="AB338" s="27" t="str">
        <f aca="false">IF($A338="","",IF($AK338=1,'كشف المطالبة'!$D$5,'كشف المطالبة'!$D$6)*100)</f>
        <v/>
      </c>
      <c r="AK338" s="28" t="str">
        <f aca="false">IF($A338="","",IF(OR($Q338=TRUE(),$Q338="TRUE"),1,0))</f>
        <v/>
      </c>
      <c r="AL338" s="28" t="str">
        <f aca="false">IF($N338="","",IF(MATCH($N338,$N$2:$N$3001,0)=ROWS($N$2:$N338),$N338,""))</f>
        <v/>
      </c>
    </row>
    <row r="339" customFormat="false" ht="15" hidden="false" customHeight="false" outlineLevel="0" collapsed="false">
      <c r="E339" s="25"/>
      <c r="M339" s="26" t="str">
        <f aca="false">IF($A339="","",$L339*$U339/100)</f>
        <v/>
      </c>
      <c r="W339" s="26" t="str">
        <f aca="false">IF($A339="","",U339*AB339/100)</f>
        <v/>
      </c>
      <c r="X339" s="26" t="str">
        <f aca="false">IF($A339="","",U339-W339)</f>
        <v/>
      </c>
      <c r="Y339" s="26" t="str">
        <f aca="false">IF($A339="","",U339-W339-M339)</f>
        <v/>
      </c>
      <c r="AB339" s="27" t="str">
        <f aca="false">IF($A339="","",IF($AK339=1,'كشف المطالبة'!$D$5,'كشف المطالبة'!$D$6)*100)</f>
        <v/>
      </c>
      <c r="AK339" s="28" t="str">
        <f aca="false">IF($A339="","",IF(OR($Q339=TRUE(),$Q339="TRUE"),1,0))</f>
        <v/>
      </c>
      <c r="AL339" s="28" t="str">
        <f aca="false">IF($N339="","",IF(MATCH($N339,$N$2:$N$3001,0)=ROWS($N$2:$N339),$N339,""))</f>
        <v/>
      </c>
    </row>
    <row r="340" customFormat="false" ht="15" hidden="false" customHeight="false" outlineLevel="0" collapsed="false">
      <c r="E340" s="25"/>
      <c r="M340" s="26" t="str">
        <f aca="false">IF($A340="","",$L340*$U340/100)</f>
        <v/>
      </c>
      <c r="W340" s="26" t="str">
        <f aca="false">IF($A340="","",U340*AB340/100)</f>
        <v/>
      </c>
      <c r="X340" s="26" t="str">
        <f aca="false">IF($A340="","",U340-W340)</f>
        <v/>
      </c>
      <c r="Y340" s="26" t="str">
        <f aca="false">IF($A340="","",U340-W340-M340)</f>
        <v/>
      </c>
      <c r="AB340" s="27" t="str">
        <f aca="false">IF($A340="","",IF($AK340=1,'كشف المطالبة'!$D$5,'كشف المطالبة'!$D$6)*100)</f>
        <v/>
      </c>
      <c r="AK340" s="28" t="str">
        <f aca="false">IF($A340="","",IF(OR($Q340=TRUE(),$Q340="TRUE"),1,0))</f>
        <v/>
      </c>
      <c r="AL340" s="28" t="str">
        <f aca="false">IF($N340="","",IF(MATCH($N340,$N$2:$N$3001,0)=ROWS($N$2:$N340),$N340,""))</f>
        <v/>
      </c>
    </row>
    <row r="341" customFormat="false" ht="15" hidden="false" customHeight="false" outlineLevel="0" collapsed="false">
      <c r="E341" s="25"/>
      <c r="M341" s="26" t="str">
        <f aca="false">IF($A341="","",$L341*$U341/100)</f>
        <v/>
      </c>
      <c r="W341" s="26" t="str">
        <f aca="false">IF($A341="","",U341*AB341/100)</f>
        <v/>
      </c>
      <c r="X341" s="26" t="str">
        <f aca="false">IF($A341="","",U341-W341)</f>
        <v/>
      </c>
      <c r="Y341" s="26" t="str">
        <f aca="false">IF($A341="","",U341-W341-M341)</f>
        <v/>
      </c>
      <c r="AB341" s="27" t="str">
        <f aca="false">IF($A341="","",IF($AK341=1,'كشف المطالبة'!$D$5,'كشف المطالبة'!$D$6)*100)</f>
        <v/>
      </c>
      <c r="AK341" s="28" t="str">
        <f aca="false">IF($A341="","",IF(OR($Q341=TRUE(),$Q341="TRUE"),1,0))</f>
        <v/>
      </c>
      <c r="AL341" s="28" t="str">
        <f aca="false">IF($N341="","",IF(MATCH($N341,$N$2:$N$3001,0)=ROWS($N$2:$N341),$N341,""))</f>
        <v/>
      </c>
    </row>
    <row r="342" customFormat="false" ht="15" hidden="false" customHeight="false" outlineLevel="0" collapsed="false">
      <c r="E342" s="25"/>
      <c r="M342" s="26" t="str">
        <f aca="false">IF($A342="","",$L342*$U342/100)</f>
        <v/>
      </c>
      <c r="W342" s="26" t="str">
        <f aca="false">IF($A342="","",U342*AB342/100)</f>
        <v/>
      </c>
      <c r="X342" s="26" t="str">
        <f aca="false">IF($A342="","",U342-W342)</f>
        <v/>
      </c>
      <c r="Y342" s="26" t="str">
        <f aca="false">IF($A342="","",U342-W342-M342)</f>
        <v/>
      </c>
      <c r="AB342" s="27" t="str">
        <f aca="false">IF($A342="","",IF($AK342=1,'كشف المطالبة'!$D$5,'كشف المطالبة'!$D$6)*100)</f>
        <v/>
      </c>
      <c r="AK342" s="28" t="str">
        <f aca="false">IF($A342="","",IF(OR($Q342=TRUE(),$Q342="TRUE"),1,0))</f>
        <v/>
      </c>
      <c r="AL342" s="28" t="str">
        <f aca="false">IF($N342="","",IF(MATCH($N342,$N$2:$N$3001,0)=ROWS($N$2:$N342),$N342,""))</f>
        <v/>
      </c>
    </row>
    <row r="343" customFormat="false" ht="15" hidden="false" customHeight="false" outlineLevel="0" collapsed="false">
      <c r="E343" s="25"/>
      <c r="M343" s="26" t="str">
        <f aca="false">IF($A343="","",$L343*$U343/100)</f>
        <v/>
      </c>
      <c r="W343" s="26" t="str">
        <f aca="false">IF($A343="","",U343*AB343/100)</f>
        <v/>
      </c>
      <c r="X343" s="26" t="str">
        <f aca="false">IF($A343="","",U343-W343)</f>
        <v/>
      </c>
      <c r="Y343" s="26" t="str">
        <f aca="false">IF($A343="","",U343-W343-M343)</f>
        <v/>
      </c>
      <c r="AB343" s="27" t="str">
        <f aca="false">IF($A343="","",IF($AK343=1,'كشف المطالبة'!$D$5,'كشف المطالبة'!$D$6)*100)</f>
        <v/>
      </c>
      <c r="AK343" s="28" t="str">
        <f aca="false">IF($A343="","",IF(OR($Q343=TRUE(),$Q343="TRUE"),1,0))</f>
        <v/>
      </c>
      <c r="AL343" s="28" t="str">
        <f aca="false">IF($N343="","",IF(MATCH($N343,$N$2:$N$3001,0)=ROWS($N$2:$N343),$N343,""))</f>
        <v/>
      </c>
    </row>
    <row r="344" customFormat="false" ht="15" hidden="false" customHeight="false" outlineLevel="0" collapsed="false">
      <c r="E344" s="25"/>
      <c r="M344" s="26" t="str">
        <f aca="false">IF($A344="","",$L344*$U344/100)</f>
        <v/>
      </c>
      <c r="W344" s="26" t="str">
        <f aca="false">IF($A344="","",U344*AB344/100)</f>
        <v/>
      </c>
      <c r="X344" s="26" t="str">
        <f aca="false">IF($A344="","",U344-W344)</f>
        <v/>
      </c>
      <c r="Y344" s="26" t="str">
        <f aca="false">IF($A344="","",U344-W344-M344)</f>
        <v/>
      </c>
      <c r="AB344" s="27" t="str">
        <f aca="false">IF($A344="","",IF($AK344=1,'كشف المطالبة'!$D$5,'كشف المطالبة'!$D$6)*100)</f>
        <v/>
      </c>
      <c r="AK344" s="28" t="str">
        <f aca="false">IF($A344="","",IF(OR($Q344=TRUE(),$Q344="TRUE"),1,0))</f>
        <v/>
      </c>
      <c r="AL344" s="28" t="str">
        <f aca="false">IF($N344="","",IF(MATCH($N344,$N$2:$N$3001,0)=ROWS($N$2:$N344),$N344,""))</f>
        <v/>
      </c>
    </row>
    <row r="345" customFormat="false" ht="15" hidden="false" customHeight="false" outlineLevel="0" collapsed="false">
      <c r="E345" s="25"/>
      <c r="M345" s="26" t="str">
        <f aca="false">IF($A345="","",$L345*$U345/100)</f>
        <v/>
      </c>
      <c r="W345" s="26" t="str">
        <f aca="false">IF($A345="","",U345*AB345/100)</f>
        <v/>
      </c>
      <c r="X345" s="26" t="str">
        <f aca="false">IF($A345="","",U345-W345)</f>
        <v/>
      </c>
      <c r="Y345" s="26" t="str">
        <f aca="false">IF($A345="","",U345-W345-M345)</f>
        <v/>
      </c>
      <c r="AB345" s="27" t="str">
        <f aca="false">IF($A345="","",IF($AK345=1,'كشف المطالبة'!$D$5,'كشف المطالبة'!$D$6)*100)</f>
        <v/>
      </c>
      <c r="AK345" s="28" t="str">
        <f aca="false">IF($A345="","",IF(OR($Q345=TRUE(),$Q345="TRUE"),1,0))</f>
        <v/>
      </c>
      <c r="AL345" s="28" t="str">
        <f aca="false">IF($N345="","",IF(MATCH($N345,$N$2:$N$3001,0)=ROWS($N$2:$N345),$N345,""))</f>
        <v/>
      </c>
    </row>
    <row r="346" customFormat="false" ht="15" hidden="false" customHeight="false" outlineLevel="0" collapsed="false">
      <c r="E346" s="25"/>
      <c r="M346" s="26" t="str">
        <f aca="false">IF($A346="","",$L346*$U346/100)</f>
        <v/>
      </c>
      <c r="W346" s="26" t="str">
        <f aca="false">IF($A346="","",U346*AB346/100)</f>
        <v/>
      </c>
      <c r="X346" s="26" t="str">
        <f aca="false">IF($A346="","",U346-W346)</f>
        <v/>
      </c>
      <c r="Y346" s="26" t="str">
        <f aca="false">IF($A346="","",U346-W346-M346)</f>
        <v/>
      </c>
      <c r="AB346" s="27" t="str">
        <f aca="false">IF($A346="","",IF($AK346=1,'كشف المطالبة'!$D$5,'كشف المطالبة'!$D$6)*100)</f>
        <v/>
      </c>
      <c r="AK346" s="28" t="str">
        <f aca="false">IF($A346="","",IF(OR($Q346=TRUE(),$Q346="TRUE"),1,0))</f>
        <v/>
      </c>
      <c r="AL346" s="28" t="str">
        <f aca="false">IF($N346="","",IF(MATCH($N346,$N$2:$N$3001,0)=ROWS($N$2:$N346),$N346,""))</f>
        <v/>
      </c>
    </row>
    <row r="347" customFormat="false" ht="15" hidden="false" customHeight="false" outlineLevel="0" collapsed="false">
      <c r="E347" s="25"/>
      <c r="M347" s="26" t="str">
        <f aca="false">IF($A347="","",$L347*$U347/100)</f>
        <v/>
      </c>
      <c r="W347" s="26" t="str">
        <f aca="false">IF($A347="","",U347*AB347/100)</f>
        <v/>
      </c>
      <c r="X347" s="26" t="str">
        <f aca="false">IF($A347="","",U347-W347)</f>
        <v/>
      </c>
      <c r="Y347" s="26" t="str">
        <f aca="false">IF($A347="","",U347-W347-M347)</f>
        <v/>
      </c>
      <c r="AB347" s="27" t="str">
        <f aca="false">IF($A347="","",IF($AK347=1,'كشف المطالبة'!$D$5,'كشف المطالبة'!$D$6)*100)</f>
        <v/>
      </c>
      <c r="AK347" s="28" t="str">
        <f aca="false">IF($A347="","",IF(OR($Q347=TRUE(),$Q347="TRUE"),1,0))</f>
        <v/>
      </c>
      <c r="AL347" s="28" t="str">
        <f aca="false">IF($N347="","",IF(MATCH($N347,$N$2:$N$3001,0)=ROWS($N$2:$N347),$N347,""))</f>
        <v/>
      </c>
    </row>
    <row r="348" customFormat="false" ht="15" hidden="false" customHeight="false" outlineLevel="0" collapsed="false">
      <c r="E348" s="25"/>
      <c r="M348" s="26" t="str">
        <f aca="false">IF($A348="","",$L348*$U348/100)</f>
        <v/>
      </c>
      <c r="W348" s="26" t="str">
        <f aca="false">IF($A348="","",U348*AB348/100)</f>
        <v/>
      </c>
      <c r="X348" s="26" t="str">
        <f aca="false">IF($A348="","",U348-W348)</f>
        <v/>
      </c>
      <c r="Y348" s="26" t="str">
        <f aca="false">IF($A348="","",U348-W348-M348)</f>
        <v/>
      </c>
      <c r="AB348" s="27" t="str">
        <f aca="false">IF($A348="","",IF($AK348=1,'كشف المطالبة'!$D$5,'كشف المطالبة'!$D$6)*100)</f>
        <v/>
      </c>
      <c r="AK348" s="28" t="str">
        <f aca="false">IF($A348="","",IF(OR($Q348=TRUE(),$Q348="TRUE"),1,0))</f>
        <v/>
      </c>
      <c r="AL348" s="28" t="str">
        <f aca="false">IF($N348="","",IF(MATCH($N348,$N$2:$N$3001,0)=ROWS($N$2:$N348),$N348,""))</f>
        <v/>
      </c>
    </row>
    <row r="349" customFormat="false" ht="15" hidden="false" customHeight="false" outlineLevel="0" collapsed="false">
      <c r="E349" s="25"/>
      <c r="M349" s="26" t="str">
        <f aca="false">IF($A349="","",$L349*$U349/100)</f>
        <v/>
      </c>
      <c r="W349" s="26" t="str">
        <f aca="false">IF($A349="","",U349*AB349/100)</f>
        <v/>
      </c>
      <c r="X349" s="26" t="str">
        <f aca="false">IF($A349="","",U349-W349)</f>
        <v/>
      </c>
      <c r="Y349" s="26" t="str">
        <f aca="false">IF($A349="","",U349-W349-M349)</f>
        <v/>
      </c>
      <c r="AB349" s="27" t="str">
        <f aca="false">IF($A349="","",IF($AK349=1,'كشف المطالبة'!$D$5,'كشف المطالبة'!$D$6)*100)</f>
        <v/>
      </c>
      <c r="AK349" s="28" t="str">
        <f aca="false">IF($A349="","",IF(OR($Q349=TRUE(),$Q349="TRUE"),1,0))</f>
        <v/>
      </c>
      <c r="AL349" s="28" t="str">
        <f aca="false">IF($N349="","",IF(MATCH($N349,$N$2:$N$3001,0)=ROWS($N$2:$N349),$N349,""))</f>
        <v/>
      </c>
    </row>
    <row r="350" customFormat="false" ht="15" hidden="false" customHeight="false" outlineLevel="0" collapsed="false">
      <c r="E350" s="25"/>
      <c r="M350" s="26" t="str">
        <f aca="false">IF($A350="","",$L350*$U350/100)</f>
        <v/>
      </c>
      <c r="W350" s="26" t="str">
        <f aca="false">IF($A350="","",U350*AB350/100)</f>
        <v/>
      </c>
      <c r="X350" s="26" t="str">
        <f aca="false">IF($A350="","",U350-W350)</f>
        <v/>
      </c>
      <c r="Y350" s="26" t="str">
        <f aca="false">IF($A350="","",U350-W350-M350)</f>
        <v/>
      </c>
      <c r="AB350" s="27" t="str">
        <f aca="false">IF($A350="","",IF($AK350=1,'كشف المطالبة'!$D$5,'كشف المطالبة'!$D$6)*100)</f>
        <v/>
      </c>
      <c r="AK350" s="28" t="str">
        <f aca="false">IF($A350="","",IF(OR($Q350=TRUE(),$Q350="TRUE"),1,0))</f>
        <v/>
      </c>
      <c r="AL350" s="28" t="str">
        <f aca="false">IF($N350="","",IF(MATCH($N350,$N$2:$N$3001,0)=ROWS($N$2:$N350),$N350,""))</f>
        <v/>
      </c>
    </row>
    <row r="351" customFormat="false" ht="15" hidden="false" customHeight="false" outlineLevel="0" collapsed="false">
      <c r="E351" s="25"/>
      <c r="M351" s="26" t="str">
        <f aca="false">IF($A351="","",$L351*$U351/100)</f>
        <v/>
      </c>
      <c r="W351" s="26" t="str">
        <f aca="false">IF($A351="","",U351*AB351/100)</f>
        <v/>
      </c>
      <c r="X351" s="26" t="str">
        <f aca="false">IF($A351="","",U351-W351)</f>
        <v/>
      </c>
      <c r="Y351" s="26" t="str">
        <f aca="false">IF($A351="","",U351-W351-M351)</f>
        <v/>
      </c>
      <c r="AB351" s="27" t="str">
        <f aca="false">IF($A351="","",IF($AK351=1,'كشف المطالبة'!$D$5,'كشف المطالبة'!$D$6)*100)</f>
        <v/>
      </c>
      <c r="AK351" s="28" t="str">
        <f aca="false">IF($A351="","",IF(OR($Q351=TRUE(),$Q351="TRUE"),1,0))</f>
        <v/>
      </c>
      <c r="AL351" s="28" t="str">
        <f aca="false">IF($N351="","",IF(MATCH($N351,$N$2:$N$3001,0)=ROWS($N$2:$N351),$N351,""))</f>
        <v/>
      </c>
    </row>
    <row r="352" customFormat="false" ht="15" hidden="false" customHeight="false" outlineLevel="0" collapsed="false">
      <c r="E352" s="25"/>
      <c r="M352" s="26" t="str">
        <f aca="false">IF($A352="","",$L352*$U352/100)</f>
        <v/>
      </c>
      <c r="W352" s="26" t="str">
        <f aca="false">IF($A352="","",U352*AB352/100)</f>
        <v/>
      </c>
      <c r="X352" s="26" t="str">
        <f aca="false">IF($A352="","",U352-W352)</f>
        <v/>
      </c>
      <c r="Y352" s="26" t="str">
        <f aca="false">IF($A352="","",U352-W352-M352)</f>
        <v/>
      </c>
      <c r="AB352" s="27" t="str">
        <f aca="false">IF($A352="","",IF($AK352=1,'كشف المطالبة'!$D$5,'كشف المطالبة'!$D$6)*100)</f>
        <v/>
      </c>
      <c r="AK352" s="28" t="str">
        <f aca="false">IF($A352="","",IF(OR($Q352=TRUE(),$Q352="TRUE"),1,0))</f>
        <v/>
      </c>
      <c r="AL352" s="28" t="str">
        <f aca="false">IF($N352="","",IF(MATCH($N352,$N$2:$N$3001,0)=ROWS($N$2:$N352),$N352,""))</f>
        <v/>
      </c>
    </row>
    <row r="353" customFormat="false" ht="15" hidden="false" customHeight="false" outlineLevel="0" collapsed="false">
      <c r="E353" s="25"/>
      <c r="M353" s="26" t="str">
        <f aca="false">IF($A353="","",$L353*$U353/100)</f>
        <v/>
      </c>
      <c r="W353" s="26" t="str">
        <f aca="false">IF($A353="","",U353*AB353/100)</f>
        <v/>
      </c>
      <c r="X353" s="26" t="str">
        <f aca="false">IF($A353="","",U353-W353)</f>
        <v/>
      </c>
      <c r="Y353" s="26" t="str">
        <f aca="false">IF($A353="","",U353-W353-M353)</f>
        <v/>
      </c>
      <c r="AB353" s="27" t="str">
        <f aca="false">IF($A353="","",IF($AK353=1,'كشف المطالبة'!$D$5,'كشف المطالبة'!$D$6)*100)</f>
        <v/>
      </c>
      <c r="AK353" s="28" t="str">
        <f aca="false">IF($A353="","",IF(OR($Q353=TRUE(),$Q353="TRUE"),1,0))</f>
        <v/>
      </c>
      <c r="AL353" s="28" t="str">
        <f aca="false">IF($N353="","",IF(MATCH($N353,$N$2:$N$3001,0)=ROWS($N$2:$N353),$N353,""))</f>
        <v/>
      </c>
    </row>
    <row r="354" customFormat="false" ht="15" hidden="false" customHeight="false" outlineLevel="0" collapsed="false">
      <c r="E354" s="25"/>
      <c r="M354" s="26" t="str">
        <f aca="false">IF($A354="","",$L354*$U354/100)</f>
        <v/>
      </c>
      <c r="W354" s="26" t="str">
        <f aca="false">IF($A354="","",U354*AB354/100)</f>
        <v/>
      </c>
      <c r="X354" s="26" t="str">
        <f aca="false">IF($A354="","",U354-W354)</f>
        <v/>
      </c>
      <c r="Y354" s="26" t="str">
        <f aca="false">IF($A354="","",U354-W354-M354)</f>
        <v/>
      </c>
      <c r="AB354" s="27" t="str">
        <f aca="false">IF($A354="","",IF($AK354=1,'كشف المطالبة'!$D$5,'كشف المطالبة'!$D$6)*100)</f>
        <v/>
      </c>
      <c r="AK354" s="28" t="str">
        <f aca="false">IF($A354="","",IF(OR($Q354=TRUE(),$Q354="TRUE"),1,0))</f>
        <v/>
      </c>
      <c r="AL354" s="28" t="str">
        <f aca="false">IF($N354="","",IF(MATCH($N354,$N$2:$N$3001,0)=ROWS($N$2:$N354),$N354,""))</f>
        <v/>
      </c>
    </row>
    <row r="355" customFormat="false" ht="15" hidden="false" customHeight="false" outlineLevel="0" collapsed="false">
      <c r="E355" s="25"/>
      <c r="M355" s="26" t="str">
        <f aca="false">IF($A355="","",$L355*$U355/100)</f>
        <v/>
      </c>
      <c r="W355" s="26" t="str">
        <f aca="false">IF($A355="","",U355*AB355/100)</f>
        <v/>
      </c>
      <c r="X355" s="26" t="str">
        <f aca="false">IF($A355="","",U355-W355)</f>
        <v/>
      </c>
      <c r="Y355" s="26" t="str">
        <f aca="false">IF($A355="","",U355-W355-M355)</f>
        <v/>
      </c>
      <c r="AB355" s="27" t="str">
        <f aca="false">IF($A355="","",IF($AK355=1,'كشف المطالبة'!$D$5,'كشف المطالبة'!$D$6)*100)</f>
        <v/>
      </c>
      <c r="AK355" s="28" t="str">
        <f aca="false">IF($A355="","",IF(OR($Q355=TRUE(),$Q355="TRUE"),1,0))</f>
        <v/>
      </c>
      <c r="AL355" s="28" t="str">
        <f aca="false">IF($N355="","",IF(MATCH($N355,$N$2:$N$3001,0)=ROWS($N$2:$N355),$N355,""))</f>
        <v/>
      </c>
    </row>
    <row r="356" customFormat="false" ht="15" hidden="false" customHeight="false" outlineLevel="0" collapsed="false">
      <c r="E356" s="25"/>
      <c r="M356" s="26" t="str">
        <f aca="false">IF($A356="","",$L356*$U356/100)</f>
        <v/>
      </c>
      <c r="W356" s="26" t="str">
        <f aca="false">IF($A356="","",U356*AB356/100)</f>
        <v/>
      </c>
      <c r="X356" s="26" t="str">
        <f aca="false">IF($A356="","",U356-W356)</f>
        <v/>
      </c>
      <c r="Y356" s="26" t="str">
        <f aca="false">IF($A356="","",U356-W356-M356)</f>
        <v/>
      </c>
      <c r="AB356" s="27" t="str">
        <f aca="false">IF($A356="","",IF($AK356=1,'كشف المطالبة'!$D$5,'كشف المطالبة'!$D$6)*100)</f>
        <v/>
      </c>
      <c r="AK356" s="28" t="str">
        <f aca="false">IF($A356="","",IF(OR($Q356=TRUE(),$Q356="TRUE"),1,0))</f>
        <v/>
      </c>
      <c r="AL356" s="28" t="str">
        <f aca="false">IF($N356="","",IF(MATCH($N356,$N$2:$N$3001,0)=ROWS($N$2:$N356),$N356,""))</f>
        <v/>
      </c>
    </row>
    <row r="357" customFormat="false" ht="15" hidden="false" customHeight="false" outlineLevel="0" collapsed="false">
      <c r="E357" s="25"/>
      <c r="M357" s="26" t="str">
        <f aca="false">IF($A357="","",$L357*$U357/100)</f>
        <v/>
      </c>
      <c r="W357" s="26" t="str">
        <f aca="false">IF($A357="","",U357*AB357/100)</f>
        <v/>
      </c>
      <c r="X357" s="26" t="str">
        <f aca="false">IF($A357="","",U357-W357)</f>
        <v/>
      </c>
      <c r="Y357" s="26" t="str">
        <f aca="false">IF($A357="","",U357-W357-M357)</f>
        <v/>
      </c>
      <c r="AB357" s="27" t="str">
        <f aca="false">IF($A357="","",IF($AK357=1,'كشف المطالبة'!$D$5,'كشف المطالبة'!$D$6)*100)</f>
        <v/>
      </c>
      <c r="AK357" s="28" t="str">
        <f aca="false">IF($A357="","",IF(OR($Q357=TRUE(),$Q357="TRUE"),1,0))</f>
        <v/>
      </c>
      <c r="AL357" s="28" t="str">
        <f aca="false">IF($N357="","",IF(MATCH($N357,$N$2:$N$3001,0)=ROWS($N$2:$N357),$N357,""))</f>
        <v/>
      </c>
    </row>
    <row r="358" customFormat="false" ht="15" hidden="false" customHeight="false" outlineLevel="0" collapsed="false">
      <c r="E358" s="25"/>
      <c r="M358" s="26" t="str">
        <f aca="false">IF($A358="","",$L358*$U358/100)</f>
        <v/>
      </c>
      <c r="W358" s="26" t="str">
        <f aca="false">IF($A358="","",U358*AB358/100)</f>
        <v/>
      </c>
      <c r="X358" s="26" t="str">
        <f aca="false">IF($A358="","",U358-W358)</f>
        <v/>
      </c>
      <c r="Y358" s="26" t="str">
        <f aca="false">IF($A358="","",U358-W358-M358)</f>
        <v/>
      </c>
      <c r="AB358" s="27" t="str">
        <f aca="false">IF($A358="","",IF($AK358=1,'كشف المطالبة'!$D$5,'كشف المطالبة'!$D$6)*100)</f>
        <v/>
      </c>
      <c r="AK358" s="28" t="str">
        <f aca="false">IF($A358="","",IF(OR($Q358=TRUE(),$Q358="TRUE"),1,0))</f>
        <v/>
      </c>
      <c r="AL358" s="28" t="str">
        <f aca="false">IF($N358="","",IF(MATCH($N358,$N$2:$N$3001,0)=ROWS($N$2:$N358),$N358,""))</f>
        <v/>
      </c>
    </row>
    <row r="359" customFormat="false" ht="15" hidden="false" customHeight="false" outlineLevel="0" collapsed="false">
      <c r="E359" s="25"/>
      <c r="M359" s="26" t="str">
        <f aca="false">IF($A359="","",$L359*$U359/100)</f>
        <v/>
      </c>
      <c r="W359" s="26" t="str">
        <f aca="false">IF($A359="","",U359*AB359/100)</f>
        <v/>
      </c>
      <c r="X359" s="26" t="str">
        <f aca="false">IF($A359="","",U359-W359)</f>
        <v/>
      </c>
      <c r="Y359" s="26" t="str">
        <f aca="false">IF($A359="","",U359-W359-M359)</f>
        <v/>
      </c>
      <c r="AB359" s="27" t="str">
        <f aca="false">IF($A359="","",IF($AK359=1,'كشف المطالبة'!$D$5,'كشف المطالبة'!$D$6)*100)</f>
        <v/>
      </c>
      <c r="AK359" s="28" t="str">
        <f aca="false">IF($A359="","",IF(OR($Q359=TRUE(),$Q359="TRUE"),1,0))</f>
        <v/>
      </c>
      <c r="AL359" s="28" t="str">
        <f aca="false">IF($N359="","",IF(MATCH($N359,$N$2:$N$3001,0)=ROWS($N$2:$N359),$N359,""))</f>
        <v/>
      </c>
    </row>
    <row r="360" customFormat="false" ht="15" hidden="false" customHeight="false" outlineLevel="0" collapsed="false">
      <c r="E360" s="25"/>
      <c r="M360" s="26" t="str">
        <f aca="false">IF($A360="","",$L360*$U360/100)</f>
        <v/>
      </c>
      <c r="W360" s="26" t="str">
        <f aca="false">IF($A360="","",U360*AB360/100)</f>
        <v/>
      </c>
      <c r="X360" s="26" t="str">
        <f aca="false">IF($A360="","",U360-W360)</f>
        <v/>
      </c>
      <c r="Y360" s="26" t="str">
        <f aca="false">IF($A360="","",U360-W360-M360)</f>
        <v/>
      </c>
      <c r="AB360" s="27" t="str">
        <f aca="false">IF($A360="","",IF($AK360=1,'كشف المطالبة'!$D$5,'كشف المطالبة'!$D$6)*100)</f>
        <v/>
      </c>
      <c r="AK360" s="28" t="str">
        <f aca="false">IF($A360="","",IF(OR($Q360=TRUE(),$Q360="TRUE"),1,0))</f>
        <v/>
      </c>
      <c r="AL360" s="28" t="str">
        <f aca="false">IF($N360="","",IF(MATCH($N360,$N$2:$N$3001,0)=ROWS($N$2:$N360),$N360,""))</f>
        <v/>
      </c>
    </row>
    <row r="361" customFormat="false" ht="15" hidden="false" customHeight="false" outlineLevel="0" collapsed="false">
      <c r="E361" s="25"/>
      <c r="M361" s="26" t="str">
        <f aca="false">IF($A361="","",$L361*$U361/100)</f>
        <v/>
      </c>
      <c r="W361" s="26" t="str">
        <f aca="false">IF($A361="","",U361*AB361/100)</f>
        <v/>
      </c>
      <c r="X361" s="26" t="str">
        <f aca="false">IF($A361="","",U361-W361)</f>
        <v/>
      </c>
      <c r="Y361" s="26" t="str">
        <f aca="false">IF($A361="","",U361-W361-M361)</f>
        <v/>
      </c>
      <c r="AB361" s="27" t="str">
        <f aca="false">IF($A361="","",IF($AK361=1,'كشف المطالبة'!$D$5,'كشف المطالبة'!$D$6)*100)</f>
        <v/>
      </c>
      <c r="AK361" s="28" t="str">
        <f aca="false">IF($A361="","",IF(OR($Q361=TRUE(),$Q361="TRUE"),1,0))</f>
        <v/>
      </c>
      <c r="AL361" s="28" t="str">
        <f aca="false">IF($N361="","",IF(MATCH($N361,$N$2:$N$3001,0)=ROWS($N$2:$N361),$N361,""))</f>
        <v/>
      </c>
    </row>
    <row r="362" customFormat="false" ht="15" hidden="false" customHeight="false" outlineLevel="0" collapsed="false">
      <c r="E362" s="25"/>
      <c r="M362" s="26" t="str">
        <f aca="false">IF($A362="","",$L362*$U362/100)</f>
        <v/>
      </c>
      <c r="W362" s="26" t="str">
        <f aca="false">IF($A362="","",U362*AB362/100)</f>
        <v/>
      </c>
      <c r="X362" s="26" t="str">
        <f aca="false">IF($A362="","",U362-W362)</f>
        <v/>
      </c>
      <c r="Y362" s="26" t="str">
        <f aca="false">IF($A362="","",U362-W362-M362)</f>
        <v/>
      </c>
      <c r="AB362" s="27" t="str">
        <f aca="false">IF($A362="","",IF($AK362=1,'كشف المطالبة'!$D$5,'كشف المطالبة'!$D$6)*100)</f>
        <v/>
      </c>
      <c r="AK362" s="28" t="str">
        <f aca="false">IF($A362="","",IF(OR($Q362=TRUE(),$Q362="TRUE"),1,0))</f>
        <v/>
      </c>
      <c r="AL362" s="28" t="str">
        <f aca="false">IF($N362="","",IF(MATCH($N362,$N$2:$N$3001,0)=ROWS($N$2:$N362),$N362,""))</f>
        <v/>
      </c>
    </row>
    <row r="363" customFormat="false" ht="15" hidden="false" customHeight="false" outlineLevel="0" collapsed="false">
      <c r="E363" s="25"/>
      <c r="M363" s="26" t="str">
        <f aca="false">IF($A363="","",$L363*$U363/100)</f>
        <v/>
      </c>
      <c r="W363" s="26" t="str">
        <f aca="false">IF($A363="","",U363*AB363/100)</f>
        <v/>
      </c>
      <c r="X363" s="26" t="str">
        <f aca="false">IF($A363="","",U363-W363)</f>
        <v/>
      </c>
      <c r="Y363" s="26" t="str">
        <f aca="false">IF($A363="","",U363-W363-M363)</f>
        <v/>
      </c>
      <c r="AB363" s="27" t="str">
        <f aca="false">IF($A363="","",IF($AK363=1,'كشف المطالبة'!$D$5,'كشف المطالبة'!$D$6)*100)</f>
        <v/>
      </c>
      <c r="AK363" s="28" t="str">
        <f aca="false">IF($A363="","",IF(OR($Q363=TRUE(),$Q363="TRUE"),1,0))</f>
        <v/>
      </c>
      <c r="AL363" s="28" t="str">
        <f aca="false">IF($N363="","",IF(MATCH($N363,$N$2:$N$3001,0)=ROWS($N$2:$N363),$N363,""))</f>
        <v/>
      </c>
    </row>
    <row r="364" customFormat="false" ht="15" hidden="false" customHeight="false" outlineLevel="0" collapsed="false">
      <c r="E364" s="25"/>
      <c r="M364" s="26" t="str">
        <f aca="false">IF($A364="","",$L364*$U364/100)</f>
        <v/>
      </c>
      <c r="W364" s="26" t="str">
        <f aca="false">IF($A364="","",U364*AB364/100)</f>
        <v/>
      </c>
      <c r="X364" s="26" t="str">
        <f aca="false">IF($A364="","",U364-W364)</f>
        <v/>
      </c>
      <c r="Y364" s="26" t="str">
        <f aca="false">IF($A364="","",U364-W364-M364)</f>
        <v/>
      </c>
      <c r="AB364" s="27" t="str">
        <f aca="false">IF($A364="","",IF($AK364=1,'كشف المطالبة'!$D$5,'كشف المطالبة'!$D$6)*100)</f>
        <v/>
      </c>
      <c r="AK364" s="28" t="str">
        <f aca="false">IF($A364="","",IF(OR($Q364=TRUE(),$Q364="TRUE"),1,0))</f>
        <v/>
      </c>
      <c r="AL364" s="28" t="str">
        <f aca="false">IF($N364="","",IF(MATCH($N364,$N$2:$N$3001,0)=ROWS($N$2:$N364),$N364,""))</f>
        <v/>
      </c>
    </row>
    <row r="365" customFormat="false" ht="15" hidden="false" customHeight="false" outlineLevel="0" collapsed="false">
      <c r="E365" s="25"/>
      <c r="M365" s="26" t="str">
        <f aca="false">IF($A365="","",$L365*$U365/100)</f>
        <v/>
      </c>
      <c r="W365" s="26" t="str">
        <f aca="false">IF($A365="","",U365*AB365/100)</f>
        <v/>
      </c>
      <c r="X365" s="26" t="str">
        <f aca="false">IF($A365="","",U365-W365)</f>
        <v/>
      </c>
      <c r="Y365" s="26" t="str">
        <f aca="false">IF($A365="","",U365-W365-M365)</f>
        <v/>
      </c>
      <c r="AB365" s="27" t="str">
        <f aca="false">IF($A365="","",IF($AK365=1,'كشف المطالبة'!$D$5,'كشف المطالبة'!$D$6)*100)</f>
        <v/>
      </c>
      <c r="AK365" s="28" t="str">
        <f aca="false">IF($A365="","",IF(OR($Q365=TRUE(),$Q365="TRUE"),1,0))</f>
        <v/>
      </c>
      <c r="AL365" s="28" t="str">
        <f aca="false">IF($N365="","",IF(MATCH($N365,$N$2:$N$3001,0)=ROWS($N$2:$N365),$N365,""))</f>
        <v/>
      </c>
    </row>
    <row r="366" customFormat="false" ht="15" hidden="false" customHeight="false" outlineLevel="0" collapsed="false">
      <c r="E366" s="25"/>
      <c r="M366" s="26" t="str">
        <f aca="false">IF($A366="","",$L366*$U366/100)</f>
        <v/>
      </c>
      <c r="W366" s="26" t="str">
        <f aca="false">IF($A366="","",U366*AB366/100)</f>
        <v/>
      </c>
      <c r="X366" s="26" t="str">
        <f aca="false">IF($A366="","",U366-W366)</f>
        <v/>
      </c>
      <c r="Y366" s="26" t="str">
        <f aca="false">IF($A366="","",U366-W366-M366)</f>
        <v/>
      </c>
      <c r="AB366" s="27" t="str">
        <f aca="false">IF($A366="","",IF($AK366=1,'كشف المطالبة'!$D$5,'كشف المطالبة'!$D$6)*100)</f>
        <v/>
      </c>
      <c r="AK366" s="28" t="str">
        <f aca="false">IF($A366="","",IF(OR($Q366=TRUE(),$Q366="TRUE"),1,0))</f>
        <v/>
      </c>
      <c r="AL366" s="28" t="str">
        <f aca="false">IF($N366="","",IF(MATCH($N366,$N$2:$N$3001,0)=ROWS($N$2:$N366),$N366,""))</f>
        <v/>
      </c>
    </row>
    <row r="367" customFormat="false" ht="15" hidden="false" customHeight="false" outlineLevel="0" collapsed="false">
      <c r="E367" s="25"/>
      <c r="M367" s="26" t="str">
        <f aca="false">IF($A367="","",$L367*$U367/100)</f>
        <v/>
      </c>
      <c r="W367" s="26" t="str">
        <f aca="false">IF($A367="","",U367*AB367/100)</f>
        <v/>
      </c>
      <c r="X367" s="26" t="str">
        <f aca="false">IF($A367="","",U367-W367)</f>
        <v/>
      </c>
      <c r="Y367" s="26" t="str">
        <f aca="false">IF($A367="","",U367-W367-M367)</f>
        <v/>
      </c>
      <c r="AB367" s="27" t="str">
        <f aca="false">IF($A367="","",IF($AK367=1,'كشف المطالبة'!$D$5,'كشف المطالبة'!$D$6)*100)</f>
        <v/>
      </c>
      <c r="AK367" s="28" t="str">
        <f aca="false">IF($A367="","",IF(OR($Q367=TRUE(),$Q367="TRUE"),1,0))</f>
        <v/>
      </c>
      <c r="AL367" s="28" t="str">
        <f aca="false">IF($N367="","",IF(MATCH($N367,$N$2:$N$3001,0)=ROWS($N$2:$N367),$N367,""))</f>
        <v/>
      </c>
    </row>
    <row r="368" customFormat="false" ht="15" hidden="false" customHeight="false" outlineLevel="0" collapsed="false">
      <c r="E368" s="25"/>
      <c r="M368" s="26" t="str">
        <f aca="false">IF($A368="","",$L368*$U368/100)</f>
        <v/>
      </c>
      <c r="W368" s="26" t="str">
        <f aca="false">IF($A368="","",U368*AB368/100)</f>
        <v/>
      </c>
      <c r="X368" s="26" t="str">
        <f aca="false">IF($A368="","",U368-W368)</f>
        <v/>
      </c>
      <c r="Y368" s="26" t="str">
        <f aca="false">IF($A368="","",U368-W368-M368)</f>
        <v/>
      </c>
      <c r="AB368" s="27" t="str">
        <f aca="false">IF($A368="","",IF($AK368=1,'كشف المطالبة'!$D$5,'كشف المطالبة'!$D$6)*100)</f>
        <v/>
      </c>
      <c r="AK368" s="28" t="str">
        <f aca="false">IF($A368="","",IF(OR($Q368=TRUE(),$Q368="TRUE"),1,0))</f>
        <v/>
      </c>
      <c r="AL368" s="28" t="str">
        <f aca="false">IF($N368="","",IF(MATCH($N368,$N$2:$N$3001,0)=ROWS($N$2:$N368),$N368,""))</f>
        <v/>
      </c>
    </row>
    <row r="369" customFormat="false" ht="15" hidden="false" customHeight="false" outlineLevel="0" collapsed="false">
      <c r="E369" s="25"/>
      <c r="M369" s="26" t="str">
        <f aca="false">IF($A369="","",$L369*$U369/100)</f>
        <v/>
      </c>
      <c r="W369" s="26" t="str">
        <f aca="false">IF($A369="","",U369*AB369/100)</f>
        <v/>
      </c>
      <c r="X369" s="26" t="str">
        <f aca="false">IF($A369="","",U369-W369)</f>
        <v/>
      </c>
      <c r="Y369" s="26" t="str">
        <f aca="false">IF($A369="","",U369-W369-M369)</f>
        <v/>
      </c>
      <c r="AB369" s="27" t="str">
        <f aca="false">IF($A369="","",IF($AK369=1,'كشف المطالبة'!$D$5,'كشف المطالبة'!$D$6)*100)</f>
        <v/>
      </c>
      <c r="AK369" s="28" t="str">
        <f aca="false">IF($A369="","",IF(OR($Q369=TRUE(),$Q369="TRUE"),1,0))</f>
        <v/>
      </c>
      <c r="AL369" s="28" t="str">
        <f aca="false">IF($N369="","",IF(MATCH($N369,$N$2:$N$3001,0)=ROWS($N$2:$N369),$N369,""))</f>
        <v/>
      </c>
    </row>
    <row r="370" customFormat="false" ht="15" hidden="false" customHeight="false" outlineLevel="0" collapsed="false">
      <c r="E370" s="25"/>
      <c r="M370" s="26" t="str">
        <f aca="false">IF($A370="","",$L370*$U370/100)</f>
        <v/>
      </c>
      <c r="W370" s="26" t="str">
        <f aca="false">IF($A370="","",U370*AB370/100)</f>
        <v/>
      </c>
      <c r="X370" s="26" t="str">
        <f aca="false">IF($A370="","",U370-W370)</f>
        <v/>
      </c>
      <c r="Y370" s="26" t="str">
        <f aca="false">IF($A370="","",U370-W370-M370)</f>
        <v/>
      </c>
      <c r="AB370" s="27" t="str">
        <f aca="false">IF($A370="","",IF($AK370=1,'كشف المطالبة'!$D$5,'كشف المطالبة'!$D$6)*100)</f>
        <v/>
      </c>
      <c r="AK370" s="28" t="str">
        <f aca="false">IF($A370="","",IF(OR($Q370=TRUE(),$Q370="TRUE"),1,0))</f>
        <v/>
      </c>
      <c r="AL370" s="28" t="str">
        <f aca="false">IF($N370="","",IF(MATCH($N370,$N$2:$N$3001,0)=ROWS($N$2:$N370),$N370,""))</f>
        <v/>
      </c>
    </row>
    <row r="371" customFormat="false" ht="15" hidden="false" customHeight="false" outlineLevel="0" collapsed="false">
      <c r="E371" s="25"/>
      <c r="M371" s="26" t="str">
        <f aca="false">IF($A371="","",$L371*$U371/100)</f>
        <v/>
      </c>
      <c r="W371" s="26" t="str">
        <f aca="false">IF($A371="","",U371*AB371/100)</f>
        <v/>
      </c>
      <c r="X371" s="26" t="str">
        <f aca="false">IF($A371="","",U371-W371)</f>
        <v/>
      </c>
      <c r="Y371" s="26" t="str">
        <f aca="false">IF($A371="","",U371-W371-M371)</f>
        <v/>
      </c>
      <c r="AB371" s="27" t="str">
        <f aca="false">IF($A371="","",IF($AK371=1,'كشف المطالبة'!$D$5,'كشف المطالبة'!$D$6)*100)</f>
        <v/>
      </c>
      <c r="AK371" s="28" t="str">
        <f aca="false">IF($A371="","",IF(OR($Q371=TRUE(),$Q371="TRUE"),1,0))</f>
        <v/>
      </c>
      <c r="AL371" s="28" t="str">
        <f aca="false">IF($N371="","",IF(MATCH($N371,$N$2:$N$3001,0)=ROWS($N$2:$N371),$N371,""))</f>
        <v/>
      </c>
    </row>
    <row r="372" customFormat="false" ht="15" hidden="false" customHeight="false" outlineLevel="0" collapsed="false">
      <c r="E372" s="25"/>
      <c r="M372" s="26" t="str">
        <f aca="false">IF($A372="","",$L372*$U372/100)</f>
        <v/>
      </c>
      <c r="W372" s="26" t="str">
        <f aca="false">IF($A372="","",U372*AB372/100)</f>
        <v/>
      </c>
      <c r="X372" s="26" t="str">
        <f aca="false">IF($A372="","",U372-W372)</f>
        <v/>
      </c>
      <c r="Y372" s="26" t="str">
        <f aca="false">IF($A372="","",U372-W372-M372)</f>
        <v/>
      </c>
      <c r="AB372" s="27" t="str">
        <f aca="false">IF($A372="","",IF($AK372=1,'كشف المطالبة'!$D$5,'كشف المطالبة'!$D$6)*100)</f>
        <v/>
      </c>
      <c r="AK372" s="28" t="str">
        <f aca="false">IF($A372="","",IF(OR($Q372=TRUE(),$Q372="TRUE"),1,0))</f>
        <v/>
      </c>
      <c r="AL372" s="28" t="str">
        <f aca="false">IF($N372="","",IF(MATCH($N372,$N$2:$N$3001,0)=ROWS($N$2:$N372),$N372,""))</f>
        <v/>
      </c>
    </row>
    <row r="373" customFormat="false" ht="15" hidden="false" customHeight="false" outlineLevel="0" collapsed="false">
      <c r="E373" s="25"/>
      <c r="M373" s="26" t="str">
        <f aca="false">IF($A373="","",$L373*$U373/100)</f>
        <v/>
      </c>
      <c r="W373" s="26" t="str">
        <f aca="false">IF($A373="","",U373*AB373/100)</f>
        <v/>
      </c>
      <c r="X373" s="26" t="str">
        <f aca="false">IF($A373="","",U373-W373)</f>
        <v/>
      </c>
      <c r="Y373" s="26" t="str">
        <f aca="false">IF($A373="","",U373-W373-M373)</f>
        <v/>
      </c>
      <c r="AB373" s="27" t="str">
        <f aca="false">IF($A373="","",IF($AK373=1,'كشف المطالبة'!$D$5,'كشف المطالبة'!$D$6)*100)</f>
        <v/>
      </c>
      <c r="AK373" s="28" t="str">
        <f aca="false">IF($A373="","",IF(OR($Q373=TRUE(),$Q373="TRUE"),1,0))</f>
        <v/>
      </c>
      <c r="AL373" s="28" t="str">
        <f aca="false">IF($N373="","",IF(MATCH($N373,$N$2:$N$3001,0)=ROWS($N$2:$N373),$N373,""))</f>
        <v/>
      </c>
    </row>
    <row r="374" customFormat="false" ht="15" hidden="false" customHeight="false" outlineLevel="0" collapsed="false">
      <c r="E374" s="25"/>
      <c r="M374" s="26" t="str">
        <f aca="false">IF($A374="","",$L374*$U374/100)</f>
        <v/>
      </c>
      <c r="W374" s="26" t="str">
        <f aca="false">IF($A374="","",U374*AB374/100)</f>
        <v/>
      </c>
      <c r="X374" s="26" t="str">
        <f aca="false">IF($A374="","",U374-W374)</f>
        <v/>
      </c>
      <c r="Y374" s="26" t="str">
        <f aca="false">IF($A374="","",U374-W374-M374)</f>
        <v/>
      </c>
      <c r="AB374" s="27" t="str">
        <f aca="false">IF($A374="","",IF($AK374=1,'كشف المطالبة'!$D$5,'كشف المطالبة'!$D$6)*100)</f>
        <v/>
      </c>
      <c r="AK374" s="28" t="str">
        <f aca="false">IF($A374="","",IF(OR($Q374=TRUE(),$Q374="TRUE"),1,0))</f>
        <v/>
      </c>
      <c r="AL374" s="28" t="str">
        <f aca="false">IF($N374="","",IF(MATCH($N374,$N$2:$N$3001,0)=ROWS($N$2:$N374),$N374,""))</f>
        <v/>
      </c>
    </row>
    <row r="375" customFormat="false" ht="15" hidden="false" customHeight="false" outlineLevel="0" collapsed="false">
      <c r="E375" s="25"/>
      <c r="M375" s="26" t="str">
        <f aca="false">IF($A375="","",$L375*$U375/100)</f>
        <v/>
      </c>
      <c r="W375" s="26" t="str">
        <f aca="false">IF($A375="","",U375*AB375/100)</f>
        <v/>
      </c>
      <c r="X375" s="26" t="str">
        <f aca="false">IF($A375="","",U375-W375)</f>
        <v/>
      </c>
      <c r="Y375" s="26" t="str">
        <f aca="false">IF($A375="","",U375-W375-M375)</f>
        <v/>
      </c>
      <c r="AB375" s="27" t="str">
        <f aca="false">IF($A375="","",IF($AK375=1,'كشف المطالبة'!$D$5,'كشف المطالبة'!$D$6)*100)</f>
        <v/>
      </c>
      <c r="AK375" s="28" t="str">
        <f aca="false">IF($A375="","",IF(OR($Q375=TRUE(),$Q375="TRUE"),1,0))</f>
        <v/>
      </c>
      <c r="AL375" s="28" t="str">
        <f aca="false">IF($N375="","",IF(MATCH($N375,$N$2:$N$3001,0)=ROWS($N$2:$N375),$N375,""))</f>
        <v/>
      </c>
    </row>
    <row r="376" customFormat="false" ht="15" hidden="false" customHeight="false" outlineLevel="0" collapsed="false">
      <c r="E376" s="25"/>
      <c r="M376" s="26" t="str">
        <f aca="false">IF($A376="","",$L376*$U376/100)</f>
        <v/>
      </c>
      <c r="W376" s="26" t="str">
        <f aca="false">IF($A376="","",U376*AB376/100)</f>
        <v/>
      </c>
      <c r="X376" s="26" t="str">
        <f aca="false">IF($A376="","",U376-W376)</f>
        <v/>
      </c>
      <c r="Y376" s="26" t="str">
        <f aca="false">IF($A376="","",U376-W376-M376)</f>
        <v/>
      </c>
      <c r="AB376" s="27" t="str">
        <f aca="false">IF($A376="","",IF($AK376=1,'كشف المطالبة'!$D$5,'كشف المطالبة'!$D$6)*100)</f>
        <v/>
      </c>
      <c r="AK376" s="28" t="str">
        <f aca="false">IF($A376="","",IF(OR($Q376=TRUE(),$Q376="TRUE"),1,0))</f>
        <v/>
      </c>
      <c r="AL376" s="28" t="str">
        <f aca="false">IF($N376="","",IF(MATCH($N376,$N$2:$N$3001,0)=ROWS($N$2:$N376),$N376,""))</f>
        <v/>
      </c>
    </row>
    <row r="377" customFormat="false" ht="15" hidden="false" customHeight="false" outlineLevel="0" collapsed="false">
      <c r="E377" s="25"/>
      <c r="M377" s="26" t="str">
        <f aca="false">IF($A377="","",$L377*$U377/100)</f>
        <v/>
      </c>
      <c r="W377" s="26" t="str">
        <f aca="false">IF($A377="","",U377*AB377/100)</f>
        <v/>
      </c>
      <c r="X377" s="26" t="str">
        <f aca="false">IF($A377="","",U377-W377)</f>
        <v/>
      </c>
      <c r="Y377" s="26" t="str">
        <f aca="false">IF($A377="","",U377-W377-M377)</f>
        <v/>
      </c>
      <c r="AB377" s="27" t="str">
        <f aca="false">IF($A377="","",IF($AK377=1,'كشف المطالبة'!$D$5,'كشف المطالبة'!$D$6)*100)</f>
        <v/>
      </c>
      <c r="AK377" s="28" t="str">
        <f aca="false">IF($A377="","",IF(OR($Q377=TRUE(),$Q377="TRUE"),1,0))</f>
        <v/>
      </c>
      <c r="AL377" s="28" t="str">
        <f aca="false">IF($N377="","",IF(MATCH($N377,$N$2:$N$3001,0)=ROWS($N$2:$N377),$N377,""))</f>
        <v/>
      </c>
    </row>
    <row r="378" customFormat="false" ht="15" hidden="false" customHeight="false" outlineLevel="0" collapsed="false">
      <c r="E378" s="25"/>
      <c r="M378" s="26" t="str">
        <f aca="false">IF($A378="","",$L378*$U378/100)</f>
        <v/>
      </c>
      <c r="W378" s="26" t="str">
        <f aca="false">IF($A378="","",U378*AB378/100)</f>
        <v/>
      </c>
      <c r="X378" s="26" t="str">
        <f aca="false">IF($A378="","",U378-W378)</f>
        <v/>
      </c>
      <c r="Y378" s="26" t="str">
        <f aca="false">IF($A378="","",U378-W378-M378)</f>
        <v/>
      </c>
      <c r="AB378" s="27" t="str">
        <f aca="false">IF($A378="","",IF($AK378=1,'كشف المطالبة'!$D$5,'كشف المطالبة'!$D$6)*100)</f>
        <v/>
      </c>
      <c r="AK378" s="28" t="str">
        <f aca="false">IF($A378="","",IF(OR($Q378=TRUE(),$Q378="TRUE"),1,0))</f>
        <v/>
      </c>
      <c r="AL378" s="28" t="str">
        <f aca="false">IF($N378="","",IF(MATCH($N378,$N$2:$N$3001,0)=ROWS($N$2:$N378),$N378,""))</f>
        <v/>
      </c>
    </row>
    <row r="379" customFormat="false" ht="15" hidden="false" customHeight="false" outlineLevel="0" collapsed="false">
      <c r="E379" s="25"/>
      <c r="M379" s="26" t="str">
        <f aca="false">IF($A379="","",$L379*$U379/100)</f>
        <v/>
      </c>
      <c r="W379" s="26" t="str">
        <f aca="false">IF($A379="","",U379*AB379/100)</f>
        <v/>
      </c>
      <c r="X379" s="26" t="str">
        <f aca="false">IF($A379="","",U379-W379)</f>
        <v/>
      </c>
      <c r="Y379" s="26" t="str">
        <f aca="false">IF($A379="","",U379-W379-M379)</f>
        <v/>
      </c>
      <c r="AB379" s="27" t="str">
        <f aca="false">IF($A379="","",IF($AK379=1,'كشف المطالبة'!$D$5,'كشف المطالبة'!$D$6)*100)</f>
        <v/>
      </c>
      <c r="AK379" s="28" t="str">
        <f aca="false">IF($A379="","",IF(OR($Q379=TRUE(),$Q379="TRUE"),1,0))</f>
        <v/>
      </c>
      <c r="AL379" s="28" t="str">
        <f aca="false">IF($N379="","",IF(MATCH($N379,$N$2:$N$3001,0)=ROWS($N$2:$N379),$N379,""))</f>
        <v/>
      </c>
    </row>
    <row r="380" customFormat="false" ht="15" hidden="false" customHeight="false" outlineLevel="0" collapsed="false">
      <c r="E380" s="25"/>
      <c r="M380" s="26" t="str">
        <f aca="false">IF($A380="","",$L380*$U380/100)</f>
        <v/>
      </c>
      <c r="W380" s="26" t="str">
        <f aca="false">IF($A380="","",U380*AB380/100)</f>
        <v/>
      </c>
      <c r="X380" s="26" t="str">
        <f aca="false">IF($A380="","",U380-W380)</f>
        <v/>
      </c>
      <c r="Y380" s="26" t="str">
        <f aca="false">IF($A380="","",U380-W380-M380)</f>
        <v/>
      </c>
      <c r="AB380" s="27" t="str">
        <f aca="false">IF($A380="","",IF($AK380=1,'كشف المطالبة'!$D$5,'كشف المطالبة'!$D$6)*100)</f>
        <v/>
      </c>
      <c r="AK380" s="28" t="str">
        <f aca="false">IF($A380="","",IF(OR($Q380=TRUE(),$Q380="TRUE"),1,0))</f>
        <v/>
      </c>
      <c r="AL380" s="28" t="str">
        <f aca="false">IF($N380="","",IF(MATCH($N380,$N$2:$N$3001,0)=ROWS($N$2:$N380),$N380,""))</f>
        <v/>
      </c>
    </row>
    <row r="381" customFormat="false" ht="15" hidden="false" customHeight="false" outlineLevel="0" collapsed="false">
      <c r="E381" s="25"/>
      <c r="M381" s="26" t="str">
        <f aca="false">IF($A381="","",$L381*$U381/100)</f>
        <v/>
      </c>
      <c r="W381" s="26" t="str">
        <f aca="false">IF($A381="","",U381*AB381/100)</f>
        <v/>
      </c>
      <c r="X381" s="26" t="str">
        <f aca="false">IF($A381="","",U381-W381)</f>
        <v/>
      </c>
      <c r="Y381" s="26" t="str">
        <f aca="false">IF($A381="","",U381-W381-M381)</f>
        <v/>
      </c>
      <c r="AB381" s="27" t="str">
        <f aca="false">IF($A381="","",IF($AK381=1,'كشف المطالبة'!$D$5,'كشف المطالبة'!$D$6)*100)</f>
        <v/>
      </c>
      <c r="AK381" s="28" t="str">
        <f aca="false">IF($A381="","",IF(OR($Q381=TRUE(),$Q381="TRUE"),1,0))</f>
        <v/>
      </c>
      <c r="AL381" s="28" t="str">
        <f aca="false">IF($N381="","",IF(MATCH($N381,$N$2:$N$3001,0)=ROWS($N$2:$N381),$N381,""))</f>
        <v/>
      </c>
    </row>
    <row r="382" customFormat="false" ht="15" hidden="false" customHeight="false" outlineLevel="0" collapsed="false">
      <c r="E382" s="25"/>
      <c r="M382" s="26" t="str">
        <f aca="false">IF($A382="","",$L382*$U382/100)</f>
        <v/>
      </c>
      <c r="W382" s="26" t="str">
        <f aca="false">IF($A382="","",U382*AB382/100)</f>
        <v/>
      </c>
      <c r="X382" s="26" t="str">
        <f aca="false">IF($A382="","",U382-W382)</f>
        <v/>
      </c>
      <c r="Y382" s="26" t="str">
        <f aca="false">IF($A382="","",U382-W382-M382)</f>
        <v/>
      </c>
      <c r="AB382" s="27" t="str">
        <f aca="false">IF($A382="","",IF($AK382=1,'كشف المطالبة'!$D$5,'كشف المطالبة'!$D$6)*100)</f>
        <v/>
      </c>
      <c r="AK382" s="28" t="str">
        <f aca="false">IF($A382="","",IF(OR($Q382=TRUE(),$Q382="TRUE"),1,0))</f>
        <v/>
      </c>
      <c r="AL382" s="28" t="str">
        <f aca="false">IF($N382="","",IF(MATCH($N382,$N$2:$N$3001,0)=ROWS($N$2:$N382),$N382,""))</f>
        <v/>
      </c>
    </row>
    <row r="383" customFormat="false" ht="15" hidden="false" customHeight="false" outlineLevel="0" collapsed="false">
      <c r="E383" s="25"/>
      <c r="M383" s="26" t="str">
        <f aca="false">IF($A383="","",$L383*$U383/100)</f>
        <v/>
      </c>
      <c r="W383" s="26" t="str">
        <f aca="false">IF($A383="","",U383*AB383/100)</f>
        <v/>
      </c>
      <c r="X383" s="26" t="str">
        <f aca="false">IF($A383="","",U383-W383)</f>
        <v/>
      </c>
      <c r="Y383" s="26" t="str">
        <f aca="false">IF($A383="","",U383-W383-M383)</f>
        <v/>
      </c>
      <c r="AB383" s="27" t="str">
        <f aca="false">IF($A383="","",IF($AK383=1,'كشف المطالبة'!$D$5,'كشف المطالبة'!$D$6)*100)</f>
        <v/>
      </c>
      <c r="AK383" s="28" t="str">
        <f aca="false">IF($A383="","",IF(OR($Q383=TRUE(),$Q383="TRUE"),1,0))</f>
        <v/>
      </c>
      <c r="AL383" s="28" t="str">
        <f aca="false">IF($N383="","",IF(MATCH($N383,$N$2:$N$3001,0)=ROWS($N$2:$N383),$N383,""))</f>
        <v/>
      </c>
    </row>
    <row r="384" customFormat="false" ht="15" hidden="false" customHeight="false" outlineLevel="0" collapsed="false">
      <c r="E384" s="25"/>
      <c r="M384" s="26" t="str">
        <f aca="false">IF($A384="","",$L384*$U384/100)</f>
        <v/>
      </c>
      <c r="W384" s="26" t="str">
        <f aca="false">IF($A384="","",U384*AB384/100)</f>
        <v/>
      </c>
      <c r="X384" s="26" t="str">
        <f aca="false">IF($A384="","",U384-W384)</f>
        <v/>
      </c>
      <c r="Y384" s="26" t="str">
        <f aca="false">IF($A384="","",U384-W384-M384)</f>
        <v/>
      </c>
      <c r="AB384" s="27" t="str">
        <f aca="false">IF($A384="","",IF($AK384=1,'كشف المطالبة'!$D$5,'كشف المطالبة'!$D$6)*100)</f>
        <v/>
      </c>
      <c r="AK384" s="28" t="str">
        <f aca="false">IF($A384="","",IF(OR($Q384=TRUE(),$Q384="TRUE"),1,0))</f>
        <v/>
      </c>
      <c r="AL384" s="28" t="str">
        <f aca="false">IF($N384="","",IF(MATCH($N384,$N$2:$N$3001,0)=ROWS($N$2:$N384),$N384,""))</f>
        <v/>
      </c>
    </row>
    <row r="385" customFormat="false" ht="15" hidden="false" customHeight="false" outlineLevel="0" collapsed="false">
      <c r="E385" s="25"/>
      <c r="M385" s="26" t="str">
        <f aca="false">IF($A385="","",$L385*$U385/100)</f>
        <v/>
      </c>
      <c r="W385" s="26" t="str">
        <f aca="false">IF($A385="","",U385*AB385/100)</f>
        <v/>
      </c>
      <c r="X385" s="26" t="str">
        <f aca="false">IF($A385="","",U385-W385)</f>
        <v/>
      </c>
      <c r="Y385" s="26" t="str">
        <f aca="false">IF($A385="","",U385-W385-M385)</f>
        <v/>
      </c>
      <c r="AB385" s="27" t="str">
        <f aca="false">IF($A385="","",IF($AK385=1,'كشف المطالبة'!$D$5,'كشف المطالبة'!$D$6)*100)</f>
        <v/>
      </c>
      <c r="AK385" s="28" t="str">
        <f aca="false">IF($A385="","",IF(OR($Q385=TRUE(),$Q385="TRUE"),1,0))</f>
        <v/>
      </c>
      <c r="AL385" s="28" t="str">
        <f aca="false">IF($N385="","",IF(MATCH($N385,$N$2:$N$3001,0)=ROWS($N$2:$N385),$N385,""))</f>
        <v/>
      </c>
    </row>
    <row r="386" customFormat="false" ht="15" hidden="false" customHeight="false" outlineLevel="0" collapsed="false">
      <c r="E386" s="25"/>
      <c r="M386" s="26" t="str">
        <f aca="false">IF($A386="","",$L386*$U386/100)</f>
        <v/>
      </c>
      <c r="W386" s="26" t="str">
        <f aca="false">IF($A386="","",U386*AB386/100)</f>
        <v/>
      </c>
      <c r="X386" s="26" t="str">
        <f aca="false">IF($A386="","",U386-W386)</f>
        <v/>
      </c>
      <c r="Y386" s="26" t="str">
        <f aca="false">IF($A386="","",U386-W386-M386)</f>
        <v/>
      </c>
      <c r="AB386" s="27" t="str">
        <f aca="false">IF($A386="","",IF($AK386=1,'كشف المطالبة'!$D$5,'كشف المطالبة'!$D$6)*100)</f>
        <v/>
      </c>
      <c r="AK386" s="28" t="str">
        <f aca="false">IF($A386="","",IF(OR($Q386=TRUE(),$Q386="TRUE"),1,0))</f>
        <v/>
      </c>
      <c r="AL386" s="28" t="str">
        <f aca="false">IF($N386="","",IF(MATCH($N386,$N$2:$N$3001,0)=ROWS($N$2:$N386),$N386,""))</f>
        <v/>
      </c>
    </row>
    <row r="387" customFormat="false" ht="15" hidden="false" customHeight="false" outlineLevel="0" collapsed="false">
      <c r="E387" s="25"/>
      <c r="M387" s="26" t="str">
        <f aca="false">IF($A387="","",$L387*$U387/100)</f>
        <v/>
      </c>
      <c r="W387" s="26" t="str">
        <f aca="false">IF($A387="","",U387*AB387/100)</f>
        <v/>
      </c>
      <c r="X387" s="26" t="str">
        <f aca="false">IF($A387="","",U387-W387)</f>
        <v/>
      </c>
      <c r="Y387" s="26" t="str">
        <f aca="false">IF($A387="","",U387-W387-M387)</f>
        <v/>
      </c>
      <c r="AB387" s="27" t="str">
        <f aca="false">IF($A387="","",IF($AK387=1,'كشف المطالبة'!$D$5,'كشف المطالبة'!$D$6)*100)</f>
        <v/>
      </c>
      <c r="AK387" s="28" t="str">
        <f aca="false">IF($A387="","",IF(OR($Q387=TRUE(),$Q387="TRUE"),1,0))</f>
        <v/>
      </c>
      <c r="AL387" s="28" t="str">
        <f aca="false">IF($N387="","",IF(MATCH($N387,$N$2:$N$3001,0)=ROWS($N$2:$N387),$N387,""))</f>
        <v/>
      </c>
    </row>
    <row r="388" customFormat="false" ht="15" hidden="false" customHeight="false" outlineLevel="0" collapsed="false">
      <c r="E388" s="25"/>
      <c r="M388" s="26" t="str">
        <f aca="false">IF($A388="","",$L388*$U388/100)</f>
        <v/>
      </c>
      <c r="W388" s="26" t="str">
        <f aca="false">IF($A388="","",U388*AB388/100)</f>
        <v/>
      </c>
      <c r="X388" s="26" t="str">
        <f aca="false">IF($A388="","",U388-W388)</f>
        <v/>
      </c>
      <c r="Y388" s="26" t="str">
        <f aca="false">IF($A388="","",U388-W388-M388)</f>
        <v/>
      </c>
      <c r="AB388" s="27" t="str">
        <f aca="false">IF($A388="","",IF($AK388=1,'كشف المطالبة'!$D$5,'كشف المطالبة'!$D$6)*100)</f>
        <v/>
      </c>
      <c r="AK388" s="28" t="str">
        <f aca="false">IF($A388="","",IF(OR($Q388=TRUE(),$Q388="TRUE"),1,0))</f>
        <v/>
      </c>
      <c r="AL388" s="28" t="str">
        <f aca="false">IF($N388="","",IF(MATCH($N388,$N$2:$N$3001,0)=ROWS($N$2:$N388),$N388,""))</f>
        <v/>
      </c>
    </row>
    <row r="389" customFormat="false" ht="15" hidden="false" customHeight="false" outlineLevel="0" collapsed="false">
      <c r="E389" s="25"/>
      <c r="M389" s="26" t="str">
        <f aca="false">IF($A389="","",$L389*$U389/100)</f>
        <v/>
      </c>
      <c r="W389" s="26" t="str">
        <f aca="false">IF($A389="","",U389*AB389/100)</f>
        <v/>
      </c>
      <c r="X389" s="26" t="str">
        <f aca="false">IF($A389="","",U389-W389)</f>
        <v/>
      </c>
      <c r="Y389" s="26" t="str">
        <f aca="false">IF($A389="","",U389-W389-M389)</f>
        <v/>
      </c>
      <c r="AB389" s="27" t="str">
        <f aca="false">IF($A389="","",IF($AK389=1,'كشف المطالبة'!$D$5,'كشف المطالبة'!$D$6)*100)</f>
        <v/>
      </c>
      <c r="AK389" s="28" t="str">
        <f aca="false">IF($A389="","",IF(OR($Q389=TRUE(),$Q389="TRUE"),1,0))</f>
        <v/>
      </c>
      <c r="AL389" s="28" t="str">
        <f aca="false">IF($N389="","",IF(MATCH($N389,$N$2:$N$3001,0)=ROWS($N$2:$N389),$N389,""))</f>
        <v/>
      </c>
    </row>
    <row r="390" customFormat="false" ht="15" hidden="false" customHeight="false" outlineLevel="0" collapsed="false">
      <c r="E390" s="25"/>
      <c r="M390" s="26" t="str">
        <f aca="false">IF($A390="","",$L390*$U390/100)</f>
        <v/>
      </c>
      <c r="W390" s="26" t="str">
        <f aca="false">IF($A390="","",U390*AB390/100)</f>
        <v/>
      </c>
      <c r="X390" s="26" t="str">
        <f aca="false">IF($A390="","",U390-W390)</f>
        <v/>
      </c>
      <c r="Y390" s="26" t="str">
        <f aca="false">IF($A390="","",U390-W390-M390)</f>
        <v/>
      </c>
      <c r="AB390" s="27" t="str">
        <f aca="false">IF($A390="","",IF($AK390=1,'كشف المطالبة'!$D$5,'كشف المطالبة'!$D$6)*100)</f>
        <v/>
      </c>
      <c r="AK390" s="28" t="str">
        <f aca="false">IF($A390="","",IF(OR($Q390=TRUE(),$Q390="TRUE"),1,0))</f>
        <v/>
      </c>
      <c r="AL390" s="28" t="str">
        <f aca="false">IF($N390="","",IF(MATCH($N390,$N$2:$N$3001,0)=ROWS($N$2:$N390),$N390,""))</f>
        <v/>
      </c>
    </row>
    <row r="391" customFormat="false" ht="15" hidden="false" customHeight="false" outlineLevel="0" collapsed="false">
      <c r="E391" s="25"/>
      <c r="M391" s="26" t="str">
        <f aca="false">IF($A391="","",$L391*$U391/100)</f>
        <v/>
      </c>
      <c r="W391" s="26" t="str">
        <f aca="false">IF($A391="","",U391*AB391/100)</f>
        <v/>
      </c>
      <c r="X391" s="26" t="str">
        <f aca="false">IF($A391="","",U391-W391)</f>
        <v/>
      </c>
      <c r="Y391" s="26" t="str">
        <f aca="false">IF($A391="","",U391-W391-M391)</f>
        <v/>
      </c>
      <c r="AB391" s="27" t="str">
        <f aca="false">IF($A391="","",IF($AK391=1,'كشف المطالبة'!$D$5,'كشف المطالبة'!$D$6)*100)</f>
        <v/>
      </c>
      <c r="AK391" s="28" t="str">
        <f aca="false">IF($A391="","",IF(OR($Q391=TRUE(),$Q391="TRUE"),1,0))</f>
        <v/>
      </c>
      <c r="AL391" s="28" t="str">
        <f aca="false">IF($N391="","",IF(MATCH($N391,$N$2:$N$3001,0)=ROWS($N$2:$N391),$N391,""))</f>
        <v/>
      </c>
    </row>
    <row r="392" customFormat="false" ht="15" hidden="false" customHeight="false" outlineLevel="0" collapsed="false">
      <c r="E392" s="25"/>
      <c r="M392" s="26" t="str">
        <f aca="false">IF($A392="","",$L392*$U392/100)</f>
        <v/>
      </c>
      <c r="W392" s="26" t="str">
        <f aca="false">IF($A392="","",U392*AB392/100)</f>
        <v/>
      </c>
      <c r="X392" s="26" t="str">
        <f aca="false">IF($A392="","",U392-W392)</f>
        <v/>
      </c>
      <c r="Y392" s="26" t="str">
        <f aca="false">IF($A392="","",U392-W392-M392)</f>
        <v/>
      </c>
      <c r="AB392" s="27" t="str">
        <f aca="false">IF($A392="","",IF($AK392=1,'كشف المطالبة'!$D$5,'كشف المطالبة'!$D$6)*100)</f>
        <v/>
      </c>
      <c r="AK392" s="28" t="str">
        <f aca="false">IF($A392="","",IF(OR($Q392=TRUE(),$Q392="TRUE"),1,0))</f>
        <v/>
      </c>
      <c r="AL392" s="28" t="str">
        <f aca="false">IF($N392="","",IF(MATCH($N392,$N$2:$N$3001,0)=ROWS($N$2:$N392),$N392,""))</f>
        <v/>
      </c>
    </row>
    <row r="393" customFormat="false" ht="15" hidden="false" customHeight="false" outlineLevel="0" collapsed="false">
      <c r="E393" s="25"/>
      <c r="M393" s="26" t="str">
        <f aca="false">IF($A393="","",$L393*$U393/100)</f>
        <v/>
      </c>
      <c r="W393" s="26" t="str">
        <f aca="false">IF($A393="","",U393*AB393/100)</f>
        <v/>
      </c>
      <c r="X393" s="26" t="str">
        <f aca="false">IF($A393="","",U393-W393)</f>
        <v/>
      </c>
      <c r="Y393" s="26" t="str">
        <f aca="false">IF($A393="","",U393-W393-M393)</f>
        <v/>
      </c>
      <c r="AB393" s="27" t="str">
        <f aca="false">IF($A393="","",IF($AK393=1,'كشف المطالبة'!$D$5,'كشف المطالبة'!$D$6)*100)</f>
        <v/>
      </c>
      <c r="AK393" s="28" t="str">
        <f aca="false">IF($A393="","",IF(OR($Q393=TRUE(),$Q393="TRUE"),1,0))</f>
        <v/>
      </c>
      <c r="AL393" s="28" t="str">
        <f aca="false">IF($N393="","",IF(MATCH($N393,$N$2:$N$3001,0)=ROWS($N$2:$N393),$N393,""))</f>
        <v/>
      </c>
    </row>
    <row r="394" customFormat="false" ht="15" hidden="false" customHeight="false" outlineLevel="0" collapsed="false">
      <c r="E394" s="25"/>
      <c r="M394" s="26" t="str">
        <f aca="false">IF($A394="","",$L394*$U394/100)</f>
        <v/>
      </c>
      <c r="W394" s="26" t="str">
        <f aca="false">IF($A394="","",U394*AB394/100)</f>
        <v/>
      </c>
      <c r="X394" s="26" t="str">
        <f aca="false">IF($A394="","",U394-W394)</f>
        <v/>
      </c>
      <c r="Y394" s="26" t="str">
        <f aca="false">IF($A394="","",U394-W394-M394)</f>
        <v/>
      </c>
      <c r="AB394" s="27" t="str">
        <f aca="false">IF($A394="","",IF($AK394=1,'كشف المطالبة'!$D$5,'كشف المطالبة'!$D$6)*100)</f>
        <v/>
      </c>
      <c r="AK394" s="28" t="str">
        <f aca="false">IF($A394="","",IF(OR($Q394=TRUE(),$Q394="TRUE"),1,0))</f>
        <v/>
      </c>
      <c r="AL394" s="28" t="str">
        <f aca="false">IF($N394="","",IF(MATCH($N394,$N$2:$N$3001,0)=ROWS($N$2:$N394),$N394,""))</f>
        <v/>
      </c>
    </row>
    <row r="395" customFormat="false" ht="15" hidden="false" customHeight="false" outlineLevel="0" collapsed="false">
      <c r="E395" s="25"/>
      <c r="M395" s="26" t="str">
        <f aca="false">IF($A395="","",$L395*$U395/100)</f>
        <v/>
      </c>
      <c r="W395" s="26" t="str">
        <f aca="false">IF($A395="","",U395*AB395/100)</f>
        <v/>
      </c>
      <c r="X395" s="26" t="str">
        <f aca="false">IF($A395="","",U395-W395)</f>
        <v/>
      </c>
      <c r="Y395" s="26" t="str">
        <f aca="false">IF($A395="","",U395-W395-M395)</f>
        <v/>
      </c>
      <c r="AB395" s="27" t="str">
        <f aca="false">IF($A395="","",IF($AK395=1,'كشف المطالبة'!$D$5,'كشف المطالبة'!$D$6)*100)</f>
        <v/>
      </c>
      <c r="AK395" s="28" t="str">
        <f aca="false">IF($A395="","",IF(OR($Q395=TRUE(),$Q395="TRUE"),1,0))</f>
        <v/>
      </c>
      <c r="AL395" s="28" t="str">
        <f aca="false">IF($N395="","",IF(MATCH($N395,$N$2:$N$3001,0)=ROWS($N$2:$N395),$N395,""))</f>
        <v/>
      </c>
    </row>
    <row r="396" customFormat="false" ht="15" hidden="false" customHeight="false" outlineLevel="0" collapsed="false">
      <c r="E396" s="25"/>
      <c r="M396" s="26" t="str">
        <f aca="false">IF($A396="","",$L396*$U396/100)</f>
        <v/>
      </c>
      <c r="W396" s="26" t="str">
        <f aca="false">IF($A396="","",U396*AB396/100)</f>
        <v/>
      </c>
      <c r="X396" s="26" t="str">
        <f aca="false">IF($A396="","",U396-W396)</f>
        <v/>
      </c>
      <c r="Y396" s="26" t="str">
        <f aca="false">IF($A396="","",U396-W396-M396)</f>
        <v/>
      </c>
      <c r="AB396" s="27" t="str">
        <f aca="false">IF($A396="","",IF($AK396=1,'كشف المطالبة'!$D$5,'كشف المطالبة'!$D$6)*100)</f>
        <v/>
      </c>
      <c r="AK396" s="28" t="str">
        <f aca="false">IF($A396="","",IF(OR($Q396=TRUE(),$Q396="TRUE"),1,0))</f>
        <v/>
      </c>
      <c r="AL396" s="28" t="str">
        <f aca="false">IF($N396="","",IF(MATCH($N396,$N$2:$N$3001,0)=ROWS($N$2:$N396),$N396,""))</f>
        <v/>
      </c>
    </row>
    <row r="397" customFormat="false" ht="15" hidden="false" customHeight="false" outlineLevel="0" collapsed="false">
      <c r="E397" s="25"/>
      <c r="M397" s="26" t="str">
        <f aca="false">IF($A397="","",$L397*$U397/100)</f>
        <v/>
      </c>
      <c r="W397" s="26" t="str">
        <f aca="false">IF($A397="","",U397*AB397/100)</f>
        <v/>
      </c>
      <c r="X397" s="26" t="str">
        <f aca="false">IF($A397="","",U397-W397)</f>
        <v/>
      </c>
      <c r="Y397" s="26" t="str">
        <f aca="false">IF($A397="","",U397-W397-M397)</f>
        <v/>
      </c>
      <c r="AB397" s="27" t="str">
        <f aca="false">IF($A397="","",IF($AK397=1,'كشف المطالبة'!$D$5,'كشف المطالبة'!$D$6)*100)</f>
        <v/>
      </c>
      <c r="AK397" s="28" t="str">
        <f aca="false">IF($A397="","",IF(OR($Q397=TRUE(),$Q397="TRUE"),1,0))</f>
        <v/>
      </c>
      <c r="AL397" s="28" t="str">
        <f aca="false">IF($N397="","",IF(MATCH($N397,$N$2:$N$3001,0)=ROWS($N$2:$N397),$N397,""))</f>
        <v/>
      </c>
    </row>
    <row r="398" customFormat="false" ht="15" hidden="false" customHeight="false" outlineLevel="0" collapsed="false">
      <c r="E398" s="25"/>
      <c r="M398" s="26" t="str">
        <f aca="false">IF($A398="","",$L398*$U398/100)</f>
        <v/>
      </c>
      <c r="W398" s="26" t="str">
        <f aca="false">IF($A398="","",U398*AB398/100)</f>
        <v/>
      </c>
      <c r="X398" s="26" t="str">
        <f aca="false">IF($A398="","",U398-W398)</f>
        <v/>
      </c>
      <c r="Y398" s="26" t="str">
        <f aca="false">IF($A398="","",U398-W398-M398)</f>
        <v/>
      </c>
      <c r="AB398" s="27" t="str">
        <f aca="false">IF($A398="","",IF($AK398=1,'كشف المطالبة'!$D$5,'كشف المطالبة'!$D$6)*100)</f>
        <v/>
      </c>
      <c r="AK398" s="28" t="str">
        <f aca="false">IF($A398="","",IF(OR($Q398=TRUE(),$Q398="TRUE"),1,0))</f>
        <v/>
      </c>
      <c r="AL398" s="28" t="str">
        <f aca="false">IF($N398="","",IF(MATCH($N398,$N$2:$N$3001,0)=ROWS($N$2:$N398),$N398,""))</f>
        <v/>
      </c>
    </row>
    <row r="399" customFormat="false" ht="15" hidden="false" customHeight="false" outlineLevel="0" collapsed="false">
      <c r="E399" s="25"/>
      <c r="M399" s="26" t="str">
        <f aca="false">IF($A399="","",$L399*$U399/100)</f>
        <v/>
      </c>
      <c r="W399" s="26" t="str">
        <f aca="false">IF($A399="","",U399*AB399/100)</f>
        <v/>
      </c>
      <c r="X399" s="26" t="str">
        <f aca="false">IF($A399="","",U399-W399)</f>
        <v/>
      </c>
      <c r="Y399" s="26" t="str">
        <f aca="false">IF($A399="","",U399-W399-M399)</f>
        <v/>
      </c>
      <c r="AB399" s="27" t="str">
        <f aca="false">IF($A399="","",IF($AK399=1,'كشف المطالبة'!$D$5,'كشف المطالبة'!$D$6)*100)</f>
        <v/>
      </c>
      <c r="AK399" s="28" t="str">
        <f aca="false">IF($A399="","",IF(OR($Q399=TRUE(),$Q399="TRUE"),1,0))</f>
        <v/>
      </c>
      <c r="AL399" s="28" t="str">
        <f aca="false">IF($N399="","",IF(MATCH($N399,$N$2:$N$3001,0)=ROWS($N$2:$N399),$N399,""))</f>
        <v/>
      </c>
    </row>
    <row r="400" customFormat="false" ht="15" hidden="false" customHeight="false" outlineLevel="0" collapsed="false">
      <c r="E400" s="25"/>
      <c r="M400" s="26" t="str">
        <f aca="false">IF($A400="","",$L400*$U400/100)</f>
        <v/>
      </c>
      <c r="W400" s="26" t="str">
        <f aca="false">IF($A400="","",U400*AB400/100)</f>
        <v/>
      </c>
      <c r="X400" s="26" t="str">
        <f aca="false">IF($A400="","",U400-W400)</f>
        <v/>
      </c>
      <c r="Y400" s="26" t="str">
        <f aca="false">IF($A400="","",U400-W400-M400)</f>
        <v/>
      </c>
      <c r="AB400" s="27" t="str">
        <f aca="false">IF($A400="","",IF($AK400=1,'كشف المطالبة'!$D$5,'كشف المطالبة'!$D$6)*100)</f>
        <v/>
      </c>
      <c r="AK400" s="28" t="str">
        <f aca="false">IF($A400="","",IF(OR($Q400=TRUE(),$Q400="TRUE"),1,0))</f>
        <v/>
      </c>
      <c r="AL400" s="28" t="str">
        <f aca="false">IF($N400="","",IF(MATCH($N400,$N$2:$N$3001,0)=ROWS($N$2:$N400),$N400,""))</f>
        <v/>
      </c>
    </row>
    <row r="401" customFormat="false" ht="15" hidden="false" customHeight="false" outlineLevel="0" collapsed="false">
      <c r="E401" s="25"/>
      <c r="M401" s="26" t="str">
        <f aca="false">IF($A401="","",$L401*$U401/100)</f>
        <v/>
      </c>
      <c r="W401" s="26" t="str">
        <f aca="false">IF($A401="","",U401*AB401/100)</f>
        <v/>
      </c>
      <c r="X401" s="26" t="str">
        <f aca="false">IF($A401="","",U401-W401)</f>
        <v/>
      </c>
      <c r="Y401" s="26" t="str">
        <f aca="false">IF($A401="","",U401-W401-M401)</f>
        <v/>
      </c>
      <c r="AB401" s="27" t="str">
        <f aca="false">IF($A401="","",IF($AK401=1,'كشف المطالبة'!$D$5,'كشف المطالبة'!$D$6)*100)</f>
        <v/>
      </c>
      <c r="AK401" s="28" t="str">
        <f aca="false">IF($A401="","",IF(OR($Q401=TRUE(),$Q401="TRUE"),1,0))</f>
        <v/>
      </c>
      <c r="AL401" s="28" t="str">
        <f aca="false">IF($N401="","",IF(MATCH($N401,$N$2:$N$3001,0)=ROWS($N$2:$N401),$N401,""))</f>
        <v/>
      </c>
    </row>
    <row r="402" customFormat="false" ht="15" hidden="false" customHeight="false" outlineLevel="0" collapsed="false">
      <c r="E402" s="25"/>
      <c r="M402" s="26" t="str">
        <f aca="false">IF($A402="","",$L402*$U402/100)</f>
        <v/>
      </c>
      <c r="W402" s="26" t="str">
        <f aca="false">IF($A402="","",U402*AB402/100)</f>
        <v/>
      </c>
      <c r="X402" s="26" t="str">
        <f aca="false">IF($A402="","",U402-W402)</f>
        <v/>
      </c>
      <c r="Y402" s="26" t="str">
        <f aca="false">IF($A402="","",U402-W402-M402)</f>
        <v/>
      </c>
      <c r="AB402" s="27" t="str">
        <f aca="false">IF($A402="","",IF($AK402=1,'كشف المطالبة'!$D$5,'كشف المطالبة'!$D$6)*100)</f>
        <v/>
      </c>
      <c r="AK402" s="28" t="str">
        <f aca="false">IF($A402="","",IF(OR($Q402=TRUE(),$Q402="TRUE"),1,0))</f>
        <v/>
      </c>
      <c r="AL402" s="28" t="str">
        <f aca="false">IF($N402="","",IF(MATCH($N402,$N$2:$N$3001,0)=ROWS($N$2:$N402),$N402,""))</f>
        <v/>
      </c>
    </row>
    <row r="403" customFormat="false" ht="15" hidden="false" customHeight="false" outlineLevel="0" collapsed="false">
      <c r="E403" s="25"/>
      <c r="M403" s="26" t="str">
        <f aca="false">IF($A403="","",$L403*$U403/100)</f>
        <v/>
      </c>
      <c r="W403" s="26" t="str">
        <f aca="false">IF($A403="","",U403*AB403/100)</f>
        <v/>
      </c>
      <c r="X403" s="26" t="str">
        <f aca="false">IF($A403="","",U403-W403)</f>
        <v/>
      </c>
      <c r="Y403" s="26" t="str">
        <f aca="false">IF($A403="","",U403-W403-M403)</f>
        <v/>
      </c>
      <c r="AB403" s="27" t="str">
        <f aca="false">IF($A403="","",IF($AK403=1,'كشف المطالبة'!$D$5,'كشف المطالبة'!$D$6)*100)</f>
        <v/>
      </c>
      <c r="AK403" s="28" t="str">
        <f aca="false">IF($A403="","",IF(OR($Q403=TRUE(),$Q403="TRUE"),1,0))</f>
        <v/>
      </c>
      <c r="AL403" s="28" t="str">
        <f aca="false">IF($N403="","",IF(MATCH($N403,$N$2:$N$3001,0)=ROWS($N$2:$N403),$N403,""))</f>
        <v/>
      </c>
    </row>
    <row r="404" customFormat="false" ht="15" hidden="false" customHeight="false" outlineLevel="0" collapsed="false">
      <c r="E404" s="25"/>
      <c r="M404" s="26" t="str">
        <f aca="false">IF($A404="","",$L404*$U404/100)</f>
        <v/>
      </c>
      <c r="W404" s="26" t="str">
        <f aca="false">IF($A404="","",U404*AB404/100)</f>
        <v/>
      </c>
      <c r="X404" s="26" t="str">
        <f aca="false">IF($A404="","",U404-W404)</f>
        <v/>
      </c>
      <c r="Y404" s="26" t="str">
        <f aca="false">IF($A404="","",U404-W404-M404)</f>
        <v/>
      </c>
      <c r="AB404" s="27" t="str">
        <f aca="false">IF($A404="","",IF($AK404=1,'كشف المطالبة'!$D$5,'كشف المطالبة'!$D$6)*100)</f>
        <v/>
      </c>
      <c r="AK404" s="28" t="str">
        <f aca="false">IF($A404="","",IF(OR($Q404=TRUE(),$Q404="TRUE"),1,0))</f>
        <v/>
      </c>
      <c r="AL404" s="28" t="str">
        <f aca="false">IF($N404="","",IF(MATCH($N404,$N$2:$N$3001,0)=ROWS($N$2:$N404),$N404,""))</f>
        <v/>
      </c>
    </row>
    <row r="405" customFormat="false" ht="15" hidden="false" customHeight="false" outlineLevel="0" collapsed="false">
      <c r="E405" s="25"/>
      <c r="M405" s="26" t="str">
        <f aca="false">IF($A405="","",$L405*$U405/100)</f>
        <v/>
      </c>
      <c r="W405" s="26" t="str">
        <f aca="false">IF($A405="","",U405*AB405/100)</f>
        <v/>
      </c>
      <c r="X405" s="26" t="str">
        <f aca="false">IF($A405="","",U405-W405)</f>
        <v/>
      </c>
      <c r="Y405" s="26" t="str">
        <f aca="false">IF($A405="","",U405-W405-M405)</f>
        <v/>
      </c>
      <c r="AB405" s="27" t="str">
        <f aca="false">IF($A405="","",IF($AK405=1,'كشف المطالبة'!$D$5,'كشف المطالبة'!$D$6)*100)</f>
        <v/>
      </c>
      <c r="AK405" s="28" t="str">
        <f aca="false">IF($A405="","",IF(OR($Q405=TRUE(),$Q405="TRUE"),1,0))</f>
        <v/>
      </c>
      <c r="AL405" s="28" t="str">
        <f aca="false">IF($N405="","",IF(MATCH($N405,$N$2:$N$3001,0)=ROWS($N$2:$N405),$N405,""))</f>
        <v/>
      </c>
    </row>
    <row r="406" customFormat="false" ht="15" hidden="false" customHeight="false" outlineLevel="0" collapsed="false">
      <c r="E406" s="25"/>
      <c r="M406" s="26" t="str">
        <f aca="false">IF($A406="","",$L406*$U406/100)</f>
        <v/>
      </c>
      <c r="W406" s="26" t="str">
        <f aca="false">IF($A406="","",U406*AB406/100)</f>
        <v/>
      </c>
      <c r="X406" s="26" t="str">
        <f aca="false">IF($A406="","",U406-W406)</f>
        <v/>
      </c>
      <c r="Y406" s="26" t="str">
        <f aca="false">IF($A406="","",U406-W406-M406)</f>
        <v/>
      </c>
      <c r="AB406" s="27" t="str">
        <f aca="false">IF($A406="","",IF($AK406=1,'كشف المطالبة'!$D$5,'كشف المطالبة'!$D$6)*100)</f>
        <v/>
      </c>
      <c r="AK406" s="28" t="str">
        <f aca="false">IF($A406="","",IF(OR($Q406=TRUE(),$Q406="TRUE"),1,0))</f>
        <v/>
      </c>
      <c r="AL406" s="28" t="str">
        <f aca="false">IF($N406="","",IF(MATCH($N406,$N$2:$N$3001,0)=ROWS($N$2:$N406),$N406,""))</f>
        <v/>
      </c>
    </row>
    <row r="407" customFormat="false" ht="15" hidden="false" customHeight="false" outlineLevel="0" collapsed="false">
      <c r="E407" s="25"/>
      <c r="M407" s="26" t="str">
        <f aca="false">IF($A407="","",$L407*$U407/100)</f>
        <v/>
      </c>
      <c r="W407" s="26" t="str">
        <f aca="false">IF($A407="","",U407*AB407/100)</f>
        <v/>
      </c>
      <c r="X407" s="26" t="str">
        <f aca="false">IF($A407="","",U407-W407)</f>
        <v/>
      </c>
      <c r="Y407" s="26" t="str">
        <f aca="false">IF($A407="","",U407-W407-M407)</f>
        <v/>
      </c>
      <c r="AB407" s="27" t="str">
        <f aca="false">IF($A407="","",IF($AK407=1,'كشف المطالبة'!$D$5,'كشف المطالبة'!$D$6)*100)</f>
        <v/>
      </c>
      <c r="AK407" s="28" t="str">
        <f aca="false">IF($A407="","",IF(OR($Q407=TRUE(),$Q407="TRUE"),1,0))</f>
        <v/>
      </c>
      <c r="AL407" s="28" t="str">
        <f aca="false">IF($N407="","",IF(MATCH($N407,$N$2:$N$3001,0)=ROWS($N$2:$N407),$N407,""))</f>
        <v/>
      </c>
    </row>
    <row r="408" customFormat="false" ht="15" hidden="false" customHeight="false" outlineLevel="0" collapsed="false">
      <c r="E408" s="25"/>
      <c r="M408" s="26" t="str">
        <f aca="false">IF($A408="","",$L408*$U408/100)</f>
        <v/>
      </c>
      <c r="W408" s="26" t="str">
        <f aca="false">IF($A408="","",U408*AB408/100)</f>
        <v/>
      </c>
      <c r="X408" s="26" t="str">
        <f aca="false">IF($A408="","",U408-W408)</f>
        <v/>
      </c>
      <c r="Y408" s="26" t="str">
        <f aca="false">IF($A408="","",U408-W408-M408)</f>
        <v/>
      </c>
      <c r="AB408" s="27" t="str">
        <f aca="false">IF($A408="","",IF($AK408=1,'كشف المطالبة'!$D$5,'كشف المطالبة'!$D$6)*100)</f>
        <v/>
      </c>
      <c r="AK408" s="28" t="str">
        <f aca="false">IF($A408="","",IF(OR($Q408=TRUE(),$Q408="TRUE"),1,0))</f>
        <v/>
      </c>
      <c r="AL408" s="28" t="str">
        <f aca="false">IF($N408="","",IF(MATCH($N408,$N$2:$N$3001,0)=ROWS($N$2:$N408),$N408,""))</f>
        <v/>
      </c>
    </row>
    <row r="409" customFormat="false" ht="15" hidden="false" customHeight="false" outlineLevel="0" collapsed="false">
      <c r="E409" s="25"/>
      <c r="M409" s="26" t="str">
        <f aca="false">IF($A409="","",$L409*$U409/100)</f>
        <v/>
      </c>
      <c r="W409" s="26" t="str">
        <f aca="false">IF($A409="","",U409*AB409/100)</f>
        <v/>
      </c>
      <c r="X409" s="26" t="str">
        <f aca="false">IF($A409="","",U409-W409)</f>
        <v/>
      </c>
      <c r="Y409" s="26" t="str">
        <f aca="false">IF($A409="","",U409-W409-M409)</f>
        <v/>
      </c>
      <c r="AB409" s="27" t="str">
        <f aca="false">IF($A409="","",IF($AK409=1,'كشف المطالبة'!$D$5,'كشف المطالبة'!$D$6)*100)</f>
        <v/>
      </c>
      <c r="AK409" s="28" t="str">
        <f aca="false">IF($A409="","",IF(OR($Q409=TRUE(),$Q409="TRUE"),1,0))</f>
        <v/>
      </c>
      <c r="AL409" s="28" t="str">
        <f aca="false">IF($N409="","",IF(MATCH($N409,$N$2:$N$3001,0)=ROWS($N$2:$N409),$N409,""))</f>
        <v/>
      </c>
    </row>
    <row r="410" customFormat="false" ht="15" hidden="false" customHeight="false" outlineLevel="0" collapsed="false">
      <c r="E410" s="25"/>
      <c r="M410" s="26" t="str">
        <f aca="false">IF($A410="","",$L410*$U410/100)</f>
        <v/>
      </c>
      <c r="W410" s="26" t="str">
        <f aca="false">IF($A410="","",U410*AB410/100)</f>
        <v/>
      </c>
      <c r="X410" s="26" t="str">
        <f aca="false">IF($A410="","",U410-W410)</f>
        <v/>
      </c>
      <c r="Y410" s="26" t="str">
        <f aca="false">IF($A410="","",U410-W410-M410)</f>
        <v/>
      </c>
      <c r="AB410" s="27" t="str">
        <f aca="false">IF($A410="","",IF($AK410=1,'كشف المطالبة'!$D$5,'كشف المطالبة'!$D$6)*100)</f>
        <v/>
      </c>
      <c r="AK410" s="28" t="str">
        <f aca="false">IF($A410="","",IF(OR($Q410=TRUE(),$Q410="TRUE"),1,0))</f>
        <v/>
      </c>
      <c r="AL410" s="28" t="str">
        <f aca="false">IF($N410="","",IF(MATCH($N410,$N$2:$N$3001,0)=ROWS($N$2:$N410),$N410,""))</f>
        <v/>
      </c>
    </row>
    <row r="411" customFormat="false" ht="15" hidden="false" customHeight="false" outlineLevel="0" collapsed="false">
      <c r="E411" s="25"/>
      <c r="M411" s="26" t="str">
        <f aca="false">IF($A411="","",$L411*$U411/100)</f>
        <v/>
      </c>
      <c r="W411" s="26" t="str">
        <f aca="false">IF($A411="","",U411*AB411/100)</f>
        <v/>
      </c>
      <c r="X411" s="26" t="str">
        <f aca="false">IF($A411="","",U411-W411)</f>
        <v/>
      </c>
      <c r="Y411" s="26" t="str">
        <f aca="false">IF($A411="","",U411-W411-M411)</f>
        <v/>
      </c>
      <c r="AB411" s="27" t="str">
        <f aca="false">IF($A411="","",IF($AK411=1,'كشف المطالبة'!$D$5,'كشف المطالبة'!$D$6)*100)</f>
        <v/>
      </c>
      <c r="AK411" s="28" t="str">
        <f aca="false">IF($A411="","",IF(OR($Q411=TRUE(),$Q411="TRUE"),1,0))</f>
        <v/>
      </c>
      <c r="AL411" s="28" t="str">
        <f aca="false">IF($N411="","",IF(MATCH($N411,$N$2:$N$3001,0)=ROWS($N$2:$N411),$N411,""))</f>
        <v/>
      </c>
    </row>
    <row r="412" customFormat="false" ht="15" hidden="false" customHeight="false" outlineLevel="0" collapsed="false">
      <c r="E412" s="25"/>
      <c r="M412" s="26" t="str">
        <f aca="false">IF($A412="","",$L412*$U412/100)</f>
        <v/>
      </c>
      <c r="W412" s="26" t="str">
        <f aca="false">IF($A412="","",U412*AB412/100)</f>
        <v/>
      </c>
      <c r="X412" s="26" t="str">
        <f aca="false">IF($A412="","",U412-W412)</f>
        <v/>
      </c>
      <c r="Y412" s="26" t="str">
        <f aca="false">IF($A412="","",U412-W412-M412)</f>
        <v/>
      </c>
      <c r="AB412" s="27" t="str">
        <f aca="false">IF($A412="","",IF($AK412=1,'كشف المطالبة'!$D$5,'كشف المطالبة'!$D$6)*100)</f>
        <v/>
      </c>
      <c r="AK412" s="28" t="str">
        <f aca="false">IF($A412="","",IF(OR($Q412=TRUE(),$Q412="TRUE"),1,0))</f>
        <v/>
      </c>
      <c r="AL412" s="28" t="str">
        <f aca="false">IF($N412="","",IF(MATCH($N412,$N$2:$N$3001,0)=ROWS($N$2:$N412),$N412,""))</f>
        <v/>
      </c>
    </row>
    <row r="413" customFormat="false" ht="15" hidden="false" customHeight="false" outlineLevel="0" collapsed="false">
      <c r="E413" s="25"/>
      <c r="M413" s="26" t="str">
        <f aca="false">IF($A413="","",$L413*$U413/100)</f>
        <v/>
      </c>
      <c r="W413" s="26" t="str">
        <f aca="false">IF($A413="","",U413*AB413/100)</f>
        <v/>
      </c>
      <c r="X413" s="26" t="str">
        <f aca="false">IF($A413="","",U413-W413)</f>
        <v/>
      </c>
      <c r="Y413" s="26" t="str">
        <f aca="false">IF($A413="","",U413-W413-M413)</f>
        <v/>
      </c>
      <c r="AB413" s="27" t="str">
        <f aca="false">IF($A413="","",IF($AK413=1,'كشف المطالبة'!$D$5,'كشف المطالبة'!$D$6)*100)</f>
        <v/>
      </c>
      <c r="AK413" s="28" t="str">
        <f aca="false">IF($A413="","",IF(OR($Q413=TRUE(),$Q413="TRUE"),1,0))</f>
        <v/>
      </c>
      <c r="AL413" s="28" t="str">
        <f aca="false">IF($N413="","",IF(MATCH($N413,$N$2:$N$3001,0)=ROWS($N$2:$N413),$N413,""))</f>
        <v/>
      </c>
    </row>
    <row r="414" customFormat="false" ht="15" hidden="false" customHeight="false" outlineLevel="0" collapsed="false">
      <c r="E414" s="25"/>
      <c r="M414" s="26" t="str">
        <f aca="false">IF($A414="","",$L414*$U414/100)</f>
        <v/>
      </c>
      <c r="W414" s="26" t="str">
        <f aca="false">IF($A414="","",U414*AB414/100)</f>
        <v/>
      </c>
      <c r="X414" s="26" t="str">
        <f aca="false">IF($A414="","",U414-W414)</f>
        <v/>
      </c>
      <c r="Y414" s="26" t="str">
        <f aca="false">IF($A414="","",U414-W414-M414)</f>
        <v/>
      </c>
      <c r="AB414" s="27" t="str">
        <f aca="false">IF($A414="","",IF($AK414=1,'كشف المطالبة'!$D$5,'كشف المطالبة'!$D$6)*100)</f>
        <v/>
      </c>
      <c r="AK414" s="28" t="str">
        <f aca="false">IF($A414="","",IF(OR($Q414=TRUE(),$Q414="TRUE"),1,0))</f>
        <v/>
      </c>
      <c r="AL414" s="28" t="str">
        <f aca="false">IF($N414="","",IF(MATCH($N414,$N$2:$N$3001,0)=ROWS($N$2:$N414),$N414,""))</f>
        <v/>
      </c>
    </row>
    <row r="415" customFormat="false" ht="15" hidden="false" customHeight="false" outlineLevel="0" collapsed="false">
      <c r="E415" s="25"/>
      <c r="M415" s="26" t="str">
        <f aca="false">IF($A415="","",$L415*$U415/100)</f>
        <v/>
      </c>
      <c r="W415" s="26" t="str">
        <f aca="false">IF($A415="","",U415*AB415/100)</f>
        <v/>
      </c>
      <c r="X415" s="26" t="str">
        <f aca="false">IF($A415="","",U415-W415)</f>
        <v/>
      </c>
      <c r="Y415" s="26" t="str">
        <f aca="false">IF($A415="","",U415-W415-M415)</f>
        <v/>
      </c>
      <c r="AB415" s="27" t="str">
        <f aca="false">IF($A415="","",IF($AK415=1,'كشف المطالبة'!$D$5,'كشف المطالبة'!$D$6)*100)</f>
        <v/>
      </c>
      <c r="AK415" s="28" t="str">
        <f aca="false">IF($A415="","",IF(OR($Q415=TRUE(),$Q415="TRUE"),1,0))</f>
        <v/>
      </c>
      <c r="AL415" s="28" t="str">
        <f aca="false">IF($N415="","",IF(MATCH($N415,$N$2:$N$3001,0)=ROWS($N$2:$N415),$N415,""))</f>
        <v/>
      </c>
    </row>
    <row r="416" customFormat="false" ht="15" hidden="false" customHeight="false" outlineLevel="0" collapsed="false">
      <c r="E416" s="25"/>
      <c r="M416" s="26" t="str">
        <f aca="false">IF($A416="","",$L416*$U416/100)</f>
        <v/>
      </c>
      <c r="W416" s="26" t="str">
        <f aca="false">IF($A416="","",U416*AB416/100)</f>
        <v/>
      </c>
      <c r="X416" s="26" t="str">
        <f aca="false">IF($A416="","",U416-W416)</f>
        <v/>
      </c>
      <c r="Y416" s="26" t="str">
        <f aca="false">IF($A416="","",U416-W416-M416)</f>
        <v/>
      </c>
      <c r="AB416" s="27" t="str">
        <f aca="false">IF($A416="","",IF($AK416=1,'كشف المطالبة'!$D$5,'كشف المطالبة'!$D$6)*100)</f>
        <v/>
      </c>
      <c r="AK416" s="28" t="str">
        <f aca="false">IF($A416="","",IF(OR($Q416=TRUE(),$Q416="TRUE"),1,0))</f>
        <v/>
      </c>
      <c r="AL416" s="28" t="str">
        <f aca="false">IF($N416="","",IF(MATCH($N416,$N$2:$N$3001,0)=ROWS($N$2:$N416),$N416,""))</f>
        <v/>
      </c>
    </row>
    <row r="417" customFormat="false" ht="15" hidden="false" customHeight="false" outlineLevel="0" collapsed="false">
      <c r="E417" s="25"/>
      <c r="M417" s="26" t="str">
        <f aca="false">IF($A417="","",$L417*$U417/100)</f>
        <v/>
      </c>
      <c r="W417" s="26" t="str">
        <f aca="false">IF($A417="","",U417*AB417/100)</f>
        <v/>
      </c>
      <c r="X417" s="26" t="str">
        <f aca="false">IF($A417="","",U417-W417)</f>
        <v/>
      </c>
      <c r="Y417" s="26" t="str">
        <f aca="false">IF($A417="","",U417-W417-M417)</f>
        <v/>
      </c>
      <c r="AB417" s="27" t="str">
        <f aca="false">IF($A417="","",IF($AK417=1,'كشف المطالبة'!$D$5,'كشف المطالبة'!$D$6)*100)</f>
        <v/>
      </c>
      <c r="AK417" s="28" t="str">
        <f aca="false">IF($A417="","",IF(OR($Q417=TRUE(),$Q417="TRUE"),1,0))</f>
        <v/>
      </c>
      <c r="AL417" s="28" t="str">
        <f aca="false">IF($N417="","",IF(MATCH($N417,$N$2:$N$3001,0)=ROWS($N$2:$N417),$N417,""))</f>
        <v/>
      </c>
    </row>
    <row r="418" customFormat="false" ht="15" hidden="false" customHeight="false" outlineLevel="0" collapsed="false">
      <c r="E418" s="25"/>
      <c r="M418" s="26" t="str">
        <f aca="false">IF($A418="","",$L418*$U418/100)</f>
        <v/>
      </c>
      <c r="W418" s="26" t="str">
        <f aca="false">IF($A418="","",U418*AB418/100)</f>
        <v/>
      </c>
      <c r="X418" s="26" t="str">
        <f aca="false">IF($A418="","",U418-W418)</f>
        <v/>
      </c>
      <c r="Y418" s="26" t="str">
        <f aca="false">IF($A418="","",U418-W418-M418)</f>
        <v/>
      </c>
      <c r="AB418" s="27" t="str">
        <f aca="false">IF($A418="","",IF($AK418=1,'كشف المطالبة'!$D$5,'كشف المطالبة'!$D$6)*100)</f>
        <v/>
      </c>
      <c r="AK418" s="28" t="str">
        <f aca="false">IF($A418="","",IF(OR($Q418=TRUE(),$Q418="TRUE"),1,0))</f>
        <v/>
      </c>
      <c r="AL418" s="28" t="str">
        <f aca="false">IF($N418="","",IF(MATCH($N418,$N$2:$N$3001,0)=ROWS($N$2:$N418),$N418,""))</f>
        <v/>
      </c>
    </row>
    <row r="419" customFormat="false" ht="15" hidden="false" customHeight="false" outlineLevel="0" collapsed="false">
      <c r="E419" s="25"/>
      <c r="M419" s="26" t="str">
        <f aca="false">IF($A419="","",$L419*$U419/100)</f>
        <v/>
      </c>
      <c r="W419" s="26" t="str">
        <f aca="false">IF($A419="","",U419*AB419/100)</f>
        <v/>
      </c>
      <c r="X419" s="26" t="str">
        <f aca="false">IF($A419="","",U419-W419)</f>
        <v/>
      </c>
      <c r="Y419" s="26" t="str">
        <f aca="false">IF($A419="","",U419-W419-M419)</f>
        <v/>
      </c>
      <c r="AB419" s="27" t="str">
        <f aca="false">IF($A419="","",IF($AK419=1,'كشف المطالبة'!$D$5,'كشف المطالبة'!$D$6)*100)</f>
        <v/>
      </c>
      <c r="AK419" s="28" t="str">
        <f aca="false">IF($A419="","",IF(OR($Q419=TRUE(),$Q419="TRUE"),1,0))</f>
        <v/>
      </c>
      <c r="AL419" s="28" t="str">
        <f aca="false">IF($N419="","",IF(MATCH($N419,$N$2:$N$3001,0)=ROWS($N$2:$N419),$N419,""))</f>
        <v/>
      </c>
    </row>
    <row r="420" customFormat="false" ht="15" hidden="false" customHeight="false" outlineLevel="0" collapsed="false">
      <c r="E420" s="25"/>
      <c r="M420" s="26" t="str">
        <f aca="false">IF($A420="","",$L420*$U420/100)</f>
        <v/>
      </c>
      <c r="W420" s="26" t="str">
        <f aca="false">IF($A420="","",U420*AB420/100)</f>
        <v/>
      </c>
      <c r="X420" s="26" t="str">
        <f aca="false">IF($A420="","",U420-W420)</f>
        <v/>
      </c>
      <c r="Y420" s="26" t="str">
        <f aca="false">IF($A420="","",U420-W420-M420)</f>
        <v/>
      </c>
      <c r="AB420" s="27" t="str">
        <f aca="false">IF($A420="","",IF($AK420=1,'كشف المطالبة'!$D$5,'كشف المطالبة'!$D$6)*100)</f>
        <v/>
      </c>
      <c r="AK420" s="28" t="str">
        <f aca="false">IF($A420="","",IF(OR($Q420=TRUE(),$Q420="TRUE"),1,0))</f>
        <v/>
      </c>
      <c r="AL420" s="28" t="str">
        <f aca="false">IF($N420="","",IF(MATCH($N420,$N$2:$N$3001,0)=ROWS($N$2:$N420),$N420,""))</f>
        <v/>
      </c>
    </row>
    <row r="421" customFormat="false" ht="15" hidden="false" customHeight="false" outlineLevel="0" collapsed="false">
      <c r="E421" s="25"/>
      <c r="M421" s="26" t="str">
        <f aca="false">IF($A421="","",$L421*$U421/100)</f>
        <v/>
      </c>
      <c r="W421" s="26" t="str">
        <f aca="false">IF($A421="","",U421*AB421/100)</f>
        <v/>
      </c>
      <c r="X421" s="26" t="str">
        <f aca="false">IF($A421="","",U421-W421)</f>
        <v/>
      </c>
      <c r="Y421" s="26" t="str">
        <f aca="false">IF($A421="","",U421-W421-M421)</f>
        <v/>
      </c>
      <c r="AB421" s="27" t="str">
        <f aca="false">IF($A421="","",IF($AK421=1,'كشف المطالبة'!$D$5,'كشف المطالبة'!$D$6)*100)</f>
        <v/>
      </c>
      <c r="AK421" s="28" t="str">
        <f aca="false">IF($A421="","",IF(OR($Q421=TRUE(),$Q421="TRUE"),1,0))</f>
        <v/>
      </c>
      <c r="AL421" s="28" t="str">
        <f aca="false">IF($N421="","",IF(MATCH($N421,$N$2:$N$3001,0)=ROWS($N$2:$N421),$N421,""))</f>
        <v/>
      </c>
    </row>
    <row r="422" customFormat="false" ht="15" hidden="false" customHeight="false" outlineLevel="0" collapsed="false">
      <c r="E422" s="25"/>
      <c r="M422" s="26" t="str">
        <f aca="false">IF($A422="","",$L422*$U422/100)</f>
        <v/>
      </c>
      <c r="W422" s="26" t="str">
        <f aca="false">IF($A422="","",U422*AB422/100)</f>
        <v/>
      </c>
      <c r="X422" s="26" t="str">
        <f aca="false">IF($A422="","",U422-W422)</f>
        <v/>
      </c>
      <c r="Y422" s="26" t="str">
        <f aca="false">IF($A422="","",U422-W422-M422)</f>
        <v/>
      </c>
      <c r="AB422" s="27" t="str">
        <f aca="false">IF($A422="","",IF($AK422=1,'كشف المطالبة'!$D$5,'كشف المطالبة'!$D$6)*100)</f>
        <v/>
      </c>
      <c r="AK422" s="28" t="str">
        <f aca="false">IF($A422="","",IF(OR($Q422=TRUE(),$Q422="TRUE"),1,0))</f>
        <v/>
      </c>
      <c r="AL422" s="28" t="str">
        <f aca="false">IF($N422="","",IF(MATCH($N422,$N$2:$N$3001,0)=ROWS($N$2:$N422),$N422,""))</f>
        <v/>
      </c>
    </row>
    <row r="423" customFormat="false" ht="15" hidden="false" customHeight="false" outlineLevel="0" collapsed="false">
      <c r="E423" s="25"/>
      <c r="M423" s="26" t="str">
        <f aca="false">IF($A423="","",$L423*$U423/100)</f>
        <v/>
      </c>
      <c r="W423" s="26" t="str">
        <f aca="false">IF($A423="","",U423*AB423/100)</f>
        <v/>
      </c>
      <c r="X423" s="26" t="str">
        <f aca="false">IF($A423="","",U423-W423)</f>
        <v/>
      </c>
      <c r="Y423" s="26" t="str">
        <f aca="false">IF($A423="","",U423-W423-M423)</f>
        <v/>
      </c>
      <c r="AB423" s="27" t="str">
        <f aca="false">IF($A423="","",IF($AK423=1,'كشف المطالبة'!$D$5,'كشف المطالبة'!$D$6)*100)</f>
        <v/>
      </c>
      <c r="AK423" s="28" t="str">
        <f aca="false">IF($A423="","",IF(OR($Q423=TRUE(),$Q423="TRUE"),1,0))</f>
        <v/>
      </c>
      <c r="AL423" s="28" t="str">
        <f aca="false">IF($N423="","",IF(MATCH($N423,$N$2:$N$3001,0)=ROWS($N$2:$N423),$N423,""))</f>
        <v/>
      </c>
    </row>
    <row r="424" customFormat="false" ht="15" hidden="false" customHeight="false" outlineLevel="0" collapsed="false">
      <c r="E424" s="25"/>
      <c r="M424" s="26" t="str">
        <f aca="false">IF($A424="","",$L424*$U424/100)</f>
        <v/>
      </c>
      <c r="W424" s="26" t="str">
        <f aca="false">IF($A424="","",U424*AB424/100)</f>
        <v/>
      </c>
      <c r="X424" s="26" t="str">
        <f aca="false">IF($A424="","",U424-W424)</f>
        <v/>
      </c>
      <c r="Y424" s="26" t="str">
        <f aca="false">IF($A424="","",U424-W424-M424)</f>
        <v/>
      </c>
      <c r="AB424" s="27" t="str">
        <f aca="false">IF($A424="","",IF($AK424=1,'كشف المطالبة'!$D$5,'كشف المطالبة'!$D$6)*100)</f>
        <v/>
      </c>
      <c r="AK424" s="28" t="str">
        <f aca="false">IF($A424="","",IF(OR($Q424=TRUE(),$Q424="TRUE"),1,0))</f>
        <v/>
      </c>
      <c r="AL424" s="28" t="str">
        <f aca="false">IF($N424="","",IF(MATCH($N424,$N$2:$N$3001,0)=ROWS($N$2:$N424),$N424,""))</f>
        <v/>
      </c>
    </row>
    <row r="425" customFormat="false" ht="15" hidden="false" customHeight="false" outlineLevel="0" collapsed="false">
      <c r="E425" s="25"/>
      <c r="M425" s="26" t="str">
        <f aca="false">IF($A425="","",$L425*$U425/100)</f>
        <v/>
      </c>
      <c r="W425" s="26" t="str">
        <f aca="false">IF($A425="","",U425*AB425/100)</f>
        <v/>
      </c>
      <c r="X425" s="26" t="str">
        <f aca="false">IF($A425="","",U425-W425)</f>
        <v/>
      </c>
      <c r="Y425" s="26" t="str">
        <f aca="false">IF($A425="","",U425-W425-M425)</f>
        <v/>
      </c>
      <c r="AB425" s="27" t="str">
        <f aca="false">IF($A425="","",IF($AK425=1,'كشف المطالبة'!$D$5,'كشف المطالبة'!$D$6)*100)</f>
        <v/>
      </c>
      <c r="AK425" s="28" t="str">
        <f aca="false">IF($A425="","",IF(OR($Q425=TRUE(),$Q425="TRUE"),1,0))</f>
        <v/>
      </c>
      <c r="AL425" s="28" t="str">
        <f aca="false">IF($N425="","",IF(MATCH($N425,$N$2:$N$3001,0)=ROWS($N$2:$N425),$N425,""))</f>
        <v/>
      </c>
    </row>
    <row r="426" customFormat="false" ht="15" hidden="false" customHeight="false" outlineLevel="0" collapsed="false">
      <c r="E426" s="25"/>
      <c r="M426" s="26" t="str">
        <f aca="false">IF($A426="","",$L426*$U426/100)</f>
        <v/>
      </c>
      <c r="W426" s="26" t="str">
        <f aca="false">IF($A426="","",U426*AB426/100)</f>
        <v/>
      </c>
      <c r="X426" s="26" t="str">
        <f aca="false">IF($A426="","",U426-W426)</f>
        <v/>
      </c>
      <c r="Y426" s="26" t="str">
        <f aca="false">IF($A426="","",U426-W426-M426)</f>
        <v/>
      </c>
      <c r="AB426" s="27" t="str">
        <f aca="false">IF($A426="","",IF($AK426=1,'كشف المطالبة'!$D$5,'كشف المطالبة'!$D$6)*100)</f>
        <v/>
      </c>
      <c r="AK426" s="28" t="str">
        <f aca="false">IF($A426="","",IF(OR($Q426=TRUE(),$Q426="TRUE"),1,0))</f>
        <v/>
      </c>
      <c r="AL426" s="28" t="str">
        <f aca="false">IF($N426="","",IF(MATCH($N426,$N$2:$N$3001,0)=ROWS($N$2:$N426),$N426,""))</f>
        <v/>
      </c>
    </row>
    <row r="427" customFormat="false" ht="15" hidden="false" customHeight="false" outlineLevel="0" collapsed="false">
      <c r="E427" s="25"/>
      <c r="M427" s="26" t="str">
        <f aca="false">IF($A427="","",$L427*$U427/100)</f>
        <v/>
      </c>
      <c r="W427" s="26" t="str">
        <f aca="false">IF($A427="","",U427*AB427/100)</f>
        <v/>
      </c>
      <c r="X427" s="26" t="str">
        <f aca="false">IF($A427="","",U427-W427)</f>
        <v/>
      </c>
      <c r="Y427" s="26" t="str">
        <f aca="false">IF($A427="","",U427-W427-M427)</f>
        <v/>
      </c>
      <c r="AB427" s="27" t="str">
        <f aca="false">IF($A427="","",IF($AK427=1,'كشف المطالبة'!$D$5,'كشف المطالبة'!$D$6)*100)</f>
        <v/>
      </c>
      <c r="AK427" s="28" t="str">
        <f aca="false">IF($A427="","",IF(OR($Q427=TRUE(),$Q427="TRUE"),1,0))</f>
        <v/>
      </c>
      <c r="AL427" s="28" t="str">
        <f aca="false">IF($N427="","",IF(MATCH($N427,$N$2:$N$3001,0)=ROWS($N$2:$N427),$N427,""))</f>
        <v/>
      </c>
    </row>
    <row r="428" customFormat="false" ht="15" hidden="false" customHeight="false" outlineLevel="0" collapsed="false">
      <c r="E428" s="25"/>
      <c r="M428" s="26" t="str">
        <f aca="false">IF($A428="","",$L428*$U428/100)</f>
        <v/>
      </c>
      <c r="W428" s="26" t="str">
        <f aca="false">IF($A428="","",U428*AB428/100)</f>
        <v/>
      </c>
      <c r="X428" s="26" t="str">
        <f aca="false">IF($A428="","",U428-W428)</f>
        <v/>
      </c>
      <c r="Y428" s="26" t="str">
        <f aca="false">IF($A428="","",U428-W428-M428)</f>
        <v/>
      </c>
      <c r="AB428" s="27" t="str">
        <f aca="false">IF($A428="","",IF($AK428=1,'كشف المطالبة'!$D$5,'كشف المطالبة'!$D$6)*100)</f>
        <v/>
      </c>
      <c r="AK428" s="28" t="str">
        <f aca="false">IF($A428="","",IF(OR($Q428=TRUE(),$Q428="TRUE"),1,0))</f>
        <v/>
      </c>
      <c r="AL428" s="28" t="str">
        <f aca="false">IF($N428="","",IF(MATCH($N428,$N$2:$N$3001,0)=ROWS($N$2:$N428),$N428,""))</f>
        <v/>
      </c>
    </row>
    <row r="429" customFormat="false" ht="15" hidden="false" customHeight="false" outlineLevel="0" collapsed="false">
      <c r="E429" s="25"/>
      <c r="M429" s="26" t="str">
        <f aca="false">IF($A429="","",$L429*$U429/100)</f>
        <v/>
      </c>
      <c r="W429" s="26" t="str">
        <f aca="false">IF($A429="","",U429*AB429/100)</f>
        <v/>
      </c>
      <c r="X429" s="26" t="str">
        <f aca="false">IF($A429="","",U429-W429)</f>
        <v/>
      </c>
      <c r="Y429" s="26" t="str">
        <f aca="false">IF($A429="","",U429-W429-M429)</f>
        <v/>
      </c>
      <c r="AB429" s="27" t="str">
        <f aca="false">IF($A429="","",IF($AK429=1,'كشف المطالبة'!$D$5,'كشف المطالبة'!$D$6)*100)</f>
        <v/>
      </c>
      <c r="AK429" s="28" t="str">
        <f aca="false">IF($A429="","",IF(OR($Q429=TRUE(),$Q429="TRUE"),1,0))</f>
        <v/>
      </c>
      <c r="AL429" s="28" t="str">
        <f aca="false">IF($N429="","",IF(MATCH($N429,$N$2:$N$3001,0)=ROWS($N$2:$N429),$N429,""))</f>
        <v/>
      </c>
    </row>
    <row r="430" customFormat="false" ht="15" hidden="false" customHeight="false" outlineLevel="0" collapsed="false">
      <c r="E430" s="25"/>
      <c r="M430" s="26" t="str">
        <f aca="false">IF($A430="","",$L430*$U430/100)</f>
        <v/>
      </c>
      <c r="W430" s="26" t="str">
        <f aca="false">IF($A430="","",U430*AB430/100)</f>
        <v/>
      </c>
      <c r="X430" s="26" t="str">
        <f aca="false">IF($A430="","",U430-W430)</f>
        <v/>
      </c>
      <c r="Y430" s="26" t="str">
        <f aca="false">IF($A430="","",U430-W430-M430)</f>
        <v/>
      </c>
      <c r="AB430" s="27" t="str">
        <f aca="false">IF($A430="","",IF($AK430=1,'كشف المطالبة'!$D$5,'كشف المطالبة'!$D$6)*100)</f>
        <v/>
      </c>
      <c r="AK430" s="28" t="str">
        <f aca="false">IF($A430="","",IF(OR($Q430=TRUE(),$Q430="TRUE"),1,0))</f>
        <v/>
      </c>
      <c r="AL430" s="28" t="str">
        <f aca="false">IF($N430="","",IF(MATCH($N430,$N$2:$N$3001,0)=ROWS($N$2:$N430),$N430,""))</f>
        <v/>
      </c>
    </row>
    <row r="431" customFormat="false" ht="15" hidden="false" customHeight="false" outlineLevel="0" collapsed="false">
      <c r="E431" s="25"/>
      <c r="M431" s="26" t="str">
        <f aca="false">IF($A431="","",$L431*$U431/100)</f>
        <v/>
      </c>
      <c r="W431" s="26" t="str">
        <f aca="false">IF($A431="","",U431*AB431/100)</f>
        <v/>
      </c>
      <c r="X431" s="26" t="str">
        <f aca="false">IF($A431="","",U431-W431)</f>
        <v/>
      </c>
      <c r="Y431" s="26" t="str">
        <f aca="false">IF($A431="","",U431-W431-M431)</f>
        <v/>
      </c>
      <c r="AB431" s="27" t="str">
        <f aca="false">IF($A431="","",IF($AK431=1,'كشف المطالبة'!$D$5,'كشف المطالبة'!$D$6)*100)</f>
        <v/>
      </c>
      <c r="AK431" s="28" t="str">
        <f aca="false">IF($A431="","",IF(OR($Q431=TRUE(),$Q431="TRUE"),1,0))</f>
        <v/>
      </c>
      <c r="AL431" s="28" t="str">
        <f aca="false">IF($N431="","",IF(MATCH($N431,$N$2:$N$3001,0)=ROWS($N$2:$N431),$N431,""))</f>
        <v/>
      </c>
    </row>
    <row r="432" customFormat="false" ht="15" hidden="false" customHeight="false" outlineLevel="0" collapsed="false">
      <c r="E432" s="25"/>
      <c r="M432" s="26" t="str">
        <f aca="false">IF($A432="","",$L432*$U432/100)</f>
        <v/>
      </c>
      <c r="W432" s="26" t="str">
        <f aca="false">IF($A432="","",U432*AB432/100)</f>
        <v/>
      </c>
      <c r="X432" s="26" t="str">
        <f aca="false">IF($A432="","",U432-W432)</f>
        <v/>
      </c>
      <c r="Y432" s="26" t="str">
        <f aca="false">IF($A432="","",U432-W432-M432)</f>
        <v/>
      </c>
      <c r="AB432" s="27" t="str">
        <f aca="false">IF($A432="","",IF($AK432=1,'كشف المطالبة'!$D$5,'كشف المطالبة'!$D$6)*100)</f>
        <v/>
      </c>
      <c r="AK432" s="28" t="str">
        <f aca="false">IF($A432="","",IF(OR($Q432=TRUE(),$Q432="TRUE"),1,0))</f>
        <v/>
      </c>
      <c r="AL432" s="28" t="str">
        <f aca="false">IF($N432="","",IF(MATCH($N432,$N$2:$N$3001,0)=ROWS($N$2:$N432),$N432,""))</f>
        <v/>
      </c>
    </row>
    <row r="433" customFormat="false" ht="15" hidden="false" customHeight="false" outlineLevel="0" collapsed="false">
      <c r="E433" s="25"/>
      <c r="M433" s="26" t="str">
        <f aca="false">IF($A433="","",$L433*$U433/100)</f>
        <v/>
      </c>
      <c r="W433" s="26" t="str">
        <f aca="false">IF($A433="","",U433*AB433/100)</f>
        <v/>
      </c>
      <c r="X433" s="26" t="str">
        <f aca="false">IF($A433="","",U433-W433)</f>
        <v/>
      </c>
      <c r="Y433" s="26" t="str">
        <f aca="false">IF($A433="","",U433-W433-M433)</f>
        <v/>
      </c>
      <c r="AB433" s="27" t="str">
        <f aca="false">IF($A433="","",IF($AK433=1,'كشف المطالبة'!$D$5,'كشف المطالبة'!$D$6)*100)</f>
        <v/>
      </c>
      <c r="AK433" s="28" t="str">
        <f aca="false">IF($A433="","",IF(OR($Q433=TRUE(),$Q433="TRUE"),1,0))</f>
        <v/>
      </c>
      <c r="AL433" s="28" t="str">
        <f aca="false">IF($N433="","",IF(MATCH($N433,$N$2:$N$3001,0)=ROWS($N$2:$N433),$N433,""))</f>
        <v/>
      </c>
    </row>
    <row r="434" customFormat="false" ht="15" hidden="false" customHeight="false" outlineLevel="0" collapsed="false">
      <c r="E434" s="25"/>
      <c r="M434" s="26" t="str">
        <f aca="false">IF($A434="","",$L434*$U434/100)</f>
        <v/>
      </c>
      <c r="W434" s="26" t="str">
        <f aca="false">IF($A434="","",U434*AB434/100)</f>
        <v/>
      </c>
      <c r="X434" s="26" t="str">
        <f aca="false">IF($A434="","",U434-W434)</f>
        <v/>
      </c>
      <c r="Y434" s="26" t="str">
        <f aca="false">IF($A434="","",U434-W434-M434)</f>
        <v/>
      </c>
      <c r="AB434" s="27" t="str">
        <f aca="false">IF($A434="","",IF($AK434=1,'كشف المطالبة'!$D$5,'كشف المطالبة'!$D$6)*100)</f>
        <v/>
      </c>
      <c r="AK434" s="28" t="str">
        <f aca="false">IF($A434="","",IF(OR($Q434=TRUE(),$Q434="TRUE"),1,0))</f>
        <v/>
      </c>
      <c r="AL434" s="28" t="str">
        <f aca="false">IF($N434="","",IF(MATCH($N434,$N$2:$N$3001,0)=ROWS($N$2:$N434),$N434,""))</f>
        <v/>
      </c>
    </row>
    <row r="435" customFormat="false" ht="15" hidden="false" customHeight="false" outlineLevel="0" collapsed="false">
      <c r="E435" s="25"/>
      <c r="M435" s="26" t="str">
        <f aca="false">IF($A435="","",$L435*$U435/100)</f>
        <v/>
      </c>
      <c r="W435" s="26" t="str">
        <f aca="false">IF($A435="","",U435*AB435/100)</f>
        <v/>
      </c>
      <c r="X435" s="26" t="str">
        <f aca="false">IF($A435="","",U435-W435)</f>
        <v/>
      </c>
      <c r="Y435" s="26" t="str">
        <f aca="false">IF($A435="","",U435-W435-M435)</f>
        <v/>
      </c>
      <c r="AB435" s="27" t="str">
        <f aca="false">IF($A435="","",IF($AK435=1,'كشف المطالبة'!$D$5,'كشف المطالبة'!$D$6)*100)</f>
        <v/>
      </c>
      <c r="AK435" s="28" t="str">
        <f aca="false">IF($A435="","",IF(OR($Q435=TRUE(),$Q435="TRUE"),1,0))</f>
        <v/>
      </c>
      <c r="AL435" s="28" t="str">
        <f aca="false">IF($N435="","",IF(MATCH($N435,$N$2:$N$3001,0)=ROWS($N$2:$N435),$N435,""))</f>
        <v/>
      </c>
    </row>
    <row r="436" customFormat="false" ht="15" hidden="false" customHeight="false" outlineLevel="0" collapsed="false">
      <c r="E436" s="25"/>
      <c r="M436" s="26" t="str">
        <f aca="false">IF($A436="","",$L436*$U436/100)</f>
        <v/>
      </c>
      <c r="W436" s="26" t="str">
        <f aca="false">IF($A436="","",U436*AB436/100)</f>
        <v/>
      </c>
      <c r="X436" s="26" t="str">
        <f aca="false">IF($A436="","",U436-W436)</f>
        <v/>
      </c>
      <c r="Y436" s="26" t="str">
        <f aca="false">IF($A436="","",U436-W436-M436)</f>
        <v/>
      </c>
      <c r="AB436" s="27" t="str">
        <f aca="false">IF($A436="","",IF($AK436=1,'كشف المطالبة'!$D$5,'كشف المطالبة'!$D$6)*100)</f>
        <v/>
      </c>
      <c r="AK436" s="28" t="str">
        <f aca="false">IF($A436="","",IF(OR($Q436=TRUE(),$Q436="TRUE"),1,0))</f>
        <v/>
      </c>
      <c r="AL436" s="28" t="str">
        <f aca="false">IF($N436="","",IF(MATCH($N436,$N$2:$N$3001,0)=ROWS($N$2:$N436),$N436,""))</f>
        <v/>
      </c>
    </row>
    <row r="437" customFormat="false" ht="15" hidden="false" customHeight="false" outlineLevel="0" collapsed="false">
      <c r="E437" s="25"/>
      <c r="M437" s="26" t="str">
        <f aca="false">IF($A437="","",$L437*$U437/100)</f>
        <v/>
      </c>
      <c r="W437" s="26" t="str">
        <f aca="false">IF($A437="","",U437*AB437/100)</f>
        <v/>
      </c>
      <c r="X437" s="26" t="str">
        <f aca="false">IF($A437="","",U437-W437)</f>
        <v/>
      </c>
      <c r="Y437" s="26" t="str">
        <f aca="false">IF($A437="","",U437-W437-M437)</f>
        <v/>
      </c>
      <c r="AB437" s="27" t="str">
        <f aca="false">IF($A437="","",IF($AK437=1,'كشف المطالبة'!$D$5,'كشف المطالبة'!$D$6)*100)</f>
        <v/>
      </c>
      <c r="AK437" s="28" t="str">
        <f aca="false">IF($A437="","",IF(OR($Q437=TRUE(),$Q437="TRUE"),1,0))</f>
        <v/>
      </c>
      <c r="AL437" s="28" t="str">
        <f aca="false">IF($N437="","",IF(MATCH($N437,$N$2:$N$3001,0)=ROWS($N$2:$N437),$N437,""))</f>
        <v/>
      </c>
    </row>
    <row r="438" customFormat="false" ht="15" hidden="false" customHeight="false" outlineLevel="0" collapsed="false">
      <c r="E438" s="25"/>
      <c r="M438" s="26" t="str">
        <f aca="false">IF($A438="","",$L438*$U438/100)</f>
        <v/>
      </c>
      <c r="W438" s="26" t="str">
        <f aca="false">IF($A438="","",U438*AB438/100)</f>
        <v/>
      </c>
      <c r="X438" s="26" t="str">
        <f aca="false">IF($A438="","",U438-W438)</f>
        <v/>
      </c>
      <c r="Y438" s="26" t="str">
        <f aca="false">IF($A438="","",U438-W438-M438)</f>
        <v/>
      </c>
      <c r="AB438" s="27" t="str">
        <f aca="false">IF($A438="","",IF($AK438=1,'كشف المطالبة'!$D$5,'كشف المطالبة'!$D$6)*100)</f>
        <v/>
      </c>
      <c r="AK438" s="28" t="str">
        <f aca="false">IF($A438="","",IF(OR($Q438=TRUE(),$Q438="TRUE"),1,0))</f>
        <v/>
      </c>
      <c r="AL438" s="28" t="str">
        <f aca="false">IF($N438="","",IF(MATCH($N438,$N$2:$N$3001,0)=ROWS($N$2:$N438),$N438,""))</f>
        <v/>
      </c>
    </row>
    <row r="439" customFormat="false" ht="15" hidden="false" customHeight="false" outlineLevel="0" collapsed="false">
      <c r="E439" s="25"/>
      <c r="M439" s="26" t="str">
        <f aca="false">IF($A439="","",$L439*$U439/100)</f>
        <v/>
      </c>
      <c r="W439" s="26" t="str">
        <f aca="false">IF($A439="","",U439*AB439/100)</f>
        <v/>
      </c>
      <c r="X439" s="26" t="str">
        <f aca="false">IF($A439="","",U439-W439)</f>
        <v/>
      </c>
      <c r="Y439" s="26" t="str">
        <f aca="false">IF($A439="","",U439-W439-M439)</f>
        <v/>
      </c>
      <c r="AB439" s="27" t="str">
        <f aca="false">IF($A439="","",IF($AK439=1,'كشف المطالبة'!$D$5,'كشف المطالبة'!$D$6)*100)</f>
        <v/>
      </c>
      <c r="AK439" s="28" t="str">
        <f aca="false">IF($A439="","",IF(OR($Q439=TRUE(),$Q439="TRUE"),1,0))</f>
        <v/>
      </c>
      <c r="AL439" s="28" t="str">
        <f aca="false">IF($N439="","",IF(MATCH($N439,$N$2:$N$3001,0)=ROWS($N$2:$N439),$N439,""))</f>
        <v/>
      </c>
    </row>
    <row r="440" customFormat="false" ht="15" hidden="false" customHeight="false" outlineLevel="0" collapsed="false">
      <c r="E440" s="25"/>
      <c r="M440" s="26" t="str">
        <f aca="false">IF($A440="","",$L440*$U440/100)</f>
        <v/>
      </c>
      <c r="W440" s="26" t="str">
        <f aca="false">IF($A440="","",U440*AB440/100)</f>
        <v/>
      </c>
      <c r="X440" s="26" t="str">
        <f aca="false">IF($A440="","",U440-W440)</f>
        <v/>
      </c>
      <c r="Y440" s="26" t="str">
        <f aca="false">IF($A440="","",U440-W440-M440)</f>
        <v/>
      </c>
      <c r="AB440" s="27" t="str">
        <f aca="false">IF($A440="","",IF($AK440=1,'كشف المطالبة'!$D$5,'كشف المطالبة'!$D$6)*100)</f>
        <v/>
      </c>
      <c r="AK440" s="28" t="str">
        <f aca="false">IF($A440="","",IF(OR($Q440=TRUE(),$Q440="TRUE"),1,0))</f>
        <v/>
      </c>
      <c r="AL440" s="28" t="str">
        <f aca="false">IF($N440="","",IF(MATCH($N440,$N$2:$N$3001,0)=ROWS($N$2:$N440),$N440,""))</f>
        <v/>
      </c>
    </row>
    <row r="441" customFormat="false" ht="15" hidden="false" customHeight="false" outlineLevel="0" collapsed="false">
      <c r="E441" s="25"/>
      <c r="M441" s="26" t="str">
        <f aca="false">IF($A441="","",$L441*$U441/100)</f>
        <v/>
      </c>
      <c r="W441" s="26" t="str">
        <f aca="false">IF($A441="","",U441*AB441/100)</f>
        <v/>
      </c>
      <c r="X441" s="26" t="str">
        <f aca="false">IF($A441="","",U441-W441)</f>
        <v/>
      </c>
      <c r="Y441" s="26" t="str">
        <f aca="false">IF($A441="","",U441-W441-M441)</f>
        <v/>
      </c>
      <c r="AB441" s="27" t="str">
        <f aca="false">IF($A441="","",IF($AK441=1,'كشف المطالبة'!$D$5,'كشف المطالبة'!$D$6)*100)</f>
        <v/>
      </c>
      <c r="AK441" s="28" t="str">
        <f aca="false">IF($A441="","",IF(OR($Q441=TRUE(),$Q441="TRUE"),1,0))</f>
        <v/>
      </c>
      <c r="AL441" s="28" t="str">
        <f aca="false">IF($N441="","",IF(MATCH($N441,$N$2:$N$3001,0)=ROWS($N$2:$N441),$N441,""))</f>
        <v/>
      </c>
    </row>
    <row r="442" customFormat="false" ht="15" hidden="false" customHeight="false" outlineLevel="0" collapsed="false">
      <c r="E442" s="25"/>
      <c r="M442" s="26" t="str">
        <f aca="false">IF($A442="","",$L442*$U442/100)</f>
        <v/>
      </c>
      <c r="W442" s="26" t="str">
        <f aca="false">IF($A442="","",U442*AB442/100)</f>
        <v/>
      </c>
      <c r="X442" s="26" t="str">
        <f aca="false">IF($A442="","",U442-W442)</f>
        <v/>
      </c>
      <c r="Y442" s="26" t="str">
        <f aca="false">IF($A442="","",U442-W442-M442)</f>
        <v/>
      </c>
      <c r="AB442" s="27" t="str">
        <f aca="false">IF($A442="","",IF($AK442=1,'كشف المطالبة'!$D$5,'كشف المطالبة'!$D$6)*100)</f>
        <v/>
      </c>
      <c r="AK442" s="28" t="str">
        <f aca="false">IF($A442="","",IF(OR($Q442=TRUE(),$Q442="TRUE"),1,0))</f>
        <v/>
      </c>
      <c r="AL442" s="28" t="str">
        <f aca="false">IF($N442="","",IF(MATCH($N442,$N$2:$N$3001,0)=ROWS($N$2:$N442),$N442,""))</f>
        <v/>
      </c>
    </row>
    <row r="443" customFormat="false" ht="15" hidden="false" customHeight="false" outlineLevel="0" collapsed="false">
      <c r="E443" s="25"/>
      <c r="M443" s="26" t="str">
        <f aca="false">IF($A443="","",$L443*$U443/100)</f>
        <v/>
      </c>
      <c r="W443" s="26" t="str">
        <f aca="false">IF($A443="","",U443*AB443/100)</f>
        <v/>
      </c>
      <c r="X443" s="26" t="str">
        <f aca="false">IF($A443="","",U443-W443)</f>
        <v/>
      </c>
      <c r="Y443" s="26" t="str">
        <f aca="false">IF($A443="","",U443-W443-M443)</f>
        <v/>
      </c>
      <c r="AB443" s="27" t="str">
        <f aca="false">IF($A443="","",IF($AK443=1,'كشف المطالبة'!$D$5,'كشف المطالبة'!$D$6)*100)</f>
        <v/>
      </c>
      <c r="AK443" s="28" t="str">
        <f aca="false">IF($A443="","",IF(OR($Q443=TRUE(),$Q443="TRUE"),1,0))</f>
        <v/>
      </c>
      <c r="AL443" s="28" t="str">
        <f aca="false">IF($N443="","",IF(MATCH($N443,$N$2:$N$3001,0)=ROWS($N$2:$N443),$N443,""))</f>
        <v/>
      </c>
    </row>
    <row r="444" customFormat="false" ht="15" hidden="false" customHeight="false" outlineLevel="0" collapsed="false">
      <c r="E444" s="25"/>
      <c r="M444" s="26" t="str">
        <f aca="false">IF($A444="","",$L444*$U444/100)</f>
        <v/>
      </c>
      <c r="W444" s="26" t="str">
        <f aca="false">IF($A444="","",U444*AB444/100)</f>
        <v/>
      </c>
      <c r="X444" s="26" t="str">
        <f aca="false">IF($A444="","",U444-W444)</f>
        <v/>
      </c>
      <c r="Y444" s="26" t="str">
        <f aca="false">IF($A444="","",U444-W444-M444)</f>
        <v/>
      </c>
      <c r="AB444" s="27" t="str">
        <f aca="false">IF($A444="","",IF($AK444=1,'كشف المطالبة'!$D$5,'كشف المطالبة'!$D$6)*100)</f>
        <v/>
      </c>
      <c r="AK444" s="28" t="str">
        <f aca="false">IF($A444="","",IF(OR($Q444=TRUE(),$Q444="TRUE"),1,0))</f>
        <v/>
      </c>
      <c r="AL444" s="28" t="str">
        <f aca="false">IF($N444="","",IF(MATCH($N444,$N$2:$N$3001,0)=ROWS($N$2:$N444),$N444,""))</f>
        <v/>
      </c>
    </row>
    <row r="445" customFormat="false" ht="15" hidden="false" customHeight="false" outlineLevel="0" collapsed="false">
      <c r="E445" s="25"/>
      <c r="M445" s="26" t="str">
        <f aca="false">IF($A445="","",$L445*$U445/100)</f>
        <v/>
      </c>
      <c r="W445" s="26" t="str">
        <f aca="false">IF($A445="","",U445*AB445/100)</f>
        <v/>
      </c>
      <c r="X445" s="26" t="str">
        <f aca="false">IF($A445="","",U445-W445)</f>
        <v/>
      </c>
      <c r="Y445" s="26" t="str">
        <f aca="false">IF($A445="","",U445-W445-M445)</f>
        <v/>
      </c>
      <c r="AB445" s="27" t="str">
        <f aca="false">IF($A445="","",IF($AK445=1,'كشف المطالبة'!$D$5,'كشف المطالبة'!$D$6)*100)</f>
        <v/>
      </c>
      <c r="AK445" s="28" t="str">
        <f aca="false">IF($A445="","",IF(OR($Q445=TRUE(),$Q445="TRUE"),1,0))</f>
        <v/>
      </c>
      <c r="AL445" s="28" t="str">
        <f aca="false">IF($N445="","",IF(MATCH($N445,$N$2:$N$3001,0)=ROWS($N$2:$N445),$N445,""))</f>
        <v/>
      </c>
    </row>
    <row r="446" customFormat="false" ht="15" hidden="false" customHeight="false" outlineLevel="0" collapsed="false">
      <c r="E446" s="25"/>
      <c r="M446" s="26" t="str">
        <f aca="false">IF($A446="","",$L446*$U446/100)</f>
        <v/>
      </c>
      <c r="W446" s="26" t="str">
        <f aca="false">IF($A446="","",U446*AB446/100)</f>
        <v/>
      </c>
      <c r="X446" s="26" t="str">
        <f aca="false">IF($A446="","",U446-W446)</f>
        <v/>
      </c>
      <c r="Y446" s="26" t="str">
        <f aca="false">IF($A446="","",U446-W446-M446)</f>
        <v/>
      </c>
      <c r="AB446" s="27" t="str">
        <f aca="false">IF($A446="","",IF($AK446=1,'كشف المطالبة'!$D$5,'كشف المطالبة'!$D$6)*100)</f>
        <v/>
      </c>
      <c r="AK446" s="28" t="str">
        <f aca="false">IF($A446="","",IF(OR($Q446=TRUE(),$Q446="TRUE"),1,0))</f>
        <v/>
      </c>
      <c r="AL446" s="28" t="str">
        <f aca="false">IF($N446="","",IF(MATCH($N446,$N$2:$N$3001,0)=ROWS($N$2:$N446),$N446,""))</f>
        <v/>
      </c>
    </row>
    <row r="447" customFormat="false" ht="15" hidden="false" customHeight="false" outlineLevel="0" collapsed="false">
      <c r="E447" s="25"/>
      <c r="M447" s="26" t="str">
        <f aca="false">IF($A447="","",$L447*$U447/100)</f>
        <v/>
      </c>
      <c r="W447" s="26" t="str">
        <f aca="false">IF($A447="","",U447*AB447/100)</f>
        <v/>
      </c>
      <c r="X447" s="26" t="str">
        <f aca="false">IF($A447="","",U447-W447)</f>
        <v/>
      </c>
      <c r="Y447" s="26" t="str">
        <f aca="false">IF($A447="","",U447-W447-M447)</f>
        <v/>
      </c>
      <c r="AB447" s="27" t="str">
        <f aca="false">IF($A447="","",IF($AK447=1,'كشف المطالبة'!$D$5,'كشف المطالبة'!$D$6)*100)</f>
        <v/>
      </c>
      <c r="AK447" s="28" t="str">
        <f aca="false">IF($A447="","",IF(OR($Q447=TRUE(),$Q447="TRUE"),1,0))</f>
        <v/>
      </c>
      <c r="AL447" s="28" t="str">
        <f aca="false">IF($N447="","",IF(MATCH($N447,$N$2:$N$3001,0)=ROWS($N$2:$N447),$N447,""))</f>
        <v/>
      </c>
    </row>
    <row r="448" customFormat="false" ht="15" hidden="false" customHeight="false" outlineLevel="0" collapsed="false">
      <c r="E448" s="25"/>
      <c r="M448" s="26" t="str">
        <f aca="false">IF($A448="","",$L448*$U448/100)</f>
        <v/>
      </c>
      <c r="W448" s="26" t="str">
        <f aca="false">IF($A448="","",U448*AB448/100)</f>
        <v/>
      </c>
      <c r="X448" s="26" t="str">
        <f aca="false">IF($A448="","",U448-W448)</f>
        <v/>
      </c>
      <c r="Y448" s="26" t="str">
        <f aca="false">IF($A448="","",U448-W448-M448)</f>
        <v/>
      </c>
      <c r="AB448" s="27" t="str">
        <f aca="false">IF($A448="","",IF($AK448=1,'كشف المطالبة'!$D$5,'كشف المطالبة'!$D$6)*100)</f>
        <v/>
      </c>
      <c r="AK448" s="28" t="str">
        <f aca="false">IF($A448="","",IF(OR($Q448=TRUE(),$Q448="TRUE"),1,0))</f>
        <v/>
      </c>
      <c r="AL448" s="28" t="str">
        <f aca="false">IF($N448="","",IF(MATCH($N448,$N$2:$N$3001,0)=ROWS($N$2:$N448),$N448,""))</f>
        <v/>
      </c>
    </row>
    <row r="449" customFormat="false" ht="15" hidden="false" customHeight="false" outlineLevel="0" collapsed="false">
      <c r="E449" s="25"/>
      <c r="M449" s="26" t="str">
        <f aca="false">IF($A449="","",$L449*$U449/100)</f>
        <v/>
      </c>
      <c r="W449" s="26" t="str">
        <f aca="false">IF($A449="","",U449*AB449/100)</f>
        <v/>
      </c>
      <c r="X449" s="26" t="str">
        <f aca="false">IF($A449="","",U449-W449)</f>
        <v/>
      </c>
      <c r="Y449" s="26" t="str">
        <f aca="false">IF($A449="","",U449-W449-M449)</f>
        <v/>
      </c>
      <c r="AB449" s="27" t="str">
        <f aca="false">IF($A449="","",IF($AK449=1,'كشف المطالبة'!$D$5,'كشف المطالبة'!$D$6)*100)</f>
        <v/>
      </c>
      <c r="AK449" s="28" t="str">
        <f aca="false">IF($A449="","",IF(OR($Q449=TRUE(),$Q449="TRUE"),1,0))</f>
        <v/>
      </c>
      <c r="AL449" s="28" t="str">
        <f aca="false">IF($N449="","",IF(MATCH($N449,$N$2:$N$3001,0)=ROWS($N$2:$N449),$N449,""))</f>
        <v/>
      </c>
    </row>
    <row r="450" customFormat="false" ht="15" hidden="false" customHeight="false" outlineLevel="0" collapsed="false">
      <c r="E450" s="25"/>
      <c r="M450" s="26" t="str">
        <f aca="false">IF($A450="","",$L450*$U450/100)</f>
        <v/>
      </c>
      <c r="W450" s="26" t="str">
        <f aca="false">IF($A450="","",U450*AB450/100)</f>
        <v/>
      </c>
      <c r="X450" s="26" t="str">
        <f aca="false">IF($A450="","",U450-W450)</f>
        <v/>
      </c>
      <c r="Y450" s="26" t="str">
        <f aca="false">IF($A450="","",U450-W450-M450)</f>
        <v/>
      </c>
      <c r="AB450" s="27" t="str">
        <f aca="false">IF($A450="","",IF($AK450=1,'كشف المطالبة'!$D$5,'كشف المطالبة'!$D$6)*100)</f>
        <v/>
      </c>
      <c r="AK450" s="28" t="str">
        <f aca="false">IF($A450="","",IF(OR($Q450=TRUE(),$Q450="TRUE"),1,0))</f>
        <v/>
      </c>
      <c r="AL450" s="28" t="str">
        <f aca="false">IF($N450="","",IF(MATCH($N450,$N$2:$N$3001,0)=ROWS($N$2:$N450),$N450,""))</f>
        <v/>
      </c>
    </row>
    <row r="451" customFormat="false" ht="15" hidden="false" customHeight="false" outlineLevel="0" collapsed="false">
      <c r="E451" s="25"/>
      <c r="M451" s="26" t="str">
        <f aca="false">IF($A451="","",$L451*$U451/100)</f>
        <v/>
      </c>
      <c r="W451" s="26" t="str">
        <f aca="false">IF($A451="","",U451*AB451/100)</f>
        <v/>
      </c>
      <c r="X451" s="26" t="str">
        <f aca="false">IF($A451="","",U451-W451)</f>
        <v/>
      </c>
      <c r="Y451" s="26" t="str">
        <f aca="false">IF($A451="","",U451-W451-M451)</f>
        <v/>
      </c>
      <c r="AB451" s="27" t="str">
        <f aca="false">IF($A451="","",IF($AK451=1,'كشف المطالبة'!$D$5,'كشف المطالبة'!$D$6)*100)</f>
        <v/>
      </c>
      <c r="AK451" s="28" t="str">
        <f aca="false">IF($A451="","",IF(OR($Q451=TRUE(),$Q451="TRUE"),1,0))</f>
        <v/>
      </c>
      <c r="AL451" s="28" t="str">
        <f aca="false">IF($N451="","",IF(MATCH($N451,$N$2:$N$3001,0)=ROWS($N$2:$N451),$N451,""))</f>
        <v/>
      </c>
    </row>
    <row r="452" customFormat="false" ht="15" hidden="false" customHeight="false" outlineLevel="0" collapsed="false">
      <c r="E452" s="25"/>
      <c r="M452" s="26" t="str">
        <f aca="false">IF($A452="","",$L452*$U452/100)</f>
        <v/>
      </c>
      <c r="W452" s="26" t="str">
        <f aca="false">IF($A452="","",U452*AB452/100)</f>
        <v/>
      </c>
      <c r="X452" s="26" t="str">
        <f aca="false">IF($A452="","",U452-W452)</f>
        <v/>
      </c>
      <c r="Y452" s="26" t="str">
        <f aca="false">IF($A452="","",U452-W452-M452)</f>
        <v/>
      </c>
      <c r="AB452" s="27" t="str">
        <f aca="false">IF($A452="","",IF($AK452=1,'كشف المطالبة'!$D$5,'كشف المطالبة'!$D$6)*100)</f>
        <v/>
      </c>
      <c r="AK452" s="28" t="str">
        <f aca="false">IF($A452="","",IF(OR($Q452=TRUE(),$Q452="TRUE"),1,0))</f>
        <v/>
      </c>
      <c r="AL452" s="28" t="str">
        <f aca="false">IF($N452="","",IF(MATCH($N452,$N$2:$N$3001,0)=ROWS($N$2:$N452),$N452,""))</f>
        <v/>
      </c>
    </row>
    <row r="453" customFormat="false" ht="15" hidden="false" customHeight="false" outlineLevel="0" collapsed="false">
      <c r="E453" s="25"/>
      <c r="M453" s="26" t="str">
        <f aca="false">IF($A453="","",$L453*$U453/100)</f>
        <v/>
      </c>
      <c r="W453" s="26" t="str">
        <f aca="false">IF($A453="","",U453*AB453/100)</f>
        <v/>
      </c>
      <c r="X453" s="26" t="str">
        <f aca="false">IF($A453="","",U453-W453)</f>
        <v/>
      </c>
      <c r="Y453" s="26" t="str">
        <f aca="false">IF($A453="","",U453-W453-M453)</f>
        <v/>
      </c>
      <c r="AB453" s="27" t="str">
        <f aca="false">IF($A453="","",IF($AK453=1,'كشف المطالبة'!$D$5,'كشف المطالبة'!$D$6)*100)</f>
        <v/>
      </c>
      <c r="AK453" s="28" t="str">
        <f aca="false">IF($A453="","",IF(OR($Q453=TRUE(),$Q453="TRUE"),1,0))</f>
        <v/>
      </c>
      <c r="AL453" s="28" t="str">
        <f aca="false">IF($N453="","",IF(MATCH($N453,$N$2:$N$3001,0)=ROWS($N$2:$N453),$N453,""))</f>
        <v/>
      </c>
    </row>
    <row r="454" customFormat="false" ht="15" hidden="false" customHeight="false" outlineLevel="0" collapsed="false">
      <c r="E454" s="25"/>
      <c r="M454" s="26" t="str">
        <f aca="false">IF($A454="","",$L454*$U454/100)</f>
        <v/>
      </c>
      <c r="W454" s="26" t="str">
        <f aca="false">IF($A454="","",U454*AB454/100)</f>
        <v/>
      </c>
      <c r="X454" s="26" t="str">
        <f aca="false">IF($A454="","",U454-W454)</f>
        <v/>
      </c>
      <c r="Y454" s="26" t="str">
        <f aca="false">IF($A454="","",U454-W454-M454)</f>
        <v/>
      </c>
      <c r="AB454" s="27" t="str">
        <f aca="false">IF($A454="","",IF($AK454=1,'كشف المطالبة'!$D$5,'كشف المطالبة'!$D$6)*100)</f>
        <v/>
      </c>
      <c r="AK454" s="28" t="str">
        <f aca="false">IF($A454="","",IF(OR($Q454=TRUE(),$Q454="TRUE"),1,0))</f>
        <v/>
      </c>
      <c r="AL454" s="28" t="str">
        <f aca="false">IF($N454="","",IF(MATCH($N454,$N$2:$N$3001,0)=ROWS($N$2:$N454),$N454,""))</f>
        <v/>
      </c>
    </row>
    <row r="455" customFormat="false" ht="15" hidden="false" customHeight="false" outlineLevel="0" collapsed="false">
      <c r="E455" s="25"/>
      <c r="M455" s="26" t="str">
        <f aca="false">IF($A455="","",$L455*$U455/100)</f>
        <v/>
      </c>
      <c r="W455" s="26" t="str">
        <f aca="false">IF($A455="","",U455*AB455/100)</f>
        <v/>
      </c>
      <c r="X455" s="26" t="str">
        <f aca="false">IF($A455="","",U455-W455)</f>
        <v/>
      </c>
      <c r="Y455" s="26" t="str">
        <f aca="false">IF($A455="","",U455-W455-M455)</f>
        <v/>
      </c>
      <c r="AB455" s="27" t="str">
        <f aca="false">IF($A455="","",IF($AK455=1,'كشف المطالبة'!$D$5,'كشف المطالبة'!$D$6)*100)</f>
        <v/>
      </c>
      <c r="AK455" s="28" t="str">
        <f aca="false">IF($A455="","",IF(OR($Q455=TRUE(),$Q455="TRUE"),1,0))</f>
        <v/>
      </c>
      <c r="AL455" s="28" t="str">
        <f aca="false">IF($N455="","",IF(MATCH($N455,$N$2:$N$3001,0)=ROWS($N$2:$N455),$N455,""))</f>
        <v/>
      </c>
    </row>
    <row r="456" customFormat="false" ht="15" hidden="false" customHeight="false" outlineLevel="0" collapsed="false">
      <c r="E456" s="25"/>
      <c r="M456" s="26" t="str">
        <f aca="false">IF($A456="","",$L456*$U456/100)</f>
        <v/>
      </c>
      <c r="W456" s="26" t="str">
        <f aca="false">IF($A456="","",U456*AB456/100)</f>
        <v/>
      </c>
      <c r="X456" s="26" t="str">
        <f aca="false">IF($A456="","",U456-W456)</f>
        <v/>
      </c>
      <c r="Y456" s="26" t="str">
        <f aca="false">IF($A456="","",U456-W456-M456)</f>
        <v/>
      </c>
      <c r="AB456" s="27" t="str">
        <f aca="false">IF($A456="","",IF($AK456=1,'كشف المطالبة'!$D$5,'كشف المطالبة'!$D$6)*100)</f>
        <v/>
      </c>
      <c r="AK456" s="28" t="str">
        <f aca="false">IF($A456="","",IF(OR($Q456=TRUE(),$Q456="TRUE"),1,0))</f>
        <v/>
      </c>
      <c r="AL456" s="28" t="str">
        <f aca="false">IF($N456="","",IF(MATCH($N456,$N$2:$N$3001,0)=ROWS($N$2:$N456),$N456,""))</f>
        <v/>
      </c>
    </row>
    <row r="457" customFormat="false" ht="15" hidden="false" customHeight="false" outlineLevel="0" collapsed="false">
      <c r="E457" s="25"/>
      <c r="M457" s="26" t="str">
        <f aca="false">IF($A457="","",$L457*$U457/100)</f>
        <v/>
      </c>
      <c r="W457" s="26" t="str">
        <f aca="false">IF($A457="","",U457*AB457/100)</f>
        <v/>
      </c>
      <c r="X457" s="26" t="str">
        <f aca="false">IF($A457="","",U457-W457)</f>
        <v/>
      </c>
      <c r="Y457" s="26" t="str">
        <f aca="false">IF($A457="","",U457-W457-M457)</f>
        <v/>
      </c>
      <c r="AB457" s="27" t="str">
        <f aca="false">IF($A457="","",IF($AK457=1,'كشف المطالبة'!$D$5,'كشف المطالبة'!$D$6)*100)</f>
        <v/>
      </c>
      <c r="AK457" s="28" t="str">
        <f aca="false">IF($A457="","",IF(OR($Q457=TRUE(),$Q457="TRUE"),1,0))</f>
        <v/>
      </c>
      <c r="AL457" s="28" t="str">
        <f aca="false">IF($N457="","",IF(MATCH($N457,$N$2:$N$3001,0)=ROWS($N$2:$N457),$N457,""))</f>
        <v/>
      </c>
    </row>
    <row r="458" customFormat="false" ht="15" hidden="false" customHeight="false" outlineLevel="0" collapsed="false">
      <c r="E458" s="25"/>
      <c r="M458" s="26" t="str">
        <f aca="false">IF($A458="","",$L458*$U458/100)</f>
        <v/>
      </c>
      <c r="W458" s="26" t="str">
        <f aca="false">IF($A458="","",U458*AB458/100)</f>
        <v/>
      </c>
      <c r="X458" s="26" t="str">
        <f aca="false">IF($A458="","",U458-W458)</f>
        <v/>
      </c>
      <c r="Y458" s="26" t="str">
        <f aca="false">IF($A458="","",U458-W458-M458)</f>
        <v/>
      </c>
      <c r="AB458" s="27" t="str">
        <f aca="false">IF($A458="","",IF($AK458=1,'كشف المطالبة'!$D$5,'كشف المطالبة'!$D$6)*100)</f>
        <v/>
      </c>
      <c r="AK458" s="28" t="str">
        <f aca="false">IF($A458="","",IF(OR($Q458=TRUE(),$Q458="TRUE"),1,0))</f>
        <v/>
      </c>
      <c r="AL458" s="28" t="str">
        <f aca="false">IF($N458="","",IF(MATCH($N458,$N$2:$N$3001,0)=ROWS($N$2:$N458),$N458,""))</f>
        <v/>
      </c>
    </row>
    <row r="459" customFormat="false" ht="15" hidden="false" customHeight="false" outlineLevel="0" collapsed="false">
      <c r="E459" s="25"/>
      <c r="M459" s="26" t="str">
        <f aca="false">IF($A459="","",$L459*$U459/100)</f>
        <v/>
      </c>
      <c r="W459" s="26" t="str">
        <f aca="false">IF($A459="","",U459*AB459/100)</f>
        <v/>
      </c>
      <c r="X459" s="26" t="str">
        <f aca="false">IF($A459="","",U459-W459)</f>
        <v/>
      </c>
      <c r="Y459" s="26" t="str">
        <f aca="false">IF($A459="","",U459-W459-M459)</f>
        <v/>
      </c>
      <c r="AB459" s="27" t="str">
        <f aca="false">IF($A459="","",IF($AK459=1,'كشف المطالبة'!$D$5,'كشف المطالبة'!$D$6)*100)</f>
        <v/>
      </c>
      <c r="AK459" s="28" t="str">
        <f aca="false">IF($A459="","",IF(OR($Q459=TRUE(),$Q459="TRUE"),1,0))</f>
        <v/>
      </c>
      <c r="AL459" s="28" t="str">
        <f aca="false">IF($N459="","",IF(MATCH($N459,$N$2:$N$3001,0)=ROWS($N$2:$N459),$N459,""))</f>
        <v/>
      </c>
    </row>
    <row r="460" customFormat="false" ht="15" hidden="false" customHeight="false" outlineLevel="0" collapsed="false">
      <c r="E460" s="25"/>
      <c r="M460" s="26" t="str">
        <f aca="false">IF($A460="","",$L460*$U460/100)</f>
        <v/>
      </c>
      <c r="W460" s="26" t="str">
        <f aca="false">IF($A460="","",U460*AB460/100)</f>
        <v/>
      </c>
      <c r="X460" s="26" t="str">
        <f aca="false">IF($A460="","",U460-W460)</f>
        <v/>
      </c>
      <c r="Y460" s="26" t="str">
        <f aca="false">IF($A460="","",U460-W460-M460)</f>
        <v/>
      </c>
      <c r="AB460" s="27" t="str">
        <f aca="false">IF($A460="","",IF($AK460=1,'كشف المطالبة'!$D$5,'كشف المطالبة'!$D$6)*100)</f>
        <v/>
      </c>
      <c r="AK460" s="28" t="str">
        <f aca="false">IF($A460="","",IF(OR($Q460=TRUE(),$Q460="TRUE"),1,0))</f>
        <v/>
      </c>
      <c r="AL460" s="28" t="str">
        <f aca="false">IF($N460="","",IF(MATCH($N460,$N$2:$N$3001,0)=ROWS($N$2:$N460),$N460,""))</f>
        <v/>
      </c>
    </row>
    <row r="461" customFormat="false" ht="15" hidden="false" customHeight="false" outlineLevel="0" collapsed="false">
      <c r="E461" s="25"/>
      <c r="M461" s="26" t="str">
        <f aca="false">IF($A461="","",$L461*$U461/100)</f>
        <v/>
      </c>
      <c r="W461" s="26" t="str">
        <f aca="false">IF($A461="","",U461*AB461/100)</f>
        <v/>
      </c>
      <c r="X461" s="26" t="str">
        <f aca="false">IF($A461="","",U461-W461)</f>
        <v/>
      </c>
      <c r="Y461" s="26" t="str">
        <f aca="false">IF($A461="","",U461-W461-M461)</f>
        <v/>
      </c>
      <c r="AB461" s="27" t="str">
        <f aca="false">IF($A461="","",IF($AK461=1,'كشف المطالبة'!$D$5,'كشف المطالبة'!$D$6)*100)</f>
        <v/>
      </c>
      <c r="AK461" s="28" t="str">
        <f aca="false">IF($A461="","",IF(OR($Q461=TRUE(),$Q461="TRUE"),1,0))</f>
        <v/>
      </c>
      <c r="AL461" s="28" t="str">
        <f aca="false">IF($N461="","",IF(MATCH($N461,$N$2:$N$3001,0)=ROWS($N$2:$N461),$N461,""))</f>
        <v/>
      </c>
    </row>
    <row r="462" customFormat="false" ht="15" hidden="false" customHeight="false" outlineLevel="0" collapsed="false">
      <c r="E462" s="25"/>
      <c r="M462" s="26" t="str">
        <f aca="false">IF($A462="","",$L462*$U462/100)</f>
        <v/>
      </c>
      <c r="W462" s="26" t="str">
        <f aca="false">IF($A462="","",U462*AB462/100)</f>
        <v/>
      </c>
      <c r="X462" s="26" t="str">
        <f aca="false">IF($A462="","",U462-W462)</f>
        <v/>
      </c>
      <c r="Y462" s="26" t="str">
        <f aca="false">IF($A462="","",U462-W462-M462)</f>
        <v/>
      </c>
      <c r="AB462" s="27" t="str">
        <f aca="false">IF($A462="","",IF($AK462=1,'كشف المطالبة'!$D$5,'كشف المطالبة'!$D$6)*100)</f>
        <v/>
      </c>
      <c r="AK462" s="28" t="str">
        <f aca="false">IF($A462="","",IF(OR($Q462=TRUE(),$Q462="TRUE"),1,0))</f>
        <v/>
      </c>
      <c r="AL462" s="28" t="str">
        <f aca="false">IF($N462="","",IF(MATCH($N462,$N$2:$N$3001,0)=ROWS($N$2:$N462),$N462,""))</f>
        <v/>
      </c>
    </row>
    <row r="463" customFormat="false" ht="15" hidden="false" customHeight="false" outlineLevel="0" collapsed="false">
      <c r="E463" s="25"/>
      <c r="M463" s="26" t="str">
        <f aca="false">IF($A463="","",$L463*$U463/100)</f>
        <v/>
      </c>
      <c r="W463" s="26" t="str">
        <f aca="false">IF($A463="","",U463*AB463/100)</f>
        <v/>
      </c>
      <c r="X463" s="26" t="str">
        <f aca="false">IF($A463="","",U463-W463)</f>
        <v/>
      </c>
      <c r="Y463" s="26" t="str">
        <f aca="false">IF($A463="","",U463-W463-M463)</f>
        <v/>
      </c>
      <c r="AB463" s="27" t="str">
        <f aca="false">IF($A463="","",IF($AK463=1,'كشف المطالبة'!$D$5,'كشف المطالبة'!$D$6)*100)</f>
        <v/>
      </c>
      <c r="AK463" s="28" t="str">
        <f aca="false">IF($A463="","",IF(OR($Q463=TRUE(),$Q463="TRUE"),1,0))</f>
        <v/>
      </c>
      <c r="AL463" s="28" t="str">
        <f aca="false">IF($N463="","",IF(MATCH($N463,$N$2:$N$3001,0)=ROWS($N$2:$N463),$N463,""))</f>
        <v/>
      </c>
    </row>
    <row r="464" customFormat="false" ht="15" hidden="false" customHeight="false" outlineLevel="0" collapsed="false">
      <c r="E464" s="25"/>
      <c r="M464" s="26" t="str">
        <f aca="false">IF($A464="","",$L464*$U464/100)</f>
        <v/>
      </c>
      <c r="W464" s="26" t="str">
        <f aca="false">IF($A464="","",U464*AB464/100)</f>
        <v/>
      </c>
      <c r="X464" s="26" t="str">
        <f aca="false">IF($A464="","",U464-W464)</f>
        <v/>
      </c>
      <c r="Y464" s="26" t="str">
        <f aca="false">IF($A464="","",U464-W464-M464)</f>
        <v/>
      </c>
      <c r="AB464" s="27" t="str">
        <f aca="false">IF($A464="","",IF($AK464=1,'كشف المطالبة'!$D$5,'كشف المطالبة'!$D$6)*100)</f>
        <v/>
      </c>
      <c r="AK464" s="28" t="str">
        <f aca="false">IF($A464="","",IF(OR($Q464=TRUE(),$Q464="TRUE"),1,0))</f>
        <v/>
      </c>
      <c r="AL464" s="28" t="str">
        <f aca="false">IF($N464="","",IF(MATCH($N464,$N$2:$N$3001,0)=ROWS($N$2:$N464),$N464,""))</f>
        <v/>
      </c>
    </row>
    <row r="465" customFormat="false" ht="15" hidden="false" customHeight="false" outlineLevel="0" collapsed="false">
      <c r="E465" s="25"/>
      <c r="M465" s="26" t="str">
        <f aca="false">IF($A465="","",$L465*$U465/100)</f>
        <v/>
      </c>
      <c r="W465" s="26" t="str">
        <f aca="false">IF($A465="","",U465*AB465/100)</f>
        <v/>
      </c>
      <c r="X465" s="26" t="str">
        <f aca="false">IF($A465="","",U465-W465)</f>
        <v/>
      </c>
      <c r="Y465" s="26" t="str">
        <f aca="false">IF($A465="","",U465-W465-M465)</f>
        <v/>
      </c>
      <c r="AB465" s="27" t="str">
        <f aca="false">IF($A465="","",IF($AK465=1,'كشف المطالبة'!$D$5,'كشف المطالبة'!$D$6)*100)</f>
        <v/>
      </c>
      <c r="AK465" s="28" t="str">
        <f aca="false">IF($A465="","",IF(OR($Q465=TRUE(),$Q465="TRUE"),1,0))</f>
        <v/>
      </c>
      <c r="AL465" s="28" t="str">
        <f aca="false">IF($N465="","",IF(MATCH($N465,$N$2:$N$3001,0)=ROWS($N$2:$N465),$N465,""))</f>
        <v/>
      </c>
    </row>
    <row r="466" customFormat="false" ht="15" hidden="false" customHeight="false" outlineLevel="0" collapsed="false">
      <c r="E466" s="25"/>
      <c r="M466" s="26" t="str">
        <f aca="false">IF($A466="","",$L466*$U466/100)</f>
        <v/>
      </c>
      <c r="W466" s="26" t="str">
        <f aca="false">IF($A466="","",U466*AB466/100)</f>
        <v/>
      </c>
      <c r="X466" s="26" t="str">
        <f aca="false">IF($A466="","",U466-W466)</f>
        <v/>
      </c>
      <c r="Y466" s="26" t="str">
        <f aca="false">IF($A466="","",U466-W466-M466)</f>
        <v/>
      </c>
      <c r="AB466" s="27" t="str">
        <f aca="false">IF($A466="","",IF($AK466=1,'كشف المطالبة'!$D$5,'كشف المطالبة'!$D$6)*100)</f>
        <v/>
      </c>
      <c r="AK466" s="28" t="str">
        <f aca="false">IF($A466="","",IF(OR($Q466=TRUE(),$Q466="TRUE"),1,0))</f>
        <v/>
      </c>
      <c r="AL466" s="28" t="str">
        <f aca="false">IF($N466="","",IF(MATCH($N466,$N$2:$N$3001,0)=ROWS($N$2:$N466),$N466,""))</f>
        <v/>
      </c>
    </row>
    <row r="467" customFormat="false" ht="15" hidden="false" customHeight="false" outlineLevel="0" collapsed="false">
      <c r="E467" s="25"/>
      <c r="M467" s="26" t="str">
        <f aca="false">IF($A467="","",$L467*$U467/100)</f>
        <v/>
      </c>
      <c r="W467" s="26" t="str">
        <f aca="false">IF($A467="","",U467*AB467/100)</f>
        <v/>
      </c>
      <c r="X467" s="26" t="str">
        <f aca="false">IF($A467="","",U467-W467)</f>
        <v/>
      </c>
      <c r="Y467" s="26" t="str">
        <f aca="false">IF($A467="","",U467-W467-M467)</f>
        <v/>
      </c>
      <c r="AB467" s="27" t="str">
        <f aca="false">IF($A467="","",IF($AK467=1,'كشف المطالبة'!$D$5,'كشف المطالبة'!$D$6)*100)</f>
        <v/>
      </c>
      <c r="AK467" s="28" t="str">
        <f aca="false">IF($A467="","",IF(OR($Q467=TRUE(),$Q467="TRUE"),1,0))</f>
        <v/>
      </c>
      <c r="AL467" s="28" t="str">
        <f aca="false">IF($N467="","",IF(MATCH($N467,$N$2:$N$3001,0)=ROWS($N$2:$N467),$N467,""))</f>
        <v/>
      </c>
    </row>
    <row r="468" customFormat="false" ht="15" hidden="false" customHeight="false" outlineLevel="0" collapsed="false">
      <c r="E468" s="25"/>
      <c r="M468" s="26" t="str">
        <f aca="false">IF($A468="","",$L468*$U468/100)</f>
        <v/>
      </c>
      <c r="W468" s="26" t="str">
        <f aca="false">IF($A468="","",U468*AB468/100)</f>
        <v/>
      </c>
      <c r="X468" s="26" t="str">
        <f aca="false">IF($A468="","",U468-W468)</f>
        <v/>
      </c>
      <c r="Y468" s="26" t="str">
        <f aca="false">IF($A468="","",U468-W468-M468)</f>
        <v/>
      </c>
      <c r="AB468" s="27" t="str">
        <f aca="false">IF($A468="","",IF($AK468=1,'كشف المطالبة'!$D$5,'كشف المطالبة'!$D$6)*100)</f>
        <v/>
      </c>
      <c r="AK468" s="28" t="str">
        <f aca="false">IF($A468="","",IF(OR($Q468=TRUE(),$Q468="TRUE"),1,0))</f>
        <v/>
      </c>
      <c r="AL468" s="28" t="str">
        <f aca="false">IF($N468="","",IF(MATCH($N468,$N$2:$N$3001,0)=ROWS($N$2:$N468),$N468,""))</f>
        <v/>
      </c>
    </row>
    <row r="469" customFormat="false" ht="15" hidden="false" customHeight="false" outlineLevel="0" collapsed="false">
      <c r="E469" s="25"/>
      <c r="M469" s="26" t="str">
        <f aca="false">IF($A469="","",$L469*$U469/100)</f>
        <v/>
      </c>
      <c r="W469" s="26" t="str">
        <f aca="false">IF($A469="","",U469*AB469/100)</f>
        <v/>
      </c>
      <c r="X469" s="26" t="str">
        <f aca="false">IF($A469="","",U469-W469)</f>
        <v/>
      </c>
      <c r="Y469" s="26" t="str">
        <f aca="false">IF($A469="","",U469-W469-M469)</f>
        <v/>
      </c>
      <c r="AB469" s="27" t="str">
        <f aca="false">IF($A469="","",IF($AK469=1,'كشف المطالبة'!$D$5,'كشف المطالبة'!$D$6)*100)</f>
        <v/>
      </c>
      <c r="AK469" s="28" t="str">
        <f aca="false">IF($A469="","",IF(OR($Q469=TRUE(),$Q469="TRUE"),1,0))</f>
        <v/>
      </c>
      <c r="AL469" s="28" t="str">
        <f aca="false">IF($N469="","",IF(MATCH($N469,$N$2:$N$3001,0)=ROWS($N$2:$N469),$N469,""))</f>
        <v/>
      </c>
    </row>
    <row r="470" customFormat="false" ht="15" hidden="false" customHeight="false" outlineLevel="0" collapsed="false">
      <c r="E470" s="25"/>
      <c r="M470" s="26" t="str">
        <f aca="false">IF($A470="","",$L470*$U470/100)</f>
        <v/>
      </c>
      <c r="W470" s="26" t="str">
        <f aca="false">IF($A470="","",U470*AB470/100)</f>
        <v/>
      </c>
      <c r="X470" s="26" t="str">
        <f aca="false">IF($A470="","",U470-W470)</f>
        <v/>
      </c>
      <c r="Y470" s="26" t="str">
        <f aca="false">IF($A470="","",U470-W470-M470)</f>
        <v/>
      </c>
      <c r="AB470" s="27" t="str">
        <f aca="false">IF($A470="","",IF($AK470=1,'كشف المطالبة'!$D$5,'كشف المطالبة'!$D$6)*100)</f>
        <v/>
      </c>
      <c r="AK470" s="28" t="str">
        <f aca="false">IF($A470="","",IF(OR($Q470=TRUE(),$Q470="TRUE"),1,0))</f>
        <v/>
      </c>
      <c r="AL470" s="28" t="str">
        <f aca="false">IF($N470="","",IF(MATCH($N470,$N$2:$N$3001,0)=ROWS($N$2:$N470),$N470,""))</f>
        <v/>
      </c>
    </row>
    <row r="471" customFormat="false" ht="15" hidden="false" customHeight="false" outlineLevel="0" collapsed="false">
      <c r="E471" s="25"/>
      <c r="M471" s="26" t="str">
        <f aca="false">IF($A471="","",$L471*$U471/100)</f>
        <v/>
      </c>
      <c r="W471" s="26" t="str">
        <f aca="false">IF($A471="","",U471*AB471/100)</f>
        <v/>
      </c>
      <c r="X471" s="26" t="str">
        <f aca="false">IF($A471="","",U471-W471)</f>
        <v/>
      </c>
      <c r="Y471" s="26" t="str">
        <f aca="false">IF($A471="","",U471-W471-M471)</f>
        <v/>
      </c>
      <c r="AB471" s="27" t="str">
        <f aca="false">IF($A471="","",IF($AK471=1,'كشف المطالبة'!$D$5,'كشف المطالبة'!$D$6)*100)</f>
        <v/>
      </c>
      <c r="AK471" s="28" t="str">
        <f aca="false">IF($A471="","",IF(OR($Q471=TRUE(),$Q471="TRUE"),1,0))</f>
        <v/>
      </c>
      <c r="AL471" s="28" t="str">
        <f aca="false">IF($N471="","",IF(MATCH($N471,$N$2:$N$3001,0)=ROWS($N$2:$N471),$N471,""))</f>
        <v/>
      </c>
    </row>
    <row r="472" customFormat="false" ht="15" hidden="false" customHeight="false" outlineLevel="0" collapsed="false">
      <c r="E472" s="25"/>
      <c r="M472" s="26" t="str">
        <f aca="false">IF($A472="","",$L472*$U472/100)</f>
        <v/>
      </c>
      <c r="W472" s="26" t="str">
        <f aca="false">IF($A472="","",U472*AB472/100)</f>
        <v/>
      </c>
      <c r="X472" s="26" t="str">
        <f aca="false">IF($A472="","",U472-W472)</f>
        <v/>
      </c>
      <c r="Y472" s="26" t="str">
        <f aca="false">IF($A472="","",U472-W472-M472)</f>
        <v/>
      </c>
      <c r="AB472" s="27" t="str">
        <f aca="false">IF($A472="","",IF($AK472=1,'كشف المطالبة'!$D$5,'كشف المطالبة'!$D$6)*100)</f>
        <v/>
      </c>
      <c r="AK472" s="28" t="str">
        <f aca="false">IF($A472="","",IF(OR($Q472=TRUE(),$Q472="TRUE"),1,0))</f>
        <v/>
      </c>
      <c r="AL472" s="28" t="str">
        <f aca="false">IF($N472="","",IF(MATCH($N472,$N$2:$N$3001,0)=ROWS($N$2:$N472),$N472,""))</f>
        <v/>
      </c>
    </row>
    <row r="473" customFormat="false" ht="15" hidden="false" customHeight="false" outlineLevel="0" collapsed="false">
      <c r="E473" s="25"/>
      <c r="M473" s="26" t="str">
        <f aca="false">IF($A473="","",$L473*$U473/100)</f>
        <v/>
      </c>
      <c r="W473" s="26" t="str">
        <f aca="false">IF($A473="","",U473*AB473/100)</f>
        <v/>
      </c>
      <c r="X473" s="26" t="str">
        <f aca="false">IF($A473="","",U473-W473)</f>
        <v/>
      </c>
      <c r="Y473" s="26" t="str">
        <f aca="false">IF($A473="","",U473-W473-M473)</f>
        <v/>
      </c>
      <c r="AB473" s="27" t="str">
        <f aca="false">IF($A473="","",IF($AK473=1,'كشف المطالبة'!$D$5,'كشف المطالبة'!$D$6)*100)</f>
        <v/>
      </c>
      <c r="AK473" s="28" t="str">
        <f aca="false">IF($A473="","",IF(OR($Q473=TRUE(),$Q473="TRUE"),1,0))</f>
        <v/>
      </c>
      <c r="AL473" s="28" t="str">
        <f aca="false">IF($N473="","",IF(MATCH($N473,$N$2:$N$3001,0)=ROWS($N$2:$N473),$N473,""))</f>
        <v/>
      </c>
    </row>
    <row r="474" customFormat="false" ht="15" hidden="false" customHeight="false" outlineLevel="0" collapsed="false">
      <c r="E474" s="25"/>
      <c r="M474" s="26" t="str">
        <f aca="false">IF($A474="","",$L474*$U474/100)</f>
        <v/>
      </c>
      <c r="W474" s="26" t="str">
        <f aca="false">IF($A474="","",U474*AB474/100)</f>
        <v/>
      </c>
      <c r="X474" s="26" t="str">
        <f aca="false">IF($A474="","",U474-W474)</f>
        <v/>
      </c>
      <c r="Y474" s="26" t="str">
        <f aca="false">IF($A474="","",U474-W474-M474)</f>
        <v/>
      </c>
      <c r="AB474" s="27" t="str">
        <f aca="false">IF($A474="","",IF($AK474=1,'كشف المطالبة'!$D$5,'كشف المطالبة'!$D$6)*100)</f>
        <v/>
      </c>
      <c r="AK474" s="28" t="str">
        <f aca="false">IF($A474="","",IF(OR($Q474=TRUE(),$Q474="TRUE"),1,0))</f>
        <v/>
      </c>
      <c r="AL474" s="28" t="str">
        <f aca="false">IF($N474="","",IF(MATCH($N474,$N$2:$N$3001,0)=ROWS($N$2:$N474),$N474,""))</f>
        <v/>
      </c>
    </row>
    <row r="475" customFormat="false" ht="15" hidden="false" customHeight="false" outlineLevel="0" collapsed="false">
      <c r="E475" s="25"/>
      <c r="M475" s="26" t="str">
        <f aca="false">IF($A475="","",$L475*$U475/100)</f>
        <v/>
      </c>
      <c r="W475" s="26" t="str">
        <f aca="false">IF($A475="","",U475*AB475/100)</f>
        <v/>
      </c>
      <c r="X475" s="26" t="str">
        <f aca="false">IF($A475="","",U475-W475)</f>
        <v/>
      </c>
      <c r="Y475" s="26" t="str">
        <f aca="false">IF($A475="","",U475-W475-M475)</f>
        <v/>
      </c>
      <c r="AB475" s="27" t="str">
        <f aca="false">IF($A475="","",IF($AK475=1,'كشف المطالبة'!$D$5,'كشف المطالبة'!$D$6)*100)</f>
        <v/>
      </c>
      <c r="AK475" s="28" t="str">
        <f aca="false">IF($A475="","",IF(OR($Q475=TRUE(),$Q475="TRUE"),1,0))</f>
        <v/>
      </c>
      <c r="AL475" s="28" t="str">
        <f aca="false">IF($N475="","",IF(MATCH($N475,$N$2:$N$3001,0)=ROWS($N$2:$N475),$N475,""))</f>
        <v/>
      </c>
    </row>
    <row r="476" customFormat="false" ht="15" hidden="false" customHeight="false" outlineLevel="0" collapsed="false">
      <c r="E476" s="25"/>
      <c r="M476" s="26" t="str">
        <f aca="false">IF($A476="","",$L476*$U476/100)</f>
        <v/>
      </c>
      <c r="W476" s="26" t="str">
        <f aca="false">IF($A476="","",U476*AB476/100)</f>
        <v/>
      </c>
      <c r="X476" s="26" t="str">
        <f aca="false">IF($A476="","",U476-W476)</f>
        <v/>
      </c>
      <c r="Y476" s="26" t="str">
        <f aca="false">IF($A476="","",U476-W476-M476)</f>
        <v/>
      </c>
      <c r="AB476" s="27" t="str">
        <f aca="false">IF($A476="","",IF($AK476=1,'كشف المطالبة'!$D$5,'كشف المطالبة'!$D$6)*100)</f>
        <v/>
      </c>
      <c r="AK476" s="28" t="str">
        <f aca="false">IF($A476="","",IF(OR($Q476=TRUE(),$Q476="TRUE"),1,0))</f>
        <v/>
      </c>
      <c r="AL476" s="28" t="str">
        <f aca="false">IF($N476="","",IF(MATCH($N476,$N$2:$N$3001,0)=ROWS($N$2:$N476),$N476,""))</f>
        <v/>
      </c>
    </row>
    <row r="477" customFormat="false" ht="15" hidden="false" customHeight="false" outlineLevel="0" collapsed="false">
      <c r="E477" s="25"/>
      <c r="M477" s="26" t="str">
        <f aca="false">IF($A477="","",$L477*$U477/100)</f>
        <v/>
      </c>
      <c r="W477" s="26" t="str">
        <f aca="false">IF($A477="","",U477*AB477/100)</f>
        <v/>
      </c>
      <c r="X477" s="26" t="str">
        <f aca="false">IF($A477="","",U477-W477)</f>
        <v/>
      </c>
      <c r="Y477" s="26" t="str">
        <f aca="false">IF($A477="","",U477-W477-M477)</f>
        <v/>
      </c>
      <c r="AB477" s="27" t="str">
        <f aca="false">IF($A477="","",IF($AK477=1,'كشف المطالبة'!$D$5,'كشف المطالبة'!$D$6)*100)</f>
        <v/>
      </c>
      <c r="AK477" s="28" t="str">
        <f aca="false">IF($A477="","",IF(OR($Q477=TRUE(),$Q477="TRUE"),1,0))</f>
        <v/>
      </c>
      <c r="AL477" s="28" t="str">
        <f aca="false">IF($N477="","",IF(MATCH($N477,$N$2:$N$3001,0)=ROWS($N$2:$N477),$N477,""))</f>
        <v/>
      </c>
    </row>
    <row r="478" customFormat="false" ht="15" hidden="false" customHeight="false" outlineLevel="0" collapsed="false">
      <c r="E478" s="25"/>
      <c r="M478" s="26" t="str">
        <f aca="false">IF($A478="","",$L478*$U478/100)</f>
        <v/>
      </c>
      <c r="W478" s="26" t="str">
        <f aca="false">IF($A478="","",U478*AB478/100)</f>
        <v/>
      </c>
      <c r="X478" s="26" t="str">
        <f aca="false">IF($A478="","",U478-W478)</f>
        <v/>
      </c>
      <c r="Y478" s="26" t="str">
        <f aca="false">IF($A478="","",U478-W478-M478)</f>
        <v/>
      </c>
      <c r="AB478" s="27" t="str">
        <f aca="false">IF($A478="","",IF($AK478=1,'كشف المطالبة'!$D$5,'كشف المطالبة'!$D$6)*100)</f>
        <v/>
      </c>
      <c r="AK478" s="28" t="str">
        <f aca="false">IF($A478="","",IF(OR($Q478=TRUE(),$Q478="TRUE"),1,0))</f>
        <v/>
      </c>
      <c r="AL478" s="28" t="str">
        <f aca="false">IF($N478="","",IF(MATCH($N478,$N$2:$N$3001,0)=ROWS($N$2:$N478),$N478,""))</f>
        <v/>
      </c>
    </row>
    <row r="479" customFormat="false" ht="15" hidden="false" customHeight="false" outlineLevel="0" collapsed="false">
      <c r="E479" s="25"/>
      <c r="M479" s="26" t="str">
        <f aca="false">IF($A479="","",$L479*$U479/100)</f>
        <v/>
      </c>
      <c r="W479" s="26" t="str">
        <f aca="false">IF($A479="","",U479*AB479/100)</f>
        <v/>
      </c>
      <c r="X479" s="26" t="str">
        <f aca="false">IF($A479="","",U479-W479)</f>
        <v/>
      </c>
      <c r="Y479" s="26" t="str">
        <f aca="false">IF($A479="","",U479-W479-M479)</f>
        <v/>
      </c>
      <c r="AB479" s="27" t="str">
        <f aca="false">IF($A479="","",IF($AK479=1,'كشف المطالبة'!$D$5,'كشف المطالبة'!$D$6)*100)</f>
        <v/>
      </c>
      <c r="AK479" s="28" t="str">
        <f aca="false">IF($A479="","",IF(OR($Q479=TRUE(),$Q479="TRUE"),1,0))</f>
        <v/>
      </c>
      <c r="AL479" s="28" t="str">
        <f aca="false">IF($N479="","",IF(MATCH($N479,$N$2:$N$3001,0)=ROWS($N$2:$N479),$N479,""))</f>
        <v/>
      </c>
    </row>
    <row r="480" customFormat="false" ht="15" hidden="false" customHeight="false" outlineLevel="0" collapsed="false">
      <c r="E480" s="25"/>
      <c r="M480" s="26" t="str">
        <f aca="false">IF($A480="","",$L480*$U480/100)</f>
        <v/>
      </c>
      <c r="W480" s="26" t="str">
        <f aca="false">IF($A480="","",U480*AB480/100)</f>
        <v/>
      </c>
      <c r="X480" s="26" t="str">
        <f aca="false">IF($A480="","",U480-W480)</f>
        <v/>
      </c>
      <c r="Y480" s="26" t="str">
        <f aca="false">IF($A480="","",U480-W480-M480)</f>
        <v/>
      </c>
      <c r="AB480" s="27" t="str">
        <f aca="false">IF($A480="","",IF($AK480=1,'كشف المطالبة'!$D$5,'كشف المطالبة'!$D$6)*100)</f>
        <v/>
      </c>
      <c r="AK480" s="28" t="str">
        <f aca="false">IF($A480="","",IF(OR($Q480=TRUE(),$Q480="TRUE"),1,0))</f>
        <v/>
      </c>
      <c r="AL480" s="28" t="str">
        <f aca="false">IF($N480="","",IF(MATCH($N480,$N$2:$N$3001,0)=ROWS($N$2:$N480),$N480,""))</f>
        <v/>
      </c>
    </row>
    <row r="481" customFormat="false" ht="15" hidden="false" customHeight="false" outlineLevel="0" collapsed="false">
      <c r="E481" s="25"/>
      <c r="M481" s="26" t="str">
        <f aca="false">IF($A481="","",$L481*$U481/100)</f>
        <v/>
      </c>
      <c r="W481" s="26" t="str">
        <f aca="false">IF($A481="","",U481*AB481/100)</f>
        <v/>
      </c>
      <c r="X481" s="26" t="str">
        <f aca="false">IF($A481="","",U481-W481)</f>
        <v/>
      </c>
      <c r="Y481" s="26" t="str">
        <f aca="false">IF($A481="","",U481-W481-M481)</f>
        <v/>
      </c>
      <c r="AB481" s="27" t="str">
        <f aca="false">IF($A481="","",IF($AK481=1,'كشف المطالبة'!$D$5,'كشف المطالبة'!$D$6)*100)</f>
        <v/>
      </c>
      <c r="AK481" s="28" t="str">
        <f aca="false">IF($A481="","",IF(OR($Q481=TRUE(),$Q481="TRUE"),1,0))</f>
        <v/>
      </c>
      <c r="AL481" s="28" t="str">
        <f aca="false">IF($N481="","",IF(MATCH($N481,$N$2:$N$3001,0)=ROWS($N$2:$N481),$N481,""))</f>
        <v/>
      </c>
    </row>
    <row r="482" customFormat="false" ht="15" hidden="false" customHeight="false" outlineLevel="0" collapsed="false">
      <c r="E482" s="25"/>
      <c r="M482" s="26" t="str">
        <f aca="false">IF($A482="","",$L482*$U482/100)</f>
        <v/>
      </c>
      <c r="W482" s="26" t="str">
        <f aca="false">IF($A482="","",U482*AB482/100)</f>
        <v/>
      </c>
      <c r="X482" s="26" t="str">
        <f aca="false">IF($A482="","",U482-W482)</f>
        <v/>
      </c>
      <c r="Y482" s="26" t="str">
        <f aca="false">IF($A482="","",U482-W482-M482)</f>
        <v/>
      </c>
      <c r="AB482" s="27" t="str">
        <f aca="false">IF($A482="","",IF($AK482=1,'كشف المطالبة'!$D$5,'كشف المطالبة'!$D$6)*100)</f>
        <v/>
      </c>
      <c r="AK482" s="28" t="str">
        <f aca="false">IF($A482="","",IF(OR($Q482=TRUE(),$Q482="TRUE"),1,0))</f>
        <v/>
      </c>
      <c r="AL482" s="28" t="str">
        <f aca="false">IF($N482="","",IF(MATCH($N482,$N$2:$N$3001,0)=ROWS($N$2:$N482),$N482,""))</f>
        <v/>
      </c>
    </row>
    <row r="483" customFormat="false" ht="15" hidden="false" customHeight="false" outlineLevel="0" collapsed="false">
      <c r="E483" s="25"/>
      <c r="M483" s="26" t="str">
        <f aca="false">IF($A483="","",$L483*$U483/100)</f>
        <v/>
      </c>
      <c r="W483" s="26" t="str">
        <f aca="false">IF($A483="","",U483*AB483/100)</f>
        <v/>
      </c>
      <c r="X483" s="26" t="str">
        <f aca="false">IF($A483="","",U483-W483)</f>
        <v/>
      </c>
      <c r="Y483" s="26" t="str">
        <f aca="false">IF($A483="","",U483-W483-M483)</f>
        <v/>
      </c>
      <c r="AB483" s="27" t="str">
        <f aca="false">IF($A483="","",IF($AK483=1,'كشف المطالبة'!$D$5,'كشف المطالبة'!$D$6)*100)</f>
        <v/>
      </c>
      <c r="AK483" s="28" t="str">
        <f aca="false">IF($A483="","",IF(OR($Q483=TRUE(),$Q483="TRUE"),1,0))</f>
        <v/>
      </c>
      <c r="AL483" s="28" t="str">
        <f aca="false">IF($N483="","",IF(MATCH($N483,$N$2:$N$3001,0)=ROWS($N$2:$N483),$N483,""))</f>
        <v/>
      </c>
    </row>
    <row r="484" customFormat="false" ht="15" hidden="false" customHeight="false" outlineLevel="0" collapsed="false">
      <c r="E484" s="25"/>
      <c r="M484" s="26" t="str">
        <f aca="false">IF($A484="","",$L484*$U484/100)</f>
        <v/>
      </c>
      <c r="W484" s="26" t="str">
        <f aca="false">IF($A484="","",U484*AB484/100)</f>
        <v/>
      </c>
      <c r="X484" s="26" t="str">
        <f aca="false">IF($A484="","",U484-W484)</f>
        <v/>
      </c>
      <c r="Y484" s="26" t="str">
        <f aca="false">IF($A484="","",U484-W484-M484)</f>
        <v/>
      </c>
      <c r="AB484" s="27" t="str">
        <f aca="false">IF($A484="","",IF($AK484=1,'كشف المطالبة'!$D$5,'كشف المطالبة'!$D$6)*100)</f>
        <v/>
      </c>
      <c r="AK484" s="28" t="str">
        <f aca="false">IF($A484="","",IF(OR($Q484=TRUE(),$Q484="TRUE"),1,0))</f>
        <v/>
      </c>
      <c r="AL484" s="28" t="str">
        <f aca="false">IF($N484="","",IF(MATCH($N484,$N$2:$N$3001,0)=ROWS($N$2:$N484),$N484,""))</f>
        <v/>
      </c>
    </row>
    <row r="485" customFormat="false" ht="15" hidden="false" customHeight="false" outlineLevel="0" collapsed="false">
      <c r="E485" s="25"/>
      <c r="M485" s="26" t="str">
        <f aca="false">IF($A485="","",$L485*$U485/100)</f>
        <v/>
      </c>
      <c r="W485" s="26" t="str">
        <f aca="false">IF($A485="","",U485*AB485/100)</f>
        <v/>
      </c>
      <c r="X485" s="26" t="str">
        <f aca="false">IF($A485="","",U485-W485)</f>
        <v/>
      </c>
      <c r="Y485" s="26" t="str">
        <f aca="false">IF($A485="","",U485-W485-M485)</f>
        <v/>
      </c>
      <c r="AB485" s="27" t="str">
        <f aca="false">IF($A485="","",IF($AK485=1,'كشف المطالبة'!$D$5,'كشف المطالبة'!$D$6)*100)</f>
        <v/>
      </c>
      <c r="AK485" s="28" t="str">
        <f aca="false">IF($A485="","",IF(OR($Q485=TRUE(),$Q485="TRUE"),1,0))</f>
        <v/>
      </c>
      <c r="AL485" s="28" t="str">
        <f aca="false">IF($N485="","",IF(MATCH($N485,$N$2:$N$3001,0)=ROWS($N$2:$N485),$N485,""))</f>
        <v/>
      </c>
    </row>
    <row r="486" customFormat="false" ht="15" hidden="false" customHeight="false" outlineLevel="0" collapsed="false">
      <c r="E486" s="25"/>
      <c r="M486" s="26" t="str">
        <f aca="false">IF($A486="","",$L486*$U486/100)</f>
        <v/>
      </c>
      <c r="W486" s="26" t="str">
        <f aca="false">IF($A486="","",U486*AB486/100)</f>
        <v/>
      </c>
      <c r="X486" s="26" t="str">
        <f aca="false">IF($A486="","",U486-W486)</f>
        <v/>
      </c>
      <c r="Y486" s="26" t="str">
        <f aca="false">IF($A486="","",U486-W486-M486)</f>
        <v/>
      </c>
      <c r="AB486" s="27" t="str">
        <f aca="false">IF($A486="","",IF($AK486=1,'كشف المطالبة'!$D$5,'كشف المطالبة'!$D$6)*100)</f>
        <v/>
      </c>
      <c r="AK486" s="28" t="str">
        <f aca="false">IF($A486="","",IF(OR($Q486=TRUE(),$Q486="TRUE"),1,0))</f>
        <v/>
      </c>
      <c r="AL486" s="28" t="str">
        <f aca="false">IF($N486="","",IF(MATCH($N486,$N$2:$N$3001,0)=ROWS($N$2:$N486),$N486,""))</f>
        <v/>
      </c>
    </row>
    <row r="487" customFormat="false" ht="15" hidden="false" customHeight="false" outlineLevel="0" collapsed="false">
      <c r="E487" s="25"/>
      <c r="M487" s="26" t="str">
        <f aca="false">IF($A487="","",$L487*$U487/100)</f>
        <v/>
      </c>
      <c r="W487" s="26" t="str">
        <f aca="false">IF($A487="","",U487*AB487/100)</f>
        <v/>
      </c>
      <c r="X487" s="26" t="str">
        <f aca="false">IF($A487="","",U487-W487)</f>
        <v/>
      </c>
      <c r="Y487" s="26" t="str">
        <f aca="false">IF($A487="","",U487-W487-M487)</f>
        <v/>
      </c>
      <c r="AB487" s="27" t="str">
        <f aca="false">IF($A487="","",IF($AK487=1,'كشف المطالبة'!$D$5,'كشف المطالبة'!$D$6)*100)</f>
        <v/>
      </c>
      <c r="AK487" s="28" t="str">
        <f aca="false">IF($A487="","",IF(OR($Q487=TRUE(),$Q487="TRUE"),1,0))</f>
        <v/>
      </c>
      <c r="AL487" s="28" t="str">
        <f aca="false">IF($N487="","",IF(MATCH($N487,$N$2:$N$3001,0)=ROWS($N$2:$N487),$N487,""))</f>
        <v/>
      </c>
    </row>
    <row r="488" customFormat="false" ht="15" hidden="false" customHeight="false" outlineLevel="0" collapsed="false">
      <c r="E488" s="25"/>
      <c r="M488" s="26" t="str">
        <f aca="false">IF($A488="","",$L488*$U488/100)</f>
        <v/>
      </c>
      <c r="W488" s="26" t="str">
        <f aca="false">IF($A488="","",U488*AB488/100)</f>
        <v/>
      </c>
      <c r="X488" s="26" t="str">
        <f aca="false">IF($A488="","",U488-W488)</f>
        <v/>
      </c>
      <c r="Y488" s="26" t="str">
        <f aca="false">IF($A488="","",U488-W488-M488)</f>
        <v/>
      </c>
      <c r="AB488" s="27" t="str">
        <f aca="false">IF($A488="","",IF($AK488=1,'كشف المطالبة'!$D$5,'كشف المطالبة'!$D$6)*100)</f>
        <v/>
      </c>
      <c r="AK488" s="28" t="str">
        <f aca="false">IF($A488="","",IF(OR($Q488=TRUE(),$Q488="TRUE"),1,0))</f>
        <v/>
      </c>
      <c r="AL488" s="28" t="str">
        <f aca="false">IF($N488="","",IF(MATCH($N488,$N$2:$N$3001,0)=ROWS($N$2:$N488),$N488,""))</f>
        <v/>
      </c>
    </row>
    <row r="489" customFormat="false" ht="15" hidden="false" customHeight="false" outlineLevel="0" collapsed="false">
      <c r="E489" s="25"/>
      <c r="M489" s="26" t="str">
        <f aca="false">IF($A489="","",$L489*$U489/100)</f>
        <v/>
      </c>
      <c r="W489" s="26" t="str">
        <f aca="false">IF($A489="","",U489*AB489/100)</f>
        <v/>
      </c>
      <c r="X489" s="26" t="str">
        <f aca="false">IF($A489="","",U489-W489)</f>
        <v/>
      </c>
      <c r="Y489" s="26" t="str">
        <f aca="false">IF($A489="","",U489-W489-M489)</f>
        <v/>
      </c>
      <c r="AB489" s="27" t="str">
        <f aca="false">IF($A489="","",IF($AK489=1,'كشف المطالبة'!$D$5,'كشف المطالبة'!$D$6)*100)</f>
        <v/>
      </c>
      <c r="AK489" s="28" t="str">
        <f aca="false">IF($A489="","",IF(OR($Q489=TRUE(),$Q489="TRUE"),1,0))</f>
        <v/>
      </c>
      <c r="AL489" s="28" t="str">
        <f aca="false">IF($N489="","",IF(MATCH($N489,$N$2:$N$3001,0)=ROWS($N$2:$N489),$N489,""))</f>
        <v/>
      </c>
    </row>
    <row r="490" customFormat="false" ht="15" hidden="false" customHeight="false" outlineLevel="0" collapsed="false">
      <c r="E490" s="25"/>
      <c r="M490" s="26" t="str">
        <f aca="false">IF($A490="","",$L490*$U490/100)</f>
        <v/>
      </c>
      <c r="W490" s="26" t="str">
        <f aca="false">IF($A490="","",U490*AB490/100)</f>
        <v/>
      </c>
      <c r="X490" s="26" t="str">
        <f aca="false">IF($A490="","",U490-W490)</f>
        <v/>
      </c>
      <c r="Y490" s="26" t="str">
        <f aca="false">IF($A490="","",U490-W490-M490)</f>
        <v/>
      </c>
      <c r="AB490" s="27" t="str">
        <f aca="false">IF($A490="","",IF($AK490=1,'كشف المطالبة'!$D$5,'كشف المطالبة'!$D$6)*100)</f>
        <v/>
      </c>
      <c r="AK490" s="28" t="str">
        <f aca="false">IF($A490="","",IF(OR($Q490=TRUE(),$Q490="TRUE"),1,0))</f>
        <v/>
      </c>
      <c r="AL490" s="28" t="str">
        <f aca="false">IF($N490="","",IF(MATCH($N490,$N$2:$N$3001,0)=ROWS($N$2:$N490),$N490,""))</f>
        <v/>
      </c>
    </row>
    <row r="491" customFormat="false" ht="15" hidden="false" customHeight="false" outlineLevel="0" collapsed="false">
      <c r="E491" s="25"/>
      <c r="M491" s="26" t="str">
        <f aca="false">IF($A491="","",$L491*$U491/100)</f>
        <v/>
      </c>
      <c r="W491" s="26" t="str">
        <f aca="false">IF($A491="","",U491*AB491/100)</f>
        <v/>
      </c>
      <c r="X491" s="26" t="str">
        <f aca="false">IF($A491="","",U491-W491)</f>
        <v/>
      </c>
      <c r="Y491" s="26" t="str">
        <f aca="false">IF($A491="","",U491-W491-M491)</f>
        <v/>
      </c>
      <c r="AB491" s="27" t="str">
        <f aca="false">IF($A491="","",IF($AK491=1,'كشف المطالبة'!$D$5,'كشف المطالبة'!$D$6)*100)</f>
        <v/>
      </c>
      <c r="AK491" s="28" t="str">
        <f aca="false">IF($A491="","",IF(OR($Q491=TRUE(),$Q491="TRUE"),1,0))</f>
        <v/>
      </c>
      <c r="AL491" s="28" t="str">
        <f aca="false">IF($N491="","",IF(MATCH($N491,$N$2:$N$3001,0)=ROWS($N$2:$N491),$N491,""))</f>
        <v/>
      </c>
    </row>
    <row r="492" customFormat="false" ht="15" hidden="false" customHeight="false" outlineLevel="0" collapsed="false">
      <c r="E492" s="25"/>
      <c r="M492" s="26" t="str">
        <f aca="false">IF($A492="","",$L492*$U492/100)</f>
        <v/>
      </c>
      <c r="W492" s="26" t="str">
        <f aca="false">IF($A492="","",U492*AB492/100)</f>
        <v/>
      </c>
      <c r="X492" s="26" t="str">
        <f aca="false">IF($A492="","",U492-W492)</f>
        <v/>
      </c>
      <c r="Y492" s="26" t="str">
        <f aca="false">IF($A492="","",U492-W492-M492)</f>
        <v/>
      </c>
      <c r="AB492" s="27" t="str">
        <f aca="false">IF($A492="","",IF($AK492=1,'كشف المطالبة'!$D$5,'كشف المطالبة'!$D$6)*100)</f>
        <v/>
      </c>
      <c r="AK492" s="28" t="str">
        <f aca="false">IF($A492="","",IF(OR($Q492=TRUE(),$Q492="TRUE"),1,0))</f>
        <v/>
      </c>
      <c r="AL492" s="28" t="str">
        <f aca="false">IF($N492="","",IF(MATCH($N492,$N$2:$N$3001,0)=ROWS($N$2:$N492),$N492,""))</f>
        <v/>
      </c>
    </row>
    <row r="493" customFormat="false" ht="15" hidden="false" customHeight="false" outlineLevel="0" collapsed="false">
      <c r="E493" s="25"/>
      <c r="M493" s="26" t="str">
        <f aca="false">IF($A493="","",$L493*$U493/100)</f>
        <v/>
      </c>
      <c r="W493" s="26" t="str">
        <f aca="false">IF($A493="","",U493*AB493/100)</f>
        <v/>
      </c>
      <c r="X493" s="26" t="str">
        <f aca="false">IF($A493="","",U493-W493)</f>
        <v/>
      </c>
      <c r="Y493" s="26" t="str">
        <f aca="false">IF($A493="","",U493-W493-M493)</f>
        <v/>
      </c>
      <c r="AB493" s="27" t="str">
        <f aca="false">IF($A493="","",IF($AK493=1,'كشف المطالبة'!$D$5,'كشف المطالبة'!$D$6)*100)</f>
        <v/>
      </c>
      <c r="AK493" s="28" t="str">
        <f aca="false">IF($A493="","",IF(OR($Q493=TRUE(),$Q493="TRUE"),1,0))</f>
        <v/>
      </c>
      <c r="AL493" s="28" t="str">
        <f aca="false">IF($N493="","",IF(MATCH($N493,$N$2:$N$3001,0)=ROWS($N$2:$N493),$N493,""))</f>
        <v/>
      </c>
    </row>
    <row r="494" customFormat="false" ht="15" hidden="false" customHeight="false" outlineLevel="0" collapsed="false">
      <c r="E494" s="25"/>
      <c r="M494" s="26" t="str">
        <f aca="false">IF($A494="","",$L494*$U494/100)</f>
        <v/>
      </c>
      <c r="W494" s="26" t="str">
        <f aca="false">IF($A494="","",U494*AB494/100)</f>
        <v/>
      </c>
      <c r="X494" s="26" t="str">
        <f aca="false">IF($A494="","",U494-W494)</f>
        <v/>
      </c>
      <c r="Y494" s="26" t="str">
        <f aca="false">IF($A494="","",U494-W494-M494)</f>
        <v/>
      </c>
      <c r="AB494" s="27" t="str">
        <f aca="false">IF($A494="","",IF($AK494=1,'كشف المطالبة'!$D$5,'كشف المطالبة'!$D$6)*100)</f>
        <v/>
      </c>
      <c r="AK494" s="28" t="str">
        <f aca="false">IF($A494="","",IF(OR($Q494=TRUE(),$Q494="TRUE"),1,0))</f>
        <v/>
      </c>
      <c r="AL494" s="28" t="str">
        <f aca="false">IF($N494="","",IF(MATCH($N494,$N$2:$N$3001,0)=ROWS($N$2:$N494),$N494,""))</f>
        <v/>
      </c>
    </row>
    <row r="495" customFormat="false" ht="15" hidden="false" customHeight="false" outlineLevel="0" collapsed="false">
      <c r="E495" s="25"/>
      <c r="M495" s="26" t="str">
        <f aca="false">IF($A495="","",$L495*$U495/100)</f>
        <v/>
      </c>
      <c r="W495" s="26" t="str">
        <f aca="false">IF($A495="","",U495*AB495/100)</f>
        <v/>
      </c>
      <c r="X495" s="26" t="str">
        <f aca="false">IF($A495="","",U495-W495)</f>
        <v/>
      </c>
      <c r="Y495" s="26" t="str">
        <f aca="false">IF($A495="","",U495-W495-M495)</f>
        <v/>
      </c>
      <c r="AB495" s="27" t="str">
        <f aca="false">IF($A495="","",IF($AK495=1,'كشف المطالبة'!$D$5,'كشف المطالبة'!$D$6)*100)</f>
        <v/>
      </c>
      <c r="AK495" s="28" t="str">
        <f aca="false">IF($A495="","",IF(OR($Q495=TRUE(),$Q495="TRUE"),1,0))</f>
        <v/>
      </c>
      <c r="AL495" s="28" t="str">
        <f aca="false">IF($N495="","",IF(MATCH($N495,$N$2:$N$3001,0)=ROWS($N$2:$N495),$N495,""))</f>
        <v/>
      </c>
    </row>
    <row r="496" customFormat="false" ht="15" hidden="false" customHeight="false" outlineLevel="0" collapsed="false">
      <c r="E496" s="25"/>
      <c r="M496" s="26" t="str">
        <f aca="false">IF($A496="","",$L496*$U496/100)</f>
        <v/>
      </c>
      <c r="W496" s="26" t="str">
        <f aca="false">IF($A496="","",U496*AB496/100)</f>
        <v/>
      </c>
      <c r="X496" s="26" t="str">
        <f aca="false">IF($A496="","",U496-W496)</f>
        <v/>
      </c>
      <c r="Y496" s="26" t="str">
        <f aca="false">IF($A496="","",U496-W496-M496)</f>
        <v/>
      </c>
      <c r="AB496" s="27" t="str">
        <f aca="false">IF($A496="","",IF($AK496=1,'كشف المطالبة'!$D$5,'كشف المطالبة'!$D$6)*100)</f>
        <v/>
      </c>
      <c r="AK496" s="28" t="str">
        <f aca="false">IF($A496="","",IF(OR($Q496=TRUE(),$Q496="TRUE"),1,0))</f>
        <v/>
      </c>
      <c r="AL496" s="28" t="str">
        <f aca="false">IF($N496="","",IF(MATCH($N496,$N$2:$N$3001,0)=ROWS($N$2:$N496),$N496,""))</f>
        <v/>
      </c>
    </row>
    <row r="497" customFormat="false" ht="15" hidden="false" customHeight="false" outlineLevel="0" collapsed="false">
      <c r="E497" s="25"/>
      <c r="M497" s="26" t="str">
        <f aca="false">IF($A497="","",$L497*$U497/100)</f>
        <v/>
      </c>
      <c r="W497" s="26" t="str">
        <f aca="false">IF($A497="","",U497*AB497/100)</f>
        <v/>
      </c>
      <c r="X497" s="26" t="str">
        <f aca="false">IF($A497="","",U497-W497)</f>
        <v/>
      </c>
      <c r="Y497" s="26" t="str">
        <f aca="false">IF($A497="","",U497-W497-M497)</f>
        <v/>
      </c>
      <c r="AB497" s="27" t="str">
        <f aca="false">IF($A497="","",IF($AK497=1,'كشف المطالبة'!$D$5,'كشف المطالبة'!$D$6)*100)</f>
        <v/>
      </c>
      <c r="AK497" s="28" t="str">
        <f aca="false">IF($A497="","",IF(OR($Q497=TRUE(),$Q497="TRUE"),1,0))</f>
        <v/>
      </c>
      <c r="AL497" s="28" t="str">
        <f aca="false">IF($N497="","",IF(MATCH($N497,$N$2:$N$3001,0)=ROWS($N$2:$N497),$N497,""))</f>
        <v/>
      </c>
    </row>
    <row r="498" customFormat="false" ht="15" hidden="false" customHeight="false" outlineLevel="0" collapsed="false">
      <c r="E498" s="25"/>
      <c r="M498" s="26" t="str">
        <f aca="false">IF($A498="","",$L498*$U498/100)</f>
        <v/>
      </c>
      <c r="W498" s="26" t="str">
        <f aca="false">IF($A498="","",U498*AB498/100)</f>
        <v/>
      </c>
      <c r="X498" s="26" t="str">
        <f aca="false">IF($A498="","",U498-W498)</f>
        <v/>
      </c>
      <c r="Y498" s="26" t="str">
        <f aca="false">IF($A498="","",U498-W498-M498)</f>
        <v/>
      </c>
      <c r="AB498" s="27" t="str">
        <f aca="false">IF($A498="","",IF($AK498=1,'كشف المطالبة'!$D$5,'كشف المطالبة'!$D$6)*100)</f>
        <v/>
      </c>
      <c r="AK498" s="28" t="str">
        <f aca="false">IF($A498="","",IF(OR($Q498=TRUE(),$Q498="TRUE"),1,0))</f>
        <v/>
      </c>
      <c r="AL498" s="28" t="str">
        <f aca="false">IF($N498="","",IF(MATCH($N498,$N$2:$N$3001,0)=ROWS($N$2:$N498),$N498,""))</f>
        <v/>
      </c>
    </row>
    <row r="499" customFormat="false" ht="15" hidden="false" customHeight="false" outlineLevel="0" collapsed="false">
      <c r="E499" s="25"/>
      <c r="M499" s="26" t="str">
        <f aca="false">IF($A499="","",$L499*$U499/100)</f>
        <v/>
      </c>
      <c r="W499" s="26" t="str">
        <f aca="false">IF($A499="","",U499*AB499/100)</f>
        <v/>
      </c>
      <c r="X499" s="26" t="str">
        <f aca="false">IF($A499="","",U499-W499)</f>
        <v/>
      </c>
      <c r="Y499" s="26" t="str">
        <f aca="false">IF($A499="","",U499-W499-M499)</f>
        <v/>
      </c>
      <c r="AB499" s="27" t="str">
        <f aca="false">IF($A499="","",IF($AK499=1,'كشف المطالبة'!$D$5,'كشف المطالبة'!$D$6)*100)</f>
        <v/>
      </c>
      <c r="AK499" s="28" t="str">
        <f aca="false">IF($A499="","",IF(OR($Q499=TRUE(),$Q499="TRUE"),1,0))</f>
        <v/>
      </c>
      <c r="AL499" s="28" t="str">
        <f aca="false">IF($N499="","",IF(MATCH($N499,$N$2:$N$3001,0)=ROWS($N$2:$N499),$N499,""))</f>
        <v/>
      </c>
    </row>
    <row r="500" customFormat="false" ht="15" hidden="false" customHeight="false" outlineLevel="0" collapsed="false">
      <c r="E500" s="25"/>
      <c r="M500" s="26" t="str">
        <f aca="false">IF($A500="","",$L500*$U500/100)</f>
        <v/>
      </c>
      <c r="W500" s="26" t="str">
        <f aca="false">IF($A500="","",U500*AB500/100)</f>
        <v/>
      </c>
      <c r="X500" s="26" t="str">
        <f aca="false">IF($A500="","",U500-W500)</f>
        <v/>
      </c>
      <c r="Y500" s="26" t="str">
        <f aca="false">IF($A500="","",U500-W500-M500)</f>
        <v/>
      </c>
      <c r="AB500" s="27" t="str">
        <f aca="false">IF($A500="","",IF($AK500=1,'كشف المطالبة'!$D$5,'كشف المطالبة'!$D$6)*100)</f>
        <v/>
      </c>
      <c r="AK500" s="28" t="str">
        <f aca="false">IF($A500="","",IF(OR($Q500=TRUE(),$Q500="TRUE"),1,0))</f>
        <v/>
      </c>
      <c r="AL500" s="28" t="str">
        <f aca="false">IF($N500="","",IF(MATCH($N500,$N$2:$N$3001,0)=ROWS($N$2:$N500),$N500,""))</f>
        <v/>
      </c>
    </row>
    <row r="501" customFormat="false" ht="15" hidden="false" customHeight="false" outlineLevel="0" collapsed="false">
      <c r="E501" s="25"/>
      <c r="M501" s="26" t="str">
        <f aca="false">IF($A501="","",$L501*$U501/100)</f>
        <v/>
      </c>
      <c r="W501" s="26" t="str">
        <f aca="false">IF($A501="","",U501*AB501/100)</f>
        <v/>
      </c>
      <c r="X501" s="26" t="str">
        <f aca="false">IF($A501="","",U501-W501)</f>
        <v/>
      </c>
      <c r="Y501" s="26" t="str">
        <f aca="false">IF($A501="","",U501-W501-M501)</f>
        <v/>
      </c>
      <c r="AB501" s="27" t="str">
        <f aca="false">IF($A501="","",IF($AK501=1,'كشف المطالبة'!$D$5,'كشف المطالبة'!$D$6)*100)</f>
        <v/>
      </c>
      <c r="AK501" s="28" t="str">
        <f aca="false">IF($A501="","",IF(OR($Q501=TRUE(),$Q501="TRUE"),1,0))</f>
        <v/>
      </c>
      <c r="AL501" s="28" t="str">
        <f aca="false">IF($N501="","",IF(MATCH($N501,$N$2:$N$3001,0)=ROWS($N$2:$N501),$N501,""))</f>
        <v/>
      </c>
    </row>
    <row r="502" customFormat="false" ht="15" hidden="false" customHeight="false" outlineLevel="0" collapsed="false">
      <c r="E502" s="25"/>
      <c r="M502" s="26" t="str">
        <f aca="false">IF($A502="","",$L502*$U502/100)</f>
        <v/>
      </c>
      <c r="W502" s="26" t="str">
        <f aca="false">IF($A502="","",U502*AB502/100)</f>
        <v/>
      </c>
      <c r="X502" s="26" t="str">
        <f aca="false">IF($A502="","",U502-W502)</f>
        <v/>
      </c>
      <c r="Y502" s="26" t="str">
        <f aca="false">IF($A502="","",U502-W502-M502)</f>
        <v/>
      </c>
      <c r="AB502" s="27" t="str">
        <f aca="false">IF($A502="","",IF($AK502=1,'كشف المطالبة'!$D$5,'كشف المطالبة'!$D$6)*100)</f>
        <v/>
      </c>
      <c r="AK502" s="28" t="str">
        <f aca="false">IF($A502="","",IF(OR($Q502=TRUE(),$Q502="TRUE"),1,0))</f>
        <v/>
      </c>
      <c r="AL502" s="28" t="str">
        <f aca="false">IF($N502="","",IF(MATCH($N502,$N$2:$N$3001,0)=ROWS($N$2:$N502),$N502,""))</f>
        <v/>
      </c>
    </row>
    <row r="503" customFormat="false" ht="15" hidden="false" customHeight="false" outlineLevel="0" collapsed="false">
      <c r="E503" s="25"/>
      <c r="M503" s="26" t="str">
        <f aca="false">IF($A503="","",$L503*$U503/100)</f>
        <v/>
      </c>
      <c r="W503" s="26" t="str">
        <f aca="false">IF($A503="","",U503*AB503/100)</f>
        <v/>
      </c>
      <c r="X503" s="26" t="str">
        <f aca="false">IF($A503="","",U503-W503)</f>
        <v/>
      </c>
      <c r="Y503" s="26" t="str">
        <f aca="false">IF($A503="","",U503-W503-M503)</f>
        <v/>
      </c>
      <c r="AB503" s="27" t="str">
        <f aca="false">IF($A503="","",IF($AK503=1,'كشف المطالبة'!$D$5,'كشف المطالبة'!$D$6)*100)</f>
        <v/>
      </c>
      <c r="AK503" s="28" t="str">
        <f aca="false">IF($A503="","",IF(OR($Q503=TRUE(),$Q503="TRUE"),1,0))</f>
        <v/>
      </c>
      <c r="AL503" s="28" t="str">
        <f aca="false">IF($N503="","",IF(MATCH($N503,$N$2:$N$3001,0)=ROWS($N$2:$N503),$N503,""))</f>
        <v/>
      </c>
    </row>
    <row r="504" customFormat="false" ht="15" hidden="false" customHeight="false" outlineLevel="0" collapsed="false">
      <c r="E504" s="25"/>
      <c r="M504" s="26" t="str">
        <f aca="false">IF($A504="","",$L504*$U504/100)</f>
        <v/>
      </c>
      <c r="W504" s="26" t="str">
        <f aca="false">IF($A504="","",U504*AB504/100)</f>
        <v/>
      </c>
      <c r="X504" s="26" t="str">
        <f aca="false">IF($A504="","",U504-W504)</f>
        <v/>
      </c>
      <c r="Y504" s="26" t="str">
        <f aca="false">IF($A504="","",U504-W504-M504)</f>
        <v/>
      </c>
      <c r="AB504" s="27" t="str">
        <f aca="false">IF($A504="","",IF($AK504=1,'كشف المطالبة'!$D$5,'كشف المطالبة'!$D$6)*100)</f>
        <v/>
      </c>
      <c r="AK504" s="28" t="str">
        <f aca="false">IF($A504="","",IF(OR($Q504=TRUE(),$Q504="TRUE"),1,0))</f>
        <v/>
      </c>
      <c r="AL504" s="28" t="str">
        <f aca="false">IF($N504="","",IF(MATCH($N504,$N$2:$N$3001,0)=ROWS($N$2:$N504),$N504,""))</f>
        <v/>
      </c>
    </row>
    <row r="505" customFormat="false" ht="15" hidden="false" customHeight="false" outlineLevel="0" collapsed="false">
      <c r="E505" s="25"/>
      <c r="M505" s="26" t="str">
        <f aca="false">IF($A505="","",$L505*$U505/100)</f>
        <v/>
      </c>
      <c r="W505" s="26" t="str">
        <f aca="false">IF($A505="","",U505*AB505/100)</f>
        <v/>
      </c>
      <c r="X505" s="26" t="str">
        <f aca="false">IF($A505="","",U505-W505)</f>
        <v/>
      </c>
      <c r="Y505" s="26" t="str">
        <f aca="false">IF($A505="","",U505-W505-M505)</f>
        <v/>
      </c>
      <c r="AB505" s="27" t="str">
        <f aca="false">IF($A505="","",IF($AK505=1,'كشف المطالبة'!$D$5,'كشف المطالبة'!$D$6)*100)</f>
        <v/>
      </c>
      <c r="AK505" s="28" t="str">
        <f aca="false">IF($A505="","",IF(OR($Q505=TRUE(),$Q505="TRUE"),1,0))</f>
        <v/>
      </c>
      <c r="AL505" s="28" t="str">
        <f aca="false">IF($N505="","",IF(MATCH($N505,$N$2:$N$3001,0)=ROWS($N$2:$N505),$N505,""))</f>
        <v/>
      </c>
    </row>
    <row r="506" customFormat="false" ht="15" hidden="false" customHeight="false" outlineLevel="0" collapsed="false">
      <c r="E506" s="25"/>
      <c r="M506" s="26" t="str">
        <f aca="false">IF($A506="","",$L506*$U506/100)</f>
        <v/>
      </c>
      <c r="W506" s="26" t="str">
        <f aca="false">IF($A506="","",U506*AB506/100)</f>
        <v/>
      </c>
      <c r="X506" s="26" t="str">
        <f aca="false">IF($A506="","",U506-W506)</f>
        <v/>
      </c>
      <c r="Y506" s="26" t="str">
        <f aca="false">IF($A506="","",U506-W506-M506)</f>
        <v/>
      </c>
      <c r="AB506" s="27" t="str">
        <f aca="false">IF($A506="","",IF($AK506=1,'كشف المطالبة'!$D$5,'كشف المطالبة'!$D$6)*100)</f>
        <v/>
      </c>
      <c r="AK506" s="28" t="str">
        <f aca="false">IF($A506="","",IF(OR($Q506=TRUE(),$Q506="TRUE"),1,0))</f>
        <v/>
      </c>
      <c r="AL506" s="28" t="str">
        <f aca="false">IF($N506="","",IF(MATCH($N506,$N$2:$N$3001,0)=ROWS($N$2:$N506),$N506,""))</f>
        <v/>
      </c>
    </row>
    <row r="507" customFormat="false" ht="15" hidden="false" customHeight="false" outlineLevel="0" collapsed="false">
      <c r="E507" s="25"/>
      <c r="M507" s="26" t="str">
        <f aca="false">IF($A507="","",$L507*$U507/100)</f>
        <v/>
      </c>
      <c r="W507" s="26" t="str">
        <f aca="false">IF($A507="","",U507*AB507/100)</f>
        <v/>
      </c>
      <c r="X507" s="26" t="str">
        <f aca="false">IF($A507="","",U507-W507)</f>
        <v/>
      </c>
      <c r="Y507" s="26" t="str">
        <f aca="false">IF($A507="","",U507-W507-M507)</f>
        <v/>
      </c>
      <c r="AB507" s="27" t="str">
        <f aca="false">IF($A507="","",IF($AK507=1,'كشف المطالبة'!$D$5,'كشف المطالبة'!$D$6)*100)</f>
        <v/>
      </c>
      <c r="AK507" s="28" t="str">
        <f aca="false">IF($A507="","",IF(OR($Q507=TRUE(),$Q507="TRUE"),1,0))</f>
        <v/>
      </c>
      <c r="AL507" s="28" t="str">
        <f aca="false">IF($N507="","",IF(MATCH($N507,$N$2:$N$3001,0)=ROWS($N$2:$N507),$N507,""))</f>
        <v/>
      </c>
    </row>
    <row r="508" customFormat="false" ht="15" hidden="false" customHeight="false" outlineLevel="0" collapsed="false">
      <c r="E508" s="25"/>
      <c r="M508" s="26" t="str">
        <f aca="false">IF($A508="","",$L508*$U508/100)</f>
        <v/>
      </c>
      <c r="W508" s="26" t="str">
        <f aca="false">IF($A508="","",U508*AB508/100)</f>
        <v/>
      </c>
      <c r="X508" s="26" t="str">
        <f aca="false">IF($A508="","",U508-W508)</f>
        <v/>
      </c>
      <c r="Y508" s="26" t="str">
        <f aca="false">IF($A508="","",U508-W508-M508)</f>
        <v/>
      </c>
      <c r="AB508" s="27" t="str">
        <f aca="false">IF($A508="","",IF($AK508=1,'كشف المطالبة'!$D$5,'كشف المطالبة'!$D$6)*100)</f>
        <v/>
      </c>
      <c r="AK508" s="28" t="str">
        <f aca="false">IF($A508="","",IF(OR($Q508=TRUE(),$Q508="TRUE"),1,0))</f>
        <v/>
      </c>
      <c r="AL508" s="28" t="str">
        <f aca="false">IF($N508="","",IF(MATCH($N508,$N$2:$N$3001,0)=ROWS($N$2:$N508),$N508,""))</f>
        <v/>
      </c>
    </row>
    <row r="509" customFormat="false" ht="15" hidden="false" customHeight="false" outlineLevel="0" collapsed="false">
      <c r="E509" s="25"/>
      <c r="M509" s="26" t="str">
        <f aca="false">IF($A509="","",$L509*$U509/100)</f>
        <v/>
      </c>
      <c r="W509" s="26" t="str">
        <f aca="false">IF($A509="","",U509*AB509/100)</f>
        <v/>
      </c>
      <c r="X509" s="26" t="str">
        <f aca="false">IF($A509="","",U509-W509)</f>
        <v/>
      </c>
      <c r="Y509" s="26" t="str">
        <f aca="false">IF($A509="","",U509-W509-M509)</f>
        <v/>
      </c>
      <c r="AB509" s="27" t="str">
        <f aca="false">IF($A509="","",IF($AK509=1,'كشف المطالبة'!$D$5,'كشف المطالبة'!$D$6)*100)</f>
        <v/>
      </c>
      <c r="AK509" s="28" t="str">
        <f aca="false">IF($A509="","",IF(OR($Q509=TRUE(),$Q509="TRUE"),1,0))</f>
        <v/>
      </c>
      <c r="AL509" s="28" t="str">
        <f aca="false">IF($N509="","",IF(MATCH($N509,$N$2:$N$3001,0)=ROWS($N$2:$N509),$N509,""))</f>
        <v/>
      </c>
    </row>
    <row r="510" customFormat="false" ht="15" hidden="false" customHeight="false" outlineLevel="0" collapsed="false">
      <c r="E510" s="25"/>
      <c r="M510" s="26" t="str">
        <f aca="false">IF($A510="","",$L510*$U510/100)</f>
        <v/>
      </c>
      <c r="W510" s="26" t="str">
        <f aca="false">IF($A510="","",U510*AB510/100)</f>
        <v/>
      </c>
      <c r="X510" s="26" t="str">
        <f aca="false">IF($A510="","",U510-W510)</f>
        <v/>
      </c>
      <c r="Y510" s="26" t="str">
        <f aca="false">IF($A510="","",U510-W510-M510)</f>
        <v/>
      </c>
      <c r="AB510" s="27" t="str">
        <f aca="false">IF($A510="","",IF($AK510=1,'كشف المطالبة'!$D$5,'كشف المطالبة'!$D$6)*100)</f>
        <v/>
      </c>
      <c r="AK510" s="28" t="str">
        <f aca="false">IF($A510="","",IF(OR($Q510=TRUE(),$Q510="TRUE"),1,0))</f>
        <v/>
      </c>
      <c r="AL510" s="28" t="str">
        <f aca="false">IF($N510="","",IF(MATCH($N510,$N$2:$N$3001,0)=ROWS($N$2:$N510),$N510,""))</f>
        <v/>
      </c>
    </row>
    <row r="511" customFormat="false" ht="15" hidden="false" customHeight="false" outlineLevel="0" collapsed="false">
      <c r="E511" s="25"/>
      <c r="M511" s="26" t="str">
        <f aca="false">IF($A511="","",$L511*$U511/100)</f>
        <v/>
      </c>
      <c r="W511" s="26" t="str">
        <f aca="false">IF($A511="","",U511*AB511/100)</f>
        <v/>
      </c>
      <c r="X511" s="26" t="str">
        <f aca="false">IF($A511="","",U511-W511)</f>
        <v/>
      </c>
      <c r="Y511" s="26" t="str">
        <f aca="false">IF($A511="","",U511-W511-M511)</f>
        <v/>
      </c>
      <c r="AB511" s="27" t="str">
        <f aca="false">IF($A511="","",IF($AK511=1,'كشف المطالبة'!$D$5,'كشف المطالبة'!$D$6)*100)</f>
        <v/>
      </c>
      <c r="AK511" s="28" t="str">
        <f aca="false">IF($A511="","",IF(OR($Q511=TRUE(),$Q511="TRUE"),1,0))</f>
        <v/>
      </c>
      <c r="AL511" s="28" t="str">
        <f aca="false">IF($N511="","",IF(MATCH($N511,$N$2:$N$3001,0)=ROWS($N$2:$N511),$N511,""))</f>
        <v/>
      </c>
    </row>
    <row r="512" customFormat="false" ht="15" hidden="false" customHeight="false" outlineLevel="0" collapsed="false">
      <c r="E512" s="25"/>
      <c r="M512" s="26" t="str">
        <f aca="false">IF($A512="","",$L512*$U512/100)</f>
        <v/>
      </c>
      <c r="W512" s="26" t="str">
        <f aca="false">IF($A512="","",U512*AB512/100)</f>
        <v/>
      </c>
      <c r="X512" s="26" t="str">
        <f aca="false">IF($A512="","",U512-W512)</f>
        <v/>
      </c>
      <c r="Y512" s="26" t="str">
        <f aca="false">IF($A512="","",U512-W512-M512)</f>
        <v/>
      </c>
      <c r="AB512" s="27" t="str">
        <f aca="false">IF($A512="","",IF($AK512=1,'كشف المطالبة'!$D$5,'كشف المطالبة'!$D$6)*100)</f>
        <v/>
      </c>
      <c r="AK512" s="28" t="str">
        <f aca="false">IF($A512="","",IF(OR($Q512=TRUE(),$Q512="TRUE"),1,0))</f>
        <v/>
      </c>
      <c r="AL512" s="28" t="str">
        <f aca="false">IF($N512="","",IF(MATCH($N512,$N$2:$N$3001,0)=ROWS($N$2:$N512),$N512,""))</f>
        <v/>
      </c>
    </row>
    <row r="513" customFormat="false" ht="15" hidden="false" customHeight="false" outlineLevel="0" collapsed="false">
      <c r="E513" s="25"/>
      <c r="M513" s="26" t="str">
        <f aca="false">IF($A513="","",$L513*$U513/100)</f>
        <v/>
      </c>
      <c r="W513" s="26" t="str">
        <f aca="false">IF($A513="","",U513*AB513/100)</f>
        <v/>
      </c>
      <c r="X513" s="26" t="str">
        <f aca="false">IF($A513="","",U513-W513)</f>
        <v/>
      </c>
      <c r="Y513" s="26" t="str">
        <f aca="false">IF($A513="","",U513-W513-M513)</f>
        <v/>
      </c>
      <c r="AB513" s="27" t="str">
        <f aca="false">IF($A513="","",IF($AK513=1,'كشف المطالبة'!$D$5,'كشف المطالبة'!$D$6)*100)</f>
        <v/>
      </c>
      <c r="AK513" s="28" t="str">
        <f aca="false">IF($A513="","",IF(OR($Q513=TRUE(),$Q513="TRUE"),1,0))</f>
        <v/>
      </c>
      <c r="AL513" s="28" t="str">
        <f aca="false">IF($N513="","",IF(MATCH($N513,$N$2:$N$3001,0)=ROWS($N$2:$N513),$N513,""))</f>
        <v/>
      </c>
    </row>
    <row r="514" customFormat="false" ht="15" hidden="false" customHeight="false" outlineLevel="0" collapsed="false">
      <c r="E514" s="25"/>
      <c r="M514" s="26" t="str">
        <f aca="false">IF($A514="","",$L514*$U514/100)</f>
        <v/>
      </c>
      <c r="W514" s="26" t="str">
        <f aca="false">IF($A514="","",U514*AB514/100)</f>
        <v/>
      </c>
      <c r="X514" s="26" t="str">
        <f aca="false">IF($A514="","",U514-W514)</f>
        <v/>
      </c>
      <c r="Y514" s="26" t="str">
        <f aca="false">IF($A514="","",U514-W514-M514)</f>
        <v/>
      </c>
      <c r="AB514" s="27" t="str">
        <f aca="false">IF($A514="","",IF($AK514=1,'كشف المطالبة'!$D$5,'كشف المطالبة'!$D$6)*100)</f>
        <v/>
      </c>
      <c r="AK514" s="28" t="str">
        <f aca="false">IF($A514="","",IF(OR($Q514=TRUE(),$Q514="TRUE"),1,0))</f>
        <v/>
      </c>
      <c r="AL514" s="28" t="str">
        <f aca="false">IF($N514="","",IF(MATCH($N514,$N$2:$N$3001,0)=ROWS($N$2:$N514),$N514,""))</f>
        <v/>
      </c>
    </row>
    <row r="515" customFormat="false" ht="15" hidden="false" customHeight="false" outlineLevel="0" collapsed="false">
      <c r="E515" s="25"/>
      <c r="M515" s="26" t="str">
        <f aca="false">IF($A515="","",$L515*$U515/100)</f>
        <v/>
      </c>
      <c r="W515" s="26" t="str">
        <f aca="false">IF($A515="","",U515*AB515/100)</f>
        <v/>
      </c>
      <c r="X515" s="26" t="str">
        <f aca="false">IF($A515="","",U515-W515)</f>
        <v/>
      </c>
      <c r="Y515" s="26" t="str">
        <f aca="false">IF($A515="","",U515-W515-M515)</f>
        <v/>
      </c>
      <c r="AB515" s="27" t="str">
        <f aca="false">IF($A515="","",IF($AK515=1,'كشف المطالبة'!$D$5,'كشف المطالبة'!$D$6)*100)</f>
        <v/>
      </c>
      <c r="AK515" s="28" t="str">
        <f aca="false">IF($A515="","",IF(OR($Q515=TRUE(),$Q515="TRUE"),1,0))</f>
        <v/>
      </c>
      <c r="AL515" s="28" t="str">
        <f aca="false">IF($N515="","",IF(MATCH($N515,$N$2:$N$3001,0)=ROWS($N$2:$N515),$N515,""))</f>
        <v/>
      </c>
    </row>
    <row r="516" customFormat="false" ht="15" hidden="false" customHeight="false" outlineLevel="0" collapsed="false">
      <c r="E516" s="25"/>
      <c r="M516" s="26" t="str">
        <f aca="false">IF($A516="","",$L516*$U516/100)</f>
        <v/>
      </c>
      <c r="W516" s="26" t="str">
        <f aca="false">IF($A516="","",U516*AB516/100)</f>
        <v/>
      </c>
      <c r="X516" s="26" t="str">
        <f aca="false">IF($A516="","",U516-W516)</f>
        <v/>
      </c>
      <c r="Y516" s="26" t="str">
        <f aca="false">IF($A516="","",U516-W516-M516)</f>
        <v/>
      </c>
      <c r="AB516" s="27" t="str">
        <f aca="false">IF($A516="","",IF($AK516=1,'كشف المطالبة'!$D$5,'كشف المطالبة'!$D$6)*100)</f>
        <v/>
      </c>
      <c r="AK516" s="28" t="str">
        <f aca="false">IF($A516="","",IF(OR($Q516=TRUE(),$Q516="TRUE"),1,0))</f>
        <v/>
      </c>
      <c r="AL516" s="28" t="str">
        <f aca="false">IF($N516="","",IF(MATCH($N516,$N$2:$N$3001,0)=ROWS($N$2:$N516),$N516,""))</f>
        <v/>
      </c>
    </row>
    <row r="517" customFormat="false" ht="15" hidden="false" customHeight="false" outlineLevel="0" collapsed="false">
      <c r="E517" s="25"/>
      <c r="M517" s="26" t="str">
        <f aca="false">IF($A517="","",$L517*$U517/100)</f>
        <v/>
      </c>
      <c r="W517" s="26" t="str">
        <f aca="false">IF($A517="","",U517*AB517/100)</f>
        <v/>
      </c>
      <c r="X517" s="26" t="str">
        <f aca="false">IF($A517="","",U517-W517)</f>
        <v/>
      </c>
      <c r="Y517" s="26" t="str">
        <f aca="false">IF($A517="","",U517-W517-M517)</f>
        <v/>
      </c>
      <c r="AB517" s="27" t="str">
        <f aca="false">IF($A517="","",IF($AK517=1,'كشف المطالبة'!$D$5,'كشف المطالبة'!$D$6)*100)</f>
        <v/>
      </c>
      <c r="AK517" s="28" t="str">
        <f aca="false">IF($A517="","",IF(OR($Q517=TRUE(),$Q517="TRUE"),1,0))</f>
        <v/>
      </c>
      <c r="AL517" s="28" t="str">
        <f aca="false">IF($N517="","",IF(MATCH($N517,$N$2:$N$3001,0)=ROWS($N$2:$N517),$N517,""))</f>
        <v/>
      </c>
    </row>
    <row r="518" customFormat="false" ht="15" hidden="false" customHeight="false" outlineLevel="0" collapsed="false">
      <c r="E518" s="25"/>
      <c r="M518" s="26" t="str">
        <f aca="false">IF($A518="","",$L518*$U518/100)</f>
        <v/>
      </c>
      <c r="W518" s="26" t="str">
        <f aca="false">IF($A518="","",U518*AB518/100)</f>
        <v/>
      </c>
      <c r="X518" s="26" t="str">
        <f aca="false">IF($A518="","",U518-W518)</f>
        <v/>
      </c>
      <c r="Y518" s="26" t="str">
        <f aca="false">IF($A518="","",U518-W518-M518)</f>
        <v/>
      </c>
      <c r="AB518" s="27" t="str">
        <f aca="false">IF($A518="","",IF($AK518=1,'كشف المطالبة'!$D$5,'كشف المطالبة'!$D$6)*100)</f>
        <v/>
      </c>
      <c r="AK518" s="28" t="str">
        <f aca="false">IF($A518="","",IF(OR($Q518=TRUE(),$Q518="TRUE"),1,0))</f>
        <v/>
      </c>
      <c r="AL518" s="28" t="str">
        <f aca="false">IF($N518="","",IF(MATCH($N518,$N$2:$N$3001,0)=ROWS($N$2:$N518),$N518,""))</f>
        <v/>
      </c>
    </row>
    <row r="519" customFormat="false" ht="15" hidden="false" customHeight="false" outlineLevel="0" collapsed="false">
      <c r="E519" s="25"/>
      <c r="M519" s="26" t="str">
        <f aca="false">IF($A519="","",$L519*$U519/100)</f>
        <v/>
      </c>
      <c r="W519" s="26" t="str">
        <f aca="false">IF($A519="","",U519*AB519/100)</f>
        <v/>
      </c>
      <c r="X519" s="26" t="str">
        <f aca="false">IF($A519="","",U519-W519)</f>
        <v/>
      </c>
      <c r="Y519" s="26" t="str">
        <f aca="false">IF($A519="","",U519-W519-M519)</f>
        <v/>
      </c>
      <c r="AB519" s="27" t="str">
        <f aca="false">IF($A519="","",IF($AK519=1,'كشف المطالبة'!$D$5,'كشف المطالبة'!$D$6)*100)</f>
        <v/>
      </c>
      <c r="AK519" s="28" t="str">
        <f aca="false">IF($A519="","",IF(OR($Q519=TRUE(),$Q519="TRUE"),1,0))</f>
        <v/>
      </c>
      <c r="AL519" s="28" t="str">
        <f aca="false">IF($N519="","",IF(MATCH($N519,$N$2:$N$3001,0)=ROWS($N$2:$N519),$N519,""))</f>
        <v/>
      </c>
    </row>
    <row r="520" customFormat="false" ht="15" hidden="false" customHeight="false" outlineLevel="0" collapsed="false">
      <c r="E520" s="25"/>
      <c r="M520" s="26" t="str">
        <f aca="false">IF($A520="","",$L520*$U520/100)</f>
        <v/>
      </c>
      <c r="W520" s="26" t="str">
        <f aca="false">IF($A520="","",U520*AB520/100)</f>
        <v/>
      </c>
      <c r="X520" s="26" t="str">
        <f aca="false">IF($A520="","",U520-W520)</f>
        <v/>
      </c>
      <c r="Y520" s="26" t="str">
        <f aca="false">IF($A520="","",U520-W520-M520)</f>
        <v/>
      </c>
      <c r="AB520" s="27" t="str">
        <f aca="false">IF($A520="","",IF($AK520=1,'كشف المطالبة'!$D$5,'كشف المطالبة'!$D$6)*100)</f>
        <v/>
      </c>
      <c r="AK520" s="28" t="str">
        <f aca="false">IF($A520="","",IF(OR($Q520=TRUE(),$Q520="TRUE"),1,0))</f>
        <v/>
      </c>
      <c r="AL520" s="28" t="str">
        <f aca="false">IF($N520="","",IF(MATCH($N520,$N$2:$N$3001,0)=ROWS($N$2:$N520),$N520,""))</f>
        <v/>
      </c>
    </row>
    <row r="521" customFormat="false" ht="15" hidden="false" customHeight="false" outlineLevel="0" collapsed="false">
      <c r="E521" s="25"/>
      <c r="M521" s="26" t="str">
        <f aca="false">IF($A521="","",$L521*$U521/100)</f>
        <v/>
      </c>
      <c r="W521" s="26" t="str">
        <f aca="false">IF($A521="","",U521*AB521/100)</f>
        <v/>
      </c>
      <c r="X521" s="26" t="str">
        <f aca="false">IF($A521="","",U521-W521)</f>
        <v/>
      </c>
      <c r="Y521" s="26" t="str">
        <f aca="false">IF($A521="","",U521-W521-M521)</f>
        <v/>
      </c>
      <c r="AB521" s="27" t="str">
        <f aca="false">IF($A521="","",IF($AK521=1,'كشف المطالبة'!$D$5,'كشف المطالبة'!$D$6)*100)</f>
        <v/>
      </c>
      <c r="AK521" s="28" t="str">
        <f aca="false">IF($A521="","",IF(OR($Q521=TRUE(),$Q521="TRUE"),1,0))</f>
        <v/>
      </c>
      <c r="AL521" s="28" t="str">
        <f aca="false">IF($N521="","",IF(MATCH($N521,$N$2:$N$3001,0)=ROWS($N$2:$N521),$N521,""))</f>
        <v/>
      </c>
    </row>
    <row r="522" customFormat="false" ht="15" hidden="false" customHeight="false" outlineLevel="0" collapsed="false">
      <c r="E522" s="25"/>
      <c r="M522" s="26" t="str">
        <f aca="false">IF($A522="","",$L522*$U522/100)</f>
        <v/>
      </c>
      <c r="W522" s="26" t="str">
        <f aca="false">IF($A522="","",U522*AB522/100)</f>
        <v/>
      </c>
      <c r="X522" s="26" t="str">
        <f aca="false">IF($A522="","",U522-W522)</f>
        <v/>
      </c>
      <c r="Y522" s="26" t="str">
        <f aca="false">IF($A522="","",U522-W522-M522)</f>
        <v/>
      </c>
      <c r="AB522" s="27" t="str">
        <f aca="false">IF($A522="","",IF($AK522=1,'كشف المطالبة'!$D$5,'كشف المطالبة'!$D$6)*100)</f>
        <v/>
      </c>
      <c r="AK522" s="28" t="str">
        <f aca="false">IF($A522="","",IF(OR($Q522=TRUE(),$Q522="TRUE"),1,0))</f>
        <v/>
      </c>
      <c r="AL522" s="28" t="str">
        <f aca="false">IF($N522="","",IF(MATCH($N522,$N$2:$N$3001,0)=ROWS($N$2:$N522),$N522,""))</f>
        <v/>
      </c>
    </row>
    <row r="523" customFormat="false" ht="15" hidden="false" customHeight="false" outlineLevel="0" collapsed="false">
      <c r="E523" s="25"/>
      <c r="M523" s="26" t="str">
        <f aca="false">IF($A523="","",$L523*$U523/100)</f>
        <v/>
      </c>
      <c r="W523" s="26" t="str">
        <f aca="false">IF($A523="","",U523*AB523/100)</f>
        <v/>
      </c>
      <c r="X523" s="26" t="str">
        <f aca="false">IF($A523="","",U523-W523)</f>
        <v/>
      </c>
      <c r="Y523" s="26" t="str">
        <f aca="false">IF($A523="","",U523-W523-M523)</f>
        <v/>
      </c>
      <c r="AB523" s="27" t="str">
        <f aca="false">IF($A523="","",IF($AK523=1,'كشف المطالبة'!$D$5,'كشف المطالبة'!$D$6)*100)</f>
        <v/>
      </c>
      <c r="AK523" s="28" t="str">
        <f aca="false">IF($A523="","",IF(OR($Q523=TRUE(),$Q523="TRUE"),1,0))</f>
        <v/>
      </c>
      <c r="AL523" s="28" t="str">
        <f aca="false">IF($N523="","",IF(MATCH($N523,$N$2:$N$3001,0)=ROWS($N$2:$N523),$N523,""))</f>
        <v/>
      </c>
    </row>
    <row r="524" customFormat="false" ht="15" hidden="false" customHeight="false" outlineLevel="0" collapsed="false">
      <c r="E524" s="25"/>
      <c r="M524" s="26" t="str">
        <f aca="false">IF($A524="","",$L524*$U524/100)</f>
        <v/>
      </c>
      <c r="W524" s="26" t="str">
        <f aca="false">IF($A524="","",U524*AB524/100)</f>
        <v/>
      </c>
      <c r="X524" s="26" t="str">
        <f aca="false">IF($A524="","",U524-W524)</f>
        <v/>
      </c>
      <c r="Y524" s="26" t="str">
        <f aca="false">IF($A524="","",U524-W524-M524)</f>
        <v/>
      </c>
      <c r="AB524" s="27" t="str">
        <f aca="false">IF($A524="","",IF($AK524=1,'كشف المطالبة'!$D$5,'كشف المطالبة'!$D$6)*100)</f>
        <v/>
      </c>
      <c r="AK524" s="28" t="str">
        <f aca="false">IF($A524="","",IF(OR($Q524=TRUE(),$Q524="TRUE"),1,0))</f>
        <v/>
      </c>
      <c r="AL524" s="28" t="str">
        <f aca="false">IF($N524="","",IF(MATCH($N524,$N$2:$N$3001,0)=ROWS($N$2:$N524),$N524,""))</f>
        <v/>
      </c>
    </row>
    <row r="525" customFormat="false" ht="15" hidden="false" customHeight="false" outlineLevel="0" collapsed="false">
      <c r="E525" s="25"/>
      <c r="M525" s="26" t="str">
        <f aca="false">IF($A525="","",$L525*$U525/100)</f>
        <v/>
      </c>
      <c r="W525" s="26" t="str">
        <f aca="false">IF($A525="","",U525*AB525/100)</f>
        <v/>
      </c>
      <c r="X525" s="26" t="str">
        <f aca="false">IF($A525="","",U525-W525)</f>
        <v/>
      </c>
      <c r="Y525" s="26" t="str">
        <f aca="false">IF($A525="","",U525-W525-M525)</f>
        <v/>
      </c>
      <c r="AB525" s="27" t="str">
        <f aca="false">IF($A525="","",IF($AK525=1,'كشف المطالبة'!$D$5,'كشف المطالبة'!$D$6)*100)</f>
        <v/>
      </c>
      <c r="AK525" s="28" t="str">
        <f aca="false">IF($A525="","",IF(OR($Q525=TRUE(),$Q525="TRUE"),1,0))</f>
        <v/>
      </c>
      <c r="AL525" s="28" t="str">
        <f aca="false">IF($N525="","",IF(MATCH($N525,$N$2:$N$3001,0)=ROWS($N$2:$N525),$N525,""))</f>
        <v/>
      </c>
    </row>
    <row r="526" customFormat="false" ht="15" hidden="false" customHeight="false" outlineLevel="0" collapsed="false">
      <c r="E526" s="25"/>
      <c r="M526" s="26" t="str">
        <f aca="false">IF($A526="","",$L526*$U526/100)</f>
        <v/>
      </c>
      <c r="W526" s="26" t="str">
        <f aca="false">IF($A526="","",U526*AB526/100)</f>
        <v/>
      </c>
      <c r="X526" s="26" t="str">
        <f aca="false">IF($A526="","",U526-W526)</f>
        <v/>
      </c>
      <c r="Y526" s="26" t="str">
        <f aca="false">IF($A526="","",U526-W526-M526)</f>
        <v/>
      </c>
      <c r="AB526" s="27" t="str">
        <f aca="false">IF($A526="","",IF($AK526=1,'كشف المطالبة'!$D$5,'كشف المطالبة'!$D$6)*100)</f>
        <v/>
      </c>
      <c r="AK526" s="28" t="str">
        <f aca="false">IF($A526="","",IF(OR($Q526=TRUE(),$Q526="TRUE"),1,0))</f>
        <v/>
      </c>
      <c r="AL526" s="28" t="str">
        <f aca="false">IF($N526="","",IF(MATCH($N526,$N$2:$N$3001,0)=ROWS($N$2:$N526),$N526,""))</f>
        <v/>
      </c>
    </row>
    <row r="527" customFormat="false" ht="15" hidden="false" customHeight="false" outlineLevel="0" collapsed="false">
      <c r="E527" s="25"/>
      <c r="M527" s="26" t="str">
        <f aca="false">IF($A527="","",$L527*$U527/100)</f>
        <v/>
      </c>
      <c r="W527" s="26" t="str">
        <f aca="false">IF($A527="","",U527*AB527/100)</f>
        <v/>
      </c>
      <c r="X527" s="26" t="str">
        <f aca="false">IF($A527="","",U527-W527)</f>
        <v/>
      </c>
      <c r="Y527" s="26" t="str">
        <f aca="false">IF($A527="","",U527-W527-M527)</f>
        <v/>
      </c>
      <c r="AB527" s="27" t="str">
        <f aca="false">IF($A527="","",IF($AK527=1,'كشف المطالبة'!$D$5,'كشف المطالبة'!$D$6)*100)</f>
        <v/>
      </c>
      <c r="AK527" s="28" t="str">
        <f aca="false">IF($A527="","",IF(OR($Q527=TRUE(),$Q527="TRUE"),1,0))</f>
        <v/>
      </c>
      <c r="AL527" s="28" t="str">
        <f aca="false">IF($N527="","",IF(MATCH($N527,$N$2:$N$3001,0)=ROWS($N$2:$N527),$N527,""))</f>
        <v/>
      </c>
    </row>
    <row r="528" customFormat="false" ht="15" hidden="false" customHeight="false" outlineLevel="0" collapsed="false">
      <c r="E528" s="25"/>
      <c r="M528" s="26" t="str">
        <f aca="false">IF($A528="","",$L528*$U528/100)</f>
        <v/>
      </c>
      <c r="W528" s="26" t="str">
        <f aca="false">IF($A528="","",U528*AB528/100)</f>
        <v/>
      </c>
      <c r="X528" s="26" t="str">
        <f aca="false">IF($A528="","",U528-W528)</f>
        <v/>
      </c>
      <c r="Y528" s="26" t="str">
        <f aca="false">IF($A528="","",U528-W528-M528)</f>
        <v/>
      </c>
      <c r="AB528" s="27" t="str">
        <f aca="false">IF($A528="","",IF($AK528=1,'كشف المطالبة'!$D$5,'كشف المطالبة'!$D$6)*100)</f>
        <v/>
      </c>
      <c r="AK528" s="28" t="str">
        <f aca="false">IF($A528="","",IF(OR($Q528=TRUE(),$Q528="TRUE"),1,0))</f>
        <v/>
      </c>
      <c r="AL528" s="28" t="str">
        <f aca="false">IF($N528="","",IF(MATCH($N528,$N$2:$N$3001,0)=ROWS($N$2:$N528),$N528,""))</f>
        <v/>
      </c>
    </row>
    <row r="529" customFormat="false" ht="15" hidden="false" customHeight="false" outlineLevel="0" collapsed="false">
      <c r="E529" s="25"/>
      <c r="M529" s="26" t="str">
        <f aca="false">IF($A529="","",$L529*$U529/100)</f>
        <v/>
      </c>
      <c r="W529" s="26" t="str">
        <f aca="false">IF($A529="","",U529*AB529/100)</f>
        <v/>
      </c>
      <c r="X529" s="26" t="str">
        <f aca="false">IF($A529="","",U529-W529)</f>
        <v/>
      </c>
      <c r="Y529" s="26" t="str">
        <f aca="false">IF($A529="","",U529-W529-M529)</f>
        <v/>
      </c>
      <c r="AB529" s="27" t="str">
        <f aca="false">IF($A529="","",IF($AK529=1,'كشف المطالبة'!$D$5,'كشف المطالبة'!$D$6)*100)</f>
        <v/>
      </c>
      <c r="AK529" s="28" t="str">
        <f aca="false">IF($A529="","",IF(OR($Q529=TRUE(),$Q529="TRUE"),1,0))</f>
        <v/>
      </c>
      <c r="AL529" s="28" t="str">
        <f aca="false">IF($N529="","",IF(MATCH($N529,$N$2:$N$3001,0)=ROWS($N$2:$N529),$N529,""))</f>
        <v/>
      </c>
    </row>
    <row r="530" customFormat="false" ht="15" hidden="false" customHeight="false" outlineLevel="0" collapsed="false">
      <c r="E530" s="25"/>
      <c r="M530" s="26" t="str">
        <f aca="false">IF($A530="","",$L530*$U530/100)</f>
        <v/>
      </c>
      <c r="W530" s="26" t="str">
        <f aca="false">IF($A530="","",U530*AB530/100)</f>
        <v/>
      </c>
      <c r="X530" s="26" t="str">
        <f aca="false">IF($A530="","",U530-W530)</f>
        <v/>
      </c>
      <c r="Y530" s="26" t="str">
        <f aca="false">IF($A530="","",U530-W530-M530)</f>
        <v/>
      </c>
      <c r="AB530" s="27" t="str">
        <f aca="false">IF($A530="","",IF($AK530=1,'كشف المطالبة'!$D$5,'كشف المطالبة'!$D$6)*100)</f>
        <v/>
      </c>
      <c r="AK530" s="28" t="str">
        <f aca="false">IF($A530="","",IF(OR($Q530=TRUE(),$Q530="TRUE"),1,0))</f>
        <v/>
      </c>
      <c r="AL530" s="28" t="str">
        <f aca="false">IF($N530="","",IF(MATCH($N530,$N$2:$N$3001,0)=ROWS($N$2:$N530),$N530,""))</f>
        <v/>
      </c>
    </row>
    <row r="531" customFormat="false" ht="15" hidden="false" customHeight="false" outlineLevel="0" collapsed="false">
      <c r="E531" s="25"/>
      <c r="M531" s="26" t="str">
        <f aca="false">IF($A531="","",$L531*$U531/100)</f>
        <v/>
      </c>
      <c r="W531" s="26" t="str">
        <f aca="false">IF($A531="","",U531*AB531/100)</f>
        <v/>
      </c>
      <c r="X531" s="26" t="str">
        <f aca="false">IF($A531="","",U531-W531)</f>
        <v/>
      </c>
      <c r="Y531" s="26" t="str">
        <f aca="false">IF($A531="","",U531-W531-M531)</f>
        <v/>
      </c>
      <c r="AB531" s="27" t="str">
        <f aca="false">IF($A531="","",IF($AK531=1,'كشف المطالبة'!$D$5,'كشف المطالبة'!$D$6)*100)</f>
        <v/>
      </c>
      <c r="AK531" s="28" t="str">
        <f aca="false">IF($A531="","",IF(OR($Q531=TRUE(),$Q531="TRUE"),1,0))</f>
        <v/>
      </c>
      <c r="AL531" s="28" t="str">
        <f aca="false">IF($N531="","",IF(MATCH($N531,$N$2:$N$3001,0)=ROWS($N$2:$N531),$N531,""))</f>
        <v/>
      </c>
    </row>
    <row r="532" customFormat="false" ht="15" hidden="false" customHeight="false" outlineLevel="0" collapsed="false">
      <c r="E532" s="25"/>
      <c r="M532" s="26" t="str">
        <f aca="false">IF($A532="","",$L532*$U532/100)</f>
        <v/>
      </c>
      <c r="W532" s="26" t="str">
        <f aca="false">IF($A532="","",U532*AB532/100)</f>
        <v/>
      </c>
      <c r="X532" s="26" t="str">
        <f aca="false">IF($A532="","",U532-W532)</f>
        <v/>
      </c>
      <c r="Y532" s="26" t="str">
        <f aca="false">IF($A532="","",U532-W532-M532)</f>
        <v/>
      </c>
      <c r="AB532" s="27" t="str">
        <f aca="false">IF($A532="","",IF($AK532=1,'كشف المطالبة'!$D$5,'كشف المطالبة'!$D$6)*100)</f>
        <v/>
      </c>
      <c r="AK532" s="28" t="str">
        <f aca="false">IF($A532="","",IF(OR($Q532=TRUE(),$Q532="TRUE"),1,0))</f>
        <v/>
      </c>
      <c r="AL532" s="28" t="str">
        <f aca="false">IF($N532="","",IF(MATCH($N532,$N$2:$N$3001,0)=ROWS($N$2:$N532),$N532,""))</f>
        <v/>
      </c>
    </row>
    <row r="533" customFormat="false" ht="15" hidden="false" customHeight="false" outlineLevel="0" collapsed="false">
      <c r="E533" s="25"/>
      <c r="M533" s="26" t="str">
        <f aca="false">IF($A533="","",$L533*$U533/100)</f>
        <v/>
      </c>
      <c r="W533" s="26" t="str">
        <f aca="false">IF($A533="","",U533*AB533/100)</f>
        <v/>
      </c>
      <c r="X533" s="26" t="str">
        <f aca="false">IF($A533="","",U533-W533)</f>
        <v/>
      </c>
      <c r="Y533" s="26" t="str">
        <f aca="false">IF($A533="","",U533-W533-M533)</f>
        <v/>
      </c>
      <c r="AB533" s="27" t="str">
        <f aca="false">IF($A533="","",IF($AK533=1,'كشف المطالبة'!$D$5,'كشف المطالبة'!$D$6)*100)</f>
        <v/>
      </c>
      <c r="AK533" s="28" t="str">
        <f aca="false">IF($A533="","",IF(OR($Q533=TRUE(),$Q533="TRUE"),1,0))</f>
        <v/>
      </c>
      <c r="AL533" s="28" t="str">
        <f aca="false">IF($N533="","",IF(MATCH($N533,$N$2:$N$3001,0)=ROWS($N$2:$N533),$N533,""))</f>
        <v/>
      </c>
    </row>
    <row r="534" customFormat="false" ht="15" hidden="false" customHeight="false" outlineLevel="0" collapsed="false">
      <c r="E534" s="25"/>
      <c r="M534" s="26" t="str">
        <f aca="false">IF($A534="","",$L534*$U534/100)</f>
        <v/>
      </c>
      <c r="W534" s="26" t="str">
        <f aca="false">IF($A534="","",U534*AB534/100)</f>
        <v/>
      </c>
      <c r="X534" s="26" t="str">
        <f aca="false">IF($A534="","",U534-W534)</f>
        <v/>
      </c>
      <c r="Y534" s="26" t="str">
        <f aca="false">IF($A534="","",U534-W534-M534)</f>
        <v/>
      </c>
      <c r="AB534" s="27" t="str">
        <f aca="false">IF($A534="","",IF($AK534=1,'كشف المطالبة'!$D$5,'كشف المطالبة'!$D$6)*100)</f>
        <v/>
      </c>
      <c r="AK534" s="28" t="str">
        <f aca="false">IF($A534="","",IF(OR($Q534=TRUE(),$Q534="TRUE"),1,0))</f>
        <v/>
      </c>
      <c r="AL534" s="28" t="str">
        <f aca="false">IF($N534="","",IF(MATCH($N534,$N$2:$N$3001,0)=ROWS($N$2:$N534),$N534,""))</f>
        <v/>
      </c>
    </row>
    <row r="535" customFormat="false" ht="15" hidden="false" customHeight="false" outlineLevel="0" collapsed="false">
      <c r="E535" s="25"/>
      <c r="M535" s="26" t="str">
        <f aca="false">IF($A535="","",$L535*$U535/100)</f>
        <v/>
      </c>
      <c r="W535" s="26" t="str">
        <f aca="false">IF($A535="","",U535*AB535/100)</f>
        <v/>
      </c>
      <c r="X535" s="26" t="str">
        <f aca="false">IF($A535="","",U535-W535)</f>
        <v/>
      </c>
      <c r="Y535" s="26" t="str">
        <f aca="false">IF($A535="","",U535-W535-M535)</f>
        <v/>
      </c>
      <c r="AB535" s="27" t="str">
        <f aca="false">IF($A535="","",IF($AK535=1,'كشف المطالبة'!$D$5,'كشف المطالبة'!$D$6)*100)</f>
        <v/>
      </c>
      <c r="AK535" s="28" t="str">
        <f aca="false">IF($A535="","",IF(OR($Q535=TRUE(),$Q535="TRUE"),1,0))</f>
        <v/>
      </c>
      <c r="AL535" s="28" t="str">
        <f aca="false">IF($N535="","",IF(MATCH($N535,$N$2:$N$3001,0)=ROWS($N$2:$N535),$N535,""))</f>
        <v/>
      </c>
    </row>
    <row r="536" customFormat="false" ht="15" hidden="false" customHeight="false" outlineLevel="0" collapsed="false">
      <c r="E536" s="25"/>
      <c r="M536" s="26" t="str">
        <f aca="false">IF($A536="","",$L536*$U536/100)</f>
        <v/>
      </c>
      <c r="W536" s="26" t="str">
        <f aca="false">IF($A536="","",U536*AB536/100)</f>
        <v/>
      </c>
      <c r="X536" s="26" t="str">
        <f aca="false">IF($A536="","",U536-W536)</f>
        <v/>
      </c>
      <c r="Y536" s="26" t="str">
        <f aca="false">IF($A536="","",U536-W536-M536)</f>
        <v/>
      </c>
      <c r="AB536" s="27" t="str">
        <f aca="false">IF($A536="","",IF($AK536=1,'كشف المطالبة'!$D$5,'كشف المطالبة'!$D$6)*100)</f>
        <v/>
      </c>
      <c r="AK536" s="28" t="str">
        <f aca="false">IF($A536="","",IF(OR($Q536=TRUE(),$Q536="TRUE"),1,0))</f>
        <v/>
      </c>
      <c r="AL536" s="28" t="str">
        <f aca="false">IF($N536="","",IF(MATCH($N536,$N$2:$N$3001,0)=ROWS($N$2:$N536),$N536,""))</f>
        <v/>
      </c>
    </row>
    <row r="537" customFormat="false" ht="15" hidden="false" customHeight="false" outlineLevel="0" collapsed="false">
      <c r="E537" s="25"/>
      <c r="M537" s="26" t="str">
        <f aca="false">IF($A537="","",$L537*$U537/100)</f>
        <v/>
      </c>
      <c r="W537" s="26" t="str">
        <f aca="false">IF($A537="","",U537*AB537/100)</f>
        <v/>
      </c>
      <c r="X537" s="26" t="str">
        <f aca="false">IF($A537="","",U537-W537)</f>
        <v/>
      </c>
      <c r="Y537" s="26" t="str">
        <f aca="false">IF($A537="","",U537-W537-M537)</f>
        <v/>
      </c>
      <c r="AB537" s="27" t="str">
        <f aca="false">IF($A537="","",IF($AK537=1,'كشف المطالبة'!$D$5,'كشف المطالبة'!$D$6)*100)</f>
        <v/>
      </c>
      <c r="AK537" s="28" t="str">
        <f aca="false">IF($A537="","",IF(OR($Q537=TRUE(),$Q537="TRUE"),1,0))</f>
        <v/>
      </c>
      <c r="AL537" s="28" t="str">
        <f aca="false">IF($N537="","",IF(MATCH($N537,$N$2:$N$3001,0)=ROWS($N$2:$N537),$N537,""))</f>
        <v/>
      </c>
    </row>
    <row r="538" customFormat="false" ht="15" hidden="false" customHeight="false" outlineLevel="0" collapsed="false">
      <c r="E538" s="25"/>
      <c r="M538" s="26" t="str">
        <f aca="false">IF($A538="","",$L538*$U538/100)</f>
        <v/>
      </c>
      <c r="W538" s="26" t="str">
        <f aca="false">IF($A538="","",U538*AB538/100)</f>
        <v/>
      </c>
      <c r="X538" s="26" t="str">
        <f aca="false">IF($A538="","",U538-W538)</f>
        <v/>
      </c>
      <c r="Y538" s="26" t="str">
        <f aca="false">IF($A538="","",U538-W538-M538)</f>
        <v/>
      </c>
      <c r="AB538" s="27" t="str">
        <f aca="false">IF($A538="","",IF($AK538=1,'كشف المطالبة'!$D$5,'كشف المطالبة'!$D$6)*100)</f>
        <v/>
      </c>
      <c r="AK538" s="28" t="str">
        <f aca="false">IF($A538="","",IF(OR($Q538=TRUE(),$Q538="TRUE"),1,0))</f>
        <v/>
      </c>
      <c r="AL538" s="28" t="str">
        <f aca="false">IF($N538="","",IF(MATCH($N538,$N$2:$N$3001,0)=ROWS($N$2:$N538),$N538,""))</f>
        <v/>
      </c>
    </row>
    <row r="539" customFormat="false" ht="15" hidden="false" customHeight="false" outlineLevel="0" collapsed="false">
      <c r="E539" s="25"/>
      <c r="M539" s="26" t="str">
        <f aca="false">IF($A539="","",$L539*$U539/100)</f>
        <v/>
      </c>
      <c r="W539" s="26" t="str">
        <f aca="false">IF($A539="","",U539*AB539/100)</f>
        <v/>
      </c>
      <c r="X539" s="26" t="str">
        <f aca="false">IF($A539="","",U539-W539)</f>
        <v/>
      </c>
      <c r="Y539" s="26" t="str">
        <f aca="false">IF($A539="","",U539-W539-M539)</f>
        <v/>
      </c>
      <c r="AB539" s="27" t="str">
        <f aca="false">IF($A539="","",IF($AK539=1,'كشف المطالبة'!$D$5,'كشف المطالبة'!$D$6)*100)</f>
        <v/>
      </c>
      <c r="AK539" s="28" t="str">
        <f aca="false">IF($A539="","",IF(OR($Q539=TRUE(),$Q539="TRUE"),1,0))</f>
        <v/>
      </c>
      <c r="AL539" s="28" t="str">
        <f aca="false">IF($N539="","",IF(MATCH($N539,$N$2:$N$3001,0)=ROWS($N$2:$N539),$N539,""))</f>
        <v/>
      </c>
    </row>
    <row r="540" customFormat="false" ht="15" hidden="false" customHeight="false" outlineLevel="0" collapsed="false">
      <c r="E540" s="25"/>
      <c r="M540" s="26" t="str">
        <f aca="false">IF($A540="","",$L540*$U540/100)</f>
        <v/>
      </c>
      <c r="W540" s="26" t="str">
        <f aca="false">IF($A540="","",U540*AB540/100)</f>
        <v/>
      </c>
      <c r="X540" s="26" t="str">
        <f aca="false">IF($A540="","",U540-W540)</f>
        <v/>
      </c>
      <c r="Y540" s="26" t="str">
        <f aca="false">IF($A540="","",U540-W540-M540)</f>
        <v/>
      </c>
      <c r="AB540" s="27" t="str">
        <f aca="false">IF($A540="","",IF($AK540=1,'كشف المطالبة'!$D$5,'كشف المطالبة'!$D$6)*100)</f>
        <v/>
      </c>
      <c r="AK540" s="28" t="str">
        <f aca="false">IF($A540="","",IF(OR($Q540=TRUE(),$Q540="TRUE"),1,0))</f>
        <v/>
      </c>
      <c r="AL540" s="28" t="str">
        <f aca="false">IF($N540="","",IF(MATCH($N540,$N$2:$N$3001,0)=ROWS($N$2:$N540),$N540,""))</f>
        <v/>
      </c>
    </row>
    <row r="541" customFormat="false" ht="15" hidden="false" customHeight="false" outlineLevel="0" collapsed="false">
      <c r="E541" s="25"/>
      <c r="M541" s="26" t="str">
        <f aca="false">IF($A541="","",$L541*$U541/100)</f>
        <v/>
      </c>
      <c r="W541" s="26" t="str">
        <f aca="false">IF($A541="","",U541*AB541/100)</f>
        <v/>
      </c>
      <c r="X541" s="26" t="str">
        <f aca="false">IF($A541="","",U541-W541)</f>
        <v/>
      </c>
      <c r="Y541" s="26" t="str">
        <f aca="false">IF($A541="","",U541-W541-M541)</f>
        <v/>
      </c>
      <c r="AB541" s="27" t="str">
        <f aca="false">IF($A541="","",IF($AK541=1,'كشف المطالبة'!$D$5,'كشف المطالبة'!$D$6)*100)</f>
        <v/>
      </c>
      <c r="AK541" s="28" t="str">
        <f aca="false">IF($A541="","",IF(OR($Q541=TRUE(),$Q541="TRUE"),1,0))</f>
        <v/>
      </c>
      <c r="AL541" s="28" t="str">
        <f aca="false">IF($N541="","",IF(MATCH($N541,$N$2:$N$3001,0)=ROWS($N$2:$N541),$N541,""))</f>
        <v/>
      </c>
    </row>
    <row r="542" customFormat="false" ht="15" hidden="false" customHeight="false" outlineLevel="0" collapsed="false">
      <c r="E542" s="25"/>
      <c r="M542" s="26" t="str">
        <f aca="false">IF($A542="","",$L542*$U542/100)</f>
        <v/>
      </c>
      <c r="W542" s="26" t="str">
        <f aca="false">IF($A542="","",U542*AB542/100)</f>
        <v/>
      </c>
      <c r="X542" s="26" t="str">
        <f aca="false">IF($A542="","",U542-W542)</f>
        <v/>
      </c>
      <c r="Y542" s="26" t="str">
        <f aca="false">IF($A542="","",U542-W542-M542)</f>
        <v/>
      </c>
      <c r="AB542" s="27" t="str">
        <f aca="false">IF($A542="","",IF($AK542=1,'كشف المطالبة'!$D$5,'كشف المطالبة'!$D$6)*100)</f>
        <v/>
      </c>
      <c r="AK542" s="28" t="str">
        <f aca="false">IF($A542="","",IF(OR($Q542=TRUE(),$Q542="TRUE"),1,0))</f>
        <v/>
      </c>
      <c r="AL542" s="28" t="str">
        <f aca="false">IF($N542="","",IF(MATCH($N542,$N$2:$N$3001,0)=ROWS($N$2:$N542),$N542,""))</f>
        <v/>
      </c>
    </row>
    <row r="543" customFormat="false" ht="15" hidden="false" customHeight="false" outlineLevel="0" collapsed="false">
      <c r="E543" s="25"/>
      <c r="M543" s="26" t="str">
        <f aca="false">IF($A543="","",$L543*$U543/100)</f>
        <v/>
      </c>
      <c r="W543" s="26" t="str">
        <f aca="false">IF($A543="","",U543*AB543/100)</f>
        <v/>
      </c>
      <c r="X543" s="26" t="str">
        <f aca="false">IF($A543="","",U543-W543)</f>
        <v/>
      </c>
      <c r="Y543" s="26" t="str">
        <f aca="false">IF($A543="","",U543-W543-M543)</f>
        <v/>
      </c>
      <c r="AB543" s="27" t="str">
        <f aca="false">IF($A543="","",IF($AK543=1,'كشف المطالبة'!$D$5,'كشف المطالبة'!$D$6)*100)</f>
        <v/>
      </c>
      <c r="AK543" s="28" t="str">
        <f aca="false">IF($A543="","",IF(OR($Q543=TRUE(),$Q543="TRUE"),1,0))</f>
        <v/>
      </c>
      <c r="AL543" s="28" t="str">
        <f aca="false">IF($N543="","",IF(MATCH($N543,$N$2:$N$3001,0)=ROWS($N$2:$N543),$N543,""))</f>
        <v/>
      </c>
    </row>
    <row r="544" customFormat="false" ht="15" hidden="false" customHeight="false" outlineLevel="0" collapsed="false">
      <c r="E544" s="25"/>
      <c r="M544" s="26" t="str">
        <f aca="false">IF($A544="","",$L544*$U544/100)</f>
        <v/>
      </c>
      <c r="W544" s="26" t="str">
        <f aca="false">IF($A544="","",U544*AB544/100)</f>
        <v/>
      </c>
      <c r="X544" s="26" t="str">
        <f aca="false">IF($A544="","",U544-W544)</f>
        <v/>
      </c>
      <c r="Y544" s="26" t="str">
        <f aca="false">IF($A544="","",U544-W544-M544)</f>
        <v/>
      </c>
      <c r="AB544" s="27" t="str">
        <f aca="false">IF($A544="","",IF($AK544=1,'كشف المطالبة'!$D$5,'كشف المطالبة'!$D$6)*100)</f>
        <v/>
      </c>
      <c r="AK544" s="28" t="str">
        <f aca="false">IF($A544="","",IF(OR($Q544=TRUE(),$Q544="TRUE"),1,0))</f>
        <v/>
      </c>
      <c r="AL544" s="28" t="str">
        <f aca="false">IF($N544="","",IF(MATCH($N544,$N$2:$N$3001,0)=ROWS($N$2:$N544),$N544,""))</f>
        <v/>
      </c>
    </row>
    <row r="545" customFormat="false" ht="15" hidden="false" customHeight="false" outlineLevel="0" collapsed="false">
      <c r="E545" s="25"/>
      <c r="M545" s="26" t="str">
        <f aca="false">IF($A545="","",$L545*$U545/100)</f>
        <v/>
      </c>
      <c r="W545" s="26" t="str">
        <f aca="false">IF($A545="","",U545*AB545/100)</f>
        <v/>
      </c>
      <c r="X545" s="26" t="str">
        <f aca="false">IF($A545="","",U545-W545)</f>
        <v/>
      </c>
      <c r="Y545" s="26" t="str">
        <f aca="false">IF($A545="","",U545-W545-M545)</f>
        <v/>
      </c>
      <c r="AB545" s="27" t="str">
        <f aca="false">IF($A545="","",IF($AK545=1,'كشف المطالبة'!$D$5,'كشف المطالبة'!$D$6)*100)</f>
        <v/>
      </c>
      <c r="AK545" s="28" t="str">
        <f aca="false">IF($A545="","",IF(OR($Q545=TRUE(),$Q545="TRUE"),1,0))</f>
        <v/>
      </c>
      <c r="AL545" s="28" t="str">
        <f aca="false">IF($N545="","",IF(MATCH($N545,$N$2:$N$3001,0)=ROWS($N$2:$N545),$N545,""))</f>
        <v/>
      </c>
    </row>
    <row r="546" customFormat="false" ht="15" hidden="false" customHeight="false" outlineLevel="0" collapsed="false">
      <c r="E546" s="25"/>
      <c r="M546" s="26" t="str">
        <f aca="false">IF($A546="","",$L546*$U546/100)</f>
        <v/>
      </c>
      <c r="W546" s="26" t="str">
        <f aca="false">IF($A546="","",U546*AB546/100)</f>
        <v/>
      </c>
      <c r="X546" s="26" t="str">
        <f aca="false">IF($A546="","",U546-W546)</f>
        <v/>
      </c>
      <c r="Y546" s="26" t="str">
        <f aca="false">IF($A546="","",U546-W546-M546)</f>
        <v/>
      </c>
      <c r="AB546" s="27" t="str">
        <f aca="false">IF($A546="","",IF($AK546=1,'كشف المطالبة'!$D$5,'كشف المطالبة'!$D$6)*100)</f>
        <v/>
      </c>
      <c r="AK546" s="28" t="str">
        <f aca="false">IF($A546="","",IF(OR($Q546=TRUE(),$Q546="TRUE"),1,0))</f>
        <v/>
      </c>
      <c r="AL546" s="28" t="str">
        <f aca="false">IF($N546="","",IF(MATCH($N546,$N$2:$N$3001,0)=ROWS($N$2:$N546),$N546,""))</f>
        <v/>
      </c>
    </row>
    <row r="547" customFormat="false" ht="15" hidden="false" customHeight="false" outlineLevel="0" collapsed="false">
      <c r="E547" s="25"/>
      <c r="M547" s="26" t="str">
        <f aca="false">IF($A547="","",$L547*$U547/100)</f>
        <v/>
      </c>
      <c r="W547" s="26" t="str">
        <f aca="false">IF($A547="","",U547*AB547/100)</f>
        <v/>
      </c>
      <c r="X547" s="26" t="str">
        <f aca="false">IF($A547="","",U547-W547)</f>
        <v/>
      </c>
      <c r="Y547" s="26" t="str">
        <f aca="false">IF($A547="","",U547-W547-M547)</f>
        <v/>
      </c>
      <c r="AB547" s="27" t="str">
        <f aca="false">IF($A547="","",IF($AK547=1,'كشف المطالبة'!$D$5,'كشف المطالبة'!$D$6)*100)</f>
        <v/>
      </c>
      <c r="AK547" s="28" t="str">
        <f aca="false">IF($A547="","",IF(OR($Q547=TRUE(),$Q547="TRUE"),1,0))</f>
        <v/>
      </c>
      <c r="AL547" s="28" t="str">
        <f aca="false">IF($N547="","",IF(MATCH($N547,$N$2:$N$3001,0)=ROWS($N$2:$N547),$N547,""))</f>
        <v/>
      </c>
    </row>
    <row r="548" customFormat="false" ht="15" hidden="false" customHeight="false" outlineLevel="0" collapsed="false">
      <c r="E548" s="25"/>
      <c r="M548" s="26" t="str">
        <f aca="false">IF($A548="","",$L548*$U548/100)</f>
        <v/>
      </c>
      <c r="W548" s="26" t="str">
        <f aca="false">IF($A548="","",U548*AB548/100)</f>
        <v/>
      </c>
      <c r="X548" s="26" t="str">
        <f aca="false">IF($A548="","",U548-W548)</f>
        <v/>
      </c>
      <c r="Y548" s="26" t="str">
        <f aca="false">IF($A548="","",U548-W548-M548)</f>
        <v/>
      </c>
      <c r="AB548" s="27" t="str">
        <f aca="false">IF($A548="","",IF($AK548=1,'كشف المطالبة'!$D$5,'كشف المطالبة'!$D$6)*100)</f>
        <v/>
      </c>
      <c r="AK548" s="28" t="str">
        <f aca="false">IF($A548="","",IF(OR($Q548=TRUE(),$Q548="TRUE"),1,0))</f>
        <v/>
      </c>
      <c r="AL548" s="28" t="str">
        <f aca="false">IF($N548="","",IF(MATCH($N548,$N$2:$N$3001,0)=ROWS($N$2:$N548),$N548,""))</f>
        <v/>
      </c>
    </row>
    <row r="549" customFormat="false" ht="15" hidden="false" customHeight="false" outlineLevel="0" collapsed="false">
      <c r="E549" s="25"/>
      <c r="M549" s="26" t="str">
        <f aca="false">IF($A549="","",$L549*$U549/100)</f>
        <v/>
      </c>
      <c r="W549" s="26" t="str">
        <f aca="false">IF($A549="","",U549*AB549/100)</f>
        <v/>
      </c>
      <c r="X549" s="26" t="str">
        <f aca="false">IF($A549="","",U549-W549)</f>
        <v/>
      </c>
      <c r="Y549" s="26" t="str">
        <f aca="false">IF($A549="","",U549-W549-M549)</f>
        <v/>
      </c>
      <c r="AB549" s="27" t="str">
        <f aca="false">IF($A549="","",IF($AK549=1,'كشف المطالبة'!$D$5,'كشف المطالبة'!$D$6)*100)</f>
        <v/>
      </c>
      <c r="AK549" s="28" t="str">
        <f aca="false">IF($A549="","",IF(OR($Q549=TRUE(),$Q549="TRUE"),1,0))</f>
        <v/>
      </c>
      <c r="AL549" s="28" t="str">
        <f aca="false">IF($N549="","",IF(MATCH($N549,$N$2:$N$3001,0)=ROWS($N$2:$N549),$N549,""))</f>
        <v/>
      </c>
    </row>
    <row r="550" customFormat="false" ht="15" hidden="false" customHeight="false" outlineLevel="0" collapsed="false">
      <c r="E550" s="25"/>
      <c r="M550" s="26" t="str">
        <f aca="false">IF($A550="","",$L550*$U550/100)</f>
        <v/>
      </c>
      <c r="W550" s="26" t="str">
        <f aca="false">IF($A550="","",U550*AB550/100)</f>
        <v/>
      </c>
      <c r="X550" s="26" t="str">
        <f aca="false">IF($A550="","",U550-W550)</f>
        <v/>
      </c>
      <c r="Y550" s="26" t="str">
        <f aca="false">IF($A550="","",U550-W550-M550)</f>
        <v/>
      </c>
      <c r="AB550" s="27" t="str">
        <f aca="false">IF($A550="","",IF($AK550=1,'كشف المطالبة'!$D$5,'كشف المطالبة'!$D$6)*100)</f>
        <v/>
      </c>
      <c r="AK550" s="28" t="str">
        <f aca="false">IF($A550="","",IF(OR($Q550=TRUE(),$Q550="TRUE"),1,0))</f>
        <v/>
      </c>
      <c r="AL550" s="28" t="str">
        <f aca="false">IF($N550="","",IF(MATCH($N550,$N$2:$N$3001,0)=ROWS($N$2:$N550),$N550,""))</f>
        <v/>
      </c>
    </row>
    <row r="551" customFormat="false" ht="15" hidden="false" customHeight="false" outlineLevel="0" collapsed="false">
      <c r="E551" s="25"/>
      <c r="M551" s="26" t="str">
        <f aca="false">IF($A551="","",$L551*$U551/100)</f>
        <v/>
      </c>
      <c r="W551" s="26" t="str">
        <f aca="false">IF($A551="","",U551*AB551/100)</f>
        <v/>
      </c>
      <c r="X551" s="26" t="str">
        <f aca="false">IF($A551="","",U551-W551)</f>
        <v/>
      </c>
      <c r="Y551" s="26" t="str">
        <f aca="false">IF($A551="","",U551-W551-M551)</f>
        <v/>
      </c>
      <c r="AB551" s="27" t="str">
        <f aca="false">IF($A551="","",IF($AK551=1,'كشف المطالبة'!$D$5,'كشف المطالبة'!$D$6)*100)</f>
        <v/>
      </c>
      <c r="AK551" s="28" t="str">
        <f aca="false">IF($A551="","",IF(OR($Q551=TRUE(),$Q551="TRUE"),1,0))</f>
        <v/>
      </c>
      <c r="AL551" s="28" t="str">
        <f aca="false">IF($N551="","",IF(MATCH($N551,$N$2:$N$3001,0)=ROWS($N$2:$N551),$N551,""))</f>
        <v/>
      </c>
    </row>
    <row r="552" customFormat="false" ht="15" hidden="false" customHeight="false" outlineLevel="0" collapsed="false">
      <c r="E552" s="25"/>
      <c r="M552" s="26" t="str">
        <f aca="false">IF($A552="","",$L552*$U552/100)</f>
        <v/>
      </c>
      <c r="W552" s="26" t="str">
        <f aca="false">IF($A552="","",U552*AB552/100)</f>
        <v/>
      </c>
      <c r="X552" s="26" t="str">
        <f aca="false">IF($A552="","",U552-W552)</f>
        <v/>
      </c>
      <c r="Y552" s="26" t="str">
        <f aca="false">IF($A552="","",U552-W552-M552)</f>
        <v/>
      </c>
      <c r="AB552" s="27" t="str">
        <f aca="false">IF($A552="","",IF($AK552=1,'كشف المطالبة'!$D$5,'كشف المطالبة'!$D$6)*100)</f>
        <v/>
      </c>
      <c r="AK552" s="28" t="str">
        <f aca="false">IF($A552="","",IF(OR($Q552=TRUE(),$Q552="TRUE"),1,0))</f>
        <v/>
      </c>
      <c r="AL552" s="28" t="str">
        <f aca="false">IF($N552="","",IF(MATCH($N552,$N$2:$N$3001,0)=ROWS($N$2:$N552),$N552,""))</f>
        <v/>
      </c>
    </row>
    <row r="553" customFormat="false" ht="15" hidden="false" customHeight="false" outlineLevel="0" collapsed="false">
      <c r="E553" s="25"/>
      <c r="M553" s="26" t="str">
        <f aca="false">IF($A553="","",$L553*$U553/100)</f>
        <v/>
      </c>
      <c r="W553" s="26" t="str">
        <f aca="false">IF($A553="","",U553*AB553/100)</f>
        <v/>
      </c>
      <c r="X553" s="26" t="str">
        <f aca="false">IF($A553="","",U553-W553)</f>
        <v/>
      </c>
      <c r="Y553" s="26" t="str">
        <f aca="false">IF($A553="","",U553-W553-M553)</f>
        <v/>
      </c>
      <c r="AB553" s="27" t="str">
        <f aca="false">IF($A553="","",IF($AK553=1,'كشف المطالبة'!$D$5,'كشف المطالبة'!$D$6)*100)</f>
        <v/>
      </c>
      <c r="AK553" s="28" t="str">
        <f aca="false">IF($A553="","",IF(OR($Q553=TRUE(),$Q553="TRUE"),1,0))</f>
        <v/>
      </c>
      <c r="AL553" s="28" t="str">
        <f aca="false">IF($N553="","",IF(MATCH($N553,$N$2:$N$3001,0)=ROWS($N$2:$N553),$N553,""))</f>
        <v/>
      </c>
    </row>
    <row r="554" customFormat="false" ht="15" hidden="false" customHeight="false" outlineLevel="0" collapsed="false">
      <c r="E554" s="25"/>
      <c r="M554" s="26" t="str">
        <f aca="false">IF($A554="","",$L554*$U554/100)</f>
        <v/>
      </c>
      <c r="W554" s="26" t="str">
        <f aca="false">IF($A554="","",U554*AB554/100)</f>
        <v/>
      </c>
      <c r="X554" s="26" t="str">
        <f aca="false">IF($A554="","",U554-W554)</f>
        <v/>
      </c>
      <c r="Y554" s="26" t="str">
        <f aca="false">IF($A554="","",U554-W554-M554)</f>
        <v/>
      </c>
      <c r="AB554" s="27" t="str">
        <f aca="false">IF($A554="","",IF($AK554=1,'كشف المطالبة'!$D$5,'كشف المطالبة'!$D$6)*100)</f>
        <v/>
      </c>
      <c r="AK554" s="28" t="str">
        <f aca="false">IF($A554="","",IF(OR($Q554=TRUE(),$Q554="TRUE"),1,0))</f>
        <v/>
      </c>
      <c r="AL554" s="28" t="str">
        <f aca="false">IF($N554="","",IF(MATCH($N554,$N$2:$N$3001,0)=ROWS($N$2:$N554),$N554,""))</f>
        <v/>
      </c>
    </row>
    <row r="555" customFormat="false" ht="15" hidden="false" customHeight="false" outlineLevel="0" collapsed="false">
      <c r="E555" s="25"/>
      <c r="M555" s="26" t="str">
        <f aca="false">IF($A555="","",$L555*$U555/100)</f>
        <v/>
      </c>
      <c r="W555" s="26" t="str">
        <f aca="false">IF($A555="","",U555*AB555/100)</f>
        <v/>
      </c>
      <c r="X555" s="26" t="str">
        <f aca="false">IF($A555="","",U555-W555)</f>
        <v/>
      </c>
      <c r="Y555" s="26" t="str">
        <f aca="false">IF($A555="","",U555-W555-M555)</f>
        <v/>
      </c>
      <c r="AB555" s="27" t="str">
        <f aca="false">IF($A555="","",IF($AK555=1,'كشف المطالبة'!$D$5,'كشف المطالبة'!$D$6)*100)</f>
        <v/>
      </c>
      <c r="AK555" s="28" t="str">
        <f aca="false">IF($A555="","",IF(OR($Q555=TRUE(),$Q555="TRUE"),1,0))</f>
        <v/>
      </c>
      <c r="AL555" s="28" t="str">
        <f aca="false">IF($N555="","",IF(MATCH($N555,$N$2:$N$3001,0)=ROWS($N$2:$N555),$N555,""))</f>
        <v/>
      </c>
    </row>
    <row r="556" customFormat="false" ht="15" hidden="false" customHeight="false" outlineLevel="0" collapsed="false">
      <c r="E556" s="25"/>
      <c r="M556" s="26" t="str">
        <f aca="false">IF($A556="","",$L556*$U556/100)</f>
        <v/>
      </c>
      <c r="W556" s="26" t="str">
        <f aca="false">IF($A556="","",U556*AB556/100)</f>
        <v/>
      </c>
      <c r="X556" s="26" t="str">
        <f aca="false">IF($A556="","",U556-W556)</f>
        <v/>
      </c>
      <c r="Y556" s="26" t="str">
        <f aca="false">IF($A556="","",U556-W556-M556)</f>
        <v/>
      </c>
      <c r="AB556" s="27" t="str">
        <f aca="false">IF($A556="","",IF($AK556=1,'كشف المطالبة'!$D$5,'كشف المطالبة'!$D$6)*100)</f>
        <v/>
      </c>
      <c r="AK556" s="28" t="str">
        <f aca="false">IF($A556="","",IF(OR($Q556=TRUE(),$Q556="TRUE"),1,0))</f>
        <v/>
      </c>
      <c r="AL556" s="28" t="str">
        <f aca="false">IF($N556="","",IF(MATCH($N556,$N$2:$N$3001,0)=ROWS($N$2:$N556),$N556,""))</f>
        <v/>
      </c>
    </row>
    <row r="557" customFormat="false" ht="15" hidden="false" customHeight="false" outlineLevel="0" collapsed="false">
      <c r="E557" s="25"/>
      <c r="M557" s="26" t="str">
        <f aca="false">IF($A557="","",$L557*$U557/100)</f>
        <v/>
      </c>
      <c r="W557" s="26" t="str">
        <f aca="false">IF($A557="","",U557*AB557/100)</f>
        <v/>
      </c>
      <c r="X557" s="26" t="str">
        <f aca="false">IF($A557="","",U557-W557)</f>
        <v/>
      </c>
      <c r="Y557" s="26" t="str">
        <f aca="false">IF($A557="","",U557-W557-M557)</f>
        <v/>
      </c>
      <c r="AB557" s="27" t="str">
        <f aca="false">IF($A557="","",IF($AK557=1,'كشف المطالبة'!$D$5,'كشف المطالبة'!$D$6)*100)</f>
        <v/>
      </c>
      <c r="AK557" s="28" t="str">
        <f aca="false">IF($A557="","",IF(OR($Q557=TRUE(),$Q557="TRUE"),1,0))</f>
        <v/>
      </c>
      <c r="AL557" s="28" t="str">
        <f aca="false">IF($N557="","",IF(MATCH($N557,$N$2:$N$3001,0)=ROWS($N$2:$N557),$N557,""))</f>
        <v/>
      </c>
    </row>
    <row r="558" customFormat="false" ht="15" hidden="false" customHeight="false" outlineLevel="0" collapsed="false">
      <c r="E558" s="25"/>
      <c r="M558" s="26" t="str">
        <f aca="false">IF($A558="","",$L558*$U558/100)</f>
        <v/>
      </c>
      <c r="W558" s="26" t="str">
        <f aca="false">IF($A558="","",U558*AB558/100)</f>
        <v/>
      </c>
      <c r="X558" s="26" t="str">
        <f aca="false">IF($A558="","",U558-W558)</f>
        <v/>
      </c>
      <c r="Y558" s="26" t="str">
        <f aca="false">IF($A558="","",U558-W558-M558)</f>
        <v/>
      </c>
      <c r="AB558" s="27" t="str">
        <f aca="false">IF($A558="","",IF($AK558=1,'كشف المطالبة'!$D$5,'كشف المطالبة'!$D$6)*100)</f>
        <v/>
      </c>
      <c r="AK558" s="28" t="str">
        <f aca="false">IF($A558="","",IF(OR($Q558=TRUE(),$Q558="TRUE"),1,0))</f>
        <v/>
      </c>
      <c r="AL558" s="28" t="str">
        <f aca="false">IF($N558="","",IF(MATCH($N558,$N$2:$N$3001,0)=ROWS($N$2:$N558),$N558,""))</f>
        <v/>
      </c>
    </row>
    <row r="559" customFormat="false" ht="15" hidden="false" customHeight="false" outlineLevel="0" collapsed="false">
      <c r="E559" s="25"/>
      <c r="M559" s="26" t="str">
        <f aca="false">IF($A559="","",$L559*$U559/100)</f>
        <v/>
      </c>
      <c r="W559" s="26" t="str">
        <f aca="false">IF($A559="","",U559*AB559/100)</f>
        <v/>
      </c>
      <c r="X559" s="26" t="str">
        <f aca="false">IF($A559="","",U559-W559)</f>
        <v/>
      </c>
      <c r="Y559" s="26" t="str">
        <f aca="false">IF($A559="","",U559-W559-M559)</f>
        <v/>
      </c>
      <c r="AB559" s="27" t="str">
        <f aca="false">IF($A559="","",IF($AK559=1,'كشف المطالبة'!$D$5,'كشف المطالبة'!$D$6)*100)</f>
        <v/>
      </c>
      <c r="AK559" s="28" t="str">
        <f aca="false">IF($A559="","",IF(OR($Q559=TRUE(),$Q559="TRUE"),1,0))</f>
        <v/>
      </c>
      <c r="AL559" s="28" t="str">
        <f aca="false">IF($N559="","",IF(MATCH($N559,$N$2:$N$3001,0)=ROWS($N$2:$N559),$N559,""))</f>
        <v/>
      </c>
    </row>
    <row r="560" customFormat="false" ht="15" hidden="false" customHeight="false" outlineLevel="0" collapsed="false">
      <c r="E560" s="25"/>
      <c r="M560" s="26" t="str">
        <f aca="false">IF($A560="","",$L560*$U560/100)</f>
        <v/>
      </c>
      <c r="W560" s="26" t="str">
        <f aca="false">IF($A560="","",U560*AB560/100)</f>
        <v/>
      </c>
      <c r="X560" s="26" t="str">
        <f aca="false">IF($A560="","",U560-W560)</f>
        <v/>
      </c>
      <c r="Y560" s="26" t="str">
        <f aca="false">IF($A560="","",U560-W560-M560)</f>
        <v/>
      </c>
      <c r="AB560" s="27" t="str">
        <f aca="false">IF($A560="","",IF($AK560=1,'كشف المطالبة'!$D$5,'كشف المطالبة'!$D$6)*100)</f>
        <v/>
      </c>
      <c r="AK560" s="28" t="str">
        <f aca="false">IF($A560="","",IF(OR($Q560=TRUE(),$Q560="TRUE"),1,0))</f>
        <v/>
      </c>
      <c r="AL560" s="28" t="str">
        <f aca="false">IF($N560="","",IF(MATCH($N560,$N$2:$N$3001,0)=ROWS($N$2:$N560),$N560,""))</f>
        <v/>
      </c>
    </row>
    <row r="561" customFormat="false" ht="15" hidden="false" customHeight="false" outlineLevel="0" collapsed="false">
      <c r="E561" s="25"/>
      <c r="M561" s="26" t="str">
        <f aca="false">IF($A561="","",$L561*$U561/100)</f>
        <v/>
      </c>
      <c r="W561" s="26" t="str">
        <f aca="false">IF($A561="","",U561*AB561/100)</f>
        <v/>
      </c>
      <c r="X561" s="26" t="str">
        <f aca="false">IF($A561="","",U561-W561)</f>
        <v/>
      </c>
      <c r="Y561" s="26" t="str">
        <f aca="false">IF($A561="","",U561-W561-M561)</f>
        <v/>
      </c>
      <c r="AB561" s="27" t="str">
        <f aca="false">IF($A561="","",IF($AK561=1,'كشف المطالبة'!$D$5,'كشف المطالبة'!$D$6)*100)</f>
        <v/>
      </c>
      <c r="AK561" s="28" t="str">
        <f aca="false">IF($A561="","",IF(OR($Q561=TRUE(),$Q561="TRUE"),1,0))</f>
        <v/>
      </c>
      <c r="AL561" s="28" t="str">
        <f aca="false">IF($N561="","",IF(MATCH($N561,$N$2:$N$3001,0)=ROWS($N$2:$N561),$N561,""))</f>
        <v/>
      </c>
    </row>
    <row r="562" customFormat="false" ht="15" hidden="false" customHeight="false" outlineLevel="0" collapsed="false">
      <c r="E562" s="25"/>
      <c r="M562" s="26" t="str">
        <f aca="false">IF($A562="","",$L562*$U562/100)</f>
        <v/>
      </c>
      <c r="W562" s="26" t="str">
        <f aca="false">IF($A562="","",U562*AB562/100)</f>
        <v/>
      </c>
      <c r="X562" s="26" t="str">
        <f aca="false">IF($A562="","",U562-W562)</f>
        <v/>
      </c>
      <c r="Y562" s="26" t="str">
        <f aca="false">IF($A562="","",U562-W562-M562)</f>
        <v/>
      </c>
      <c r="AB562" s="27" t="str">
        <f aca="false">IF($A562="","",IF($AK562=1,'كشف المطالبة'!$D$5,'كشف المطالبة'!$D$6)*100)</f>
        <v/>
      </c>
      <c r="AK562" s="28" t="str">
        <f aca="false">IF($A562="","",IF(OR($Q562=TRUE(),$Q562="TRUE"),1,0))</f>
        <v/>
      </c>
      <c r="AL562" s="28" t="str">
        <f aca="false">IF($N562="","",IF(MATCH($N562,$N$2:$N$3001,0)=ROWS($N$2:$N562),$N562,""))</f>
        <v/>
      </c>
    </row>
    <row r="563" customFormat="false" ht="15" hidden="false" customHeight="false" outlineLevel="0" collapsed="false">
      <c r="E563" s="25"/>
      <c r="M563" s="26" t="str">
        <f aca="false">IF($A563="","",$L563*$U563/100)</f>
        <v/>
      </c>
      <c r="W563" s="26" t="str">
        <f aca="false">IF($A563="","",U563*AB563/100)</f>
        <v/>
      </c>
      <c r="X563" s="26" t="str">
        <f aca="false">IF($A563="","",U563-W563)</f>
        <v/>
      </c>
      <c r="Y563" s="26" t="str">
        <f aca="false">IF($A563="","",U563-W563-M563)</f>
        <v/>
      </c>
      <c r="AB563" s="27" t="str">
        <f aca="false">IF($A563="","",IF($AK563=1,'كشف المطالبة'!$D$5,'كشف المطالبة'!$D$6)*100)</f>
        <v/>
      </c>
      <c r="AK563" s="28" t="str">
        <f aca="false">IF($A563="","",IF(OR($Q563=TRUE(),$Q563="TRUE"),1,0))</f>
        <v/>
      </c>
      <c r="AL563" s="28" t="str">
        <f aca="false">IF($N563="","",IF(MATCH($N563,$N$2:$N$3001,0)=ROWS($N$2:$N563),$N563,""))</f>
        <v/>
      </c>
    </row>
    <row r="564" customFormat="false" ht="15" hidden="false" customHeight="false" outlineLevel="0" collapsed="false">
      <c r="E564" s="25"/>
      <c r="M564" s="26" t="str">
        <f aca="false">IF($A564="","",$L564*$U564/100)</f>
        <v/>
      </c>
      <c r="W564" s="26" t="str">
        <f aca="false">IF($A564="","",U564*AB564/100)</f>
        <v/>
      </c>
      <c r="X564" s="26" t="str">
        <f aca="false">IF($A564="","",U564-W564)</f>
        <v/>
      </c>
      <c r="Y564" s="26" t="str">
        <f aca="false">IF($A564="","",U564-W564-M564)</f>
        <v/>
      </c>
      <c r="AB564" s="27" t="str">
        <f aca="false">IF($A564="","",IF($AK564=1,'كشف المطالبة'!$D$5,'كشف المطالبة'!$D$6)*100)</f>
        <v/>
      </c>
      <c r="AK564" s="28" t="str">
        <f aca="false">IF($A564="","",IF(OR($Q564=TRUE(),$Q564="TRUE"),1,0))</f>
        <v/>
      </c>
      <c r="AL564" s="28" t="str">
        <f aca="false">IF($N564="","",IF(MATCH($N564,$N$2:$N$3001,0)=ROWS($N$2:$N564),$N564,""))</f>
        <v/>
      </c>
    </row>
    <row r="565" customFormat="false" ht="15" hidden="false" customHeight="false" outlineLevel="0" collapsed="false">
      <c r="E565" s="25"/>
      <c r="M565" s="26" t="str">
        <f aca="false">IF($A565="","",$L565*$U565/100)</f>
        <v/>
      </c>
      <c r="W565" s="26" t="str">
        <f aca="false">IF($A565="","",U565*AB565/100)</f>
        <v/>
      </c>
      <c r="X565" s="26" t="str">
        <f aca="false">IF($A565="","",U565-W565)</f>
        <v/>
      </c>
      <c r="Y565" s="26" t="str">
        <f aca="false">IF($A565="","",U565-W565-M565)</f>
        <v/>
      </c>
      <c r="AB565" s="27" t="str">
        <f aca="false">IF($A565="","",IF($AK565=1,'كشف المطالبة'!$D$5,'كشف المطالبة'!$D$6)*100)</f>
        <v/>
      </c>
      <c r="AK565" s="28" t="str">
        <f aca="false">IF($A565="","",IF(OR($Q565=TRUE(),$Q565="TRUE"),1,0))</f>
        <v/>
      </c>
      <c r="AL565" s="28" t="str">
        <f aca="false">IF($N565="","",IF(MATCH($N565,$N$2:$N$3001,0)=ROWS($N$2:$N565),$N565,""))</f>
        <v/>
      </c>
    </row>
    <row r="566" customFormat="false" ht="15" hidden="false" customHeight="false" outlineLevel="0" collapsed="false">
      <c r="E566" s="25"/>
      <c r="M566" s="26" t="str">
        <f aca="false">IF($A566="","",$L566*$U566/100)</f>
        <v/>
      </c>
      <c r="W566" s="26" t="str">
        <f aca="false">IF($A566="","",U566*AB566/100)</f>
        <v/>
      </c>
      <c r="X566" s="26" t="str">
        <f aca="false">IF($A566="","",U566-W566)</f>
        <v/>
      </c>
      <c r="Y566" s="26" t="str">
        <f aca="false">IF($A566="","",U566-W566-M566)</f>
        <v/>
      </c>
      <c r="AB566" s="27" t="str">
        <f aca="false">IF($A566="","",IF($AK566=1,'كشف المطالبة'!$D$5,'كشف المطالبة'!$D$6)*100)</f>
        <v/>
      </c>
      <c r="AK566" s="28" t="str">
        <f aca="false">IF($A566="","",IF(OR($Q566=TRUE(),$Q566="TRUE"),1,0))</f>
        <v/>
      </c>
      <c r="AL566" s="28" t="str">
        <f aca="false">IF($N566="","",IF(MATCH($N566,$N$2:$N$3001,0)=ROWS($N$2:$N566),$N566,""))</f>
        <v/>
      </c>
    </row>
    <row r="567" customFormat="false" ht="15" hidden="false" customHeight="false" outlineLevel="0" collapsed="false">
      <c r="E567" s="25"/>
      <c r="M567" s="26" t="str">
        <f aca="false">IF($A567="","",$L567*$U567/100)</f>
        <v/>
      </c>
      <c r="W567" s="26" t="str">
        <f aca="false">IF($A567="","",U567*AB567/100)</f>
        <v/>
      </c>
      <c r="X567" s="26" t="str">
        <f aca="false">IF($A567="","",U567-W567)</f>
        <v/>
      </c>
      <c r="Y567" s="26" t="str">
        <f aca="false">IF($A567="","",U567-W567-M567)</f>
        <v/>
      </c>
      <c r="AB567" s="27" t="str">
        <f aca="false">IF($A567="","",IF($AK567=1,'كشف المطالبة'!$D$5,'كشف المطالبة'!$D$6)*100)</f>
        <v/>
      </c>
      <c r="AK567" s="28" t="str">
        <f aca="false">IF($A567="","",IF(OR($Q567=TRUE(),$Q567="TRUE"),1,0))</f>
        <v/>
      </c>
      <c r="AL567" s="28" t="str">
        <f aca="false">IF($N567="","",IF(MATCH($N567,$N$2:$N$3001,0)=ROWS($N$2:$N567),$N567,""))</f>
        <v/>
      </c>
    </row>
    <row r="568" customFormat="false" ht="15" hidden="false" customHeight="false" outlineLevel="0" collapsed="false">
      <c r="E568" s="25"/>
      <c r="M568" s="26" t="str">
        <f aca="false">IF($A568="","",$L568*$U568/100)</f>
        <v/>
      </c>
      <c r="W568" s="26" t="str">
        <f aca="false">IF($A568="","",U568*AB568/100)</f>
        <v/>
      </c>
      <c r="X568" s="26" t="str">
        <f aca="false">IF($A568="","",U568-W568)</f>
        <v/>
      </c>
      <c r="Y568" s="26" t="str">
        <f aca="false">IF($A568="","",U568-W568-M568)</f>
        <v/>
      </c>
      <c r="AB568" s="27" t="str">
        <f aca="false">IF($A568="","",IF($AK568=1,'كشف المطالبة'!$D$5,'كشف المطالبة'!$D$6)*100)</f>
        <v/>
      </c>
      <c r="AK568" s="28" t="str">
        <f aca="false">IF($A568="","",IF(OR($Q568=TRUE(),$Q568="TRUE"),1,0))</f>
        <v/>
      </c>
      <c r="AL568" s="28" t="str">
        <f aca="false">IF($N568="","",IF(MATCH($N568,$N$2:$N$3001,0)=ROWS($N$2:$N568),$N568,""))</f>
        <v/>
      </c>
    </row>
    <row r="569" customFormat="false" ht="15" hidden="false" customHeight="false" outlineLevel="0" collapsed="false">
      <c r="E569" s="25"/>
      <c r="M569" s="26" t="str">
        <f aca="false">IF($A569="","",$L569*$U569/100)</f>
        <v/>
      </c>
      <c r="W569" s="26" t="str">
        <f aca="false">IF($A569="","",U569*AB569/100)</f>
        <v/>
      </c>
      <c r="X569" s="26" t="str">
        <f aca="false">IF($A569="","",U569-W569)</f>
        <v/>
      </c>
      <c r="Y569" s="26" t="str">
        <f aca="false">IF($A569="","",U569-W569-M569)</f>
        <v/>
      </c>
      <c r="AB569" s="27" t="str">
        <f aca="false">IF($A569="","",IF($AK569=1,'كشف المطالبة'!$D$5,'كشف المطالبة'!$D$6)*100)</f>
        <v/>
      </c>
      <c r="AK569" s="28" t="str">
        <f aca="false">IF($A569="","",IF(OR($Q569=TRUE(),$Q569="TRUE"),1,0))</f>
        <v/>
      </c>
      <c r="AL569" s="28" t="str">
        <f aca="false">IF($N569="","",IF(MATCH($N569,$N$2:$N$3001,0)=ROWS($N$2:$N569),$N569,""))</f>
        <v/>
      </c>
    </row>
    <row r="570" customFormat="false" ht="15" hidden="false" customHeight="false" outlineLevel="0" collapsed="false">
      <c r="E570" s="25"/>
      <c r="M570" s="26" t="str">
        <f aca="false">IF($A570="","",$L570*$U570/100)</f>
        <v/>
      </c>
      <c r="W570" s="26" t="str">
        <f aca="false">IF($A570="","",U570*AB570/100)</f>
        <v/>
      </c>
      <c r="X570" s="26" t="str">
        <f aca="false">IF($A570="","",U570-W570)</f>
        <v/>
      </c>
      <c r="Y570" s="26" t="str">
        <f aca="false">IF($A570="","",U570-W570-M570)</f>
        <v/>
      </c>
      <c r="AB570" s="27" t="str">
        <f aca="false">IF($A570="","",IF($AK570=1,'كشف المطالبة'!$D$5,'كشف المطالبة'!$D$6)*100)</f>
        <v/>
      </c>
      <c r="AK570" s="28" t="str">
        <f aca="false">IF($A570="","",IF(OR($Q570=TRUE(),$Q570="TRUE"),1,0))</f>
        <v/>
      </c>
      <c r="AL570" s="28" t="str">
        <f aca="false">IF($N570="","",IF(MATCH($N570,$N$2:$N$3001,0)=ROWS($N$2:$N570),$N570,""))</f>
        <v/>
      </c>
    </row>
    <row r="571" customFormat="false" ht="15" hidden="false" customHeight="false" outlineLevel="0" collapsed="false">
      <c r="E571" s="25"/>
      <c r="M571" s="26" t="str">
        <f aca="false">IF($A571="","",$L571*$U571/100)</f>
        <v/>
      </c>
      <c r="W571" s="26" t="str">
        <f aca="false">IF($A571="","",U571*AB571/100)</f>
        <v/>
      </c>
      <c r="X571" s="26" t="str">
        <f aca="false">IF($A571="","",U571-W571)</f>
        <v/>
      </c>
      <c r="Y571" s="26" t="str">
        <f aca="false">IF($A571="","",U571-W571-M571)</f>
        <v/>
      </c>
      <c r="AB571" s="27" t="str">
        <f aca="false">IF($A571="","",IF($AK571=1,'كشف المطالبة'!$D$5,'كشف المطالبة'!$D$6)*100)</f>
        <v/>
      </c>
      <c r="AK571" s="28" t="str">
        <f aca="false">IF($A571="","",IF(OR($Q571=TRUE(),$Q571="TRUE"),1,0))</f>
        <v/>
      </c>
      <c r="AL571" s="28" t="str">
        <f aca="false">IF($N571="","",IF(MATCH($N571,$N$2:$N$3001,0)=ROWS($N$2:$N571),$N571,""))</f>
        <v/>
      </c>
    </row>
    <row r="572" customFormat="false" ht="15" hidden="false" customHeight="false" outlineLevel="0" collapsed="false">
      <c r="E572" s="25"/>
      <c r="M572" s="26" t="str">
        <f aca="false">IF($A572="","",$L572*$U572/100)</f>
        <v/>
      </c>
      <c r="W572" s="26" t="str">
        <f aca="false">IF($A572="","",U572*AB572/100)</f>
        <v/>
      </c>
      <c r="X572" s="26" t="str">
        <f aca="false">IF($A572="","",U572-W572)</f>
        <v/>
      </c>
      <c r="Y572" s="26" t="str">
        <f aca="false">IF($A572="","",U572-W572-M572)</f>
        <v/>
      </c>
      <c r="AB572" s="27" t="str">
        <f aca="false">IF($A572="","",IF($AK572=1,'كشف المطالبة'!$D$5,'كشف المطالبة'!$D$6)*100)</f>
        <v/>
      </c>
      <c r="AK572" s="28" t="str">
        <f aca="false">IF($A572="","",IF(OR($Q572=TRUE(),$Q572="TRUE"),1,0))</f>
        <v/>
      </c>
      <c r="AL572" s="28" t="str">
        <f aca="false">IF($N572="","",IF(MATCH($N572,$N$2:$N$3001,0)=ROWS($N$2:$N572),$N572,""))</f>
        <v/>
      </c>
    </row>
    <row r="573" customFormat="false" ht="15" hidden="false" customHeight="false" outlineLevel="0" collapsed="false">
      <c r="E573" s="25"/>
      <c r="M573" s="26" t="str">
        <f aca="false">IF($A573="","",$L573*$U573/100)</f>
        <v/>
      </c>
      <c r="W573" s="26" t="str">
        <f aca="false">IF($A573="","",U573*AB573/100)</f>
        <v/>
      </c>
      <c r="X573" s="26" t="str">
        <f aca="false">IF($A573="","",U573-W573)</f>
        <v/>
      </c>
      <c r="Y573" s="26" t="str">
        <f aca="false">IF($A573="","",U573-W573-M573)</f>
        <v/>
      </c>
      <c r="AB573" s="27" t="str">
        <f aca="false">IF($A573="","",IF($AK573=1,'كشف المطالبة'!$D$5,'كشف المطالبة'!$D$6)*100)</f>
        <v/>
      </c>
      <c r="AK573" s="28" t="str">
        <f aca="false">IF($A573="","",IF(OR($Q573=TRUE(),$Q573="TRUE"),1,0))</f>
        <v/>
      </c>
      <c r="AL573" s="28" t="str">
        <f aca="false">IF($N573="","",IF(MATCH($N573,$N$2:$N$3001,0)=ROWS($N$2:$N573),$N573,""))</f>
        <v/>
      </c>
    </row>
    <row r="574" customFormat="false" ht="15" hidden="false" customHeight="false" outlineLevel="0" collapsed="false">
      <c r="E574" s="25"/>
      <c r="M574" s="26" t="str">
        <f aca="false">IF($A574="","",$L574*$U574/100)</f>
        <v/>
      </c>
      <c r="W574" s="26" t="str">
        <f aca="false">IF($A574="","",U574*AB574/100)</f>
        <v/>
      </c>
      <c r="X574" s="26" t="str">
        <f aca="false">IF($A574="","",U574-W574)</f>
        <v/>
      </c>
      <c r="Y574" s="26" t="str">
        <f aca="false">IF($A574="","",U574-W574-M574)</f>
        <v/>
      </c>
      <c r="AB574" s="27" t="str">
        <f aca="false">IF($A574="","",IF($AK574=1,'كشف المطالبة'!$D$5,'كشف المطالبة'!$D$6)*100)</f>
        <v/>
      </c>
      <c r="AK574" s="28" t="str">
        <f aca="false">IF($A574="","",IF(OR($Q574=TRUE(),$Q574="TRUE"),1,0))</f>
        <v/>
      </c>
      <c r="AL574" s="28" t="str">
        <f aca="false">IF($N574="","",IF(MATCH($N574,$N$2:$N$3001,0)=ROWS($N$2:$N574),$N574,""))</f>
        <v/>
      </c>
    </row>
    <row r="575" customFormat="false" ht="15" hidden="false" customHeight="false" outlineLevel="0" collapsed="false">
      <c r="E575" s="25"/>
      <c r="M575" s="26" t="str">
        <f aca="false">IF($A575="","",$L575*$U575/100)</f>
        <v/>
      </c>
      <c r="W575" s="26" t="str">
        <f aca="false">IF($A575="","",U575*AB575/100)</f>
        <v/>
      </c>
      <c r="X575" s="26" t="str">
        <f aca="false">IF($A575="","",U575-W575)</f>
        <v/>
      </c>
      <c r="Y575" s="26" t="str">
        <f aca="false">IF($A575="","",U575-W575-M575)</f>
        <v/>
      </c>
      <c r="AB575" s="27" t="str">
        <f aca="false">IF($A575="","",IF($AK575=1,'كشف المطالبة'!$D$5,'كشف المطالبة'!$D$6)*100)</f>
        <v/>
      </c>
      <c r="AK575" s="28" t="str">
        <f aca="false">IF($A575="","",IF(OR($Q575=TRUE(),$Q575="TRUE"),1,0))</f>
        <v/>
      </c>
      <c r="AL575" s="28" t="str">
        <f aca="false">IF($N575="","",IF(MATCH($N575,$N$2:$N$3001,0)=ROWS($N$2:$N575),$N575,""))</f>
        <v/>
      </c>
    </row>
    <row r="576" customFormat="false" ht="15" hidden="false" customHeight="false" outlineLevel="0" collapsed="false">
      <c r="E576" s="25"/>
      <c r="M576" s="26" t="str">
        <f aca="false">IF($A576="","",$L576*$U576/100)</f>
        <v/>
      </c>
      <c r="W576" s="26" t="str">
        <f aca="false">IF($A576="","",U576*AB576/100)</f>
        <v/>
      </c>
      <c r="X576" s="26" t="str">
        <f aca="false">IF($A576="","",U576-W576)</f>
        <v/>
      </c>
      <c r="Y576" s="26" t="str">
        <f aca="false">IF($A576="","",U576-W576-M576)</f>
        <v/>
      </c>
      <c r="AB576" s="27" t="str">
        <f aca="false">IF($A576="","",IF($AK576=1,'كشف المطالبة'!$D$5,'كشف المطالبة'!$D$6)*100)</f>
        <v/>
      </c>
      <c r="AK576" s="28" t="str">
        <f aca="false">IF($A576="","",IF(OR($Q576=TRUE(),$Q576="TRUE"),1,0))</f>
        <v/>
      </c>
      <c r="AL576" s="28" t="str">
        <f aca="false">IF($N576="","",IF(MATCH($N576,$N$2:$N$3001,0)=ROWS($N$2:$N576),$N576,""))</f>
        <v/>
      </c>
    </row>
    <row r="577" customFormat="false" ht="15" hidden="false" customHeight="false" outlineLevel="0" collapsed="false">
      <c r="E577" s="25"/>
      <c r="M577" s="26" t="str">
        <f aca="false">IF($A577="","",$L577*$U577/100)</f>
        <v/>
      </c>
      <c r="W577" s="26" t="str">
        <f aca="false">IF($A577="","",U577*AB577/100)</f>
        <v/>
      </c>
      <c r="X577" s="26" t="str">
        <f aca="false">IF($A577="","",U577-W577)</f>
        <v/>
      </c>
      <c r="Y577" s="26" t="str">
        <f aca="false">IF($A577="","",U577-W577-M577)</f>
        <v/>
      </c>
      <c r="AB577" s="27" t="str">
        <f aca="false">IF($A577="","",IF($AK577=1,'كشف المطالبة'!$D$5,'كشف المطالبة'!$D$6)*100)</f>
        <v/>
      </c>
      <c r="AK577" s="28" t="str">
        <f aca="false">IF($A577="","",IF(OR($Q577=TRUE(),$Q577="TRUE"),1,0))</f>
        <v/>
      </c>
      <c r="AL577" s="28" t="str">
        <f aca="false">IF($N577="","",IF(MATCH($N577,$N$2:$N$3001,0)=ROWS($N$2:$N577),$N577,""))</f>
        <v/>
      </c>
    </row>
    <row r="578" customFormat="false" ht="15" hidden="false" customHeight="false" outlineLevel="0" collapsed="false">
      <c r="E578" s="25"/>
      <c r="M578" s="26" t="str">
        <f aca="false">IF($A578="","",$L578*$U578/100)</f>
        <v/>
      </c>
      <c r="W578" s="26" t="str">
        <f aca="false">IF($A578="","",U578*AB578/100)</f>
        <v/>
      </c>
      <c r="X578" s="26" t="str">
        <f aca="false">IF($A578="","",U578-W578)</f>
        <v/>
      </c>
      <c r="Y578" s="26" t="str">
        <f aca="false">IF($A578="","",U578-W578-M578)</f>
        <v/>
      </c>
      <c r="AB578" s="27" t="str">
        <f aca="false">IF($A578="","",IF($AK578=1,'كشف المطالبة'!$D$5,'كشف المطالبة'!$D$6)*100)</f>
        <v/>
      </c>
      <c r="AK578" s="28" t="str">
        <f aca="false">IF($A578="","",IF(OR($Q578=TRUE(),$Q578="TRUE"),1,0))</f>
        <v/>
      </c>
      <c r="AL578" s="28" t="str">
        <f aca="false">IF($N578="","",IF(MATCH($N578,$N$2:$N$3001,0)=ROWS($N$2:$N578),$N578,""))</f>
        <v/>
      </c>
    </row>
    <row r="579" customFormat="false" ht="15" hidden="false" customHeight="false" outlineLevel="0" collapsed="false">
      <c r="E579" s="25"/>
      <c r="M579" s="26" t="str">
        <f aca="false">IF($A579="","",$L579*$U579/100)</f>
        <v/>
      </c>
      <c r="W579" s="26" t="str">
        <f aca="false">IF($A579="","",U579*AB579/100)</f>
        <v/>
      </c>
      <c r="X579" s="26" t="str">
        <f aca="false">IF($A579="","",U579-W579)</f>
        <v/>
      </c>
      <c r="Y579" s="26" t="str">
        <f aca="false">IF($A579="","",U579-W579-M579)</f>
        <v/>
      </c>
      <c r="AB579" s="27" t="str">
        <f aca="false">IF($A579="","",IF($AK579=1,'كشف المطالبة'!$D$5,'كشف المطالبة'!$D$6)*100)</f>
        <v/>
      </c>
      <c r="AK579" s="28" t="str">
        <f aca="false">IF($A579="","",IF(OR($Q579=TRUE(),$Q579="TRUE"),1,0))</f>
        <v/>
      </c>
      <c r="AL579" s="28" t="str">
        <f aca="false">IF($N579="","",IF(MATCH($N579,$N$2:$N$3001,0)=ROWS($N$2:$N579),$N579,""))</f>
        <v/>
      </c>
    </row>
    <row r="580" customFormat="false" ht="15" hidden="false" customHeight="false" outlineLevel="0" collapsed="false">
      <c r="E580" s="25"/>
      <c r="M580" s="26" t="str">
        <f aca="false">IF($A580="","",$L580*$U580/100)</f>
        <v/>
      </c>
      <c r="W580" s="26" t="str">
        <f aca="false">IF($A580="","",U580*AB580/100)</f>
        <v/>
      </c>
      <c r="X580" s="26" t="str">
        <f aca="false">IF($A580="","",U580-W580)</f>
        <v/>
      </c>
      <c r="Y580" s="26" t="str">
        <f aca="false">IF($A580="","",U580-W580-M580)</f>
        <v/>
      </c>
      <c r="AB580" s="27" t="str">
        <f aca="false">IF($A580="","",IF($AK580=1,'كشف المطالبة'!$D$5,'كشف المطالبة'!$D$6)*100)</f>
        <v/>
      </c>
      <c r="AK580" s="28" t="str">
        <f aca="false">IF($A580="","",IF(OR($Q580=TRUE(),$Q580="TRUE"),1,0))</f>
        <v/>
      </c>
      <c r="AL580" s="28" t="str">
        <f aca="false">IF($N580="","",IF(MATCH($N580,$N$2:$N$3001,0)=ROWS($N$2:$N580),$N580,""))</f>
        <v/>
      </c>
    </row>
    <row r="581" customFormat="false" ht="15" hidden="false" customHeight="false" outlineLevel="0" collapsed="false">
      <c r="E581" s="25"/>
      <c r="M581" s="26" t="str">
        <f aca="false">IF($A581="","",$L581*$U581/100)</f>
        <v/>
      </c>
      <c r="W581" s="26" t="str">
        <f aca="false">IF($A581="","",U581*AB581/100)</f>
        <v/>
      </c>
      <c r="X581" s="26" t="str">
        <f aca="false">IF($A581="","",U581-W581)</f>
        <v/>
      </c>
      <c r="Y581" s="26" t="str">
        <f aca="false">IF($A581="","",U581-W581-M581)</f>
        <v/>
      </c>
      <c r="AB581" s="27" t="str">
        <f aca="false">IF($A581="","",IF($AK581=1,'كشف المطالبة'!$D$5,'كشف المطالبة'!$D$6)*100)</f>
        <v/>
      </c>
      <c r="AK581" s="28" t="str">
        <f aca="false">IF($A581="","",IF(OR($Q581=TRUE(),$Q581="TRUE"),1,0))</f>
        <v/>
      </c>
      <c r="AL581" s="28" t="str">
        <f aca="false">IF($N581="","",IF(MATCH($N581,$N$2:$N$3001,0)=ROWS($N$2:$N581),$N581,""))</f>
        <v/>
      </c>
    </row>
    <row r="582" customFormat="false" ht="15" hidden="false" customHeight="false" outlineLevel="0" collapsed="false">
      <c r="E582" s="25"/>
      <c r="M582" s="26" t="str">
        <f aca="false">IF($A582="","",$L582*$U582/100)</f>
        <v/>
      </c>
      <c r="W582" s="26" t="str">
        <f aca="false">IF($A582="","",U582*AB582/100)</f>
        <v/>
      </c>
      <c r="X582" s="26" t="str">
        <f aca="false">IF($A582="","",U582-W582)</f>
        <v/>
      </c>
      <c r="Y582" s="26" t="str">
        <f aca="false">IF($A582="","",U582-W582-M582)</f>
        <v/>
      </c>
      <c r="AB582" s="27" t="str">
        <f aca="false">IF($A582="","",IF($AK582=1,'كشف المطالبة'!$D$5,'كشف المطالبة'!$D$6)*100)</f>
        <v/>
      </c>
      <c r="AK582" s="28" t="str">
        <f aca="false">IF($A582="","",IF(OR($Q582=TRUE(),$Q582="TRUE"),1,0))</f>
        <v/>
      </c>
      <c r="AL582" s="28" t="str">
        <f aca="false">IF($N582="","",IF(MATCH($N582,$N$2:$N$3001,0)=ROWS($N$2:$N582),$N582,""))</f>
        <v/>
      </c>
    </row>
    <row r="583" customFormat="false" ht="15" hidden="false" customHeight="false" outlineLevel="0" collapsed="false">
      <c r="E583" s="25"/>
      <c r="M583" s="26" t="str">
        <f aca="false">IF($A583="","",$L583*$U583/100)</f>
        <v/>
      </c>
      <c r="W583" s="26" t="str">
        <f aca="false">IF($A583="","",U583*AB583/100)</f>
        <v/>
      </c>
      <c r="X583" s="26" t="str">
        <f aca="false">IF($A583="","",U583-W583)</f>
        <v/>
      </c>
      <c r="Y583" s="26" t="str">
        <f aca="false">IF($A583="","",U583-W583-M583)</f>
        <v/>
      </c>
      <c r="AB583" s="27" t="str">
        <f aca="false">IF($A583="","",IF($AK583=1,'كشف المطالبة'!$D$5,'كشف المطالبة'!$D$6)*100)</f>
        <v/>
      </c>
      <c r="AK583" s="28" t="str">
        <f aca="false">IF($A583="","",IF(OR($Q583=TRUE(),$Q583="TRUE"),1,0))</f>
        <v/>
      </c>
      <c r="AL583" s="28" t="str">
        <f aca="false">IF($N583="","",IF(MATCH($N583,$N$2:$N$3001,0)=ROWS($N$2:$N583),$N583,""))</f>
        <v/>
      </c>
    </row>
    <row r="584" customFormat="false" ht="15" hidden="false" customHeight="false" outlineLevel="0" collapsed="false">
      <c r="E584" s="25"/>
      <c r="M584" s="26" t="str">
        <f aca="false">IF($A584="","",$L584*$U584/100)</f>
        <v/>
      </c>
      <c r="W584" s="26" t="str">
        <f aca="false">IF($A584="","",U584*AB584/100)</f>
        <v/>
      </c>
      <c r="X584" s="26" t="str">
        <f aca="false">IF($A584="","",U584-W584)</f>
        <v/>
      </c>
      <c r="Y584" s="26" t="str">
        <f aca="false">IF($A584="","",U584-W584-M584)</f>
        <v/>
      </c>
      <c r="AB584" s="27" t="str">
        <f aca="false">IF($A584="","",IF($AK584=1,'كشف المطالبة'!$D$5,'كشف المطالبة'!$D$6)*100)</f>
        <v/>
      </c>
      <c r="AK584" s="28" t="str">
        <f aca="false">IF($A584="","",IF(OR($Q584=TRUE(),$Q584="TRUE"),1,0))</f>
        <v/>
      </c>
      <c r="AL584" s="28" t="str">
        <f aca="false">IF($N584="","",IF(MATCH($N584,$N$2:$N$3001,0)=ROWS($N$2:$N584),$N584,""))</f>
        <v/>
      </c>
    </row>
    <row r="585" customFormat="false" ht="15" hidden="false" customHeight="false" outlineLevel="0" collapsed="false">
      <c r="E585" s="25"/>
      <c r="M585" s="26" t="str">
        <f aca="false">IF($A585="","",$L585*$U585/100)</f>
        <v/>
      </c>
      <c r="W585" s="26" t="str">
        <f aca="false">IF($A585="","",U585*AB585/100)</f>
        <v/>
      </c>
      <c r="X585" s="26" t="str">
        <f aca="false">IF($A585="","",U585-W585)</f>
        <v/>
      </c>
      <c r="Y585" s="26" t="str">
        <f aca="false">IF($A585="","",U585-W585-M585)</f>
        <v/>
      </c>
      <c r="AB585" s="27" t="str">
        <f aca="false">IF($A585="","",IF($AK585=1,'كشف المطالبة'!$D$5,'كشف المطالبة'!$D$6)*100)</f>
        <v/>
      </c>
      <c r="AK585" s="28" t="str">
        <f aca="false">IF($A585="","",IF(OR($Q585=TRUE(),$Q585="TRUE"),1,0))</f>
        <v/>
      </c>
      <c r="AL585" s="28" t="str">
        <f aca="false">IF($N585="","",IF(MATCH($N585,$N$2:$N$3001,0)=ROWS($N$2:$N585),$N585,""))</f>
        <v/>
      </c>
    </row>
    <row r="586" customFormat="false" ht="15" hidden="false" customHeight="false" outlineLevel="0" collapsed="false">
      <c r="E586" s="25"/>
      <c r="M586" s="26" t="str">
        <f aca="false">IF($A586="","",$L586*$U586/100)</f>
        <v/>
      </c>
      <c r="W586" s="26" t="str">
        <f aca="false">IF($A586="","",U586*AB586/100)</f>
        <v/>
      </c>
      <c r="X586" s="26" t="str">
        <f aca="false">IF($A586="","",U586-W586)</f>
        <v/>
      </c>
      <c r="Y586" s="26" t="str">
        <f aca="false">IF($A586="","",U586-W586-M586)</f>
        <v/>
      </c>
      <c r="AB586" s="27" t="str">
        <f aca="false">IF($A586="","",IF($AK586=1,'كشف المطالبة'!$D$5,'كشف المطالبة'!$D$6)*100)</f>
        <v/>
      </c>
      <c r="AK586" s="28" t="str">
        <f aca="false">IF($A586="","",IF(OR($Q586=TRUE(),$Q586="TRUE"),1,0))</f>
        <v/>
      </c>
      <c r="AL586" s="28" t="str">
        <f aca="false">IF($N586="","",IF(MATCH($N586,$N$2:$N$3001,0)=ROWS($N$2:$N586),$N586,""))</f>
        <v/>
      </c>
    </row>
    <row r="587" customFormat="false" ht="15" hidden="false" customHeight="false" outlineLevel="0" collapsed="false">
      <c r="E587" s="25"/>
      <c r="M587" s="26" t="str">
        <f aca="false">IF($A587="","",$L587*$U587/100)</f>
        <v/>
      </c>
      <c r="W587" s="26" t="str">
        <f aca="false">IF($A587="","",U587*AB587/100)</f>
        <v/>
      </c>
      <c r="X587" s="26" t="str">
        <f aca="false">IF($A587="","",U587-W587)</f>
        <v/>
      </c>
      <c r="Y587" s="26" t="str">
        <f aca="false">IF($A587="","",U587-W587-M587)</f>
        <v/>
      </c>
      <c r="AB587" s="27" t="str">
        <f aca="false">IF($A587="","",IF($AK587=1,'كشف المطالبة'!$D$5,'كشف المطالبة'!$D$6)*100)</f>
        <v/>
      </c>
      <c r="AK587" s="28" t="str">
        <f aca="false">IF($A587="","",IF(OR($Q587=TRUE(),$Q587="TRUE"),1,0))</f>
        <v/>
      </c>
      <c r="AL587" s="28" t="str">
        <f aca="false">IF($N587="","",IF(MATCH($N587,$N$2:$N$3001,0)=ROWS($N$2:$N587),$N587,""))</f>
        <v/>
      </c>
    </row>
    <row r="588" customFormat="false" ht="15" hidden="false" customHeight="false" outlineLevel="0" collapsed="false">
      <c r="E588" s="25"/>
      <c r="M588" s="26" t="str">
        <f aca="false">IF($A588="","",$L588*$U588/100)</f>
        <v/>
      </c>
      <c r="W588" s="26" t="str">
        <f aca="false">IF($A588="","",U588*AB588/100)</f>
        <v/>
      </c>
      <c r="X588" s="26" t="str">
        <f aca="false">IF($A588="","",U588-W588)</f>
        <v/>
      </c>
      <c r="Y588" s="26" t="str">
        <f aca="false">IF($A588="","",U588-W588-M588)</f>
        <v/>
      </c>
      <c r="AB588" s="27" t="str">
        <f aca="false">IF($A588="","",IF($AK588=1,'كشف المطالبة'!$D$5,'كشف المطالبة'!$D$6)*100)</f>
        <v/>
      </c>
      <c r="AK588" s="28" t="str">
        <f aca="false">IF($A588="","",IF(OR($Q588=TRUE(),$Q588="TRUE"),1,0))</f>
        <v/>
      </c>
      <c r="AL588" s="28" t="str">
        <f aca="false">IF($N588="","",IF(MATCH($N588,$N$2:$N$3001,0)=ROWS($N$2:$N588),$N588,""))</f>
        <v/>
      </c>
    </row>
    <row r="589" customFormat="false" ht="15" hidden="false" customHeight="false" outlineLevel="0" collapsed="false">
      <c r="E589" s="25"/>
      <c r="M589" s="26" t="str">
        <f aca="false">IF($A589="","",$L589*$U589/100)</f>
        <v/>
      </c>
      <c r="W589" s="26" t="str">
        <f aca="false">IF($A589="","",U589*AB589/100)</f>
        <v/>
      </c>
      <c r="X589" s="26" t="str">
        <f aca="false">IF($A589="","",U589-W589)</f>
        <v/>
      </c>
      <c r="Y589" s="26" t="str">
        <f aca="false">IF($A589="","",U589-W589-M589)</f>
        <v/>
      </c>
      <c r="AB589" s="27" t="str">
        <f aca="false">IF($A589="","",IF($AK589=1,'كشف المطالبة'!$D$5,'كشف المطالبة'!$D$6)*100)</f>
        <v/>
      </c>
      <c r="AK589" s="28" t="str">
        <f aca="false">IF($A589="","",IF(OR($Q589=TRUE(),$Q589="TRUE"),1,0))</f>
        <v/>
      </c>
      <c r="AL589" s="28" t="str">
        <f aca="false">IF($N589="","",IF(MATCH($N589,$N$2:$N$3001,0)=ROWS($N$2:$N589),$N589,""))</f>
        <v/>
      </c>
    </row>
    <row r="590" customFormat="false" ht="15" hidden="false" customHeight="false" outlineLevel="0" collapsed="false">
      <c r="E590" s="25"/>
      <c r="M590" s="26" t="str">
        <f aca="false">IF($A590="","",$L590*$U590/100)</f>
        <v/>
      </c>
      <c r="W590" s="26" t="str">
        <f aca="false">IF($A590="","",U590*AB590/100)</f>
        <v/>
      </c>
      <c r="X590" s="26" t="str">
        <f aca="false">IF($A590="","",U590-W590)</f>
        <v/>
      </c>
      <c r="Y590" s="26" t="str">
        <f aca="false">IF($A590="","",U590-W590-M590)</f>
        <v/>
      </c>
      <c r="AB590" s="27" t="str">
        <f aca="false">IF($A590="","",IF($AK590=1,'كشف المطالبة'!$D$5,'كشف المطالبة'!$D$6)*100)</f>
        <v/>
      </c>
      <c r="AK590" s="28" t="str">
        <f aca="false">IF($A590="","",IF(OR($Q590=TRUE(),$Q590="TRUE"),1,0))</f>
        <v/>
      </c>
      <c r="AL590" s="28" t="str">
        <f aca="false">IF($N590="","",IF(MATCH($N590,$N$2:$N$3001,0)=ROWS($N$2:$N590),$N590,""))</f>
        <v/>
      </c>
    </row>
    <row r="591" customFormat="false" ht="15" hidden="false" customHeight="false" outlineLevel="0" collapsed="false">
      <c r="E591" s="25"/>
      <c r="M591" s="26" t="str">
        <f aca="false">IF($A591="","",$L591*$U591/100)</f>
        <v/>
      </c>
      <c r="W591" s="26" t="str">
        <f aca="false">IF($A591="","",U591*AB591/100)</f>
        <v/>
      </c>
      <c r="X591" s="26" t="str">
        <f aca="false">IF($A591="","",U591-W591)</f>
        <v/>
      </c>
      <c r="Y591" s="26" t="str">
        <f aca="false">IF($A591="","",U591-W591-M591)</f>
        <v/>
      </c>
      <c r="AB591" s="27" t="str">
        <f aca="false">IF($A591="","",IF($AK591=1,'كشف المطالبة'!$D$5,'كشف المطالبة'!$D$6)*100)</f>
        <v/>
      </c>
      <c r="AK591" s="28" t="str">
        <f aca="false">IF($A591="","",IF(OR($Q591=TRUE(),$Q591="TRUE"),1,0))</f>
        <v/>
      </c>
      <c r="AL591" s="28" t="str">
        <f aca="false">IF($N591="","",IF(MATCH($N591,$N$2:$N$3001,0)=ROWS($N$2:$N591),$N591,""))</f>
        <v/>
      </c>
    </row>
    <row r="592" customFormat="false" ht="15" hidden="false" customHeight="false" outlineLevel="0" collapsed="false">
      <c r="E592" s="25"/>
      <c r="M592" s="26" t="str">
        <f aca="false">IF($A592="","",$L592*$U592/100)</f>
        <v/>
      </c>
      <c r="W592" s="26" t="str">
        <f aca="false">IF($A592="","",U592*AB592/100)</f>
        <v/>
      </c>
      <c r="X592" s="26" t="str">
        <f aca="false">IF($A592="","",U592-W592)</f>
        <v/>
      </c>
      <c r="Y592" s="26" t="str">
        <f aca="false">IF($A592="","",U592-W592-M592)</f>
        <v/>
      </c>
      <c r="AB592" s="27" t="str">
        <f aca="false">IF($A592="","",IF($AK592=1,'كشف المطالبة'!$D$5,'كشف المطالبة'!$D$6)*100)</f>
        <v/>
      </c>
      <c r="AK592" s="28" t="str">
        <f aca="false">IF($A592="","",IF(OR($Q592=TRUE(),$Q592="TRUE"),1,0))</f>
        <v/>
      </c>
      <c r="AL592" s="28" t="str">
        <f aca="false">IF($N592="","",IF(MATCH($N592,$N$2:$N$3001,0)=ROWS($N$2:$N592),$N592,""))</f>
        <v/>
      </c>
    </row>
    <row r="593" customFormat="false" ht="15" hidden="false" customHeight="false" outlineLevel="0" collapsed="false">
      <c r="E593" s="25"/>
      <c r="M593" s="26" t="str">
        <f aca="false">IF($A593="","",$L593*$U593/100)</f>
        <v/>
      </c>
      <c r="W593" s="26" t="str">
        <f aca="false">IF($A593="","",U593*AB593/100)</f>
        <v/>
      </c>
      <c r="X593" s="26" t="str">
        <f aca="false">IF($A593="","",U593-W593)</f>
        <v/>
      </c>
      <c r="Y593" s="26" t="str">
        <f aca="false">IF($A593="","",U593-W593-M593)</f>
        <v/>
      </c>
      <c r="AB593" s="27" t="str">
        <f aca="false">IF($A593="","",IF($AK593=1,'كشف المطالبة'!$D$5,'كشف المطالبة'!$D$6)*100)</f>
        <v/>
      </c>
      <c r="AK593" s="28" t="str">
        <f aca="false">IF($A593="","",IF(OR($Q593=TRUE(),$Q593="TRUE"),1,0))</f>
        <v/>
      </c>
      <c r="AL593" s="28" t="str">
        <f aca="false">IF($N593="","",IF(MATCH($N593,$N$2:$N$3001,0)=ROWS($N$2:$N593),$N593,""))</f>
        <v/>
      </c>
    </row>
    <row r="594" customFormat="false" ht="15" hidden="false" customHeight="false" outlineLevel="0" collapsed="false">
      <c r="E594" s="25"/>
      <c r="M594" s="26" t="str">
        <f aca="false">IF($A594="","",$L594*$U594/100)</f>
        <v/>
      </c>
      <c r="W594" s="26" t="str">
        <f aca="false">IF($A594="","",U594*AB594/100)</f>
        <v/>
      </c>
      <c r="X594" s="26" t="str">
        <f aca="false">IF($A594="","",U594-W594)</f>
        <v/>
      </c>
      <c r="Y594" s="26" t="str">
        <f aca="false">IF($A594="","",U594-W594-M594)</f>
        <v/>
      </c>
      <c r="AB594" s="27" t="str">
        <f aca="false">IF($A594="","",IF($AK594=1,'كشف المطالبة'!$D$5,'كشف المطالبة'!$D$6)*100)</f>
        <v/>
      </c>
      <c r="AK594" s="28" t="str">
        <f aca="false">IF($A594="","",IF(OR($Q594=TRUE(),$Q594="TRUE"),1,0))</f>
        <v/>
      </c>
      <c r="AL594" s="28" t="str">
        <f aca="false">IF($N594="","",IF(MATCH($N594,$N$2:$N$3001,0)=ROWS($N$2:$N594),$N594,""))</f>
        <v/>
      </c>
    </row>
    <row r="595" customFormat="false" ht="15" hidden="false" customHeight="false" outlineLevel="0" collapsed="false">
      <c r="E595" s="25"/>
      <c r="M595" s="26" t="str">
        <f aca="false">IF($A595="","",$L595*$U595/100)</f>
        <v/>
      </c>
      <c r="W595" s="26" t="str">
        <f aca="false">IF($A595="","",U595*AB595/100)</f>
        <v/>
      </c>
      <c r="X595" s="26" t="str">
        <f aca="false">IF($A595="","",U595-W595)</f>
        <v/>
      </c>
      <c r="Y595" s="26" t="str">
        <f aca="false">IF($A595="","",U595-W595-M595)</f>
        <v/>
      </c>
      <c r="AB595" s="27" t="str">
        <f aca="false">IF($A595="","",IF($AK595=1,'كشف المطالبة'!$D$5,'كشف المطالبة'!$D$6)*100)</f>
        <v/>
      </c>
      <c r="AK595" s="28" t="str">
        <f aca="false">IF($A595="","",IF(OR($Q595=TRUE(),$Q595="TRUE"),1,0))</f>
        <v/>
      </c>
      <c r="AL595" s="28" t="str">
        <f aca="false">IF($N595="","",IF(MATCH($N595,$N$2:$N$3001,0)=ROWS($N$2:$N595),$N595,""))</f>
        <v/>
      </c>
    </row>
    <row r="596" customFormat="false" ht="15" hidden="false" customHeight="false" outlineLevel="0" collapsed="false">
      <c r="E596" s="25"/>
      <c r="M596" s="26" t="str">
        <f aca="false">IF($A596="","",$L596*$U596/100)</f>
        <v/>
      </c>
      <c r="W596" s="26" t="str">
        <f aca="false">IF($A596="","",U596*AB596/100)</f>
        <v/>
      </c>
      <c r="X596" s="26" t="str">
        <f aca="false">IF($A596="","",U596-W596)</f>
        <v/>
      </c>
      <c r="Y596" s="26" t="str">
        <f aca="false">IF($A596="","",U596-W596-M596)</f>
        <v/>
      </c>
      <c r="AB596" s="27" t="str">
        <f aca="false">IF($A596="","",IF($AK596=1,'كشف المطالبة'!$D$5,'كشف المطالبة'!$D$6)*100)</f>
        <v/>
      </c>
      <c r="AK596" s="28" t="str">
        <f aca="false">IF($A596="","",IF(OR($Q596=TRUE(),$Q596="TRUE"),1,0))</f>
        <v/>
      </c>
      <c r="AL596" s="28" t="str">
        <f aca="false">IF($N596="","",IF(MATCH($N596,$N$2:$N$3001,0)=ROWS($N$2:$N596),$N596,""))</f>
        <v/>
      </c>
    </row>
    <row r="597" customFormat="false" ht="15" hidden="false" customHeight="false" outlineLevel="0" collapsed="false">
      <c r="E597" s="25"/>
      <c r="M597" s="26" t="str">
        <f aca="false">IF($A597="","",$L597*$U597/100)</f>
        <v/>
      </c>
      <c r="W597" s="26" t="str">
        <f aca="false">IF($A597="","",U597*AB597/100)</f>
        <v/>
      </c>
      <c r="X597" s="26" t="str">
        <f aca="false">IF($A597="","",U597-W597)</f>
        <v/>
      </c>
      <c r="Y597" s="26" t="str">
        <f aca="false">IF($A597="","",U597-W597-M597)</f>
        <v/>
      </c>
      <c r="AB597" s="27" t="str">
        <f aca="false">IF($A597="","",IF($AK597=1,'كشف المطالبة'!$D$5,'كشف المطالبة'!$D$6)*100)</f>
        <v/>
      </c>
      <c r="AK597" s="28" t="str">
        <f aca="false">IF($A597="","",IF(OR($Q597=TRUE(),$Q597="TRUE"),1,0))</f>
        <v/>
      </c>
      <c r="AL597" s="28" t="str">
        <f aca="false">IF($N597="","",IF(MATCH($N597,$N$2:$N$3001,0)=ROWS($N$2:$N597),$N597,""))</f>
        <v/>
      </c>
    </row>
    <row r="598" customFormat="false" ht="15" hidden="false" customHeight="false" outlineLevel="0" collapsed="false">
      <c r="E598" s="25"/>
      <c r="M598" s="26" t="str">
        <f aca="false">IF($A598="","",$L598*$U598/100)</f>
        <v/>
      </c>
      <c r="W598" s="26" t="str">
        <f aca="false">IF($A598="","",U598*AB598/100)</f>
        <v/>
      </c>
      <c r="X598" s="26" t="str">
        <f aca="false">IF($A598="","",U598-W598)</f>
        <v/>
      </c>
      <c r="Y598" s="26" t="str">
        <f aca="false">IF($A598="","",U598-W598-M598)</f>
        <v/>
      </c>
      <c r="AB598" s="27" t="str">
        <f aca="false">IF($A598="","",IF($AK598=1,'كشف المطالبة'!$D$5,'كشف المطالبة'!$D$6)*100)</f>
        <v/>
      </c>
      <c r="AK598" s="28" t="str">
        <f aca="false">IF($A598="","",IF(OR($Q598=TRUE(),$Q598="TRUE"),1,0))</f>
        <v/>
      </c>
      <c r="AL598" s="28" t="str">
        <f aca="false">IF($N598="","",IF(MATCH($N598,$N$2:$N$3001,0)=ROWS($N$2:$N598),$N598,""))</f>
        <v/>
      </c>
    </row>
    <row r="599" customFormat="false" ht="15" hidden="false" customHeight="false" outlineLevel="0" collapsed="false">
      <c r="E599" s="25"/>
      <c r="M599" s="26" t="str">
        <f aca="false">IF($A599="","",$L599*$U599/100)</f>
        <v/>
      </c>
      <c r="W599" s="26" t="str">
        <f aca="false">IF($A599="","",U599*AB599/100)</f>
        <v/>
      </c>
      <c r="X599" s="26" t="str">
        <f aca="false">IF($A599="","",U599-W599)</f>
        <v/>
      </c>
      <c r="Y599" s="26" t="str">
        <f aca="false">IF($A599="","",U599-W599-M599)</f>
        <v/>
      </c>
      <c r="AB599" s="27" t="str">
        <f aca="false">IF($A599="","",IF($AK599=1,'كشف المطالبة'!$D$5,'كشف المطالبة'!$D$6)*100)</f>
        <v/>
      </c>
      <c r="AK599" s="28" t="str">
        <f aca="false">IF($A599="","",IF(OR($Q599=TRUE(),$Q599="TRUE"),1,0))</f>
        <v/>
      </c>
      <c r="AL599" s="28" t="str">
        <f aca="false">IF($N599="","",IF(MATCH($N599,$N$2:$N$3001,0)=ROWS($N$2:$N599),$N599,""))</f>
        <v/>
      </c>
    </row>
    <row r="600" customFormat="false" ht="15" hidden="false" customHeight="false" outlineLevel="0" collapsed="false">
      <c r="E600" s="25"/>
      <c r="M600" s="26" t="str">
        <f aca="false">IF($A600="","",$L600*$U600/100)</f>
        <v/>
      </c>
      <c r="W600" s="26" t="str">
        <f aca="false">IF($A600="","",U600*AB600/100)</f>
        <v/>
      </c>
      <c r="X600" s="26" t="str">
        <f aca="false">IF($A600="","",U600-W600)</f>
        <v/>
      </c>
      <c r="Y600" s="26" t="str">
        <f aca="false">IF($A600="","",U600-W600-M600)</f>
        <v/>
      </c>
      <c r="AB600" s="27" t="str">
        <f aca="false">IF($A600="","",IF($AK600=1,'كشف المطالبة'!$D$5,'كشف المطالبة'!$D$6)*100)</f>
        <v/>
      </c>
      <c r="AK600" s="28" t="str">
        <f aca="false">IF($A600="","",IF(OR($Q600=TRUE(),$Q600="TRUE"),1,0))</f>
        <v/>
      </c>
      <c r="AL600" s="28" t="str">
        <f aca="false">IF($N600="","",IF(MATCH($N600,$N$2:$N$3001,0)=ROWS($N$2:$N600),$N600,""))</f>
        <v/>
      </c>
    </row>
    <row r="601" customFormat="false" ht="15" hidden="false" customHeight="false" outlineLevel="0" collapsed="false">
      <c r="E601" s="25"/>
      <c r="M601" s="26" t="str">
        <f aca="false">IF($A601="","",$L601*$U601/100)</f>
        <v/>
      </c>
      <c r="W601" s="26" t="str">
        <f aca="false">IF($A601="","",U601*AB601/100)</f>
        <v/>
      </c>
      <c r="X601" s="26" t="str">
        <f aca="false">IF($A601="","",U601-W601)</f>
        <v/>
      </c>
      <c r="Y601" s="26" t="str">
        <f aca="false">IF($A601="","",U601-W601-M601)</f>
        <v/>
      </c>
      <c r="AB601" s="27" t="str">
        <f aca="false">IF($A601="","",IF($AK601=1,'كشف المطالبة'!$D$5,'كشف المطالبة'!$D$6)*100)</f>
        <v/>
      </c>
      <c r="AK601" s="28" t="str">
        <f aca="false">IF($A601="","",IF(OR($Q601=TRUE(),$Q601="TRUE"),1,0))</f>
        <v/>
      </c>
      <c r="AL601" s="28" t="str">
        <f aca="false">IF($N601="","",IF(MATCH($N601,$N$2:$N$3001,0)=ROWS($N$2:$N601),$N601,""))</f>
        <v/>
      </c>
    </row>
    <row r="602" customFormat="false" ht="15" hidden="false" customHeight="false" outlineLevel="0" collapsed="false">
      <c r="E602" s="25"/>
      <c r="M602" s="26" t="str">
        <f aca="false">IF($A602="","",$L602*$U602/100)</f>
        <v/>
      </c>
      <c r="W602" s="26" t="str">
        <f aca="false">IF($A602="","",U602*AB602/100)</f>
        <v/>
      </c>
      <c r="X602" s="26" t="str">
        <f aca="false">IF($A602="","",U602-W602)</f>
        <v/>
      </c>
      <c r="Y602" s="26" t="str">
        <f aca="false">IF($A602="","",U602-W602-M602)</f>
        <v/>
      </c>
      <c r="AB602" s="27" t="str">
        <f aca="false">IF($A602="","",IF($AK602=1,'كشف المطالبة'!$D$5,'كشف المطالبة'!$D$6)*100)</f>
        <v/>
      </c>
      <c r="AK602" s="28" t="str">
        <f aca="false">IF($A602="","",IF(OR($Q602=TRUE(),$Q602="TRUE"),1,0))</f>
        <v/>
      </c>
      <c r="AL602" s="28" t="str">
        <f aca="false">IF($N602="","",IF(MATCH($N602,$N$2:$N$3001,0)=ROWS($N$2:$N602),$N602,""))</f>
        <v/>
      </c>
    </row>
    <row r="603" customFormat="false" ht="15" hidden="false" customHeight="false" outlineLevel="0" collapsed="false">
      <c r="E603" s="25"/>
      <c r="M603" s="26" t="str">
        <f aca="false">IF($A603="","",$L603*$U603/100)</f>
        <v/>
      </c>
      <c r="W603" s="26" t="str">
        <f aca="false">IF($A603="","",U603*AB603/100)</f>
        <v/>
      </c>
      <c r="X603" s="26" t="str">
        <f aca="false">IF($A603="","",U603-W603)</f>
        <v/>
      </c>
      <c r="Y603" s="26" t="str">
        <f aca="false">IF($A603="","",U603-W603-M603)</f>
        <v/>
      </c>
      <c r="AB603" s="27" t="str">
        <f aca="false">IF($A603="","",IF($AK603=1,'كشف المطالبة'!$D$5,'كشف المطالبة'!$D$6)*100)</f>
        <v/>
      </c>
      <c r="AK603" s="28" t="str">
        <f aca="false">IF($A603="","",IF(OR($Q603=TRUE(),$Q603="TRUE"),1,0))</f>
        <v/>
      </c>
      <c r="AL603" s="28" t="str">
        <f aca="false">IF($N603="","",IF(MATCH($N603,$N$2:$N$3001,0)=ROWS($N$2:$N603),$N603,""))</f>
        <v/>
      </c>
    </row>
    <row r="604" customFormat="false" ht="15" hidden="false" customHeight="false" outlineLevel="0" collapsed="false">
      <c r="E604" s="25"/>
      <c r="M604" s="26" t="str">
        <f aca="false">IF($A604="","",$L604*$U604/100)</f>
        <v/>
      </c>
      <c r="W604" s="26" t="str">
        <f aca="false">IF($A604="","",U604*AB604/100)</f>
        <v/>
      </c>
      <c r="X604" s="26" t="str">
        <f aca="false">IF($A604="","",U604-W604)</f>
        <v/>
      </c>
      <c r="Y604" s="26" t="str">
        <f aca="false">IF($A604="","",U604-W604-M604)</f>
        <v/>
      </c>
      <c r="AB604" s="27" t="str">
        <f aca="false">IF($A604="","",IF($AK604=1,'كشف المطالبة'!$D$5,'كشف المطالبة'!$D$6)*100)</f>
        <v/>
      </c>
      <c r="AK604" s="28" t="str">
        <f aca="false">IF($A604="","",IF(OR($Q604=TRUE(),$Q604="TRUE"),1,0))</f>
        <v/>
      </c>
      <c r="AL604" s="28" t="str">
        <f aca="false">IF($N604="","",IF(MATCH($N604,$N$2:$N$3001,0)=ROWS($N$2:$N604),$N604,""))</f>
        <v/>
      </c>
    </row>
    <row r="605" customFormat="false" ht="15" hidden="false" customHeight="false" outlineLevel="0" collapsed="false">
      <c r="E605" s="25"/>
      <c r="M605" s="26" t="str">
        <f aca="false">IF($A605="","",$L605*$U605/100)</f>
        <v/>
      </c>
      <c r="W605" s="26" t="str">
        <f aca="false">IF($A605="","",U605*AB605/100)</f>
        <v/>
      </c>
      <c r="X605" s="26" t="str">
        <f aca="false">IF($A605="","",U605-W605)</f>
        <v/>
      </c>
      <c r="Y605" s="26" t="str">
        <f aca="false">IF($A605="","",U605-W605-M605)</f>
        <v/>
      </c>
      <c r="AB605" s="27" t="str">
        <f aca="false">IF($A605="","",IF($AK605=1,'كشف المطالبة'!$D$5,'كشف المطالبة'!$D$6)*100)</f>
        <v/>
      </c>
      <c r="AK605" s="28" t="str">
        <f aca="false">IF($A605="","",IF(OR($Q605=TRUE(),$Q605="TRUE"),1,0))</f>
        <v/>
      </c>
      <c r="AL605" s="28" t="str">
        <f aca="false">IF($N605="","",IF(MATCH($N605,$N$2:$N$3001,0)=ROWS($N$2:$N605),$N605,""))</f>
        <v/>
      </c>
    </row>
    <row r="606" customFormat="false" ht="15" hidden="false" customHeight="false" outlineLevel="0" collapsed="false">
      <c r="E606" s="25"/>
      <c r="M606" s="26" t="str">
        <f aca="false">IF($A606="","",$L606*$U606/100)</f>
        <v/>
      </c>
      <c r="W606" s="26" t="str">
        <f aca="false">IF($A606="","",U606*AB606/100)</f>
        <v/>
      </c>
      <c r="X606" s="26" t="str">
        <f aca="false">IF($A606="","",U606-W606)</f>
        <v/>
      </c>
      <c r="Y606" s="26" t="str">
        <f aca="false">IF($A606="","",U606-W606-M606)</f>
        <v/>
      </c>
      <c r="AB606" s="27" t="str">
        <f aca="false">IF($A606="","",IF($AK606=1,'كشف المطالبة'!$D$5,'كشف المطالبة'!$D$6)*100)</f>
        <v/>
      </c>
      <c r="AK606" s="28" t="str">
        <f aca="false">IF($A606="","",IF(OR($Q606=TRUE(),$Q606="TRUE"),1,0))</f>
        <v/>
      </c>
      <c r="AL606" s="28" t="str">
        <f aca="false">IF($N606="","",IF(MATCH($N606,$N$2:$N$3001,0)=ROWS($N$2:$N606),$N606,""))</f>
        <v/>
      </c>
    </row>
    <row r="607" customFormat="false" ht="15" hidden="false" customHeight="false" outlineLevel="0" collapsed="false">
      <c r="E607" s="25"/>
      <c r="M607" s="26" t="str">
        <f aca="false">IF($A607="","",$L607*$U607/100)</f>
        <v/>
      </c>
      <c r="W607" s="26" t="str">
        <f aca="false">IF($A607="","",U607*AB607/100)</f>
        <v/>
      </c>
      <c r="X607" s="26" t="str">
        <f aca="false">IF($A607="","",U607-W607)</f>
        <v/>
      </c>
      <c r="Y607" s="26" t="str">
        <f aca="false">IF($A607="","",U607-W607-M607)</f>
        <v/>
      </c>
      <c r="AB607" s="27" t="str">
        <f aca="false">IF($A607="","",IF($AK607=1,'كشف المطالبة'!$D$5,'كشف المطالبة'!$D$6)*100)</f>
        <v/>
      </c>
      <c r="AK607" s="28" t="str">
        <f aca="false">IF($A607="","",IF(OR($Q607=TRUE(),$Q607="TRUE"),1,0))</f>
        <v/>
      </c>
      <c r="AL607" s="28" t="str">
        <f aca="false">IF($N607="","",IF(MATCH($N607,$N$2:$N$3001,0)=ROWS($N$2:$N607),$N607,""))</f>
        <v/>
      </c>
    </row>
    <row r="608" customFormat="false" ht="15" hidden="false" customHeight="false" outlineLevel="0" collapsed="false">
      <c r="E608" s="25"/>
      <c r="M608" s="26" t="str">
        <f aca="false">IF($A608="","",$L608*$U608/100)</f>
        <v/>
      </c>
      <c r="W608" s="26" t="str">
        <f aca="false">IF($A608="","",U608*AB608/100)</f>
        <v/>
      </c>
      <c r="X608" s="26" t="str">
        <f aca="false">IF($A608="","",U608-W608)</f>
        <v/>
      </c>
      <c r="Y608" s="26" t="str">
        <f aca="false">IF($A608="","",U608-W608-M608)</f>
        <v/>
      </c>
      <c r="AB608" s="27" t="str">
        <f aca="false">IF($A608="","",IF($AK608=1,'كشف المطالبة'!$D$5,'كشف المطالبة'!$D$6)*100)</f>
        <v/>
      </c>
      <c r="AK608" s="28" t="str">
        <f aca="false">IF($A608="","",IF(OR($Q608=TRUE(),$Q608="TRUE"),1,0))</f>
        <v/>
      </c>
      <c r="AL608" s="28" t="str">
        <f aca="false">IF($N608="","",IF(MATCH($N608,$N$2:$N$3001,0)=ROWS($N$2:$N608),$N608,""))</f>
        <v/>
      </c>
    </row>
    <row r="609" customFormat="false" ht="15" hidden="false" customHeight="false" outlineLevel="0" collapsed="false">
      <c r="E609" s="25"/>
      <c r="M609" s="26" t="str">
        <f aca="false">IF($A609="","",$L609*$U609/100)</f>
        <v/>
      </c>
      <c r="W609" s="26" t="str">
        <f aca="false">IF($A609="","",U609*AB609/100)</f>
        <v/>
      </c>
      <c r="X609" s="26" t="str">
        <f aca="false">IF($A609="","",U609-W609)</f>
        <v/>
      </c>
      <c r="Y609" s="26" t="str">
        <f aca="false">IF($A609="","",U609-W609-M609)</f>
        <v/>
      </c>
      <c r="AB609" s="27" t="str">
        <f aca="false">IF($A609="","",IF($AK609=1,'كشف المطالبة'!$D$5,'كشف المطالبة'!$D$6)*100)</f>
        <v/>
      </c>
      <c r="AK609" s="28" t="str">
        <f aca="false">IF($A609="","",IF(OR($Q609=TRUE(),$Q609="TRUE"),1,0))</f>
        <v/>
      </c>
      <c r="AL609" s="28" t="str">
        <f aca="false">IF($N609="","",IF(MATCH($N609,$N$2:$N$3001,0)=ROWS($N$2:$N609),$N609,""))</f>
        <v/>
      </c>
    </row>
    <row r="610" customFormat="false" ht="15" hidden="false" customHeight="false" outlineLevel="0" collapsed="false">
      <c r="E610" s="25"/>
      <c r="M610" s="26" t="str">
        <f aca="false">IF($A610="","",$L610*$U610/100)</f>
        <v/>
      </c>
      <c r="W610" s="26" t="str">
        <f aca="false">IF($A610="","",U610*AB610/100)</f>
        <v/>
      </c>
      <c r="X610" s="26" t="str">
        <f aca="false">IF($A610="","",U610-W610)</f>
        <v/>
      </c>
      <c r="Y610" s="26" t="str">
        <f aca="false">IF($A610="","",U610-W610-M610)</f>
        <v/>
      </c>
      <c r="AB610" s="27" t="str">
        <f aca="false">IF($A610="","",IF($AK610=1,'كشف المطالبة'!$D$5,'كشف المطالبة'!$D$6)*100)</f>
        <v/>
      </c>
      <c r="AK610" s="28" t="str">
        <f aca="false">IF($A610="","",IF(OR($Q610=TRUE(),$Q610="TRUE"),1,0))</f>
        <v/>
      </c>
      <c r="AL610" s="28" t="str">
        <f aca="false">IF($N610="","",IF(MATCH($N610,$N$2:$N$3001,0)=ROWS($N$2:$N610),$N610,""))</f>
        <v/>
      </c>
    </row>
    <row r="611" customFormat="false" ht="15" hidden="false" customHeight="false" outlineLevel="0" collapsed="false">
      <c r="E611" s="25"/>
      <c r="M611" s="26" t="str">
        <f aca="false">IF($A611="","",$L611*$U611/100)</f>
        <v/>
      </c>
      <c r="W611" s="26" t="str">
        <f aca="false">IF($A611="","",U611*AB611/100)</f>
        <v/>
      </c>
      <c r="X611" s="26" t="str">
        <f aca="false">IF($A611="","",U611-W611)</f>
        <v/>
      </c>
      <c r="Y611" s="26" t="str">
        <f aca="false">IF($A611="","",U611-W611-M611)</f>
        <v/>
      </c>
      <c r="AB611" s="27" t="str">
        <f aca="false">IF($A611="","",IF($AK611=1,'كشف المطالبة'!$D$5,'كشف المطالبة'!$D$6)*100)</f>
        <v/>
      </c>
      <c r="AK611" s="28" t="str">
        <f aca="false">IF($A611="","",IF(OR($Q611=TRUE(),$Q611="TRUE"),1,0))</f>
        <v/>
      </c>
      <c r="AL611" s="28" t="str">
        <f aca="false">IF($N611="","",IF(MATCH($N611,$N$2:$N$3001,0)=ROWS($N$2:$N611),$N611,""))</f>
        <v/>
      </c>
    </row>
    <row r="612" customFormat="false" ht="15" hidden="false" customHeight="false" outlineLevel="0" collapsed="false">
      <c r="E612" s="25"/>
      <c r="M612" s="26" t="str">
        <f aca="false">IF($A612="","",$L612*$U612/100)</f>
        <v/>
      </c>
      <c r="W612" s="26" t="str">
        <f aca="false">IF($A612="","",U612*AB612/100)</f>
        <v/>
      </c>
      <c r="X612" s="26" t="str">
        <f aca="false">IF($A612="","",U612-W612)</f>
        <v/>
      </c>
      <c r="Y612" s="26" t="str">
        <f aca="false">IF($A612="","",U612-W612-M612)</f>
        <v/>
      </c>
      <c r="AB612" s="27" t="str">
        <f aca="false">IF($A612="","",IF($AK612=1,'كشف المطالبة'!$D$5,'كشف المطالبة'!$D$6)*100)</f>
        <v/>
      </c>
      <c r="AK612" s="28" t="str">
        <f aca="false">IF($A612="","",IF(OR($Q612=TRUE(),$Q612="TRUE"),1,0))</f>
        <v/>
      </c>
      <c r="AL612" s="28" t="str">
        <f aca="false">IF($N612="","",IF(MATCH($N612,$N$2:$N$3001,0)=ROWS($N$2:$N612),$N612,""))</f>
        <v/>
      </c>
    </row>
    <row r="613" customFormat="false" ht="15" hidden="false" customHeight="false" outlineLevel="0" collapsed="false">
      <c r="E613" s="25"/>
      <c r="M613" s="26" t="str">
        <f aca="false">IF($A613="","",$L613*$U613/100)</f>
        <v/>
      </c>
      <c r="W613" s="26" t="str">
        <f aca="false">IF($A613="","",U613*AB613/100)</f>
        <v/>
      </c>
      <c r="X613" s="26" t="str">
        <f aca="false">IF($A613="","",U613-W613)</f>
        <v/>
      </c>
      <c r="Y613" s="26" t="str">
        <f aca="false">IF($A613="","",U613-W613-M613)</f>
        <v/>
      </c>
      <c r="AB613" s="27" t="str">
        <f aca="false">IF($A613="","",IF($AK613=1,'كشف المطالبة'!$D$5,'كشف المطالبة'!$D$6)*100)</f>
        <v/>
      </c>
      <c r="AK613" s="28" t="str">
        <f aca="false">IF($A613="","",IF(OR($Q613=TRUE(),$Q613="TRUE"),1,0))</f>
        <v/>
      </c>
      <c r="AL613" s="28" t="str">
        <f aca="false">IF($N613="","",IF(MATCH($N613,$N$2:$N$3001,0)=ROWS($N$2:$N613),$N613,""))</f>
        <v/>
      </c>
    </row>
    <row r="614" customFormat="false" ht="15" hidden="false" customHeight="false" outlineLevel="0" collapsed="false">
      <c r="E614" s="25"/>
      <c r="M614" s="26" t="str">
        <f aca="false">IF($A614="","",$L614*$U614/100)</f>
        <v/>
      </c>
      <c r="W614" s="26" t="str">
        <f aca="false">IF($A614="","",U614*AB614/100)</f>
        <v/>
      </c>
      <c r="X614" s="26" t="str">
        <f aca="false">IF($A614="","",U614-W614)</f>
        <v/>
      </c>
      <c r="Y614" s="26" t="str">
        <f aca="false">IF($A614="","",U614-W614-M614)</f>
        <v/>
      </c>
      <c r="AB614" s="27" t="str">
        <f aca="false">IF($A614="","",IF($AK614=1,'كشف المطالبة'!$D$5,'كشف المطالبة'!$D$6)*100)</f>
        <v/>
      </c>
      <c r="AK614" s="28" t="str">
        <f aca="false">IF($A614="","",IF(OR($Q614=TRUE(),$Q614="TRUE"),1,0))</f>
        <v/>
      </c>
      <c r="AL614" s="28" t="str">
        <f aca="false">IF($N614="","",IF(MATCH($N614,$N$2:$N$3001,0)=ROWS($N$2:$N614),$N614,""))</f>
        <v/>
      </c>
    </row>
    <row r="615" customFormat="false" ht="15" hidden="false" customHeight="false" outlineLevel="0" collapsed="false">
      <c r="E615" s="25"/>
      <c r="M615" s="26" t="str">
        <f aca="false">IF($A615="","",$L615*$U615/100)</f>
        <v/>
      </c>
      <c r="W615" s="26" t="str">
        <f aca="false">IF($A615="","",U615*AB615/100)</f>
        <v/>
      </c>
      <c r="X615" s="26" t="str">
        <f aca="false">IF($A615="","",U615-W615)</f>
        <v/>
      </c>
      <c r="Y615" s="26" t="str">
        <f aca="false">IF($A615="","",U615-W615-M615)</f>
        <v/>
      </c>
      <c r="AB615" s="27" t="str">
        <f aca="false">IF($A615="","",IF($AK615=1,'كشف المطالبة'!$D$5,'كشف المطالبة'!$D$6)*100)</f>
        <v/>
      </c>
      <c r="AK615" s="28" t="str">
        <f aca="false">IF($A615="","",IF(OR($Q615=TRUE(),$Q615="TRUE"),1,0))</f>
        <v/>
      </c>
      <c r="AL615" s="28" t="str">
        <f aca="false">IF($N615="","",IF(MATCH($N615,$N$2:$N$3001,0)=ROWS($N$2:$N615),$N615,""))</f>
        <v/>
      </c>
    </row>
    <row r="616" customFormat="false" ht="15" hidden="false" customHeight="false" outlineLevel="0" collapsed="false">
      <c r="E616" s="25"/>
      <c r="M616" s="26" t="str">
        <f aca="false">IF($A616="","",$L616*$U616/100)</f>
        <v/>
      </c>
      <c r="W616" s="26" t="str">
        <f aca="false">IF($A616="","",U616*AB616/100)</f>
        <v/>
      </c>
      <c r="X616" s="26" t="str">
        <f aca="false">IF($A616="","",U616-W616)</f>
        <v/>
      </c>
      <c r="Y616" s="26" t="str">
        <f aca="false">IF($A616="","",U616-W616-M616)</f>
        <v/>
      </c>
      <c r="AB616" s="27" t="str">
        <f aca="false">IF($A616="","",IF($AK616=1,'كشف المطالبة'!$D$5,'كشف المطالبة'!$D$6)*100)</f>
        <v/>
      </c>
      <c r="AK616" s="28" t="str">
        <f aca="false">IF($A616="","",IF(OR($Q616=TRUE(),$Q616="TRUE"),1,0))</f>
        <v/>
      </c>
      <c r="AL616" s="28" t="str">
        <f aca="false">IF($N616="","",IF(MATCH($N616,$N$2:$N$3001,0)=ROWS($N$2:$N616),$N616,""))</f>
        <v/>
      </c>
    </row>
    <row r="617" customFormat="false" ht="15" hidden="false" customHeight="false" outlineLevel="0" collapsed="false">
      <c r="E617" s="25"/>
      <c r="M617" s="26" t="str">
        <f aca="false">IF($A617="","",$L617*$U617/100)</f>
        <v/>
      </c>
      <c r="W617" s="26" t="str">
        <f aca="false">IF($A617="","",U617*AB617/100)</f>
        <v/>
      </c>
      <c r="X617" s="26" t="str">
        <f aca="false">IF($A617="","",U617-W617)</f>
        <v/>
      </c>
      <c r="Y617" s="26" t="str">
        <f aca="false">IF($A617="","",U617-W617-M617)</f>
        <v/>
      </c>
      <c r="AB617" s="27" t="str">
        <f aca="false">IF($A617="","",IF($AK617=1,'كشف المطالبة'!$D$5,'كشف المطالبة'!$D$6)*100)</f>
        <v/>
      </c>
      <c r="AK617" s="28" t="str">
        <f aca="false">IF($A617="","",IF(OR($Q617=TRUE(),$Q617="TRUE"),1,0))</f>
        <v/>
      </c>
      <c r="AL617" s="28" t="str">
        <f aca="false">IF($N617="","",IF(MATCH($N617,$N$2:$N$3001,0)=ROWS($N$2:$N617),$N617,""))</f>
        <v/>
      </c>
    </row>
    <row r="618" customFormat="false" ht="15" hidden="false" customHeight="false" outlineLevel="0" collapsed="false">
      <c r="E618" s="25"/>
      <c r="M618" s="26" t="str">
        <f aca="false">IF($A618="","",$L618*$U618/100)</f>
        <v/>
      </c>
      <c r="W618" s="26" t="str">
        <f aca="false">IF($A618="","",U618*AB618/100)</f>
        <v/>
      </c>
      <c r="X618" s="26" t="str">
        <f aca="false">IF($A618="","",U618-W618)</f>
        <v/>
      </c>
      <c r="Y618" s="26" t="str">
        <f aca="false">IF($A618="","",U618-W618-M618)</f>
        <v/>
      </c>
      <c r="AB618" s="27" t="str">
        <f aca="false">IF($A618="","",IF($AK618=1,'كشف المطالبة'!$D$5,'كشف المطالبة'!$D$6)*100)</f>
        <v/>
      </c>
      <c r="AK618" s="28" t="str">
        <f aca="false">IF($A618="","",IF(OR($Q618=TRUE(),$Q618="TRUE"),1,0))</f>
        <v/>
      </c>
      <c r="AL618" s="28" t="str">
        <f aca="false">IF($N618="","",IF(MATCH($N618,$N$2:$N$3001,0)=ROWS($N$2:$N618),$N618,""))</f>
        <v/>
      </c>
    </row>
    <row r="619" customFormat="false" ht="15" hidden="false" customHeight="false" outlineLevel="0" collapsed="false">
      <c r="E619" s="25"/>
      <c r="M619" s="26" t="str">
        <f aca="false">IF($A619="","",$L619*$U619/100)</f>
        <v/>
      </c>
      <c r="W619" s="26" t="str">
        <f aca="false">IF($A619="","",U619*AB619/100)</f>
        <v/>
      </c>
      <c r="X619" s="26" t="str">
        <f aca="false">IF($A619="","",U619-W619)</f>
        <v/>
      </c>
      <c r="Y619" s="26" t="str">
        <f aca="false">IF($A619="","",U619-W619-M619)</f>
        <v/>
      </c>
      <c r="AB619" s="27" t="str">
        <f aca="false">IF($A619="","",IF($AK619=1,'كشف المطالبة'!$D$5,'كشف المطالبة'!$D$6)*100)</f>
        <v/>
      </c>
      <c r="AK619" s="28" t="str">
        <f aca="false">IF($A619="","",IF(OR($Q619=TRUE(),$Q619="TRUE"),1,0))</f>
        <v/>
      </c>
      <c r="AL619" s="28" t="str">
        <f aca="false">IF($N619="","",IF(MATCH($N619,$N$2:$N$3001,0)=ROWS($N$2:$N619),$N619,""))</f>
        <v/>
      </c>
    </row>
    <row r="620" customFormat="false" ht="15" hidden="false" customHeight="false" outlineLevel="0" collapsed="false">
      <c r="E620" s="25"/>
      <c r="M620" s="26" t="str">
        <f aca="false">IF($A620="","",$L620*$U620/100)</f>
        <v/>
      </c>
      <c r="W620" s="26" t="str">
        <f aca="false">IF($A620="","",U620*AB620/100)</f>
        <v/>
      </c>
      <c r="X620" s="26" t="str">
        <f aca="false">IF($A620="","",U620-W620)</f>
        <v/>
      </c>
      <c r="Y620" s="26" t="str">
        <f aca="false">IF($A620="","",U620-W620-M620)</f>
        <v/>
      </c>
      <c r="AB620" s="27" t="str">
        <f aca="false">IF($A620="","",IF($AK620=1,'كشف المطالبة'!$D$5,'كشف المطالبة'!$D$6)*100)</f>
        <v/>
      </c>
      <c r="AK620" s="28" t="str">
        <f aca="false">IF($A620="","",IF(OR($Q620=TRUE(),$Q620="TRUE"),1,0))</f>
        <v/>
      </c>
      <c r="AL620" s="28" t="str">
        <f aca="false">IF($N620="","",IF(MATCH($N620,$N$2:$N$3001,0)=ROWS($N$2:$N620),$N620,""))</f>
        <v/>
      </c>
    </row>
    <row r="621" customFormat="false" ht="15" hidden="false" customHeight="false" outlineLevel="0" collapsed="false">
      <c r="E621" s="25"/>
      <c r="M621" s="26" t="str">
        <f aca="false">IF($A621="","",$L621*$U621/100)</f>
        <v/>
      </c>
      <c r="W621" s="26" t="str">
        <f aca="false">IF($A621="","",U621*AB621/100)</f>
        <v/>
      </c>
      <c r="X621" s="26" t="str">
        <f aca="false">IF($A621="","",U621-W621)</f>
        <v/>
      </c>
      <c r="Y621" s="26" t="str">
        <f aca="false">IF($A621="","",U621-W621-M621)</f>
        <v/>
      </c>
      <c r="AB621" s="27" t="str">
        <f aca="false">IF($A621="","",IF($AK621=1,'كشف المطالبة'!$D$5,'كشف المطالبة'!$D$6)*100)</f>
        <v/>
      </c>
      <c r="AK621" s="28" t="str">
        <f aca="false">IF($A621="","",IF(OR($Q621=TRUE(),$Q621="TRUE"),1,0))</f>
        <v/>
      </c>
      <c r="AL621" s="28" t="str">
        <f aca="false">IF($N621="","",IF(MATCH($N621,$N$2:$N$3001,0)=ROWS($N$2:$N621),$N621,""))</f>
        <v/>
      </c>
    </row>
    <row r="622" customFormat="false" ht="15" hidden="false" customHeight="false" outlineLevel="0" collapsed="false">
      <c r="E622" s="25"/>
      <c r="M622" s="26" t="str">
        <f aca="false">IF($A622="","",$L622*$U622/100)</f>
        <v/>
      </c>
      <c r="W622" s="26" t="str">
        <f aca="false">IF($A622="","",U622*AB622/100)</f>
        <v/>
      </c>
      <c r="X622" s="26" t="str">
        <f aca="false">IF($A622="","",U622-W622)</f>
        <v/>
      </c>
      <c r="Y622" s="26" t="str">
        <f aca="false">IF($A622="","",U622-W622-M622)</f>
        <v/>
      </c>
      <c r="AB622" s="27" t="str">
        <f aca="false">IF($A622="","",IF($AK622=1,'كشف المطالبة'!$D$5,'كشف المطالبة'!$D$6)*100)</f>
        <v/>
      </c>
      <c r="AK622" s="28" t="str">
        <f aca="false">IF($A622="","",IF(OR($Q622=TRUE(),$Q622="TRUE"),1,0))</f>
        <v/>
      </c>
      <c r="AL622" s="28" t="str">
        <f aca="false">IF($N622="","",IF(MATCH($N622,$N$2:$N$3001,0)=ROWS($N$2:$N622),$N622,""))</f>
        <v/>
      </c>
    </row>
    <row r="623" customFormat="false" ht="15" hidden="false" customHeight="false" outlineLevel="0" collapsed="false">
      <c r="E623" s="25"/>
      <c r="M623" s="26" t="str">
        <f aca="false">IF($A623="","",$L623*$U623/100)</f>
        <v/>
      </c>
      <c r="W623" s="26" t="str">
        <f aca="false">IF($A623="","",U623*AB623/100)</f>
        <v/>
      </c>
      <c r="X623" s="26" t="str">
        <f aca="false">IF($A623="","",U623-W623)</f>
        <v/>
      </c>
      <c r="Y623" s="26" t="str">
        <f aca="false">IF($A623="","",U623-W623-M623)</f>
        <v/>
      </c>
      <c r="AB623" s="27" t="str">
        <f aca="false">IF($A623="","",IF($AK623=1,'كشف المطالبة'!$D$5,'كشف المطالبة'!$D$6)*100)</f>
        <v/>
      </c>
      <c r="AK623" s="28" t="str">
        <f aca="false">IF($A623="","",IF(OR($Q623=TRUE(),$Q623="TRUE"),1,0))</f>
        <v/>
      </c>
      <c r="AL623" s="28" t="str">
        <f aca="false">IF($N623="","",IF(MATCH($N623,$N$2:$N$3001,0)=ROWS($N$2:$N623),$N623,""))</f>
        <v/>
      </c>
    </row>
    <row r="624" customFormat="false" ht="15" hidden="false" customHeight="false" outlineLevel="0" collapsed="false">
      <c r="E624" s="25"/>
      <c r="M624" s="26" t="str">
        <f aca="false">IF($A624="","",$L624*$U624/100)</f>
        <v/>
      </c>
      <c r="W624" s="26" t="str">
        <f aca="false">IF($A624="","",U624*AB624/100)</f>
        <v/>
      </c>
      <c r="X624" s="26" t="str">
        <f aca="false">IF($A624="","",U624-W624)</f>
        <v/>
      </c>
      <c r="Y624" s="26" t="str">
        <f aca="false">IF($A624="","",U624-W624-M624)</f>
        <v/>
      </c>
      <c r="AB624" s="27" t="str">
        <f aca="false">IF($A624="","",IF($AK624=1,'كشف المطالبة'!$D$5,'كشف المطالبة'!$D$6)*100)</f>
        <v/>
      </c>
      <c r="AK624" s="28" t="str">
        <f aca="false">IF($A624="","",IF(OR($Q624=TRUE(),$Q624="TRUE"),1,0))</f>
        <v/>
      </c>
      <c r="AL624" s="28" t="str">
        <f aca="false">IF($N624="","",IF(MATCH($N624,$N$2:$N$3001,0)=ROWS($N$2:$N624),$N624,""))</f>
        <v/>
      </c>
    </row>
    <row r="625" customFormat="false" ht="15" hidden="false" customHeight="false" outlineLevel="0" collapsed="false">
      <c r="E625" s="25"/>
      <c r="M625" s="26" t="str">
        <f aca="false">IF($A625="","",$L625*$U625/100)</f>
        <v/>
      </c>
      <c r="W625" s="26" t="str">
        <f aca="false">IF($A625="","",U625*AB625/100)</f>
        <v/>
      </c>
      <c r="X625" s="26" t="str">
        <f aca="false">IF($A625="","",U625-W625)</f>
        <v/>
      </c>
      <c r="Y625" s="26" t="str">
        <f aca="false">IF($A625="","",U625-W625-M625)</f>
        <v/>
      </c>
      <c r="AB625" s="27" t="str">
        <f aca="false">IF($A625="","",IF($AK625=1,'كشف المطالبة'!$D$5,'كشف المطالبة'!$D$6)*100)</f>
        <v/>
      </c>
      <c r="AK625" s="28" t="str">
        <f aca="false">IF($A625="","",IF(OR($Q625=TRUE(),$Q625="TRUE"),1,0))</f>
        <v/>
      </c>
      <c r="AL625" s="28" t="str">
        <f aca="false">IF($N625="","",IF(MATCH($N625,$N$2:$N$3001,0)=ROWS($N$2:$N625),$N625,""))</f>
        <v/>
      </c>
    </row>
    <row r="626" customFormat="false" ht="15" hidden="false" customHeight="false" outlineLevel="0" collapsed="false">
      <c r="E626" s="25"/>
      <c r="M626" s="26" t="str">
        <f aca="false">IF($A626="","",$L626*$U626/100)</f>
        <v/>
      </c>
      <c r="W626" s="26" t="str">
        <f aca="false">IF($A626="","",U626*AB626/100)</f>
        <v/>
      </c>
      <c r="X626" s="26" t="str">
        <f aca="false">IF($A626="","",U626-W626)</f>
        <v/>
      </c>
      <c r="Y626" s="26" t="str">
        <f aca="false">IF($A626="","",U626-W626-M626)</f>
        <v/>
      </c>
      <c r="AB626" s="27" t="str">
        <f aca="false">IF($A626="","",IF($AK626=1,'كشف المطالبة'!$D$5,'كشف المطالبة'!$D$6)*100)</f>
        <v/>
      </c>
      <c r="AK626" s="28" t="str">
        <f aca="false">IF($A626="","",IF(OR($Q626=TRUE(),$Q626="TRUE"),1,0))</f>
        <v/>
      </c>
      <c r="AL626" s="28" t="str">
        <f aca="false">IF($N626="","",IF(MATCH($N626,$N$2:$N$3001,0)=ROWS($N$2:$N626),$N626,""))</f>
        <v/>
      </c>
    </row>
    <row r="627" customFormat="false" ht="15" hidden="false" customHeight="false" outlineLevel="0" collapsed="false">
      <c r="E627" s="25"/>
      <c r="M627" s="26" t="str">
        <f aca="false">IF($A627="","",$L627*$U627/100)</f>
        <v/>
      </c>
      <c r="W627" s="26" t="str">
        <f aca="false">IF($A627="","",U627*AB627/100)</f>
        <v/>
      </c>
      <c r="X627" s="26" t="str">
        <f aca="false">IF($A627="","",U627-W627)</f>
        <v/>
      </c>
      <c r="Y627" s="26" t="str">
        <f aca="false">IF($A627="","",U627-W627-M627)</f>
        <v/>
      </c>
      <c r="AB627" s="27" t="str">
        <f aca="false">IF($A627="","",IF($AK627=1,'كشف المطالبة'!$D$5,'كشف المطالبة'!$D$6)*100)</f>
        <v/>
      </c>
      <c r="AK627" s="28" t="str">
        <f aca="false">IF($A627="","",IF(OR($Q627=TRUE(),$Q627="TRUE"),1,0))</f>
        <v/>
      </c>
      <c r="AL627" s="28" t="str">
        <f aca="false">IF($N627="","",IF(MATCH($N627,$N$2:$N$3001,0)=ROWS($N$2:$N627),$N627,""))</f>
        <v/>
      </c>
    </row>
    <row r="628" customFormat="false" ht="15" hidden="false" customHeight="false" outlineLevel="0" collapsed="false">
      <c r="E628" s="25"/>
      <c r="M628" s="26" t="str">
        <f aca="false">IF($A628="","",$L628*$U628/100)</f>
        <v/>
      </c>
      <c r="W628" s="26" t="str">
        <f aca="false">IF($A628="","",U628*AB628/100)</f>
        <v/>
      </c>
      <c r="X628" s="26" t="str">
        <f aca="false">IF($A628="","",U628-W628)</f>
        <v/>
      </c>
      <c r="Y628" s="26" t="str">
        <f aca="false">IF($A628="","",U628-W628-M628)</f>
        <v/>
      </c>
      <c r="AB628" s="27" t="str">
        <f aca="false">IF($A628="","",IF($AK628=1,'كشف المطالبة'!$D$5,'كشف المطالبة'!$D$6)*100)</f>
        <v/>
      </c>
      <c r="AK628" s="28" t="str">
        <f aca="false">IF($A628="","",IF(OR($Q628=TRUE(),$Q628="TRUE"),1,0))</f>
        <v/>
      </c>
      <c r="AL628" s="28" t="str">
        <f aca="false">IF($N628="","",IF(MATCH($N628,$N$2:$N$3001,0)=ROWS($N$2:$N628),$N628,""))</f>
        <v/>
      </c>
    </row>
    <row r="629" customFormat="false" ht="15" hidden="false" customHeight="false" outlineLevel="0" collapsed="false">
      <c r="E629" s="25"/>
      <c r="M629" s="26" t="str">
        <f aca="false">IF($A629="","",$L629*$U629/100)</f>
        <v/>
      </c>
      <c r="W629" s="26" t="str">
        <f aca="false">IF($A629="","",U629*AB629/100)</f>
        <v/>
      </c>
      <c r="X629" s="26" t="str">
        <f aca="false">IF($A629="","",U629-W629)</f>
        <v/>
      </c>
      <c r="Y629" s="26" t="str">
        <f aca="false">IF($A629="","",U629-W629-M629)</f>
        <v/>
      </c>
      <c r="AB629" s="27" t="str">
        <f aca="false">IF($A629="","",IF($AK629=1,'كشف المطالبة'!$D$5,'كشف المطالبة'!$D$6)*100)</f>
        <v/>
      </c>
      <c r="AK629" s="28" t="str">
        <f aca="false">IF($A629="","",IF(OR($Q629=TRUE(),$Q629="TRUE"),1,0))</f>
        <v/>
      </c>
      <c r="AL629" s="28" t="str">
        <f aca="false">IF($N629="","",IF(MATCH($N629,$N$2:$N$3001,0)=ROWS($N$2:$N629),$N629,""))</f>
        <v/>
      </c>
    </row>
    <row r="630" customFormat="false" ht="15" hidden="false" customHeight="false" outlineLevel="0" collapsed="false">
      <c r="E630" s="25"/>
      <c r="M630" s="26" t="str">
        <f aca="false">IF($A630="","",$L630*$U630/100)</f>
        <v/>
      </c>
      <c r="W630" s="26" t="str">
        <f aca="false">IF($A630="","",U630*AB630/100)</f>
        <v/>
      </c>
      <c r="X630" s="26" t="str">
        <f aca="false">IF($A630="","",U630-W630)</f>
        <v/>
      </c>
      <c r="Y630" s="26" t="str">
        <f aca="false">IF($A630="","",U630-W630-M630)</f>
        <v/>
      </c>
      <c r="AB630" s="27" t="str">
        <f aca="false">IF($A630="","",IF($AK630=1,'كشف المطالبة'!$D$5,'كشف المطالبة'!$D$6)*100)</f>
        <v/>
      </c>
      <c r="AK630" s="28" t="str">
        <f aca="false">IF($A630="","",IF(OR($Q630=TRUE(),$Q630="TRUE"),1,0))</f>
        <v/>
      </c>
      <c r="AL630" s="28" t="str">
        <f aca="false">IF($N630="","",IF(MATCH($N630,$N$2:$N$3001,0)=ROWS($N$2:$N630),$N630,""))</f>
        <v/>
      </c>
    </row>
    <row r="631" customFormat="false" ht="15" hidden="false" customHeight="false" outlineLevel="0" collapsed="false">
      <c r="E631" s="25"/>
      <c r="M631" s="26" t="str">
        <f aca="false">IF($A631="","",$L631*$U631/100)</f>
        <v/>
      </c>
      <c r="W631" s="26" t="str">
        <f aca="false">IF($A631="","",U631*AB631/100)</f>
        <v/>
      </c>
      <c r="X631" s="26" t="str">
        <f aca="false">IF($A631="","",U631-W631)</f>
        <v/>
      </c>
      <c r="Y631" s="26" t="str">
        <f aca="false">IF($A631="","",U631-W631-M631)</f>
        <v/>
      </c>
      <c r="AB631" s="27" t="str">
        <f aca="false">IF($A631="","",IF($AK631=1,'كشف المطالبة'!$D$5,'كشف المطالبة'!$D$6)*100)</f>
        <v/>
      </c>
      <c r="AK631" s="28" t="str">
        <f aca="false">IF($A631="","",IF(OR($Q631=TRUE(),$Q631="TRUE"),1,0))</f>
        <v/>
      </c>
      <c r="AL631" s="28" t="str">
        <f aca="false">IF($N631="","",IF(MATCH($N631,$N$2:$N$3001,0)=ROWS($N$2:$N631),$N631,""))</f>
        <v/>
      </c>
    </row>
    <row r="632" customFormat="false" ht="15" hidden="false" customHeight="false" outlineLevel="0" collapsed="false">
      <c r="E632" s="25"/>
      <c r="M632" s="26" t="str">
        <f aca="false">IF($A632="","",$L632*$U632/100)</f>
        <v/>
      </c>
      <c r="W632" s="26" t="str">
        <f aca="false">IF($A632="","",U632*AB632/100)</f>
        <v/>
      </c>
      <c r="X632" s="26" t="str">
        <f aca="false">IF($A632="","",U632-W632)</f>
        <v/>
      </c>
      <c r="Y632" s="26" t="str">
        <f aca="false">IF($A632="","",U632-W632-M632)</f>
        <v/>
      </c>
      <c r="AB632" s="27" t="str">
        <f aca="false">IF($A632="","",IF($AK632=1,'كشف المطالبة'!$D$5,'كشف المطالبة'!$D$6)*100)</f>
        <v/>
      </c>
      <c r="AK632" s="28" t="str">
        <f aca="false">IF($A632="","",IF(OR($Q632=TRUE(),$Q632="TRUE"),1,0))</f>
        <v/>
      </c>
      <c r="AL632" s="28" t="str">
        <f aca="false">IF($N632="","",IF(MATCH($N632,$N$2:$N$3001,0)=ROWS($N$2:$N632),$N632,""))</f>
        <v/>
      </c>
    </row>
    <row r="633" customFormat="false" ht="15" hidden="false" customHeight="false" outlineLevel="0" collapsed="false">
      <c r="E633" s="25"/>
      <c r="M633" s="26" t="str">
        <f aca="false">IF($A633="","",$L633*$U633/100)</f>
        <v/>
      </c>
      <c r="W633" s="26" t="str">
        <f aca="false">IF($A633="","",U633*AB633/100)</f>
        <v/>
      </c>
      <c r="X633" s="26" t="str">
        <f aca="false">IF($A633="","",U633-W633)</f>
        <v/>
      </c>
      <c r="Y633" s="26" t="str">
        <f aca="false">IF($A633="","",U633-W633-M633)</f>
        <v/>
      </c>
      <c r="AB633" s="27" t="str">
        <f aca="false">IF($A633="","",IF($AK633=1,'كشف المطالبة'!$D$5,'كشف المطالبة'!$D$6)*100)</f>
        <v/>
      </c>
      <c r="AK633" s="28" t="str">
        <f aca="false">IF($A633="","",IF(OR($Q633=TRUE(),$Q633="TRUE"),1,0))</f>
        <v/>
      </c>
      <c r="AL633" s="28" t="str">
        <f aca="false">IF($N633="","",IF(MATCH($N633,$N$2:$N$3001,0)=ROWS($N$2:$N633),$N633,""))</f>
        <v/>
      </c>
    </row>
    <row r="634" customFormat="false" ht="15" hidden="false" customHeight="false" outlineLevel="0" collapsed="false">
      <c r="E634" s="25"/>
      <c r="M634" s="26" t="str">
        <f aca="false">IF($A634="","",$L634*$U634/100)</f>
        <v/>
      </c>
      <c r="W634" s="26" t="str">
        <f aca="false">IF($A634="","",U634*AB634/100)</f>
        <v/>
      </c>
      <c r="X634" s="26" t="str">
        <f aca="false">IF($A634="","",U634-W634)</f>
        <v/>
      </c>
      <c r="Y634" s="26" t="str">
        <f aca="false">IF($A634="","",U634-W634-M634)</f>
        <v/>
      </c>
      <c r="AB634" s="27" t="str">
        <f aca="false">IF($A634="","",IF($AK634=1,'كشف المطالبة'!$D$5,'كشف المطالبة'!$D$6)*100)</f>
        <v/>
      </c>
      <c r="AK634" s="28" t="str">
        <f aca="false">IF($A634="","",IF(OR($Q634=TRUE(),$Q634="TRUE"),1,0))</f>
        <v/>
      </c>
      <c r="AL634" s="28" t="str">
        <f aca="false">IF($N634="","",IF(MATCH($N634,$N$2:$N$3001,0)=ROWS($N$2:$N634),$N634,""))</f>
        <v/>
      </c>
    </row>
    <row r="635" customFormat="false" ht="15" hidden="false" customHeight="false" outlineLevel="0" collapsed="false">
      <c r="E635" s="25"/>
      <c r="M635" s="26" t="str">
        <f aca="false">IF($A635="","",$L635*$U635/100)</f>
        <v/>
      </c>
      <c r="W635" s="26" t="str">
        <f aca="false">IF($A635="","",U635*AB635/100)</f>
        <v/>
      </c>
      <c r="X635" s="26" t="str">
        <f aca="false">IF($A635="","",U635-W635)</f>
        <v/>
      </c>
      <c r="Y635" s="26" t="str">
        <f aca="false">IF($A635="","",U635-W635-M635)</f>
        <v/>
      </c>
      <c r="AB635" s="27" t="str">
        <f aca="false">IF($A635="","",IF($AK635=1,'كشف المطالبة'!$D$5,'كشف المطالبة'!$D$6)*100)</f>
        <v/>
      </c>
      <c r="AK635" s="28" t="str">
        <f aca="false">IF($A635="","",IF(OR($Q635=TRUE(),$Q635="TRUE"),1,0))</f>
        <v/>
      </c>
      <c r="AL635" s="28" t="str">
        <f aca="false">IF($N635="","",IF(MATCH($N635,$N$2:$N$3001,0)=ROWS($N$2:$N635),$N635,""))</f>
        <v/>
      </c>
    </row>
    <row r="636" customFormat="false" ht="15" hidden="false" customHeight="false" outlineLevel="0" collapsed="false">
      <c r="E636" s="25"/>
      <c r="M636" s="26" t="str">
        <f aca="false">IF($A636="","",$L636*$U636/100)</f>
        <v/>
      </c>
      <c r="W636" s="26" t="str">
        <f aca="false">IF($A636="","",U636*AB636/100)</f>
        <v/>
      </c>
      <c r="X636" s="26" t="str">
        <f aca="false">IF($A636="","",U636-W636)</f>
        <v/>
      </c>
      <c r="Y636" s="26" t="str">
        <f aca="false">IF($A636="","",U636-W636-M636)</f>
        <v/>
      </c>
      <c r="AB636" s="27" t="str">
        <f aca="false">IF($A636="","",IF($AK636=1,'كشف المطالبة'!$D$5,'كشف المطالبة'!$D$6)*100)</f>
        <v/>
      </c>
      <c r="AK636" s="28" t="str">
        <f aca="false">IF($A636="","",IF(OR($Q636=TRUE(),$Q636="TRUE"),1,0))</f>
        <v/>
      </c>
      <c r="AL636" s="28" t="str">
        <f aca="false">IF($N636="","",IF(MATCH($N636,$N$2:$N$3001,0)=ROWS($N$2:$N636),$N636,""))</f>
        <v/>
      </c>
    </row>
    <row r="637" customFormat="false" ht="15" hidden="false" customHeight="false" outlineLevel="0" collapsed="false">
      <c r="E637" s="25"/>
      <c r="M637" s="26" t="str">
        <f aca="false">IF($A637="","",$L637*$U637/100)</f>
        <v/>
      </c>
      <c r="W637" s="26" t="str">
        <f aca="false">IF($A637="","",U637*AB637/100)</f>
        <v/>
      </c>
      <c r="X637" s="26" t="str">
        <f aca="false">IF($A637="","",U637-W637)</f>
        <v/>
      </c>
      <c r="Y637" s="26" t="str">
        <f aca="false">IF($A637="","",U637-W637-M637)</f>
        <v/>
      </c>
      <c r="AB637" s="27" t="str">
        <f aca="false">IF($A637="","",IF($AK637=1,'كشف المطالبة'!$D$5,'كشف المطالبة'!$D$6)*100)</f>
        <v/>
      </c>
      <c r="AK637" s="28" t="str">
        <f aca="false">IF($A637="","",IF(OR($Q637=TRUE(),$Q637="TRUE"),1,0))</f>
        <v/>
      </c>
      <c r="AL637" s="28" t="str">
        <f aca="false">IF($N637="","",IF(MATCH($N637,$N$2:$N$3001,0)=ROWS($N$2:$N637),$N637,""))</f>
        <v/>
      </c>
    </row>
    <row r="638" customFormat="false" ht="15" hidden="false" customHeight="false" outlineLevel="0" collapsed="false">
      <c r="E638" s="25"/>
      <c r="M638" s="26" t="str">
        <f aca="false">IF($A638="","",$L638*$U638/100)</f>
        <v/>
      </c>
      <c r="W638" s="26" t="str">
        <f aca="false">IF($A638="","",U638*AB638/100)</f>
        <v/>
      </c>
      <c r="X638" s="26" t="str">
        <f aca="false">IF($A638="","",U638-W638)</f>
        <v/>
      </c>
      <c r="Y638" s="26" t="str">
        <f aca="false">IF($A638="","",U638-W638-M638)</f>
        <v/>
      </c>
      <c r="AB638" s="27" t="str">
        <f aca="false">IF($A638="","",IF($AK638=1,'كشف المطالبة'!$D$5,'كشف المطالبة'!$D$6)*100)</f>
        <v/>
      </c>
      <c r="AK638" s="28" t="str">
        <f aca="false">IF($A638="","",IF(OR($Q638=TRUE(),$Q638="TRUE"),1,0))</f>
        <v/>
      </c>
      <c r="AL638" s="28" t="str">
        <f aca="false">IF($N638="","",IF(MATCH($N638,$N$2:$N$3001,0)=ROWS($N$2:$N638),$N638,""))</f>
        <v/>
      </c>
    </row>
    <row r="639" customFormat="false" ht="15" hidden="false" customHeight="false" outlineLevel="0" collapsed="false">
      <c r="E639" s="25"/>
      <c r="M639" s="26" t="str">
        <f aca="false">IF($A639="","",$L639*$U639/100)</f>
        <v/>
      </c>
      <c r="W639" s="26" t="str">
        <f aca="false">IF($A639="","",U639*AB639/100)</f>
        <v/>
      </c>
      <c r="X639" s="26" t="str">
        <f aca="false">IF($A639="","",U639-W639)</f>
        <v/>
      </c>
      <c r="Y639" s="26" t="str">
        <f aca="false">IF($A639="","",U639-W639-M639)</f>
        <v/>
      </c>
      <c r="AB639" s="27" t="str">
        <f aca="false">IF($A639="","",IF($AK639=1,'كشف المطالبة'!$D$5,'كشف المطالبة'!$D$6)*100)</f>
        <v/>
      </c>
      <c r="AK639" s="28" t="str">
        <f aca="false">IF($A639="","",IF(OR($Q639=TRUE(),$Q639="TRUE"),1,0))</f>
        <v/>
      </c>
      <c r="AL639" s="28" t="str">
        <f aca="false">IF($N639="","",IF(MATCH($N639,$N$2:$N$3001,0)=ROWS($N$2:$N639),$N639,""))</f>
        <v/>
      </c>
    </row>
    <row r="640" customFormat="false" ht="15" hidden="false" customHeight="false" outlineLevel="0" collapsed="false">
      <c r="E640" s="25"/>
      <c r="M640" s="26" t="str">
        <f aca="false">IF($A640="","",$L640*$U640/100)</f>
        <v/>
      </c>
      <c r="W640" s="26" t="str">
        <f aca="false">IF($A640="","",U640*AB640/100)</f>
        <v/>
      </c>
      <c r="X640" s="26" t="str">
        <f aca="false">IF($A640="","",U640-W640)</f>
        <v/>
      </c>
      <c r="Y640" s="26" t="str">
        <f aca="false">IF($A640="","",U640-W640-M640)</f>
        <v/>
      </c>
      <c r="AB640" s="27" t="str">
        <f aca="false">IF($A640="","",IF($AK640=1,'كشف المطالبة'!$D$5,'كشف المطالبة'!$D$6)*100)</f>
        <v/>
      </c>
      <c r="AK640" s="28" t="str">
        <f aca="false">IF($A640="","",IF(OR($Q640=TRUE(),$Q640="TRUE"),1,0))</f>
        <v/>
      </c>
      <c r="AL640" s="28" t="str">
        <f aca="false">IF($N640="","",IF(MATCH($N640,$N$2:$N$3001,0)=ROWS($N$2:$N640),$N640,""))</f>
        <v/>
      </c>
    </row>
    <row r="641" customFormat="false" ht="15" hidden="false" customHeight="false" outlineLevel="0" collapsed="false">
      <c r="E641" s="25"/>
      <c r="M641" s="26" t="str">
        <f aca="false">IF($A641="","",$L641*$U641/100)</f>
        <v/>
      </c>
      <c r="W641" s="26" t="str">
        <f aca="false">IF($A641="","",U641*AB641/100)</f>
        <v/>
      </c>
      <c r="X641" s="26" t="str">
        <f aca="false">IF($A641="","",U641-W641)</f>
        <v/>
      </c>
      <c r="Y641" s="26" t="str">
        <f aca="false">IF($A641="","",U641-W641-M641)</f>
        <v/>
      </c>
      <c r="AB641" s="27" t="str">
        <f aca="false">IF($A641="","",IF($AK641=1,'كشف المطالبة'!$D$5,'كشف المطالبة'!$D$6)*100)</f>
        <v/>
      </c>
      <c r="AK641" s="28" t="str">
        <f aca="false">IF($A641="","",IF(OR($Q641=TRUE(),$Q641="TRUE"),1,0))</f>
        <v/>
      </c>
      <c r="AL641" s="28" t="str">
        <f aca="false">IF($N641="","",IF(MATCH($N641,$N$2:$N$3001,0)=ROWS($N$2:$N641),$N641,""))</f>
        <v/>
      </c>
    </row>
    <row r="642" customFormat="false" ht="15" hidden="false" customHeight="false" outlineLevel="0" collapsed="false">
      <c r="E642" s="25"/>
      <c r="M642" s="26" t="str">
        <f aca="false">IF($A642="","",$L642*$U642/100)</f>
        <v/>
      </c>
      <c r="W642" s="26" t="str">
        <f aca="false">IF($A642="","",U642*AB642/100)</f>
        <v/>
      </c>
      <c r="X642" s="26" t="str">
        <f aca="false">IF($A642="","",U642-W642)</f>
        <v/>
      </c>
      <c r="Y642" s="26" t="str">
        <f aca="false">IF($A642="","",U642-W642-M642)</f>
        <v/>
      </c>
      <c r="AB642" s="27" t="str">
        <f aca="false">IF($A642="","",IF($AK642=1,'كشف المطالبة'!$D$5,'كشف المطالبة'!$D$6)*100)</f>
        <v/>
      </c>
      <c r="AK642" s="28" t="str">
        <f aca="false">IF($A642="","",IF(OR($Q642=TRUE(),$Q642="TRUE"),1,0))</f>
        <v/>
      </c>
      <c r="AL642" s="28" t="str">
        <f aca="false">IF($N642="","",IF(MATCH($N642,$N$2:$N$3001,0)=ROWS($N$2:$N642),$N642,""))</f>
        <v/>
      </c>
    </row>
    <row r="643" customFormat="false" ht="15" hidden="false" customHeight="false" outlineLevel="0" collapsed="false">
      <c r="E643" s="25"/>
      <c r="M643" s="26" t="str">
        <f aca="false">IF($A643="","",$L643*$U643/100)</f>
        <v/>
      </c>
      <c r="W643" s="26" t="str">
        <f aca="false">IF($A643="","",U643*AB643/100)</f>
        <v/>
      </c>
      <c r="X643" s="26" t="str">
        <f aca="false">IF($A643="","",U643-W643)</f>
        <v/>
      </c>
      <c r="Y643" s="26" t="str">
        <f aca="false">IF($A643="","",U643-W643-M643)</f>
        <v/>
      </c>
      <c r="AB643" s="27" t="str">
        <f aca="false">IF($A643="","",IF($AK643=1,'كشف المطالبة'!$D$5,'كشف المطالبة'!$D$6)*100)</f>
        <v/>
      </c>
      <c r="AK643" s="28" t="str">
        <f aca="false">IF($A643="","",IF(OR($Q643=TRUE(),$Q643="TRUE"),1,0))</f>
        <v/>
      </c>
      <c r="AL643" s="28" t="str">
        <f aca="false">IF($N643="","",IF(MATCH($N643,$N$2:$N$3001,0)=ROWS($N$2:$N643),$N643,""))</f>
        <v/>
      </c>
    </row>
    <row r="644" customFormat="false" ht="15" hidden="false" customHeight="false" outlineLevel="0" collapsed="false">
      <c r="E644" s="25"/>
      <c r="M644" s="26" t="str">
        <f aca="false">IF($A644="","",$L644*$U644/100)</f>
        <v/>
      </c>
      <c r="W644" s="26" t="str">
        <f aca="false">IF($A644="","",U644*AB644/100)</f>
        <v/>
      </c>
      <c r="X644" s="26" t="str">
        <f aca="false">IF($A644="","",U644-W644)</f>
        <v/>
      </c>
      <c r="Y644" s="26" t="str">
        <f aca="false">IF($A644="","",U644-W644-M644)</f>
        <v/>
      </c>
      <c r="AB644" s="27" t="str">
        <f aca="false">IF($A644="","",IF($AK644=1,'كشف المطالبة'!$D$5,'كشف المطالبة'!$D$6)*100)</f>
        <v/>
      </c>
      <c r="AK644" s="28" t="str">
        <f aca="false">IF($A644="","",IF(OR($Q644=TRUE(),$Q644="TRUE"),1,0))</f>
        <v/>
      </c>
      <c r="AL644" s="28" t="str">
        <f aca="false">IF($N644="","",IF(MATCH($N644,$N$2:$N$3001,0)=ROWS($N$2:$N644),$N644,""))</f>
        <v/>
      </c>
    </row>
    <row r="645" customFormat="false" ht="15" hidden="false" customHeight="false" outlineLevel="0" collapsed="false">
      <c r="E645" s="25"/>
      <c r="M645" s="26" t="str">
        <f aca="false">IF($A645="","",$L645*$U645/100)</f>
        <v/>
      </c>
      <c r="W645" s="26" t="str">
        <f aca="false">IF($A645="","",U645*AB645/100)</f>
        <v/>
      </c>
      <c r="X645" s="26" t="str">
        <f aca="false">IF($A645="","",U645-W645)</f>
        <v/>
      </c>
      <c r="Y645" s="26" t="str">
        <f aca="false">IF($A645="","",U645-W645-M645)</f>
        <v/>
      </c>
      <c r="AB645" s="27" t="str">
        <f aca="false">IF($A645="","",IF($AK645=1,'كشف المطالبة'!$D$5,'كشف المطالبة'!$D$6)*100)</f>
        <v/>
      </c>
      <c r="AK645" s="28" t="str">
        <f aca="false">IF($A645="","",IF(OR($Q645=TRUE(),$Q645="TRUE"),1,0))</f>
        <v/>
      </c>
      <c r="AL645" s="28" t="str">
        <f aca="false">IF($N645="","",IF(MATCH($N645,$N$2:$N$3001,0)=ROWS($N$2:$N645),$N645,""))</f>
        <v/>
      </c>
    </row>
    <row r="646" customFormat="false" ht="15" hidden="false" customHeight="false" outlineLevel="0" collapsed="false">
      <c r="E646" s="25"/>
      <c r="M646" s="26" t="str">
        <f aca="false">IF($A646="","",$L646*$U646/100)</f>
        <v/>
      </c>
      <c r="W646" s="26" t="str">
        <f aca="false">IF($A646="","",U646*AB646/100)</f>
        <v/>
      </c>
      <c r="X646" s="26" t="str">
        <f aca="false">IF($A646="","",U646-W646)</f>
        <v/>
      </c>
      <c r="Y646" s="26" t="str">
        <f aca="false">IF($A646="","",U646-W646-M646)</f>
        <v/>
      </c>
      <c r="AB646" s="27" t="str">
        <f aca="false">IF($A646="","",IF($AK646=1,'كشف المطالبة'!$D$5,'كشف المطالبة'!$D$6)*100)</f>
        <v/>
      </c>
      <c r="AK646" s="28" t="str">
        <f aca="false">IF($A646="","",IF(OR($Q646=TRUE(),$Q646="TRUE"),1,0))</f>
        <v/>
      </c>
      <c r="AL646" s="28" t="str">
        <f aca="false">IF($N646="","",IF(MATCH($N646,$N$2:$N$3001,0)=ROWS($N$2:$N646),$N646,""))</f>
        <v/>
      </c>
    </row>
    <row r="647" customFormat="false" ht="15" hidden="false" customHeight="false" outlineLevel="0" collapsed="false">
      <c r="E647" s="25"/>
      <c r="M647" s="26" t="str">
        <f aca="false">IF($A647="","",$L647*$U647/100)</f>
        <v/>
      </c>
      <c r="W647" s="26" t="str">
        <f aca="false">IF($A647="","",U647*AB647/100)</f>
        <v/>
      </c>
      <c r="X647" s="26" t="str">
        <f aca="false">IF($A647="","",U647-W647)</f>
        <v/>
      </c>
      <c r="Y647" s="26" t="str">
        <f aca="false">IF($A647="","",U647-W647-M647)</f>
        <v/>
      </c>
      <c r="AB647" s="27" t="str">
        <f aca="false">IF($A647="","",IF($AK647=1,'كشف المطالبة'!$D$5,'كشف المطالبة'!$D$6)*100)</f>
        <v/>
      </c>
      <c r="AK647" s="28" t="str">
        <f aca="false">IF($A647="","",IF(OR($Q647=TRUE(),$Q647="TRUE"),1,0))</f>
        <v/>
      </c>
      <c r="AL647" s="28" t="str">
        <f aca="false">IF($N647="","",IF(MATCH($N647,$N$2:$N$3001,0)=ROWS($N$2:$N647),$N647,""))</f>
        <v/>
      </c>
    </row>
    <row r="648" customFormat="false" ht="15" hidden="false" customHeight="false" outlineLevel="0" collapsed="false">
      <c r="E648" s="25"/>
      <c r="M648" s="26" t="str">
        <f aca="false">IF($A648="","",$L648*$U648/100)</f>
        <v/>
      </c>
      <c r="W648" s="26" t="str">
        <f aca="false">IF($A648="","",U648*AB648/100)</f>
        <v/>
      </c>
      <c r="X648" s="26" t="str">
        <f aca="false">IF($A648="","",U648-W648)</f>
        <v/>
      </c>
      <c r="Y648" s="26" t="str">
        <f aca="false">IF($A648="","",U648-W648-M648)</f>
        <v/>
      </c>
      <c r="AB648" s="27" t="str">
        <f aca="false">IF($A648="","",IF($AK648=1,'كشف المطالبة'!$D$5,'كشف المطالبة'!$D$6)*100)</f>
        <v/>
      </c>
      <c r="AK648" s="28" t="str">
        <f aca="false">IF($A648="","",IF(OR($Q648=TRUE(),$Q648="TRUE"),1,0))</f>
        <v/>
      </c>
      <c r="AL648" s="28" t="str">
        <f aca="false">IF($N648="","",IF(MATCH($N648,$N$2:$N$3001,0)=ROWS($N$2:$N648),$N648,""))</f>
        <v/>
      </c>
    </row>
    <row r="649" customFormat="false" ht="15" hidden="false" customHeight="false" outlineLevel="0" collapsed="false">
      <c r="E649" s="25"/>
      <c r="M649" s="26" t="str">
        <f aca="false">IF($A649="","",$L649*$U649/100)</f>
        <v/>
      </c>
      <c r="W649" s="26" t="str">
        <f aca="false">IF($A649="","",U649*AB649/100)</f>
        <v/>
      </c>
      <c r="X649" s="26" t="str">
        <f aca="false">IF($A649="","",U649-W649)</f>
        <v/>
      </c>
      <c r="Y649" s="26" t="str">
        <f aca="false">IF($A649="","",U649-W649-M649)</f>
        <v/>
      </c>
      <c r="AB649" s="27" t="str">
        <f aca="false">IF($A649="","",IF($AK649=1,'كشف المطالبة'!$D$5,'كشف المطالبة'!$D$6)*100)</f>
        <v/>
      </c>
      <c r="AK649" s="28" t="str">
        <f aca="false">IF($A649="","",IF(OR($Q649=TRUE(),$Q649="TRUE"),1,0))</f>
        <v/>
      </c>
      <c r="AL649" s="28" t="str">
        <f aca="false">IF($N649="","",IF(MATCH($N649,$N$2:$N$3001,0)=ROWS($N$2:$N649),$N649,""))</f>
        <v/>
      </c>
    </row>
    <row r="650" customFormat="false" ht="15" hidden="false" customHeight="false" outlineLevel="0" collapsed="false">
      <c r="E650" s="25"/>
      <c r="M650" s="26" t="str">
        <f aca="false">IF($A650="","",$L650*$U650/100)</f>
        <v/>
      </c>
      <c r="W650" s="26" t="str">
        <f aca="false">IF($A650="","",U650*AB650/100)</f>
        <v/>
      </c>
      <c r="X650" s="26" t="str">
        <f aca="false">IF($A650="","",U650-W650)</f>
        <v/>
      </c>
      <c r="Y650" s="26" t="str">
        <f aca="false">IF($A650="","",U650-W650-M650)</f>
        <v/>
      </c>
      <c r="AB650" s="27" t="str">
        <f aca="false">IF($A650="","",IF($AK650=1,'كشف المطالبة'!$D$5,'كشف المطالبة'!$D$6)*100)</f>
        <v/>
      </c>
      <c r="AK650" s="28" t="str">
        <f aca="false">IF($A650="","",IF(OR($Q650=TRUE(),$Q650="TRUE"),1,0))</f>
        <v/>
      </c>
      <c r="AL650" s="28" t="str">
        <f aca="false">IF($N650="","",IF(MATCH($N650,$N$2:$N$3001,0)=ROWS($N$2:$N650),$N650,""))</f>
        <v/>
      </c>
    </row>
    <row r="651" customFormat="false" ht="15" hidden="false" customHeight="false" outlineLevel="0" collapsed="false">
      <c r="E651" s="25"/>
      <c r="M651" s="26" t="str">
        <f aca="false">IF($A651="","",$L651*$U651/100)</f>
        <v/>
      </c>
      <c r="W651" s="26" t="str">
        <f aca="false">IF($A651="","",U651*AB651/100)</f>
        <v/>
      </c>
      <c r="X651" s="26" t="str">
        <f aca="false">IF($A651="","",U651-W651)</f>
        <v/>
      </c>
      <c r="Y651" s="26" t="str">
        <f aca="false">IF($A651="","",U651-W651-M651)</f>
        <v/>
      </c>
      <c r="AB651" s="27" t="str">
        <f aca="false">IF($A651="","",IF($AK651=1,'كشف المطالبة'!$D$5,'كشف المطالبة'!$D$6)*100)</f>
        <v/>
      </c>
      <c r="AK651" s="28" t="str">
        <f aca="false">IF($A651="","",IF(OR($Q651=TRUE(),$Q651="TRUE"),1,0))</f>
        <v/>
      </c>
      <c r="AL651" s="28" t="str">
        <f aca="false">IF($N651="","",IF(MATCH($N651,$N$2:$N$3001,0)=ROWS($N$2:$N651),$N651,""))</f>
        <v/>
      </c>
    </row>
    <row r="652" customFormat="false" ht="15" hidden="false" customHeight="false" outlineLevel="0" collapsed="false">
      <c r="E652" s="25"/>
      <c r="M652" s="26" t="str">
        <f aca="false">IF($A652="","",$L652*$U652/100)</f>
        <v/>
      </c>
      <c r="W652" s="26" t="str">
        <f aca="false">IF($A652="","",U652*AB652/100)</f>
        <v/>
      </c>
      <c r="X652" s="26" t="str">
        <f aca="false">IF($A652="","",U652-W652)</f>
        <v/>
      </c>
      <c r="Y652" s="26" t="str">
        <f aca="false">IF($A652="","",U652-W652-M652)</f>
        <v/>
      </c>
      <c r="AB652" s="27" t="str">
        <f aca="false">IF($A652="","",IF($AK652=1,'كشف المطالبة'!$D$5,'كشف المطالبة'!$D$6)*100)</f>
        <v/>
      </c>
      <c r="AK652" s="28" t="str">
        <f aca="false">IF($A652="","",IF(OR($Q652=TRUE(),$Q652="TRUE"),1,0))</f>
        <v/>
      </c>
      <c r="AL652" s="28" t="str">
        <f aca="false">IF($N652="","",IF(MATCH($N652,$N$2:$N$3001,0)=ROWS($N$2:$N652),$N652,""))</f>
        <v/>
      </c>
    </row>
    <row r="653" customFormat="false" ht="15" hidden="false" customHeight="false" outlineLevel="0" collapsed="false">
      <c r="E653" s="25"/>
      <c r="M653" s="26" t="str">
        <f aca="false">IF($A653="","",$L653*$U653/100)</f>
        <v/>
      </c>
      <c r="W653" s="26" t="str">
        <f aca="false">IF($A653="","",U653*AB653/100)</f>
        <v/>
      </c>
      <c r="X653" s="26" t="str">
        <f aca="false">IF($A653="","",U653-W653)</f>
        <v/>
      </c>
      <c r="Y653" s="26" t="str">
        <f aca="false">IF($A653="","",U653-W653-M653)</f>
        <v/>
      </c>
      <c r="AB653" s="27" t="str">
        <f aca="false">IF($A653="","",IF($AK653=1,'كشف المطالبة'!$D$5,'كشف المطالبة'!$D$6)*100)</f>
        <v/>
      </c>
      <c r="AK653" s="28" t="str">
        <f aca="false">IF($A653="","",IF(OR($Q653=TRUE(),$Q653="TRUE"),1,0))</f>
        <v/>
      </c>
      <c r="AL653" s="28" t="str">
        <f aca="false">IF($N653="","",IF(MATCH($N653,$N$2:$N$3001,0)=ROWS($N$2:$N653),$N653,""))</f>
        <v/>
      </c>
    </row>
    <row r="654" customFormat="false" ht="15" hidden="false" customHeight="false" outlineLevel="0" collapsed="false">
      <c r="E654" s="25"/>
      <c r="M654" s="26" t="str">
        <f aca="false">IF($A654="","",$L654*$U654/100)</f>
        <v/>
      </c>
      <c r="W654" s="26" t="str">
        <f aca="false">IF($A654="","",U654*AB654/100)</f>
        <v/>
      </c>
      <c r="X654" s="26" t="str">
        <f aca="false">IF($A654="","",U654-W654)</f>
        <v/>
      </c>
      <c r="Y654" s="26" t="str">
        <f aca="false">IF($A654="","",U654-W654-M654)</f>
        <v/>
      </c>
      <c r="AB654" s="27" t="str">
        <f aca="false">IF($A654="","",IF($AK654=1,'كشف المطالبة'!$D$5,'كشف المطالبة'!$D$6)*100)</f>
        <v/>
      </c>
      <c r="AK654" s="28" t="str">
        <f aca="false">IF($A654="","",IF(OR($Q654=TRUE(),$Q654="TRUE"),1,0))</f>
        <v/>
      </c>
      <c r="AL654" s="28" t="str">
        <f aca="false">IF($N654="","",IF(MATCH($N654,$N$2:$N$3001,0)=ROWS($N$2:$N654),$N654,""))</f>
        <v/>
      </c>
    </row>
    <row r="655" customFormat="false" ht="15" hidden="false" customHeight="false" outlineLevel="0" collapsed="false">
      <c r="E655" s="25"/>
      <c r="M655" s="26" t="str">
        <f aca="false">IF($A655="","",$L655*$U655/100)</f>
        <v/>
      </c>
      <c r="W655" s="26" t="str">
        <f aca="false">IF($A655="","",U655*AB655/100)</f>
        <v/>
      </c>
      <c r="X655" s="26" t="str">
        <f aca="false">IF($A655="","",U655-W655)</f>
        <v/>
      </c>
      <c r="Y655" s="26" t="str">
        <f aca="false">IF($A655="","",U655-W655-M655)</f>
        <v/>
      </c>
      <c r="AB655" s="27" t="str">
        <f aca="false">IF($A655="","",IF($AK655=1,'كشف المطالبة'!$D$5,'كشف المطالبة'!$D$6)*100)</f>
        <v/>
      </c>
      <c r="AK655" s="28" t="str">
        <f aca="false">IF($A655="","",IF(OR($Q655=TRUE(),$Q655="TRUE"),1,0))</f>
        <v/>
      </c>
      <c r="AL655" s="28" t="str">
        <f aca="false">IF($N655="","",IF(MATCH($N655,$N$2:$N$3001,0)=ROWS($N$2:$N655),$N655,""))</f>
        <v/>
      </c>
    </row>
    <row r="656" customFormat="false" ht="15" hidden="false" customHeight="false" outlineLevel="0" collapsed="false">
      <c r="E656" s="25"/>
      <c r="M656" s="26" t="str">
        <f aca="false">IF($A656="","",$L656*$U656/100)</f>
        <v/>
      </c>
      <c r="W656" s="26" t="str">
        <f aca="false">IF($A656="","",U656*AB656/100)</f>
        <v/>
      </c>
      <c r="X656" s="26" t="str">
        <f aca="false">IF($A656="","",U656-W656)</f>
        <v/>
      </c>
      <c r="Y656" s="26" t="str">
        <f aca="false">IF($A656="","",U656-W656-M656)</f>
        <v/>
      </c>
      <c r="AB656" s="27" t="str">
        <f aca="false">IF($A656="","",IF($AK656=1,'كشف المطالبة'!$D$5,'كشف المطالبة'!$D$6)*100)</f>
        <v/>
      </c>
      <c r="AK656" s="28" t="str">
        <f aca="false">IF($A656="","",IF(OR($Q656=TRUE(),$Q656="TRUE"),1,0))</f>
        <v/>
      </c>
      <c r="AL656" s="28" t="str">
        <f aca="false">IF($N656="","",IF(MATCH($N656,$N$2:$N$3001,0)=ROWS($N$2:$N656),$N656,""))</f>
        <v/>
      </c>
    </row>
    <row r="657" customFormat="false" ht="15" hidden="false" customHeight="false" outlineLevel="0" collapsed="false">
      <c r="E657" s="25"/>
      <c r="M657" s="26" t="str">
        <f aca="false">IF($A657="","",$L657*$U657/100)</f>
        <v/>
      </c>
      <c r="W657" s="26" t="str">
        <f aca="false">IF($A657="","",U657*AB657/100)</f>
        <v/>
      </c>
      <c r="X657" s="26" t="str">
        <f aca="false">IF($A657="","",U657-W657)</f>
        <v/>
      </c>
      <c r="Y657" s="26" t="str">
        <f aca="false">IF($A657="","",U657-W657-M657)</f>
        <v/>
      </c>
      <c r="AB657" s="27" t="str">
        <f aca="false">IF($A657="","",IF($AK657=1,'كشف المطالبة'!$D$5,'كشف المطالبة'!$D$6)*100)</f>
        <v/>
      </c>
      <c r="AK657" s="28" t="str">
        <f aca="false">IF($A657="","",IF(OR($Q657=TRUE(),$Q657="TRUE"),1,0))</f>
        <v/>
      </c>
      <c r="AL657" s="28" t="str">
        <f aca="false">IF($N657="","",IF(MATCH($N657,$N$2:$N$3001,0)=ROWS($N$2:$N657),$N657,""))</f>
        <v/>
      </c>
    </row>
    <row r="658" customFormat="false" ht="15" hidden="false" customHeight="false" outlineLevel="0" collapsed="false">
      <c r="E658" s="25"/>
      <c r="M658" s="26" t="str">
        <f aca="false">IF($A658="","",$L658*$U658/100)</f>
        <v/>
      </c>
      <c r="W658" s="26" t="str">
        <f aca="false">IF($A658="","",U658*AB658/100)</f>
        <v/>
      </c>
      <c r="X658" s="26" t="str">
        <f aca="false">IF($A658="","",U658-W658)</f>
        <v/>
      </c>
      <c r="Y658" s="26" t="str">
        <f aca="false">IF($A658="","",U658-W658-M658)</f>
        <v/>
      </c>
      <c r="AB658" s="27" t="str">
        <f aca="false">IF($A658="","",IF($AK658=1,'كشف المطالبة'!$D$5,'كشف المطالبة'!$D$6)*100)</f>
        <v/>
      </c>
      <c r="AK658" s="28" t="str">
        <f aca="false">IF($A658="","",IF(OR($Q658=TRUE(),$Q658="TRUE"),1,0))</f>
        <v/>
      </c>
      <c r="AL658" s="28" t="str">
        <f aca="false">IF($N658="","",IF(MATCH($N658,$N$2:$N$3001,0)=ROWS($N$2:$N658),$N658,""))</f>
        <v/>
      </c>
    </row>
    <row r="659" customFormat="false" ht="15" hidden="false" customHeight="false" outlineLevel="0" collapsed="false">
      <c r="E659" s="25"/>
      <c r="M659" s="26" t="str">
        <f aca="false">IF($A659="","",$L659*$U659/100)</f>
        <v/>
      </c>
      <c r="W659" s="26" t="str">
        <f aca="false">IF($A659="","",U659*AB659/100)</f>
        <v/>
      </c>
      <c r="X659" s="26" t="str">
        <f aca="false">IF($A659="","",U659-W659)</f>
        <v/>
      </c>
      <c r="Y659" s="26" t="str">
        <f aca="false">IF($A659="","",U659-W659-M659)</f>
        <v/>
      </c>
      <c r="AB659" s="27" t="str">
        <f aca="false">IF($A659="","",IF($AK659=1,'كشف المطالبة'!$D$5,'كشف المطالبة'!$D$6)*100)</f>
        <v/>
      </c>
      <c r="AK659" s="28" t="str">
        <f aca="false">IF($A659="","",IF(OR($Q659=TRUE(),$Q659="TRUE"),1,0))</f>
        <v/>
      </c>
      <c r="AL659" s="28" t="str">
        <f aca="false">IF($N659="","",IF(MATCH($N659,$N$2:$N$3001,0)=ROWS($N$2:$N659),$N659,""))</f>
        <v/>
      </c>
    </row>
    <row r="660" customFormat="false" ht="15" hidden="false" customHeight="false" outlineLevel="0" collapsed="false">
      <c r="E660" s="25"/>
      <c r="M660" s="26" t="str">
        <f aca="false">IF($A660="","",$L660*$U660/100)</f>
        <v/>
      </c>
      <c r="W660" s="26" t="str">
        <f aca="false">IF($A660="","",U660*AB660/100)</f>
        <v/>
      </c>
      <c r="X660" s="26" t="str">
        <f aca="false">IF($A660="","",U660-W660)</f>
        <v/>
      </c>
      <c r="Y660" s="26" t="str">
        <f aca="false">IF($A660="","",U660-W660-M660)</f>
        <v/>
      </c>
      <c r="AB660" s="27" t="str">
        <f aca="false">IF($A660="","",IF($AK660=1,'كشف المطالبة'!$D$5,'كشف المطالبة'!$D$6)*100)</f>
        <v/>
      </c>
      <c r="AK660" s="28" t="str">
        <f aca="false">IF($A660="","",IF(OR($Q660=TRUE(),$Q660="TRUE"),1,0))</f>
        <v/>
      </c>
      <c r="AL660" s="28" t="str">
        <f aca="false">IF($N660="","",IF(MATCH($N660,$N$2:$N$3001,0)=ROWS($N$2:$N660),$N660,""))</f>
        <v/>
      </c>
    </row>
    <row r="661" customFormat="false" ht="15" hidden="false" customHeight="false" outlineLevel="0" collapsed="false">
      <c r="E661" s="25"/>
      <c r="M661" s="26" t="str">
        <f aca="false">IF($A661="","",$L661*$U661/100)</f>
        <v/>
      </c>
      <c r="W661" s="26" t="str">
        <f aca="false">IF($A661="","",U661*AB661/100)</f>
        <v/>
      </c>
      <c r="X661" s="26" t="str">
        <f aca="false">IF($A661="","",U661-W661)</f>
        <v/>
      </c>
      <c r="Y661" s="26" t="str">
        <f aca="false">IF($A661="","",U661-W661-M661)</f>
        <v/>
      </c>
      <c r="AB661" s="27" t="str">
        <f aca="false">IF($A661="","",IF($AK661=1,'كشف المطالبة'!$D$5,'كشف المطالبة'!$D$6)*100)</f>
        <v/>
      </c>
      <c r="AK661" s="28" t="str">
        <f aca="false">IF($A661="","",IF(OR($Q661=TRUE(),$Q661="TRUE"),1,0))</f>
        <v/>
      </c>
      <c r="AL661" s="28" t="str">
        <f aca="false">IF($N661="","",IF(MATCH($N661,$N$2:$N$3001,0)=ROWS($N$2:$N661),$N661,""))</f>
        <v/>
      </c>
    </row>
    <row r="662" customFormat="false" ht="15" hidden="false" customHeight="false" outlineLevel="0" collapsed="false">
      <c r="E662" s="25"/>
      <c r="M662" s="26" t="str">
        <f aca="false">IF($A662="","",$L662*$U662/100)</f>
        <v/>
      </c>
      <c r="W662" s="26" t="str">
        <f aca="false">IF($A662="","",U662*AB662/100)</f>
        <v/>
      </c>
      <c r="X662" s="26" t="str">
        <f aca="false">IF($A662="","",U662-W662)</f>
        <v/>
      </c>
      <c r="Y662" s="26" t="str">
        <f aca="false">IF($A662="","",U662-W662-M662)</f>
        <v/>
      </c>
      <c r="AB662" s="27" t="str">
        <f aca="false">IF($A662="","",IF($AK662=1,'كشف المطالبة'!$D$5,'كشف المطالبة'!$D$6)*100)</f>
        <v/>
      </c>
      <c r="AK662" s="28" t="str">
        <f aca="false">IF($A662="","",IF(OR($Q662=TRUE(),$Q662="TRUE"),1,0))</f>
        <v/>
      </c>
      <c r="AL662" s="28" t="str">
        <f aca="false">IF($N662="","",IF(MATCH($N662,$N$2:$N$3001,0)=ROWS($N$2:$N662),$N662,""))</f>
        <v/>
      </c>
    </row>
    <row r="663" customFormat="false" ht="15" hidden="false" customHeight="false" outlineLevel="0" collapsed="false">
      <c r="E663" s="25"/>
      <c r="M663" s="26" t="str">
        <f aca="false">IF($A663="","",$L663*$U663/100)</f>
        <v/>
      </c>
      <c r="W663" s="26" t="str">
        <f aca="false">IF($A663="","",U663*AB663/100)</f>
        <v/>
      </c>
      <c r="X663" s="26" t="str">
        <f aca="false">IF($A663="","",U663-W663)</f>
        <v/>
      </c>
      <c r="Y663" s="26" t="str">
        <f aca="false">IF($A663="","",U663-W663-M663)</f>
        <v/>
      </c>
      <c r="AB663" s="27" t="str">
        <f aca="false">IF($A663="","",IF($AK663=1,'كشف المطالبة'!$D$5,'كشف المطالبة'!$D$6)*100)</f>
        <v/>
      </c>
      <c r="AK663" s="28" t="str">
        <f aca="false">IF($A663="","",IF(OR($Q663=TRUE(),$Q663="TRUE"),1,0))</f>
        <v/>
      </c>
      <c r="AL663" s="28" t="str">
        <f aca="false">IF($N663="","",IF(MATCH($N663,$N$2:$N$3001,0)=ROWS($N$2:$N663),$N663,""))</f>
        <v/>
      </c>
    </row>
    <row r="664" customFormat="false" ht="15" hidden="false" customHeight="false" outlineLevel="0" collapsed="false">
      <c r="E664" s="25"/>
      <c r="M664" s="26" t="str">
        <f aca="false">IF($A664="","",$L664*$U664/100)</f>
        <v/>
      </c>
      <c r="W664" s="26" t="str">
        <f aca="false">IF($A664="","",U664*AB664/100)</f>
        <v/>
      </c>
      <c r="X664" s="26" t="str">
        <f aca="false">IF($A664="","",U664-W664)</f>
        <v/>
      </c>
      <c r="Y664" s="26" t="str">
        <f aca="false">IF($A664="","",U664-W664-M664)</f>
        <v/>
      </c>
      <c r="AB664" s="27" t="str">
        <f aca="false">IF($A664="","",IF($AK664=1,'كشف المطالبة'!$D$5,'كشف المطالبة'!$D$6)*100)</f>
        <v/>
      </c>
      <c r="AK664" s="28" t="str">
        <f aca="false">IF($A664="","",IF(OR($Q664=TRUE(),$Q664="TRUE"),1,0))</f>
        <v/>
      </c>
      <c r="AL664" s="28" t="str">
        <f aca="false">IF($N664="","",IF(MATCH($N664,$N$2:$N$3001,0)=ROWS($N$2:$N664),$N664,""))</f>
        <v/>
      </c>
    </row>
    <row r="665" customFormat="false" ht="15" hidden="false" customHeight="false" outlineLevel="0" collapsed="false">
      <c r="E665" s="25"/>
      <c r="M665" s="26" t="str">
        <f aca="false">IF($A665="","",$L665*$U665/100)</f>
        <v/>
      </c>
      <c r="W665" s="26" t="str">
        <f aca="false">IF($A665="","",U665*AB665/100)</f>
        <v/>
      </c>
      <c r="X665" s="26" t="str">
        <f aca="false">IF($A665="","",U665-W665)</f>
        <v/>
      </c>
      <c r="Y665" s="26" t="str">
        <f aca="false">IF($A665="","",U665-W665-M665)</f>
        <v/>
      </c>
      <c r="AB665" s="27" t="str">
        <f aca="false">IF($A665="","",IF($AK665=1,'كشف المطالبة'!$D$5,'كشف المطالبة'!$D$6)*100)</f>
        <v/>
      </c>
      <c r="AK665" s="28" t="str">
        <f aca="false">IF($A665="","",IF(OR($Q665=TRUE(),$Q665="TRUE"),1,0))</f>
        <v/>
      </c>
      <c r="AL665" s="28" t="str">
        <f aca="false">IF($N665="","",IF(MATCH($N665,$N$2:$N$3001,0)=ROWS($N$2:$N665),$N665,""))</f>
        <v/>
      </c>
    </row>
    <row r="666" customFormat="false" ht="15" hidden="false" customHeight="false" outlineLevel="0" collapsed="false">
      <c r="E666" s="25"/>
      <c r="M666" s="26" t="str">
        <f aca="false">IF($A666="","",$L666*$U666/100)</f>
        <v/>
      </c>
      <c r="W666" s="26" t="str">
        <f aca="false">IF($A666="","",U666*AB666/100)</f>
        <v/>
      </c>
      <c r="X666" s="26" t="str">
        <f aca="false">IF($A666="","",U666-W666)</f>
        <v/>
      </c>
      <c r="Y666" s="26" t="str">
        <f aca="false">IF($A666="","",U666-W666-M666)</f>
        <v/>
      </c>
      <c r="AB666" s="27" t="str">
        <f aca="false">IF($A666="","",IF($AK666=1,'كشف المطالبة'!$D$5,'كشف المطالبة'!$D$6)*100)</f>
        <v/>
      </c>
      <c r="AK666" s="28" t="str">
        <f aca="false">IF($A666="","",IF(OR($Q666=TRUE(),$Q666="TRUE"),1,0))</f>
        <v/>
      </c>
      <c r="AL666" s="28" t="str">
        <f aca="false">IF($N666="","",IF(MATCH($N666,$N$2:$N$3001,0)=ROWS($N$2:$N666),$N666,""))</f>
        <v/>
      </c>
    </row>
    <row r="667" customFormat="false" ht="15" hidden="false" customHeight="false" outlineLevel="0" collapsed="false">
      <c r="E667" s="25"/>
      <c r="M667" s="26" t="str">
        <f aca="false">IF($A667="","",$L667*$U667/100)</f>
        <v/>
      </c>
      <c r="W667" s="26" t="str">
        <f aca="false">IF($A667="","",U667*AB667/100)</f>
        <v/>
      </c>
      <c r="X667" s="26" t="str">
        <f aca="false">IF($A667="","",U667-W667)</f>
        <v/>
      </c>
      <c r="Y667" s="26" t="str">
        <f aca="false">IF($A667="","",U667-W667-M667)</f>
        <v/>
      </c>
      <c r="AB667" s="27" t="str">
        <f aca="false">IF($A667="","",IF($AK667=1,'كشف المطالبة'!$D$5,'كشف المطالبة'!$D$6)*100)</f>
        <v/>
      </c>
      <c r="AK667" s="28" t="str">
        <f aca="false">IF($A667="","",IF(OR($Q667=TRUE(),$Q667="TRUE"),1,0))</f>
        <v/>
      </c>
      <c r="AL667" s="28" t="str">
        <f aca="false">IF($N667="","",IF(MATCH($N667,$N$2:$N$3001,0)=ROWS($N$2:$N667),$N667,""))</f>
        <v/>
      </c>
    </row>
    <row r="668" customFormat="false" ht="15" hidden="false" customHeight="false" outlineLevel="0" collapsed="false">
      <c r="E668" s="25"/>
      <c r="M668" s="26" t="str">
        <f aca="false">IF($A668="","",$L668*$U668/100)</f>
        <v/>
      </c>
      <c r="W668" s="26" t="str">
        <f aca="false">IF($A668="","",U668*AB668/100)</f>
        <v/>
      </c>
      <c r="X668" s="26" t="str">
        <f aca="false">IF($A668="","",U668-W668)</f>
        <v/>
      </c>
      <c r="Y668" s="26" t="str">
        <f aca="false">IF($A668="","",U668-W668-M668)</f>
        <v/>
      </c>
      <c r="AB668" s="27" t="str">
        <f aca="false">IF($A668="","",IF($AK668=1,'كشف المطالبة'!$D$5,'كشف المطالبة'!$D$6)*100)</f>
        <v/>
      </c>
      <c r="AK668" s="28" t="str">
        <f aca="false">IF($A668="","",IF(OR($Q668=TRUE(),$Q668="TRUE"),1,0))</f>
        <v/>
      </c>
      <c r="AL668" s="28" t="str">
        <f aca="false">IF($N668="","",IF(MATCH($N668,$N$2:$N$3001,0)=ROWS($N$2:$N668),$N668,""))</f>
        <v/>
      </c>
    </row>
    <row r="669" customFormat="false" ht="15" hidden="false" customHeight="false" outlineLevel="0" collapsed="false">
      <c r="E669" s="25"/>
      <c r="M669" s="26" t="str">
        <f aca="false">IF($A669="","",$L669*$U669/100)</f>
        <v/>
      </c>
      <c r="W669" s="26" t="str">
        <f aca="false">IF($A669="","",U669*AB669/100)</f>
        <v/>
      </c>
      <c r="X669" s="26" t="str">
        <f aca="false">IF($A669="","",U669-W669)</f>
        <v/>
      </c>
      <c r="Y669" s="26" t="str">
        <f aca="false">IF($A669="","",U669-W669-M669)</f>
        <v/>
      </c>
      <c r="AB669" s="27" t="str">
        <f aca="false">IF($A669="","",IF($AK669=1,'كشف المطالبة'!$D$5,'كشف المطالبة'!$D$6)*100)</f>
        <v/>
      </c>
      <c r="AK669" s="28" t="str">
        <f aca="false">IF($A669="","",IF(OR($Q669=TRUE(),$Q669="TRUE"),1,0))</f>
        <v/>
      </c>
      <c r="AL669" s="28" t="str">
        <f aca="false">IF($N669="","",IF(MATCH($N669,$N$2:$N$3001,0)=ROWS($N$2:$N669),$N669,""))</f>
        <v/>
      </c>
    </row>
    <row r="670" customFormat="false" ht="15" hidden="false" customHeight="false" outlineLevel="0" collapsed="false">
      <c r="E670" s="25"/>
      <c r="M670" s="26" t="str">
        <f aca="false">IF($A670="","",$L670*$U670/100)</f>
        <v/>
      </c>
      <c r="W670" s="26" t="str">
        <f aca="false">IF($A670="","",U670*AB670/100)</f>
        <v/>
      </c>
      <c r="X670" s="26" t="str">
        <f aca="false">IF($A670="","",U670-W670)</f>
        <v/>
      </c>
      <c r="Y670" s="26" t="str">
        <f aca="false">IF($A670="","",U670-W670-M670)</f>
        <v/>
      </c>
      <c r="AB670" s="27" t="str">
        <f aca="false">IF($A670="","",IF($AK670=1,'كشف المطالبة'!$D$5,'كشف المطالبة'!$D$6)*100)</f>
        <v/>
      </c>
      <c r="AK670" s="28" t="str">
        <f aca="false">IF($A670="","",IF(OR($Q670=TRUE(),$Q670="TRUE"),1,0))</f>
        <v/>
      </c>
      <c r="AL670" s="28" t="str">
        <f aca="false">IF($N670="","",IF(MATCH($N670,$N$2:$N$3001,0)=ROWS($N$2:$N670),$N670,""))</f>
        <v/>
      </c>
    </row>
    <row r="671" customFormat="false" ht="15" hidden="false" customHeight="false" outlineLevel="0" collapsed="false">
      <c r="E671" s="25"/>
      <c r="M671" s="26" t="str">
        <f aca="false">IF($A671="","",$L671*$U671/100)</f>
        <v/>
      </c>
      <c r="W671" s="26" t="str">
        <f aca="false">IF($A671="","",U671*AB671/100)</f>
        <v/>
      </c>
      <c r="X671" s="26" t="str">
        <f aca="false">IF($A671="","",U671-W671)</f>
        <v/>
      </c>
      <c r="Y671" s="26" t="str">
        <f aca="false">IF($A671="","",U671-W671-M671)</f>
        <v/>
      </c>
      <c r="AB671" s="27" t="str">
        <f aca="false">IF($A671="","",IF($AK671=1,'كشف المطالبة'!$D$5,'كشف المطالبة'!$D$6)*100)</f>
        <v/>
      </c>
      <c r="AK671" s="28" t="str">
        <f aca="false">IF($A671="","",IF(OR($Q671=TRUE(),$Q671="TRUE"),1,0))</f>
        <v/>
      </c>
      <c r="AL671" s="28" t="str">
        <f aca="false">IF($N671="","",IF(MATCH($N671,$N$2:$N$3001,0)=ROWS($N$2:$N671),$N671,""))</f>
        <v/>
      </c>
    </row>
    <row r="672" customFormat="false" ht="15" hidden="false" customHeight="false" outlineLevel="0" collapsed="false">
      <c r="E672" s="25"/>
      <c r="M672" s="26" t="str">
        <f aca="false">IF($A672="","",$L672*$U672/100)</f>
        <v/>
      </c>
      <c r="W672" s="26" t="str">
        <f aca="false">IF($A672="","",U672*AB672/100)</f>
        <v/>
      </c>
      <c r="X672" s="26" t="str">
        <f aca="false">IF($A672="","",U672-W672)</f>
        <v/>
      </c>
      <c r="Y672" s="26" t="str">
        <f aca="false">IF($A672="","",U672-W672-M672)</f>
        <v/>
      </c>
      <c r="AB672" s="27" t="str">
        <f aca="false">IF($A672="","",IF($AK672=1,'كشف المطالبة'!$D$5,'كشف المطالبة'!$D$6)*100)</f>
        <v/>
      </c>
      <c r="AK672" s="28" t="str">
        <f aca="false">IF($A672="","",IF(OR($Q672=TRUE(),$Q672="TRUE"),1,0))</f>
        <v/>
      </c>
      <c r="AL672" s="28" t="str">
        <f aca="false">IF($N672="","",IF(MATCH($N672,$N$2:$N$3001,0)=ROWS($N$2:$N672),$N672,""))</f>
        <v/>
      </c>
    </row>
    <row r="673" customFormat="false" ht="15" hidden="false" customHeight="false" outlineLevel="0" collapsed="false">
      <c r="E673" s="25"/>
      <c r="M673" s="26" t="str">
        <f aca="false">IF($A673="","",$L673*$U673/100)</f>
        <v/>
      </c>
      <c r="W673" s="26" t="str">
        <f aca="false">IF($A673="","",U673*AB673/100)</f>
        <v/>
      </c>
      <c r="X673" s="26" t="str">
        <f aca="false">IF($A673="","",U673-W673)</f>
        <v/>
      </c>
      <c r="Y673" s="26" t="str">
        <f aca="false">IF($A673="","",U673-W673-M673)</f>
        <v/>
      </c>
      <c r="AB673" s="27" t="str">
        <f aca="false">IF($A673="","",IF($AK673=1,'كشف المطالبة'!$D$5,'كشف المطالبة'!$D$6)*100)</f>
        <v/>
      </c>
      <c r="AK673" s="28" t="str">
        <f aca="false">IF($A673="","",IF(OR($Q673=TRUE(),$Q673="TRUE"),1,0))</f>
        <v/>
      </c>
      <c r="AL673" s="28" t="str">
        <f aca="false">IF($N673="","",IF(MATCH($N673,$N$2:$N$3001,0)=ROWS($N$2:$N673),$N673,""))</f>
        <v/>
      </c>
    </row>
    <row r="674" customFormat="false" ht="15" hidden="false" customHeight="false" outlineLevel="0" collapsed="false">
      <c r="E674" s="25"/>
      <c r="M674" s="26" t="str">
        <f aca="false">IF($A674="","",$L674*$U674/100)</f>
        <v/>
      </c>
      <c r="W674" s="26" t="str">
        <f aca="false">IF($A674="","",U674*AB674/100)</f>
        <v/>
      </c>
      <c r="X674" s="26" t="str">
        <f aca="false">IF($A674="","",U674-W674)</f>
        <v/>
      </c>
      <c r="Y674" s="26" t="str">
        <f aca="false">IF($A674="","",U674-W674-M674)</f>
        <v/>
      </c>
      <c r="AB674" s="27" t="str">
        <f aca="false">IF($A674="","",IF($AK674=1,'كشف المطالبة'!$D$5,'كشف المطالبة'!$D$6)*100)</f>
        <v/>
      </c>
      <c r="AK674" s="28" t="str">
        <f aca="false">IF($A674="","",IF(OR($Q674=TRUE(),$Q674="TRUE"),1,0))</f>
        <v/>
      </c>
      <c r="AL674" s="28" t="str">
        <f aca="false">IF($N674="","",IF(MATCH($N674,$N$2:$N$3001,0)=ROWS($N$2:$N674),$N674,""))</f>
        <v/>
      </c>
    </row>
    <row r="675" customFormat="false" ht="15" hidden="false" customHeight="false" outlineLevel="0" collapsed="false">
      <c r="E675" s="25"/>
      <c r="M675" s="26" t="str">
        <f aca="false">IF($A675="","",$L675*$U675/100)</f>
        <v/>
      </c>
      <c r="W675" s="26" t="str">
        <f aca="false">IF($A675="","",U675*AB675/100)</f>
        <v/>
      </c>
      <c r="X675" s="26" t="str">
        <f aca="false">IF($A675="","",U675-W675)</f>
        <v/>
      </c>
      <c r="Y675" s="26" t="str">
        <f aca="false">IF($A675="","",U675-W675-M675)</f>
        <v/>
      </c>
      <c r="AB675" s="27" t="str">
        <f aca="false">IF($A675="","",IF($AK675=1,'كشف المطالبة'!$D$5,'كشف المطالبة'!$D$6)*100)</f>
        <v/>
      </c>
      <c r="AK675" s="28" t="str">
        <f aca="false">IF($A675="","",IF(OR($Q675=TRUE(),$Q675="TRUE"),1,0))</f>
        <v/>
      </c>
      <c r="AL675" s="28" t="str">
        <f aca="false">IF($N675="","",IF(MATCH($N675,$N$2:$N$3001,0)=ROWS($N$2:$N675),$N675,""))</f>
        <v/>
      </c>
    </row>
    <row r="676" customFormat="false" ht="15" hidden="false" customHeight="false" outlineLevel="0" collapsed="false">
      <c r="E676" s="25"/>
      <c r="M676" s="26" t="str">
        <f aca="false">IF($A676="","",$L676*$U676/100)</f>
        <v/>
      </c>
      <c r="W676" s="26" t="str">
        <f aca="false">IF($A676="","",U676*AB676/100)</f>
        <v/>
      </c>
      <c r="X676" s="26" t="str">
        <f aca="false">IF($A676="","",U676-W676)</f>
        <v/>
      </c>
      <c r="Y676" s="26" t="str">
        <f aca="false">IF($A676="","",U676-W676-M676)</f>
        <v/>
      </c>
      <c r="AB676" s="27" t="str">
        <f aca="false">IF($A676="","",IF($AK676=1,'كشف المطالبة'!$D$5,'كشف المطالبة'!$D$6)*100)</f>
        <v/>
      </c>
      <c r="AK676" s="28" t="str">
        <f aca="false">IF($A676="","",IF(OR($Q676=TRUE(),$Q676="TRUE"),1,0))</f>
        <v/>
      </c>
      <c r="AL676" s="28" t="str">
        <f aca="false">IF($N676="","",IF(MATCH($N676,$N$2:$N$3001,0)=ROWS($N$2:$N676),$N676,""))</f>
        <v/>
      </c>
    </row>
    <row r="677" customFormat="false" ht="15" hidden="false" customHeight="false" outlineLevel="0" collapsed="false">
      <c r="E677" s="25"/>
      <c r="M677" s="26" t="str">
        <f aca="false">IF($A677="","",$L677*$U677/100)</f>
        <v/>
      </c>
      <c r="W677" s="26" t="str">
        <f aca="false">IF($A677="","",U677*AB677/100)</f>
        <v/>
      </c>
      <c r="X677" s="26" t="str">
        <f aca="false">IF($A677="","",U677-W677)</f>
        <v/>
      </c>
      <c r="Y677" s="26" t="str">
        <f aca="false">IF($A677="","",U677-W677-M677)</f>
        <v/>
      </c>
      <c r="AB677" s="27" t="str">
        <f aca="false">IF($A677="","",IF($AK677=1,'كشف المطالبة'!$D$5,'كشف المطالبة'!$D$6)*100)</f>
        <v/>
      </c>
      <c r="AK677" s="28" t="str">
        <f aca="false">IF($A677="","",IF(OR($Q677=TRUE(),$Q677="TRUE"),1,0))</f>
        <v/>
      </c>
      <c r="AL677" s="28" t="str">
        <f aca="false">IF($N677="","",IF(MATCH($N677,$N$2:$N$3001,0)=ROWS($N$2:$N677),$N677,""))</f>
        <v/>
      </c>
    </row>
    <row r="678" customFormat="false" ht="15" hidden="false" customHeight="false" outlineLevel="0" collapsed="false">
      <c r="E678" s="25"/>
      <c r="M678" s="26" t="str">
        <f aca="false">IF($A678="","",$L678*$U678/100)</f>
        <v/>
      </c>
      <c r="W678" s="26" t="str">
        <f aca="false">IF($A678="","",U678*AB678/100)</f>
        <v/>
      </c>
      <c r="X678" s="26" t="str">
        <f aca="false">IF($A678="","",U678-W678)</f>
        <v/>
      </c>
      <c r="Y678" s="26" t="str">
        <f aca="false">IF($A678="","",U678-W678-M678)</f>
        <v/>
      </c>
      <c r="AB678" s="27" t="str">
        <f aca="false">IF($A678="","",IF($AK678=1,'كشف المطالبة'!$D$5,'كشف المطالبة'!$D$6)*100)</f>
        <v/>
      </c>
      <c r="AK678" s="28" t="str">
        <f aca="false">IF($A678="","",IF(OR($Q678=TRUE(),$Q678="TRUE"),1,0))</f>
        <v/>
      </c>
      <c r="AL678" s="28" t="str">
        <f aca="false">IF($N678="","",IF(MATCH($N678,$N$2:$N$3001,0)=ROWS($N$2:$N678),$N678,""))</f>
        <v/>
      </c>
    </row>
    <row r="679" customFormat="false" ht="15" hidden="false" customHeight="false" outlineLevel="0" collapsed="false">
      <c r="E679" s="25"/>
      <c r="M679" s="26" t="str">
        <f aca="false">IF($A679="","",$L679*$U679/100)</f>
        <v/>
      </c>
      <c r="W679" s="26" t="str">
        <f aca="false">IF($A679="","",U679*AB679/100)</f>
        <v/>
      </c>
      <c r="X679" s="26" t="str">
        <f aca="false">IF($A679="","",U679-W679)</f>
        <v/>
      </c>
      <c r="Y679" s="26" t="str">
        <f aca="false">IF($A679="","",U679-W679-M679)</f>
        <v/>
      </c>
      <c r="AB679" s="27" t="str">
        <f aca="false">IF($A679="","",IF($AK679=1,'كشف المطالبة'!$D$5,'كشف المطالبة'!$D$6)*100)</f>
        <v/>
      </c>
      <c r="AK679" s="28" t="str">
        <f aca="false">IF($A679="","",IF(OR($Q679=TRUE(),$Q679="TRUE"),1,0))</f>
        <v/>
      </c>
      <c r="AL679" s="28" t="str">
        <f aca="false">IF($N679="","",IF(MATCH($N679,$N$2:$N$3001,0)=ROWS($N$2:$N679),$N679,""))</f>
        <v/>
      </c>
    </row>
    <row r="680" customFormat="false" ht="15" hidden="false" customHeight="false" outlineLevel="0" collapsed="false">
      <c r="E680" s="25"/>
      <c r="M680" s="26" t="str">
        <f aca="false">IF($A680="","",$L680*$U680/100)</f>
        <v/>
      </c>
      <c r="W680" s="26" t="str">
        <f aca="false">IF($A680="","",U680*AB680/100)</f>
        <v/>
      </c>
      <c r="X680" s="26" t="str">
        <f aca="false">IF($A680="","",U680-W680)</f>
        <v/>
      </c>
      <c r="Y680" s="26" t="str">
        <f aca="false">IF($A680="","",U680-W680-M680)</f>
        <v/>
      </c>
      <c r="AB680" s="27" t="str">
        <f aca="false">IF($A680="","",IF($AK680=1,'كشف المطالبة'!$D$5,'كشف المطالبة'!$D$6)*100)</f>
        <v/>
      </c>
      <c r="AK680" s="28" t="str">
        <f aca="false">IF($A680="","",IF(OR($Q680=TRUE(),$Q680="TRUE"),1,0))</f>
        <v/>
      </c>
      <c r="AL680" s="28" t="str">
        <f aca="false">IF($N680="","",IF(MATCH($N680,$N$2:$N$3001,0)=ROWS($N$2:$N680),$N680,""))</f>
        <v/>
      </c>
    </row>
    <row r="681" customFormat="false" ht="15" hidden="false" customHeight="false" outlineLevel="0" collapsed="false">
      <c r="E681" s="25"/>
      <c r="M681" s="26" t="str">
        <f aca="false">IF($A681="","",$L681*$U681/100)</f>
        <v/>
      </c>
      <c r="W681" s="26" t="str">
        <f aca="false">IF($A681="","",U681*AB681/100)</f>
        <v/>
      </c>
      <c r="X681" s="26" t="str">
        <f aca="false">IF($A681="","",U681-W681)</f>
        <v/>
      </c>
      <c r="Y681" s="26" t="str">
        <f aca="false">IF($A681="","",U681-W681-M681)</f>
        <v/>
      </c>
      <c r="AB681" s="27" t="str">
        <f aca="false">IF($A681="","",IF($AK681=1,'كشف المطالبة'!$D$5,'كشف المطالبة'!$D$6)*100)</f>
        <v/>
      </c>
      <c r="AK681" s="28" t="str">
        <f aca="false">IF($A681="","",IF(OR($Q681=TRUE(),$Q681="TRUE"),1,0))</f>
        <v/>
      </c>
      <c r="AL681" s="28" t="str">
        <f aca="false">IF($N681="","",IF(MATCH($N681,$N$2:$N$3001,0)=ROWS($N$2:$N681),$N681,""))</f>
        <v/>
      </c>
    </row>
    <row r="682" customFormat="false" ht="15" hidden="false" customHeight="false" outlineLevel="0" collapsed="false">
      <c r="E682" s="25"/>
      <c r="M682" s="26" t="str">
        <f aca="false">IF($A682="","",$L682*$U682/100)</f>
        <v/>
      </c>
      <c r="W682" s="26" t="str">
        <f aca="false">IF($A682="","",U682*AB682/100)</f>
        <v/>
      </c>
      <c r="X682" s="26" t="str">
        <f aca="false">IF($A682="","",U682-W682)</f>
        <v/>
      </c>
      <c r="Y682" s="26" t="str">
        <f aca="false">IF($A682="","",U682-W682-M682)</f>
        <v/>
      </c>
      <c r="AB682" s="27" t="str">
        <f aca="false">IF($A682="","",IF($AK682=1,'كشف المطالبة'!$D$5,'كشف المطالبة'!$D$6)*100)</f>
        <v/>
      </c>
      <c r="AK682" s="28" t="str">
        <f aca="false">IF($A682="","",IF(OR($Q682=TRUE(),$Q682="TRUE"),1,0))</f>
        <v/>
      </c>
      <c r="AL682" s="28" t="str">
        <f aca="false">IF($N682="","",IF(MATCH($N682,$N$2:$N$3001,0)=ROWS($N$2:$N682),$N682,""))</f>
        <v/>
      </c>
    </row>
    <row r="683" customFormat="false" ht="15" hidden="false" customHeight="false" outlineLevel="0" collapsed="false">
      <c r="E683" s="25"/>
      <c r="M683" s="26" t="str">
        <f aca="false">IF($A683="","",$L683*$U683/100)</f>
        <v/>
      </c>
      <c r="W683" s="26" t="str">
        <f aca="false">IF($A683="","",U683*AB683/100)</f>
        <v/>
      </c>
      <c r="X683" s="26" t="str">
        <f aca="false">IF($A683="","",U683-W683)</f>
        <v/>
      </c>
      <c r="Y683" s="26" t="str">
        <f aca="false">IF($A683="","",U683-W683-M683)</f>
        <v/>
      </c>
      <c r="AB683" s="27" t="str">
        <f aca="false">IF($A683="","",IF($AK683=1,'كشف المطالبة'!$D$5,'كشف المطالبة'!$D$6)*100)</f>
        <v/>
      </c>
      <c r="AK683" s="28" t="str">
        <f aca="false">IF($A683="","",IF(OR($Q683=TRUE(),$Q683="TRUE"),1,0))</f>
        <v/>
      </c>
      <c r="AL683" s="28" t="str">
        <f aca="false">IF($N683="","",IF(MATCH($N683,$N$2:$N$3001,0)=ROWS($N$2:$N683),$N683,""))</f>
        <v/>
      </c>
    </row>
    <row r="684" customFormat="false" ht="15" hidden="false" customHeight="false" outlineLevel="0" collapsed="false">
      <c r="E684" s="25"/>
      <c r="M684" s="26" t="str">
        <f aca="false">IF($A684="","",$L684*$U684/100)</f>
        <v/>
      </c>
      <c r="W684" s="26" t="str">
        <f aca="false">IF($A684="","",U684*AB684/100)</f>
        <v/>
      </c>
      <c r="X684" s="26" t="str">
        <f aca="false">IF($A684="","",U684-W684)</f>
        <v/>
      </c>
      <c r="Y684" s="26" t="str">
        <f aca="false">IF($A684="","",U684-W684-M684)</f>
        <v/>
      </c>
      <c r="AB684" s="27" t="str">
        <f aca="false">IF($A684="","",IF($AK684=1,'كشف المطالبة'!$D$5,'كشف المطالبة'!$D$6)*100)</f>
        <v/>
      </c>
      <c r="AK684" s="28" t="str">
        <f aca="false">IF($A684="","",IF(OR($Q684=TRUE(),$Q684="TRUE"),1,0))</f>
        <v/>
      </c>
      <c r="AL684" s="28" t="str">
        <f aca="false">IF($N684="","",IF(MATCH($N684,$N$2:$N$3001,0)=ROWS($N$2:$N684),$N684,""))</f>
        <v/>
      </c>
    </row>
    <row r="685" customFormat="false" ht="15" hidden="false" customHeight="false" outlineLevel="0" collapsed="false">
      <c r="E685" s="25"/>
      <c r="M685" s="26" t="str">
        <f aca="false">IF($A685="","",$L685*$U685/100)</f>
        <v/>
      </c>
      <c r="W685" s="26" t="str">
        <f aca="false">IF($A685="","",U685*AB685/100)</f>
        <v/>
      </c>
      <c r="X685" s="26" t="str">
        <f aca="false">IF($A685="","",U685-W685)</f>
        <v/>
      </c>
      <c r="Y685" s="26" t="str">
        <f aca="false">IF($A685="","",U685-W685-M685)</f>
        <v/>
      </c>
      <c r="AB685" s="27" t="str">
        <f aca="false">IF($A685="","",IF($AK685=1,'كشف المطالبة'!$D$5,'كشف المطالبة'!$D$6)*100)</f>
        <v/>
      </c>
      <c r="AK685" s="28" t="str">
        <f aca="false">IF($A685="","",IF(OR($Q685=TRUE(),$Q685="TRUE"),1,0))</f>
        <v/>
      </c>
      <c r="AL685" s="28" t="str">
        <f aca="false">IF($N685="","",IF(MATCH($N685,$N$2:$N$3001,0)=ROWS($N$2:$N685),$N685,""))</f>
        <v/>
      </c>
    </row>
    <row r="686" customFormat="false" ht="15" hidden="false" customHeight="false" outlineLevel="0" collapsed="false">
      <c r="E686" s="25"/>
      <c r="M686" s="26" t="str">
        <f aca="false">IF($A686="","",$L686*$U686/100)</f>
        <v/>
      </c>
      <c r="W686" s="26" t="str">
        <f aca="false">IF($A686="","",U686*AB686/100)</f>
        <v/>
      </c>
      <c r="X686" s="26" t="str">
        <f aca="false">IF($A686="","",U686-W686)</f>
        <v/>
      </c>
      <c r="Y686" s="26" t="str">
        <f aca="false">IF($A686="","",U686-W686-M686)</f>
        <v/>
      </c>
      <c r="AB686" s="27" t="str">
        <f aca="false">IF($A686="","",IF($AK686=1,'كشف المطالبة'!$D$5,'كشف المطالبة'!$D$6)*100)</f>
        <v/>
      </c>
      <c r="AK686" s="28" t="str">
        <f aca="false">IF($A686="","",IF(OR($Q686=TRUE(),$Q686="TRUE"),1,0))</f>
        <v/>
      </c>
      <c r="AL686" s="28" t="str">
        <f aca="false">IF($N686="","",IF(MATCH($N686,$N$2:$N$3001,0)=ROWS($N$2:$N686),$N686,""))</f>
        <v/>
      </c>
    </row>
    <row r="687" customFormat="false" ht="15" hidden="false" customHeight="false" outlineLevel="0" collapsed="false">
      <c r="E687" s="25"/>
      <c r="M687" s="26" t="str">
        <f aca="false">IF($A687="","",$L687*$U687/100)</f>
        <v/>
      </c>
      <c r="W687" s="26" t="str">
        <f aca="false">IF($A687="","",U687*AB687/100)</f>
        <v/>
      </c>
      <c r="X687" s="26" t="str">
        <f aca="false">IF($A687="","",U687-W687)</f>
        <v/>
      </c>
      <c r="Y687" s="26" t="str">
        <f aca="false">IF($A687="","",U687-W687-M687)</f>
        <v/>
      </c>
      <c r="AB687" s="27" t="str">
        <f aca="false">IF($A687="","",IF($AK687=1,'كشف المطالبة'!$D$5,'كشف المطالبة'!$D$6)*100)</f>
        <v/>
      </c>
      <c r="AK687" s="28" t="str">
        <f aca="false">IF($A687="","",IF(OR($Q687=TRUE(),$Q687="TRUE"),1,0))</f>
        <v/>
      </c>
      <c r="AL687" s="28" t="str">
        <f aca="false">IF($N687="","",IF(MATCH($N687,$N$2:$N$3001,0)=ROWS($N$2:$N687),$N687,""))</f>
        <v/>
      </c>
    </row>
    <row r="688" customFormat="false" ht="15" hidden="false" customHeight="false" outlineLevel="0" collapsed="false">
      <c r="E688" s="25"/>
      <c r="M688" s="26" t="str">
        <f aca="false">IF($A688="","",$L688*$U688/100)</f>
        <v/>
      </c>
      <c r="W688" s="26" t="str">
        <f aca="false">IF($A688="","",U688*AB688/100)</f>
        <v/>
      </c>
      <c r="X688" s="26" t="str">
        <f aca="false">IF($A688="","",U688-W688)</f>
        <v/>
      </c>
      <c r="Y688" s="26" t="str">
        <f aca="false">IF($A688="","",U688-W688-M688)</f>
        <v/>
      </c>
      <c r="AB688" s="27" t="str">
        <f aca="false">IF($A688="","",IF($AK688=1,'كشف المطالبة'!$D$5,'كشف المطالبة'!$D$6)*100)</f>
        <v/>
      </c>
      <c r="AK688" s="28" t="str">
        <f aca="false">IF($A688="","",IF(OR($Q688=TRUE(),$Q688="TRUE"),1,0))</f>
        <v/>
      </c>
      <c r="AL688" s="28" t="str">
        <f aca="false">IF($N688="","",IF(MATCH($N688,$N$2:$N$3001,0)=ROWS($N$2:$N688),$N688,""))</f>
        <v/>
      </c>
    </row>
    <row r="689" customFormat="false" ht="15" hidden="false" customHeight="false" outlineLevel="0" collapsed="false">
      <c r="E689" s="25"/>
      <c r="M689" s="26" t="str">
        <f aca="false">IF($A689="","",$L689*$U689/100)</f>
        <v/>
      </c>
      <c r="W689" s="26" t="str">
        <f aca="false">IF($A689="","",U689*AB689/100)</f>
        <v/>
      </c>
      <c r="X689" s="26" t="str">
        <f aca="false">IF($A689="","",U689-W689)</f>
        <v/>
      </c>
      <c r="Y689" s="26" t="str">
        <f aca="false">IF($A689="","",U689-W689-M689)</f>
        <v/>
      </c>
      <c r="AB689" s="27" t="str">
        <f aca="false">IF($A689="","",IF($AK689=1,'كشف المطالبة'!$D$5,'كشف المطالبة'!$D$6)*100)</f>
        <v/>
      </c>
      <c r="AK689" s="28" t="str">
        <f aca="false">IF($A689="","",IF(OR($Q689=TRUE(),$Q689="TRUE"),1,0))</f>
        <v/>
      </c>
      <c r="AL689" s="28" t="str">
        <f aca="false">IF($N689="","",IF(MATCH($N689,$N$2:$N$3001,0)=ROWS($N$2:$N689),$N689,""))</f>
        <v/>
      </c>
    </row>
    <row r="690" customFormat="false" ht="15" hidden="false" customHeight="false" outlineLevel="0" collapsed="false">
      <c r="E690" s="25"/>
      <c r="M690" s="26" t="str">
        <f aca="false">IF($A690="","",$L690*$U690/100)</f>
        <v/>
      </c>
      <c r="W690" s="26" t="str">
        <f aca="false">IF($A690="","",U690*AB690/100)</f>
        <v/>
      </c>
      <c r="X690" s="26" t="str">
        <f aca="false">IF($A690="","",U690-W690)</f>
        <v/>
      </c>
      <c r="Y690" s="26" t="str">
        <f aca="false">IF($A690="","",U690-W690-M690)</f>
        <v/>
      </c>
      <c r="AB690" s="27" t="str">
        <f aca="false">IF($A690="","",IF($AK690=1,'كشف المطالبة'!$D$5,'كشف المطالبة'!$D$6)*100)</f>
        <v/>
      </c>
      <c r="AK690" s="28" t="str">
        <f aca="false">IF($A690="","",IF(OR($Q690=TRUE(),$Q690="TRUE"),1,0))</f>
        <v/>
      </c>
      <c r="AL690" s="28" t="str">
        <f aca="false">IF($N690="","",IF(MATCH($N690,$N$2:$N$3001,0)=ROWS($N$2:$N690),$N690,""))</f>
        <v/>
      </c>
    </row>
    <row r="691" customFormat="false" ht="15" hidden="false" customHeight="false" outlineLevel="0" collapsed="false">
      <c r="E691" s="25"/>
      <c r="M691" s="26" t="str">
        <f aca="false">IF($A691="","",$L691*$U691/100)</f>
        <v/>
      </c>
      <c r="W691" s="26" t="str">
        <f aca="false">IF($A691="","",U691*AB691/100)</f>
        <v/>
      </c>
      <c r="X691" s="26" t="str">
        <f aca="false">IF($A691="","",U691-W691)</f>
        <v/>
      </c>
      <c r="Y691" s="26" t="str">
        <f aca="false">IF($A691="","",U691-W691-M691)</f>
        <v/>
      </c>
      <c r="AB691" s="27" t="str">
        <f aca="false">IF($A691="","",IF($AK691=1,'كشف المطالبة'!$D$5,'كشف المطالبة'!$D$6)*100)</f>
        <v/>
      </c>
      <c r="AK691" s="28" t="str">
        <f aca="false">IF($A691="","",IF(OR($Q691=TRUE(),$Q691="TRUE"),1,0))</f>
        <v/>
      </c>
      <c r="AL691" s="28" t="str">
        <f aca="false">IF($N691="","",IF(MATCH($N691,$N$2:$N$3001,0)=ROWS($N$2:$N691),$N691,""))</f>
        <v/>
      </c>
    </row>
    <row r="692" customFormat="false" ht="15" hidden="false" customHeight="false" outlineLevel="0" collapsed="false">
      <c r="E692" s="25"/>
      <c r="M692" s="26" t="str">
        <f aca="false">IF($A692="","",$L692*$U692/100)</f>
        <v/>
      </c>
      <c r="W692" s="26" t="str">
        <f aca="false">IF($A692="","",U692*AB692/100)</f>
        <v/>
      </c>
      <c r="X692" s="26" t="str">
        <f aca="false">IF($A692="","",U692-W692)</f>
        <v/>
      </c>
      <c r="Y692" s="26" t="str">
        <f aca="false">IF($A692="","",U692-W692-M692)</f>
        <v/>
      </c>
      <c r="AB692" s="27" t="str">
        <f aca="false">IF($A692="","",IF($AK692=1,'كشف المطالبة'!$D$5,'كشف المطالبة'!$D$6)*100)</f>
        <v/>
      </c>
      <c r="AK692" s="28" t="str">
        <f aca="false">IF($A692="","",IF(OR($Q692=TRUE(),$Q692="TRUE"),1,0))</f>
        <v/>
      </c>
      <c r="AL692" s="28" t="str">
        <f aca="false">IF($N692="","",IF(MATCH($N692,$N$2:$N$3001,0)=ROWS($N$2:$N692),$N692,""))</f>
        <v/>
      </c>
    </row>
    <row r="693" customFormat="false" ht="15" hidden="false" customHeight="false" outlineLevel="0" collapsed="false">
      <c r="E693" s="25"/>
      <c r="M693" s="26" t="str">
        <f aca="false">IF($A693="","",$L693*$U693/100)</f>
        <v/>
      </c>
      <c r="W693" s="26" t="str">
        <f aca="false">IF($A693="","",U693*AB693/100)</f>
        <v/>
      </c>
      <c r="X693" s="26" t="str">
        <f aca="false">IF($A693="","",U693-W693)</f>
        <v/>
      </c>
      <c r="Y693" s="26" t="str">
        <f aca="false">IF($A693="","",U693-W693-M693)</f>
        <v/>
      </c>
      <c r="AB693" s="27" t="str">
        <f aca="false">IF($A693="","",IF($AK693=1,'كشف المطالبة'!$D$5,'كشف المطالبة'!$D$6)*100)</f>
        <v/>
      </c>
      <c r="AK693" s="28" t="str">
        <f aca="false">IF($A693="","",IF(OR($Q693=TRUE(),$Q693="TRUE"),1,0))</f>
        <v/>
      </c>
      <c r="AL693" s="28" t="str">
        <f aca="false">IF($N693="","",IF(MATCH($N693,$N$2:$N$3001,0)=ROWS($N$2:$N693),$N693,""))</f>
        <v/>
      </c>
    </row>
    <row r="694" customFormat="false" ht="15" hidden="false" customHeight="false" outlineLevel="0" collapsed="false">
      <c r="E694" s="25"/>
      <c r="M694" s="26" t="str">
        <f aca="false">IF($A694="","",$L694*$U694/100)</f>
        <v/>
      </c>
      <c r="W694" s="26" t="str">
        <f aca="false">IF($A694="","",U694*AB694/100)</f>
        <v/>
      </c>
      <c r="X694" s="26" t="str">
        <f aca="false">IF($A694="","",U694-W694)</f>
        <v/>
      </c>
      <c r="Y694" s="26" t="str">
        <f aca="false">IF($A694="","",U694-W694-M694)</f>
        <v/>
      </c>
      <c r="AB694" s="27" t="str">
        <f aca="false">IF($A694="","",IF($AK694=1,'كشف المطالبة'!$D$5,'كشف المطالبة'!$D$6)*100)</f>
        <v/>
      </c>
      <c r="AK694" s="28" t="str">
        <f aca="false">IF($A694="","",IF(OR($Q694=TRUE(),$Q694="TRUE"),1,0))</f>
        <v/>
      </c>
      <c r="AL694" s="28" t="str">
        <f aca="false">IF($N694="","",IF(MATCH($N694,$N$2:$N$3001,0)=ROWS($N$2:$N694),$N694,""))</f>
        <v/>
      </c>
    </row>
    <row r="695" customFormat="false" ht="15" hidden="false" customHeight="false" outlineLevel="0" collapsed="false">
      <c r="E695" s="25"/>
      <c r="M695" s="26" t="str">
        <f aca="false">IF($A695="","",$L695*$U695/100)</f>
        <v/>
      </c>
      <c r="W695" s="26" t="str">
        <f aca="false">IF($A695="","",U695*AB695/100)</f>
        <v/>
      </c>
      <c r="X695" s="26" t="str">
        <f aca="false">IF($A695="","",U695-W695)</f>
        <v/>
      </c>
      <c r="Y695" s="26" t="str">
        <f aca="false">IF($A695="","",U695-W695-M695)</f>
        <v/>
      </c>
      <c r="AB695" s="27" t="str">
        <f aca="false">IF($A695="","",IF($AK695=1,'كشف المطالبة'!$D$5,'كشف المطالبة'!$D$6)*100)</f>
        <v/>
      </c>
      <c r="AK695" s="28" t="str">
        <f aca="false">IF($A695="","",IF(OR($Q695=TRUE(),$Q695="TRUE"),1,0))</f>
        <v/>
      </c>
      <c r="AL695" s="28" t="str">
        <f aca="false">IF($N695="","",IF(MATCH($N695,$N$2:$N$3001,0)=ROWS($N$2:$N695),$N695,""))</f>
        <v/>
      </c>
    </row>
    <row r="696" customFormat="false" ht="15" hidden="false" customHeight="false" outlineLevel="0" collapsed="false">
      <c r="E696" s="25"/>
      <c r="M696" s="26" t="str">
        <f aca="false">IF($A696="","",$L696*$U696/100)</f>
        <v/>
      </c>
      <c r="W696" s="26" t="str">
        <f aca="false">IF($A696="","",U696*AB696/100)</f>
        <v/>
      </c>
      <c r="X696" s="26" t="str">
        <f aca="false">IF($A696="","",U696-W696)</f>
        <v/>
      </c>
      <c r="Y696" s="26" t="str">
        <f aca="false">IF($A696="","",U696-W696-M696)</f>
        <v/>
      </c>
      <c r="AB696" s="27" t="str">
        <f aca="false">IF($A696="","",IF($AK696=1,'كشف المطالبة'!$D$5,'كشف المطالبة'!$D$6)*100)</f>
        <v/>
      </c>
      <c r="AK696" s="28" t="str">
        <f aca="false">IF($A696="","",IF(OR($Q696=TRUE(),$Q696="TRUE"),1,0))</f>
        <v/>
      </c>
      <c r="AL696" s="28" t="str">
        <f aca="false">IF($N696="","",IF(MATCH($N696,$N$2:$N$3001,0)=ROWS($N$2:$N696),$N696,""))</f>
        <v/>
      </c>
    </row>
    <row r="697" customFormat="false" ht="15" hidden="false" customHeight="false" outlineLevel="0" collapsed="false">
      <c r="E697" s="25"/>
      <c r="M697" s="26" t="str">
        <f aca="false">IF($A697="","",$L697*$U697/100)</f>
        <v/>
      </c>
      <c r="W697" s="26" t="str">
        <f aca="false">IF($A697="","",U697*AB697/100)</f>
        <v/>
      </c>
      <c r="X697" s="26" t="str">
        <f aca="false">IF($A697="","",U697-W697)</f>
        <v/>
      </c>
      <c r="Y697" s="26" t="str">
        <f aca="false">IF($A697="","",U697-W697-M697)</f>
        <v/>
      </c>
      <c r="AB697" s="27" t="str">
        <f aca="false">IF($A697="","",IF($AK697=1,'كشف المطالبة'!$D$5,'كشف المطالبة'!$D$6)*100)</f>
        <v/>
      </c>
      <c r="AK697" s="28" t="str">
        <f aca="false">IF($A697="","",IF(OR($Q697=TRUE(),$Q697="TRUE"),1,0))</f>
        <v/>
      </c>
      <c r="AL697" s="28" t="str">
        <f aca="false">IF($N697="","",IF(MATCH($N697,$N$2:$N$3001,0)=ROWS($N$2:$N697),$N697,""))</f>
        <v/>
      </c>
    </row>
    <row r="698" customFormat="false" ht="15" hidden="false" customHeight="false" outlineLevel="0" collapsed="false">
      <c r="E698" s="25"/>
      <c r="M698" s="26" t="str">
        <f aca="false">IF($A698="","",$L698*$U698/100)</f>
        <v/>
      </c>
      <c r="W698" s="26" t="str">
        <f aca="false">IF($A698="","",U698*AB698/100)</f>
        <v/>
      </c>
      <c r="X698" s="26" t="str">
        <f aca="false">IF($A698="","",U698-W698)</f>
        <v/>
      </c>
      <c r="Y698" s="26" t="str">
        <f aca="false">IF($A698="","",U698-W698-M698)</f>
        <v/>
      </c>
      <c r="AB698" s="27" t="str">
        <f aca="false">IF($A698="","",IF($AK698=1,'كشف المطالبة'!$D$5,'كشف المطالبة'!$D$6)*100)</f>
        <v/>
      </c>
      <c r="AK698" s="28" t="str">
        <f aca="false">IF($A698="","",IF(OR($Q698=TRUE(),$Q698="TRUE"),1,0))</f>
        <v/>
      </c>
      <c r="AL698" s="28" t="str">
        <f aca="false">IF($N698="","",IF(MATCH($N698,$N$2:$N$3001,0)=ROWS($N$2:$N698),$N698,""))</f>
        <v/>
      </c>
    </row>
    <row r="699" customFormat="false" ht="15" hidden="false" customHeight="false" outlineLevel="0" collapsed="false">
      <c r="E699" s="25"/>
      <c r="M699" s="26" t="str">
        <f aca="false">IF($A699="","",$L699*$U699/100)</f>
        <v/>
      </c>
      <c r="W699" s="26" t="str">
        <f aca="false">IF($A699="","",U699*AB699/100)</f>
        <v/>
      </c>
      <c r="X699" s="26" t="str">
        <f aca="false">IF($A699="","",U699-W699)</f>
        <v/>
      </c>
      <c r="Y699" s="26" t="str">
        <f aca="false">IF($A699="","",U699-W699-M699)</f>
        <v/>
      </c>
      <c r="AB699" s="27" t="str">
        <f aca="false">IF($A699="","",IF($AK699=1,'كشف المطالبة'!$D$5,'كشف المطالبة'!$D$6)*100)</f>
        <v/>
      </c>
      <c r="AK699" s="28" t="str">
        <f aca="false">IF($A699="","",IF(OR($Q699=TRUE(),$Q699="TRUE"),1,0))</f>
        <v/>
      </c>
      <c r="AL699" s="28" t="str">
        <f aca="false">IF($N699="","",IF(MATCH($N699,$N$2:$N$3001,0)=ROWS($N$2:$N699),$N699,""))</f>
        <v/>
      </c>
    </row>
    <row r="700" customFormat="false" ht="15" hidden="false" customHeight="false" outlineLevel="0" collapsed="false">
      <c r="E700" s="25"/>
      <c r="M700" s="26" t="str">
        <f aca="false">IF($A700="","",$L700*$U700/100)</f>
        <v/>
      </c>
      <c r="W700" s="26" t="str">
        <f aca="false">IF($A700="","",U700*AB700/100)</f>
        <v/>
      </c>
      <c r="X700" s="26" t="str">
        <f aca="false">IF($A700="","",U700-W700)</f>
        <v/>
      </c>
      <c r="Y700" s="26" t="str">
        <f aca="false">IF($A700="","",U700-W700-M700)</f>
        <v/>
      </c>
      <c r="AB700" s="27" t="str">
        <f aca="false">IF($A700="","",IF($AK700=1,'كشف المطالبة'!$D$5,'كشف المطالبة'!$D$6)*100)</f>
        <v/>
      </c>
      <c r="AK700" s="28" t="str">
        <f aca="false">IF($A700="","",IF(OR($Q700=TRUE(),$Q700="TRUE"),1,0))</f>
        <v/>
      </c>
      <c r="AL700" s="28" t="str">
        <f aca="false">IF($N700="","",IF(MATCH($N700,$N$2:$N$3001,0)=ROWS($N$2:$N700),$N700,""))</f>
        <v/>
      </c>
    </row>
    <row r="701" customFormat="false" ht="15" hidden="false" customHeight="false" outlineLevel="0" collapsed="false">
      <c r="E701" s="25"/>
      <c r="M701" s="26" t="str">
        <f aca="false">IF($A701="","",$L701*$U701/100)</f>
        <v/>
      </c>
      <c r="W701" s="26" t="str">
        <f aca="false">IF($A701="","",U701*AB701/100)</f>
        <v/>
      </c>
      <c r="X701" s="26" t="str">
        <f aca="false">IF($A701="","",U701-W701)</f>
        <v/>
      </c>
      <c r="Y701" s="26" t="str">
        <f aca="false">IF($A701="","",U701-W701-M701)</f>
        <v/>
      </c>
      <c r="AB701" s="27" t="str">
        <f aca="false">IF($A701="","",IF($AK701=1,'كشف المطالبة'!$D$5,'كشف المطالبة'!$D$6)*100)</f>
        <v/>
      </c>
      <c r="AK701" s="28" t="str">
        <f aca="false">IF($A701="","",IF(OR($Q701=TRUE(),$Q701="TRUE"),1,0))</f>
        <v/>
      </c>
      <c r="AL701" s="28" t="str">
        <f aca="false">IF($N701="","",IF(MATCH($N701,$N$2:$N$3001,0)=ROWS($N$2:$N701),$N701,""))</f>
        <v/>
      </c>
    </row>
    <row r="702" customFormat="false" ht="15" hidden="false" customHeight="false" outlineLevel="0" collapsed="false">
      <c r="E702" s="25"/>
      <c r="M702" s="26" t="str">
        <f aca="false">IF($A702="","",$L702*$U702/100)</f>
        <v/>
      </c>
      <c r="W702" s="26" t="str">
        <f aca="false">IF($A702="","",U702*AB702/100)</f>
        <v/>
      </c>
      <c r="X702" s="26" t="str">
        <f aca="false">IF($A702="","",U702-W702)</f>
        <v/>
      </c>
      <c r="Y702" s="26" t="str">
        <f aca="false">IF($A702="","",U702-W702-M702)</f>
        <v/>
      </c>
      <c r="AB702" s="27" t="str">
        <f aca="false">IF($A702="","",IF($AK702=1,'كشف المطالبة'!$D$5,'كشف المطالبة'!$D$6)*100)</f>
        <v/>
      </c>
      <c r="AK702" s="28" t="str">
        <f aca="false">IF($A702="","",IF(OR($Q702=TRUE(),$Q702="TRUE"),1,0))</f>
        <v/>
      </c>
      <c r="AL702" s="28" t="str">
        <f aca="false">IF($N702="","",IF(MATCH($N702,$N$2:$N$3001,0)=ROWS($N$2:$N702),$N702,""))</f>
        <v/>
      </c>
    </row>
    <row r="703" customFormat="false" ht="15" hidden="false" customHeight="false" outlineLevel="0" collapsed="false">
      <c r="E703" s="25"/>
      <c r="M703" s="26" t="str">
        <f aca="false">IF($A703="","",$L703*$U703/100)</f>
        <v/>
      </c>
      <c r="W703" s="26" t="str">
        <f aca="false">IF($A703="","",U703*AB703/100)</f>
        <v/>
      </c>
      <c r="X703" s="26" t="str">
        <f aca="false">IF($A703="","",U703-W703)</f>
        <v/>
      </c>
      <c r="Y703" s="26" t="str">
        <f aca="false">IF($A703="","",U703-W703-M703)</f>
        <v/>
      </c>
      <c r="AB703" s="27" t="str">
        <f aca="false">IF($A703="","",IF($AK703=1,'كشف المطالبة'!$D$5,'كشف المطالبة'!$D$6)*100)</f>
        <v/>
      </c>
      <c r="AK703" s="28" t="str">
        <f aca="false">IF($A703="","",IF(OR($Q703=TRUE(),$Q703="TRUE"),1,0))</f>
        <v/>
      </c>
      <c r="AL703" s="28" t="str">
        <f aca="false">IF($N703="","",IF(MATCH($N703,$N$2:$N$3001,0)=ROWS($N$2:$N703),$N703,""))</f>
        <v/>
      </c>
    </row>
    <row r="704" customFormat="false" ht="15" hidden="false" customHeight="false" outlineLevel="0" collapsed="false">
      <c r="E704" s="25"/>
      <c r="M704" s="26" t="str">
        <f aca="false">IF($A704="","",$L704*$U704/100)</f>
        <v/>
      </c>
      <c r="W704" s="26" t="str">
        <f aca="false">IF($A704="","",U704*AB704/100)</f>
        <v/>
      </c>
      <c r="X704" s="26" t="str">
        <f aca="false">IF($A704="","",U704-W704)</f>
        <v/>
      </c>
      <c r="Y704" s="26" t="str">
        <f aca="false">IF($A704="","",U704-W704-M704)</f>
        <v/>
      </c>
      <c r="AB704" s="27" t="str">
        <f aca="false">IF($A704="","",IF($AK704=1,'كشف المطالبة'!$D$5,'كشف المطالبة'!$D$6)*100)</f>
        <v/>
      </c>
      <c r="AK704" s="28" t="str">
        <f aca="false">IF($A704="","",IF(OR($Q704=TRUE(),$Q704="TRUE"),1,0))</f>
        <v/>
      </c>
      <c r="AL704" s="28" t="str">
        <f aca="false">IF($N704="","",IF(MATCH($N704,$N$2:$N$3001,0)=ROWS($N$2:$N704),$N704,""))</f>
        <v/>
      </c>
    </row>
    <row r="705" customFormat="false" ht="15" hidden="false" customHeight="false" outlineLevel="0" collapsed="false">
      <c r="E705" s="25"/>
      <c r="M705" s="26" t="str">
        <f aca="false">IF($A705="","",$L705*$U705/100)</f>
        <v/>
      </c>
      <c r="W705" s="26" t="str">
        <f aca="false">IF($A705="","",U705*AB705/100)</f>
        <v/>
      </c>
      <c r="X705" s="26" t="str">
        <f aca="false">IF($A705="","",U705-W705)</f>
        <v/>
      </c>
      <c r="Y705" s="26" t="str">
        <f aca="false">IF($A705="","",U705-W705-M705)</f>
        <v/>
      </c>
      <c r="AB705" s="27" t="str">
        <f aca="false">IF($A705="","",IF($AK705=1,'كشف المطالبة'!$D$5,'كشف المطالبة'!$D$6)*100)</f>
        <v/>
      </c>
      <c r="AK705" s="28" t="str">
        <f aca="false">IF($A705="","",IF(OR($Q705=TRUE(),$Q705="TRUE"),1,0))</f>
        <v/>
      </c>
      <c r="AL705" s="28" t="str">
        <f aca="false">IF($N705="","",IF(MATCH($N705,$N$2:$N$3001,0)=ROWS($N$2:$N705),$N705,""))</f>
        <v/>
      </c>
    </row>
    <row r="706" customFormat="false" ht="15" hidden="false" customHeight="false" outlineLevel="0" collapsed="false">
      <c r="E706" s="25"/>
      <c r="M706" s="26" t="str">
        <f aca="false">IF($A706="","",$L706*$U706/100)</f>
        <v/>
      </c>
      <c r="W706" s="26" t="str">
        <f aca="false">IF($A706="","",U706*AB706/100)</f>
        <v/>
      </c>
      <c r="X706" s="26" t="str">
        <f aca="false">IF($A706="","",U706-W706)</f>
        <v/>
      </c>
      <c r="Y706" s="26" t="str">
        <f aca="false">IF($A706="","",U706-W706-M706)</f>
        <v/>
      </c>
      <c r="AB706" s="27" t="str">
        <f aca="false">IF($A706="","",IF($AK706=1,'كشف المطالبة'!$D$5,'كشف المطالبة'!$D$6)*100)</f>
        <v/>
      </c>
      <c r="AK706" s="28" t="str">
        <f aca="false">IF($A706="","",IF(OR($Q706=TRUE(),$Q706="TRUE"),1,0))</f>
        <v/>
      </c>
      <c r="AL706" s="28" t="str">
        <f aca="false">IF($N706="","",IF(MATCH($N706,$N$2:$N$3001,0)=ROWS($N$2:$N706),$N706,""))</f>
        <v/>
      </c>
    </row>
    <row r="707" customFormat="false" ht="15" hidden="false" customHeight="false" outlineLevel="0" collapsed="false">
      <c r="E707" s="25"/>
      <c r="M707" s="26" t="str">
        <f aca="false">IF($A707="","",$L707*$U707/100)</f>
        <v/>
      </c>
      <c r="W707" s="26" t="str">
        <f aca="false">IF($A707="","",U707*AB707/100)</f>
        <v/>
      </c>
      <c r="X707" s="26" t="str">
        <f aca="false">IF($A707="","",U707-W707)</f>
        <v/>
      </c>
      <c r="Y707" s="26" t="str">
        <f aca="false">IF($A707="","",U707-W707-M707)</f>
        <v/>
      </c>
      <c r="AB707" s="27" t="str">
        <f aca="false">IF($A707="","",IF($AK707=1,'كشف المطالبة'!$D$5,'كشف المطالبة'!$D$6)*100)</f>
        <v/>
      </c>
      <c r="AK707" s="28" t="str">
        <f aca="false">IF($A707="","",IF(OR($Q707=TRUE(),$Q707="TRUE"),1,0))</f>
        <v/>
      </c>
      <c r="AL707" s="28" t="str">
        <f aca="false">IF($N707="","",IF(MATCH($N707,$N$2:$N$3001,0)=ROWS($N$2:$N707),$N707,""))</f>
        <v/>
      </c>
    </row>
    <row r="708" customFormat="false" ht="15" hidden="false" customHeight="false" outlineLevel="0" collapsed="false">
      <c r="E708" s="25"/>
      <c r="M708" s="26" t="str">
        <f aca="false">IF($A708="","",$L708*$U708/100)</f>
        <v/>
      </c>
      <c r="W708" s="26" t="str">
        <f aca="false">IF($A708="","",U708*AB708/100)</f>
        <v/>
      </c>
      <c r="X708" s="26" t="str">
        <f aca="false">IF($A708="","",U708-W708)</f>
        <v/>
      </c>
      <c r="Y708" s="26" t="str">
        <f aca="false">IF($A708="","",U708-W708-M708)</f>
        <v/>
      </c>
      <c r="AB708" s="27" t="str">
        <f aca="false">IF($A708="","",IF($AK708=1,'كشف المطالبة'!$D$5,'كشف المطالبة'!$D$6)*100)</f>
        <v/>
      </c>
      <c r="AK708" s="28" t="str">
        <f aca="false">IF($A708="","",IF(OR($Q708=TRUE(),$Q708="TRUE"),1,0))</f>
        <v/>
      </c>
      <c r="AL708" s="28" t="str">
        <f aca="false">IF($N708="","",IF(MATCH($N708,$N$2:$N$3001,0)=ROWS($N$2:$N708),$N708,""))</f>
        <v/>
      </c>
    </row>
    <row r="709" customFormat="false" ht="15" hidden="false" customHeight="false" outlineLevel="0" collapsed="false">
      <c r="E709" s="25"/>
      <c r="M709" s="26" t="str">
        <f aca="false">IF($A709="","",$L709*$U709/100)</f>
        <v/>
      </c>
      <c r="W709" s="26" t="str">
        <f aca="false">IF($A709="","",U709*AB709/100)</f>
        <v/>
      </c>
      <c r="X709" s="26" t="str">
        <f aca="false">IF($A709="","",U709-W709)</f>
        <v/>
      </c>
      <c r="Y709" s="26" t="str">
        <f aca="false">IF($A709="","",U709-W709-M709)</f>
        <v/>
      </c>
      <c r="AB709" s="27" t="str">
        <f aca="false">IF($A709="","",IF($AK709=1,'كشف المطالبة'!$D$5,'كشف المطالبة'!$D$6)*100)</f>
        <v/>
      </c>
      <c r="AK709" s="28" t="str">
        <f aca="false">IF($A709="","",IF(OR($Q709=TRUE(),$Q709="TRUE"),1,0))</f>
        <v/>
      </c>
      <c r="AL709" s="28" t="str">
        <f aca="false">IF($N709="","",IF(MATCH($N709,$N$2:$N$3001,0)=ROWS($N$2:$N709),$N709,""))</f>
        <v/>
      </c>
    </row>
    <row r="710" customFormat="false" ht="15" hidden="false" customHeight="false" outlineLevel="0" collapsed="false">
      <c r="E710" s="25"/>
      <c r="M710" s="26" t="str">
        <f aca="false">IF($A710="","",$L710*$U710/100)</f>
        <v/>
      </c>
      <c r="W710" s="26" t="str">
        <f aca="false">IF($A710="","",U710*AB710/100)</f>
        <v/>
      </c>
      <c r="X710" s="26" t="str">
        <f aca="false">IF($A710="","",U710-W710)</f>
        <v/>
      </c>
      <c r="Y710" s="26" t="str">
        <f aca="false">IF($A710="","",U710-W710-M710)</f>
        <v/>
      </c>
      <c r="AB710" s="27" t="str">
        <f aca="false">IF($A710="","",IF($AK710=1,'كشف المطالبة'!$D$5,'كشف المطالبة'!$D$6)*100)</f>
        <v/>
      </c>
      <c r="AK710" s="28" t="str">
        <f aca="false">IF($A710="","",IF(OR($Q710=TRUE(),$Q710="TRUE"),1,0))</f>
        <v/>
      </c>
      <c r="AL710" s="28" t="str">
        <f aca="false">IF($N710="","",IF(MATCH($N710,$N$2:$N$3001,0)=ROWS($N$2:$N710),$N710,""))</f>
        <v/>
      </c>
    </row>
    <row r="711" customFormat="false" ht="15" hidden="false" customHeight="false" outlineLevel="0" collapsed="false">
      <c r="E711" s="25"/>
      <c r="M711" s="26" t="str">
        <f aca="false">IF($A711="","",$L711*$U711/100)</f>
        <v/>
      </c>
      <c r="W711" s="26" t="str">
        <f aca="false">IF($A711="","",U711*AB711/100)</f>
        <v/>
      </c>
      <c r="X711" s="26" t="str">
        <f aca="false">IF($A711="","",U711-W711)</f>
        <v/>
      </c>
      <c r="Y711" s="26" t="str">
        <f aca="false">IF($A711="","",U711-W711-M711)</f>
        <v/>
      </c>
      <c r="AB711" s="27" t="str">
        <f aca="false">IF($A711="","",IF($AK711=1,'كشف المطالبة'!$D$5,'كشف المطالبة'!$D$6)*100)</f>
        <v/>
      </c>
      <c r="AK711" s="28" t="str">
        <f aca="false">IF($A711="","",IF(OR($Q711=TRUE(),$Q711="TRUE"),1,0))</f>
        <v/>
      </c>
      <c r="AL711" s="28" t="str">
        <f aca="false">IF($N711="","",IF(MATCH($N711,$N$2:$N$3001,0)=ROWS($N$2:$N711),$N711,""))</f>
        <v/>
      </c>
    </row>
    <row r="712" customFormat="false" ht="15" hidden="false" customHeight="false" outlineLevel="0" collapsed="false">
      <c r="E712" s="25"/>
      <c r="M712" s="26" t="str">
        <f aca="false">IF($A712="","",$L712*$U712/100)</f>
        <v/>
      </c>
      <c r="W712" s="26" t="str">
        <f aca="false">IF($A712="","",U712*AB712/100)</f>
        <v/>
      </c>
      <c r="X712" s="26" t="str">
        <f aca="false">IF($A712="","",U712-W712)</f>
        <v/>
      </c>
      <c r="Y712" s="26" t="str">
        <f aca="false">IF($A712="","",U712-W712-M712)</f>
        <v/>
      </c>
      <c r="AB712" s="27" t="str">
        <f aca="false">IF($A712="","",IF($AK712=1,'كشف المطالبة'!$D$5,'كشف المطالبة'!$D$6)*100)</f>
        <v/>
      </c>
      <c r="AK712" s="28" t="str">
        <f aca="false">IF($A712="","",IF(OR($Q712=TRUE(),$Q712="TRUE"),1,0))</f>
        <v/>
      </c>
      <c r="AL712" s="28" t="str">
        <f aca="false">IF($N712="","",IF(MATCH($N712,$N$2:$N$3001,0)=ROWS($N$2:$N712),$N712,""))</f>
        <v/>
      </c>
    </row>
    <row r="713" customFormat="false" ht="15" hidden="false" customHeight="false" outlineLevel="0" collapsed="false">
      <c r="E713" s="25"/>
      <c r="M713" s="26" t="str">
        <f aca="false">IF($A713="","",$L713*$U713/100)</f>
        <v/>
      </c>
      <c r="W713" s="26" t="str">
        <f aca="false">IF($A713="","",U713*AB713/100)</f>
        <v/>
      </c>
      <c r="X713" s="26" t="str">
        <f aca="false">IF($A713="","",U713-W713)</f>
        <v/>
      </c>
      <c r="Y713" s="26" t="str">
        <f aca="false">IF($A713="","",U713-W713-M713)</f>
        <v/>
      </c>
      <c r="AB713" s="27" t="str">
        <f aca="false">IF($A713="","",IF($AK713=1,'كشف المطالبة'!$D$5,'كشف المطالبة'!$D$6)*100)</f>
        <v/>
      </c>
      <c r="AK713" s="28" t="str">
        <f aca="false">IF($A713="","",IF(OR($Q713=TRUE(),$Q713="TRUE"),1,0))</f>
        <v/>
      </c>
      <c r="AL713" s="28" t="str">
        <f aca="false">IF($N713="","",IF(MATCH($N713,$N$2:$N$3001,0)=ROWS($N$2:$N713),$N713,""))</f>
        <v/>
      </c>
    </row>
    <row r="714" customFormat="false" ht="15" hidden="false" customHeight="false" outlineLevel="0" collapsed="false">
      <c r="E714" s="25"/>
      <c r="M714" s="26" t="str">
        <f aca="false">IF($A714="","",$L714*$U714/100)</f>
        <v/>
      </c>
      <c r="W714" s="26" t="str">
        <f aca="false">IF($A714="","",U714*AB714/100)</f>
        <v/>
      </c>
      <c r="X714" s="26" t="str">
        <f aca="false">IF($A714="","",U714-W714)</f>
        <v/>
      </c>
      <c r="Y714" s="26" t="str">
        <f aca="false">IF($A714="","",U714-W714-M714)</f>
        <v/>
      </c>
      <c r="AB714" s="27" t="str">
        <f aca="false">IF($A714="","",IF($AK714=1,'كشف المطالبة'!$D$5,'كشف المطالبة'!$D$6)*100)</f>
        <v/>
      </c>
      <c r="AK714" s="28" t="str">
        <f aca="false">IF($A714="","",IF(OR($Q714=TRUE(),$Q714="TRUE"),1,0))</f>
        <v/>
      </c>
      <c r="AL714" s="28" t="str">
        <f aca="false">IF($N714="","",IF(MATCH($N714,$N$2:$N$3001,0)=ROWS($N$2:$N714),$N714,""))</f>
        <v/>
      </c>
    </row>
    <row r="715" customFormat="false" ht="15" hidden="false" customHeight="false" outlineLevel="0" collapsed="false">
      <c r="E715" s="25"/>
      <c r="M715" s="26" t="str">
        <f aca="false">IF($A715="","",$L715*$U715/100)</f>
        <v/>
      </c>
      <c r="W715" s="26" t="str">
        <f aca="false">IF($A715="","",U715*AB715/100)</f>
        <v/>
      </c>
      <c r="X715" s="26" t="str">
        <f aca="false">IF($A715="","",U715-W715)</f>
        <v/>
      </c>
      <c r="Y715" s="26" t="str">
        <f aca="false">IF($A715="","",U715-W715-M715)</f>
        <v/>
      </c>
      <c r="AB715" s="27" t="str">
        <f aca="false">IF($A715="","",IF($AK715=1,'كشف المطالبة'!$D$5,'كشف المطالبة'!$D$6)*100)</f>
        <v/>
      </c>
      <c r="AK715" s="28" t="str">
        <f aca="false">IF($A715="","",IF(OR($Q715=TRUE(),$Q715="TRUE"),1,0))</f>
        <v/>
      </c>
      <c r="AL715" s="28" t="str">
        <f aca="false">IF($N715="","",IF(MATCH($N715,$N$2:$N$3001,0)=ROWS($N$2:$N715),$N715,""))</f>
        <v/>
      </c>
    </row>
    <row r="716" customFormat="false" ht="15" hidden="false" customHeight="false" outlineLevel="0" collapsed="false">
      <c r="E716" s="25"/>
      <c r="M716" s="26" t="str">
        <f aca="false">IF($A716="","",$L716*$U716/100)</f>
        <v/>
      </c>
      <c r="W716" s="26" t="str">
        <f aca="false">IF($A716="","",U716*AB716/100)</f>
        <v/>
      </c>
      <c r="X716" s="26" t="str">
        <f aca="false">IF($A716="","",U716-W716)</f>
        <v/>
      </c>
      <c r="Y716" s="26" t="str">
        <f aca="false">IF($A716="","",U716-W716-M716)</f>
        <v/>
      </c>
      <c r="AB716" s="27" t="str">
        <f aca="false">IF($A716="","",IF($AK716=1,'كشف المطالبة'!$D$5,'كشف المطالبة'!$D$6)*100)</f>
        <v/>
      </c>
      <c r="AK716" s="28" t="str">
        <f aca="false">IF($A716="","",IF(OR($Q716=TRUE(),$Q716="TRUE"),1,0))</f>
        <v/>
      </c>
      <c r="AL716" s="28" t="str">
        <f aca="false">IF($N716="","",IF(MATCH($N716,$N$2:$N$3001,0)=ROWS($N$2:$N716),$N716,""))</f>
        <v/>
      </c>
    </row>
    <row r="717" customFormat="false" ht="15" hidden="false" customHeight="false" outlineLevel="0" collapsed="false">
      <c r="E717" s="25"/>
      <c r="M717" s="26" t="str">
        <f aca="false">IF($A717="","",$L717*$U717/100)</f>
        <v/>
      </c>
      <c r="W717" s="26" t="str">
        <f aca="false">IF($A717="","",U717*AB717/100)</f>
        <v/>
      </c>
      <c r="X717" s="26" t="str">
        <f aca="false">IF($A717="","",U717-W717)</f>
        <v/>
      </c>
      <c r="Y717" s="26" t="str">
        <f aca="false">IF($A717="","",U717-W717-M717)</f>
        <v/>
      </c>
      <c r="AB717" s="27" t="str">
        <f aca="false">IF($A717="","",IF($AK717=1,'كشف المطالبة'!$D$5,'كشف المطالبة'!$D$6)*100)</f>
        <v/>
      </c>
      <c r="AK717" s="28" t="str">
        <f aca="false">IF($A717="","",IF(OR($Q717=TRUE(),$Q717="TRUE"),1,0))</f>
        <v/>
      </c>
      <c r="AL717" s="28" t="str">
        <f aca="false">IF($N717="","",IF(MATCH($N717,$N$2:$N$3001,0)=ROWS($N$2:$N717),$N717,""))</f>
        <v/>
      </c>
    </row>
    <row r="718" customFormat="false" ht="15" hidden="false" customHeight="false" outlineLevel="0" collapsed="false">
      <c r="E718" s="25"/>
      <c r="M718" s="26" t="str">
        <f aca="false">IF($A718="","",$L718*$U718/100)</f>
        <v/>
      </c>
      <c r="W718" s="26" t="str">
        <f aca="false">IF($A718="","",U718*AB718/100)</f>
        <v/>
      </c>
      <c r="X718" s="26" t="str">
        <f aca="false">IF($A718="","",U718-W718)</f>
        <v/>
      </c>
      <c r="Y718" s="26" t="str">
        <f aca="false">IF($A718="","",U718-W718-M718)</f>
        <v/>
      </c>
      <c r="AB718" s="27" t="str">
        <f aca="false">IF($A718="","",IF($AK718=1,'كشف المطالبة'!$D$5,'كشف المطالبة'!$D$6)*100)</f>
        <v/>
      </c>
      <c r="AK718" s="28" t="str">
        <f aca="false">IF($A718="","",IF(OR($Q718=TRUE(),$Q718="TRUE"),1,0))</f>
        <v/>
      </c>
      <c r="AL718" s="28" t="str">
        <f aca="false">IF($N718="","",IF(MATCH($N718,$N$2:$N$3001,0)=ROWS($N$2:$N718),$N718,""))</f>
        <v/>
      </c>
    </row>
    <row r="719" customFormat="false" ht="15" hidden="false" customHeight="false" outlineLevel="0" collapsed="false">
      <c r="E719" s="25"/>
      <c r="M719" s="26" t="str">
        <f aca="false">IF($A719="","",$L719*$U719/100)</f>
        <v/>
      </c>
      <c r="W719" s="26" t="str">
        <f aca="false">IF($A719="","",U719*AB719/100)</f>
        <v/>
      </c>
      <c r="X719" s="26" t="str">
        <f aca="false">IF($A719="","",U719-W719)</f>
        <v/>
      </c>
      <c r="Y719" s="26" t="str">
        <f aca="false">IF($A719="","",U719-W719-M719)</f>
        <v/>
      </c>
      <c r="AB719" s="27" t="str">
        <f aca="false">IF($A719="","",IF($AK719=1,'كشف المطالبة'!$D$5,'كشف المطالبة'!$D$6)*100)</f>
        <v/>
      </c>
      <c r="AK719" s="28" t="str">
        <f aca="false">IF($A719="","",IF(OR($Q719=TRUE(),$Q719="TRUE"),1,0))</f>
        <v/>
      </c>
      <c r="AL719" s="28" t="str">
        <f aca="false">IF($N719="","",IF(MATCH($N719,$N$2:$N$3001,0)=ROWS($N$2:$N719),$N719,""))</f>
        <v/>
      </c>
    </row>
    <row r="720" customFormat="false" ht="15" hidden="false" customHeight="false" outlineLevel="0" collapsed="false">
      <c r="E720" s="25"/>
      <c r="M720" s="26" t="str">
        <f aca="false">IF($A720="","",$L720*$U720/100)</f>
        <v/>
      </c>
      <c r="W720" s="26" t="str">
        <f aca="false">IF($A720="","",U720*AB720/100)</f>
        <v/>
      </c>
      <c r="X720" s="26" t="str">
        <f aca="false">IF($A720="","",U720-W720)</f>
        <v/>
      </c>
      <c r="Y720" s="26" t="str">
        <f aca="false">IF($A720="","",U720-W720-M720)</f>
        <v/>
      </c>
      <c r="AB720" s="27" t="str">
        <f aca="false">IF($A720="","",IF($AK720=1,'كشف المطالبة'!$D$5,'كشف المطالبة'!$D$6)*100)</f>
        <v/>
      </c>
      <c r="AK720" s="28" t="str">
        <f aca="false">IF($A720="","",IF(OR($Q720=TRUE(),$Q720="TRUE"),1,0))</f>
        <v/>
      </c>
      <c r="AL720" s="28" t="str">
        <f aca="false">IF($N720="","",IF(MATCH($N720,$N$2:$N$3001,0)=ROWS($N$2:$N720),$N720,""))</f>
        <v/>
      </c>
    </row>
    <row r="721" customFormat="false" ht="15" hidden="false" customHeight="false" outlineLevel="0" collapsed="false">
      <c r="E721" s="25"/>
      <c r="M721" s="26" t="str">
        <f aca="false">IF($A721="","",$L721*$U721/100)</f>
        <v/>
      </c>
      <c r="W721" s="26" t="str">
        <f aca="false">IF($A721="","",U721*AB721/100)</f>
        <v/>
      </c>
      <c r="X721" s="26" t="str">
        <f aca="false">IF($A721="","",U721-W721)</f>
        <v/>
      </c>
      <c r="Y721" s="26" t="str">
        <f aca="false">IF($A721="","",U721-W721-M721)</f>
        <v/>
      </c>
      <c r="AB721" s="27" t="str">
        <f aca="false">IF($A721="","",IF($AK721=1,'كشف المطالبة'!$D$5,'كشف المطالبة'!$D$6)*100)</f>
        <v/>
      </c>
      <c r="AK721" s="28" t="str">
        <f aca="false">IF($A721="","",IF(OR($Q721=TRUE(),$Q721="TRUE"),1,0))</f>
        <v/>
      </c>
      <c r="AL721" s="28" t="str">
        <f aca="false">IF($N721="","",IF(MATCH($N721,$N$2:$N$3001,0)=ROWS($N$2:$N721),$N721,""))</f>
        <v/>
      </c>
    </row>
    <row r="722" customFormat="false" ht="15" hidden="false" customHeight="false" outlineLevel="0" collapsed="false">
      <c r="E722" s="25"/>
      <c r="M722" s="26" t="str">
        <f aca="false">IF($A722="","",$L722*$U722/100)</f>
        <v/>
      </c>
      <c r="W722" s="26" t="str">
        <f aca="false">IF($A722="","",U722*AB722/100)</f>
        <v/>
      </c>
      <c r="X722" s="26" t="str">
        <f aca="false">IF($A722="","",U722-W722)</f>
        <v/>
      </c>
      <c r="Y722" s="26" t="str">
        <f aca="false">IF($A722="","",U722-W722-M722)</f>
        <v/>
      </c>
      <c r="AB722" s="27" t="str">
        <f aca="false">IF($A722="","",IF($AK722=1,'كشف المطالبة'!$D$5,'كشف المطالبة'!$D$6)*100)</f>
        <v/>
      </c>
      <c r="AK722" s="28" t="str">
        <f aca="false">IF($A722="","",IF(OR($Q722=TRUE(),$Q722="TRUE"),1,0))</f>
        <v/>
      </c>
      <c r="AL722" s="28" t="str">
        <f aca="false">IF($N722="","",IF(MATCH($N722,$N$2:$N$3001,0)=ROWS($N$2:$N722),$N722,""))</f>
        <v/>
      </c>
    </row>
    <row r="723" customFormat="false" ht="15" hidden="false" customHeight="false" outlineLevel="0" collapsed="false">
      <c r="E723" s="25"/>
      <c r="M723" s="26" t="str">
        <f aca="false">IF($A723="","",$L723*$U723/100)</f>
        <v/>
      </c>
      <c r="W723" s="26" t="str">
        <f aca="false">IF($A723="","",U723*AB723/100)</f>
        <v/>
      </c>
      <c r="X723" s="26" t="str">
        <f aca="false">IF($A723="","",U723-W723)</f>
        <v/>
      </c>
      <c r="Y723" s="26" t="str">
        <f aca="false">IF($A723="","",U723-W723-M723)</f>
        <v/>
      </c>
      <c r="AB723" s="27" t="str">
        <f aca="false">IF($A723="","",IF($AK723=1,'كشف المطالبة'!$D$5,'كشف المطالبة'!$D$6)*100)</f>
        <v/>
      </c>
      <c r="AK723" s="28" t="str">
        <f aca="false">IF($A723="","",IF(OR($Q723=TRUE(),$Q723="TRUE"),1,0))</f>
        <v/>
      </c>
      <c r="AL723" s="28" t="str">
        <f aca="false">IF($N723="","",IF(MATCH($N723,$N$2:$N$3001,0)=ROWS($N$2:$N723),$N723,""))</f>
        <v/>
      </c>
    </row>
    <row r="724" customFormat="false" ht="15" hidden="false" customHeight="false" outlineLevel="0" collapsed="false">
      <c r="E724" s="25"/>
      <c r="M724" s="26" t="str">
        <f aca="false">IF($A724="","",$L724*$U724/100)</f>
        <v/>
      </c>
      <c r="W724" s="26" t="str">
        <f aca="false">IF($A724="","",U724*AB724/100)</f>
        <v/>
      </c>
      <c r="X724" s="26" t="str">
        <f aca="false">IF($A724="","",U724-W724)</f>
        <v/>
      </c>
      <c r="Y724" s="26" t="str">
        <f aca="false">IF($A724="","",U724-W724-M724)</f>
        <v/>
      </c>
      <c r="AB724" s="27" t="str">
        <f aca="false">IF($A724="","",IF($AK724=1,'كشف المطالبة'!$D$5,'كشف المطالبة'!$D$6)*100)</f>
        <v/>
      </c>
      <c r="AK724" s="28" t="str">
        <f aca="false">IF($A724="","",IF(OR($Q724=TRUE(),$Q724="TRUE"),1,0))</f>
        <v/>
      </c>
      <c r="AL724" s="28" t="str">
        <f aca="false">IF($N724="","",IF(MATCH($N724,$N$2:$N$3001,0)=ROWS($N$2:$N724),$N724,""))</f>
        <v/>
      </c>
    </row>
    <row r="725" customFormat="false" ht="15" hidden="false" customHeight="false" outlineLevel="0" collapsed="false">
      <c r="E725" s="25"/>
      <c r="M725" s="26" t="str">
        <f aca="false">IF($A725="","",$L725*$U725/100)</f>
        <v/>
      </c>
      <c r="W725" s="26" t="str">
        <f aca="false">IF($A725="","",U725*AB725/100)</f>
        <v/>
      </c>
      <c r="X725" s="26" t="str">
        <f aca="false">IF($A725="","",U725-W725)</f>
        <v/>
      </c>
      <c r="Y725" s="26" t="str">
        <f aca="false">IF($A725="","",U725-W725-M725)</f>
        <v/>
      </c>
      <c r="AB725" s="27" t="str">
        <f aca="false">IF($A725="","",IF($AK725=1,'كشف المطالبة'!$D$5,'كشف المطالبة'!$D$6)*100)</f>
        <v/>
      </c>
      <c r="AK725" s="28" t="str">
        <f aca="false">IF($A725="","",IF(OR($Q725=TRUE(),$Q725="TRUE"),1,0))</f>
        <v/>
      </c>
      <c r="AL725" s="28" t="str">
        <f aca="false">IF($N725="","",IF(MATCH($N725,$N$2:$N$3001,0)=ROWS($N$2:$N725),$N725,""))</f>
        <v/>
      </c>
    </row>
    <row r="726" customFormat="false" ht="15" hidden="false" customHeight="false" outlineLevel="0" collapsed="false">
      <c r="E726" s="25"/>
      <c r="M726" s="26" t="str">
        <f aca="false">IF($A726="","",$L726*$U726/100)</f>
        <v/>
      </c>
      <c r="W726" s="26" t="str">
        <f aca="false">IF($A726="","",U726*AB726/100)</f>
        <v/>
      </c>
      <c r="X726" s="26" t="str">
        <f aca="false">IF($A726="","",U726-W726)</f>
        <v/>
      </c>
      <c r="Y726" s="26" t="str">
        <f aca="false">IF($A726="","",U726-W726-M726)</f>
        <v/>
      </c>
      <c r="AB726" s="27" t="str">
        <f aca="false">IF($A726="","",IF($AK726=1,'كشف المطالبة'!$D$5,'كشف المطالبة'!$D$6)*100)</f>
        <v/>
      </c>
      <c r="AK726" s="28" t="str">
        <f aca="false">IF($A726="","",IF(OR($Q726=TRUE(),$Q726="TRUE"),1,0))</f>
        <v/>
      </c>
      <c r="AL726" s="28" t="str">
        <f aca="false">IF($N726="","",IF(MATCH($N726,$N$2:$N$3001,0)=ROWS($N$2:$N726),$N726,""))</f>
        <v/>
      </c>
    </row>
    <row r="727" customFormat="false" ht="15" hidden="false" customHeight="false" outlineLevel="0" collapsed="false">
      <c r="E727" s="25"/>
      <c r="M727" s="26" t="str">
        <f aca="false">IF($A727="","",$L727*$U727/100)</f>
        <v/>
      </c>
      <c r="W727" s="26" t="str">
        <f aca="false">IF($A727="","",U727*AB727/100)</f>
        <v/>
      </c>
      <c r="X727" s="26" t="str">
        <f aca="false">IF($A727="","",U727-W727)</f>
        <v/>
      </c>
      <c r="Y727" s="26" t="str">
        <f aca="false">IF($A727="","",U727-W727-M727)</f>
        <v/>
      </c>
      <c r="AB727" s="27" t="str">
        <f aca="false">IF($A727="","",IF($AK727=1,'كشف المطالبة'!$D$5,'كشف المطالبة'!$D$6)*100)</f>
        <v/>
      </c>
      <c r="AK727" s="28" t="str">
        <f aca="false">IF($A727="","",IF(OR($Q727=TRUE(),$Q727="TRUE"),1,0))</f>
        <v/>
      </c>
      <c r="AL727" s="28" t="str">
        <f aca="false">IF($N727="","",IF(MATCH($N727,$N$2:$N$3001,0)=ROWS($N$2:$N727),$N727,""))</f>
        <v/>
      </c>
    </row>
    <row r="728" customFormat="false" ht="15" hidden="false" customHeight="false" outlineLevel="0" collapsed="false">
      <c r="E728" s="25"/>
      <c r="M728" s="26" t="str">
        <f aca="false">IF($A728="","",$L728*$U728/100)</f>
        <v/>
      </c>
      <c r="W728" s="26" t="str">
        <f aca="false">IF($A728="","",U728*AB728/100)</f>
        <v/>
      </c>
      <c r="X728" s="26" t="str">
        <f aca="false">IF($A728="","",U728-W728)</f>
        <v/>
      </c>
      <c r="Y728" s="26" t="str">
        <f aca="false">IF($A728="","",U728-W728-M728)</f>
        <v/>
      </c>
      <c r="AB728" s="27" t="str">
        <f aca="false">IF($A728="","",IF($AK728=1,'كشف المطالبة'!$D$5,'كشف المطالبة'!$D$6)*100)</f>
        <v/>
      </c>
      <c r="AK728" s="28" t="str">
        <f aca="false">IF($A728="","",IF(OR($Q728=TRUE(),$Q728="TRUE"),1,0))</f>
        <v/>
      </c>
      <c r="AL728" s="28" t="str">
        <f aca="false">IF($N728="","",IF(MATCH($N728,$N$2:$N$3001,0)=ROWS($N$2:$N728),$N728,""))</f>
        <v/>
      </c>
    </row>
    <row r="729" customFormat="false" ht="15" hidden="false" customHeight="false" outlineLevel="0" collapsed="false">
      <c r="E729" s="25"/>
      <c r="M729" s="26" t="str">
        <f aca="false">IF($A729="","",$L729*$U729/100)</f>
        <v/>
      </c>
      <c r="W729" s="26" t="str">
        <f aca="false">IF($A729="","",U729*AB729/100)</f>
        <v/>
      </c>
      <c r="X729" s="26" t="str">
        <f aca="false">IF($A729="","",U729-W729)</f>
        <v/>
      </c>
      <c r="Y729" s="26" t="str">
        <f aca="false">IF($A729="","",U729-W729-M729)</f>
        <v/>
      </c>
      <c r="AB729" s="27" t="str">
        <f aca="false">IF($A729="","",IF($AK729=1,'كشف المطالبة'!$D$5,'كشف المطالبة'!$D$6)*100)</f>
        <v/>
      </c>
      <c r="AK729" s="28" t="str">
        <f aca="false">IF($A729="","",IF(OR($Q729=TRUE(),$Q729="TRUE"),1,0))</f>
        <v/>
      </c>
      <c r="AL729" s="28" t="str">
        <f aca="false">IF($N729="","",IF(MATCH($N729,$N$2:$N$3001,0)=ROWS($N$2:$N729),$N729,""))</f>
        <v/>
      </c>
    </row>
    <row r="730" customFormat="false" ht="15" hidden="false" customHeight="false" outlineLevel="0" collapsed="false">
      <c r="E730" s="25"/>
      <c r="M730" s="26" t="str">
        <f aca="false">IF($A730="","",$L730*$U730/100)</f>
        <v/>
      </c>
      <c r="W730" s="26" t="str">
        <f aca="false">IF($A730="","",U730*AB730/100)</f>
        <v/>
      </c>
      <c r="X730" s="26" t="str">
        <f aca="false">IF($A730="","",U730-W730)</f>
        <v/>
      </c>
      <c r="Y730" s="26" t="str">
        <f aca="false">IF($A730="","",U730-W730-M730)</f>
        <v/>
      </c>
      <c r="AB730" s="27" t="str">
        <f aca="false">IF($A730="","",IF($AK730=1,'كشف المطالبة'!$D$5,'كشف المطالبة'!$D$6)*100)</f>
        <v/>
      </c>
      <c r="AK730" s="28" t="str">
        <f aca="false">IF($A730="","",IF(OR($Q730=TRUE(),$Q730="TRUE"),1,0))</f>
        <v/>
      </c>
      <c r="AL730" s="28" t="str">
        <f aca="false">IF($N730="","",IF(MATCH($N730,$N$2:$N$3001,0)=ROWS($N$2:$N730),$N730,""))</f>
        <v/>
      </c>
    </row>
    <row r="731" customFormat="false" ht="15" hidden="false" customHeight="false" outlineLevel="0" collapsed="false">
      <c r="E731" s="25"/>
      <c r="M731" s="26" t="str">
        <f aca="false">IF($A731="","",$L731*$U731/100)</f>
        <v/>
      </c>
      <c r="W731" s="26" t="str">
        <f aca="false">IF($A731="","",U731*AB731/100)</f>
        <v/>
      </c>
      <c r="X731" s="26" t="str">
        <f aca="false">IF($A731="","",U731-W731)</f>
        <v/>
      </c>
      <c r="Y731" s="26" t="str">
        <f aca="false">IF($A731="","",U731-W731-M731)</f>
        <v/>
      </c>
      <c r="AB731" s="27" t="str">
        <f aca="false">IF($A731="","",IF($AK731=1,'كشف المطالبة'!$D$5,'كشف المطالبة'!$D$6)*100)</f>
        <v/>
      </c>
      <c r="AK731" s="28" t="str">
        <f aca="false">IF($A731="","",IF(OR($Q731=TRUE(),$Q731="TRUE"),1,0))</f>
        <v/>
      </c>
      <c r="AL731" s="28" t="str">
        <f aca="false">IF($N731="","",IF(MATCH($N731,$N$2:$N$3001,0)=ROWS($N$2:$N731),$N731,""))</f>
        <v/>
      </c>
    </row>
    <row r="732" customFormat="false" ht="15" hidden="false" customHeight="false" outlineLevel="0" collapsed="false">
      <c r="E732" s="25"/>
      <c r="M732" s="26" t="str">
        <f aca="false">IF($A732="","",$L732*$U732/100)</f>
        <v/>
      </c>
      <c r="W732" s="26" t="str">
        <f aca="false">IF($A732="","",U732*AB732/100)</f>
        <v/>
      </c>
      <c r="X732" s="26" t="str">
        <f aca="false">IF($A732="","",U732-W732)</f>
        <v/>
      </c>
      <c r="Y732" s="26" t="str">
        <f aca="false">IF($A732="","",U732-W732-M732)</f>
        <v/>
      </c>
      <c r="AB732" s="27" t="str">
        <f aca="false">IF($A732="","",IF($AK732=1,'كشف المطالبة'!$D$5,'كشف المطالبة'!$D$6)*100)</f>
        <v/>
      </c>
      <c r="AK732" s="28" t="str">
        <f aca="false">IF($A732="","",IF(OR($Q732=TRUE(),$Q732="TRUE"),1,0))</f>
        <v/>
      </c>
      <c r="AL732" s="28" t="str">
        <f aca="false">IF($N732="","",IF(MATCH($N732,$N$2:$N$3001,0)=ROWS($N$2:$N732),$N732,""))</f>
        <v/>
      </c>
    </row>
    <row r="733" customFormat="false" ht="15" hidden="false" customHeight="false" outlineLevel="0" collapsed="false">
      <c r="E733" s="25"/>
      <c r="M733" s="26" t="str">
        <f aca="false">IF($A733="","",$L733*$U733/100)</f>
        <v/>
      </c>
      <c r="W733" s="26" t="str">
        <f aca="false">IF($A733="","",U733*AB733/100)</f>
        <v/>
      </c>
      <c r="X733" s="26" t="str">
        <f aca="false">IF($A733="","",U733-W733)</f>
        <v/>
      </c>
      <c r="Y733" s="26" t="str">
        <f aca="false">IF($A733="","",U733-W733-M733)</f>
        <v/>
      </c>
      <c r="AB733" s="27" t="str">
        <f aca="false">IF($A733="","",IF($AK733=1,'كشف المطالبة'!$D$5,'كشف المطالبة'!$D$6)*100)</f>
        <v/>
      </c>
      <c r="AK733" s="28" t="str">
        <f aca="false">IF($A733="","",IF(OR($Q733=TRUE(),$Q733="TRUE"),1,0))</f>
        <v/>
      </c>
      <c r="AL733" s="28" t="str">
        <f aca="false">IF($N733="","",IF(MATCH($N733,$N$2:$N$3001,0)=ROWS($N$2:$N733),$N733,""))</f>
        <v/>
      </c>
    </row>
    <row r="734" customFormat="false" ht="15" hidden="false" customHeight="false" outlineLevel="0" collapsed="false">
      <c r="E734" s="25"/>
      <c r="M734" s="26" t="str">
        <f aca="false">IF($A734="","",$L734*$U734/100)</f>
        <v/>
      </c>
      <c r="W734" s="26" t="str">
        <f aca="false">IF($A734="","",U734*AB734/100)</f>
        <v/>
      </c>
      <c r="X734" s="26" t="str">
        <f aca="false">IF($A734="","",U734-W734)</f>
        <v/>
      </c>
      <c r="Y734" s="26" t="str">
        <f aca="false">IF($A734="","",U734-W734-M734)</f>
        <v/>
      </c>
      <c r="AB734" s="27" t="str">
        <f aca="false">IF($A734="","",IF($AK734=1,'كشف المطالبة'!$D$5,'كشف المطالبة'!$D$6)*100)</f>
        <v/>
      </c>
      <c r="AK734" s="28" t="str">
        <f aca="false">IF($A734="","",IF(OR($Q734=TRUE(),$Q734="TRUE"),1,0))</f>
        <v/>
      </c>
      <c r="AL734" s="28" t="str">
        <f aca="false">IF($N734="","",IF(MATCH($N734,$N$2:$N$3001,0)=ROWS($N$2:$N734),$N734,""))</f>
        <v/>
      </c>
    </row>
    <row r="735" customFormat="false" ht="15" hidden="false" customHeight="false" outlineLevel="0" collapsed="false">
      <c r="E735" s="25"/>
      <c r="M735" s="26" t="str">
        <f aca="false">IF($A735="","",$L735*$U735/100)</f>
        <v/>
      </c>
      <c r="W735" s="26" t="str">
        <f aca="false">IF($A735="","",U735*AB735/100)</f>
        <v/>
      </c>
      <c r="X735" s="26" t="str">
        <f aca="false">IF($A735="","",U735-W735)</f>
        <v/>
      </c>
      <c r="Y735" s="26" t="str">
        <f aca="false">IF($A735="","",U735-W735-M735)</f>
        <v/>
      </c>
      <c r="AB735" s="27" t="str">
        <f aca="false">IF($A735="","",IF($AK735=1,'كشف المطالبة'!$D$5,'كشف المطالبة'!$D$6)*100)</f>
        <v/>
      </c>
      <c r="AK735" s="28" t="str">
        <f aca="false">IF($A735="","",IF(OR($Q735=TRUE(),$Q735="TRUE"),1,0))</f>
        <v/>
      </c>
      <c r="AL735" s="28" t="str">
        <f aca="false">IF($N735="","",IF(MATCH($N735,$N$2:$N$3001,0)=ROWS($N$2:$N735),$N735,""))</f>
        <v/>
      </c>
    </row>
    <row r="736" customFormat="false" ht="15" hidden="false" customHeight="false" outlineLevel="0" collapsed="false">
      <c r="E736" s="25"/>
      <c r="M736" s="26" t="str">
        <f aca="false">IF($A736="","",$L736*$U736/100)</f>
        <v/>
      </c>
      <c r="W736" s="26" t="str">
        <f aca="false">IF($A736="","",U736*AB736/100)</f>
        <v/>
      </c>
      <c r="X736" s="26" t="str">
        <f aca="false">IF($A736="","",U736-W736)</f>
        <v/>
      </c>
      <c r="Y736" s="26" t="str">
        <f aca="false">IF($A736="","",U736-W736-M736)</f>
        <v/>
      </c>
      <c r="AB736" s="27" t="str">
        <f aca="false">IF($A736="","",IF($AK736=1,'كشف المطالبة'!$D$5,'كشف المطالبة'!$D$6)*100)</f>
        <v/>
      </c>
      <c r="AK736" s="28" t="str">
        <f aca="false">IF($A736="","",IF(OR($Q736=TRUE(),$Q736="TRUE"),1,0))</f>
        <v/>
      </c>
      <c r="AL736" s="28" t="str">
        <f aca="false">IF($N736="","",IF(MATCH($N736,$N$2:$N$3001,0)=ROWS($N$2:$N736),$N736,""))</f>
        <v/>
      </c>
    </row>
    <row r="737" customFormat="false" ht="15" hidden="false" customHeight="false" outlineLevel="0" collapsed="false">
      <c r="E737" s="25"/>
      <c r="M737" s="26" t="str">
        <f aca="false">IF($A737="","",$L737*$U737/100)</f>
        <v/>
      </c>
      <c r="W737" s="26" t="str">
        <f aca="false">IF($A737="","",U737*AB737/100)</f>
        <v/>
      </c>
      <c r="X737" s="26" t="str">
        <f aca="false">IF($A737="","",U737-W737)</f>
        <v/>
      </c>
      <c r="Y737" s="26" t="str">
        <f aca="false">IF($A737="","",U737-W737-M737)</f>
        <v/>
      </c>
      <c r="AB737" s="27" t="str">
        <f aca="false">IF($A737="","",IF($AK737=1,'كشف المطالبة'!$D$5,'كشف المطالبة'!$D$6)*100)</f>
        <v/>
      </c>
      <c r="AK737" s="28" t="str">
        <f aca="false">IF($A737="","",IF(OR($Q737=TRUE(),$Q737="TRUE"),1,0))</f>
        <v/>
      </c>
      <c r="AL737" s="28" t="str">
        <f aca="false">IF($N737="","",IF(MATCH($N737,$N$2:$N$3001,0)=ROWS($N$2:$N737),$N737,""))</f>
        <v/>
      </c>
    </row>
    <row r="738" customFormat="false" ht="15" hidden="false" customHeight="false" outlineLevel="0" collapsed="false">
      <c r="E738" s="25"/>
      <c r="M738" s="26" t="str">
        <f aca="false">IF($A738="","",$L738*$U738/100)</f>
        <v/>
      </c>
      <c r="W738" s="26" t="str">
        <f aca="false">IF($A738="","",U738*AB738/100)</f>
        <v/>
      </c>
      <c r="X738" s="26" t="str">
        <f aca="false">IF($A738="","",U738-W738)</f>
        <v/>
      </c>
      <c r="Y738" s="26" t="str">
        <f aca="false">IF($A738="","",U738-W738-M738)</f>
        <v/>
      </c>
      <c r="AB738" s="27" t="str">
        <f aca="false">IF($A738="","",IF($AK738=1,'كشف المطالبة'!$D$5,'كشف المطالبة'!$D$6)*100)</f>
        <v/>
      </c>
      <c r="AK738" s="28" t="str">
        <f aca="false">IF($A738="","",IF(OR($Q738=TRUE(),$Q738="TRUE"),1,0))</f>
        <v/>
      </c>
      <c r="AL738" s="28" t="str">
        <f aca="false">IF($N738="","",IF(MATCH($N738,$N$2:$N$3001,0)=ROWS($N$2:$N738),$N738,""))</f>
        <v/>
      </c>
    </row>
    <row r="739" customFormat="false" ht="15" hidden="false" customHeight="false" outlineLevel="0" collapsed="false">
      <c r="E739" s="25"/>
      <c r="M739" s="26" t="str">
        <f aca="false">IF($A739="","",$L739*$U739/100)</f>
        <v/>
      </c>
      <c r="W739" s="26" t="str">
        <f aca="false">IF($A739="","",U739*AB739/100)</f>
        <v/>
      </c>
      <c r="X739" s="26" t="str">
        <f aca="false">IF($A739="","",U739-W739)</f>
        <v/>
      </c>
      <c r="Y739" s="26" t="str">
        <f aca="false">IF($A739="","",U739-W739-M739)</f>
        <v/>
      </c>
      <c r="AB739" s="27" t="str">
        <f aca="false">IF($A739="","",IF($AK739=1,'كشف المطالبة'!$D$5,'كشف المطالبة'!$D$6)*100)</f>
        <v/>
      </c>
      <c r="AK739" s="28" t="str">
        <f aca="false">IF($A739="","",IF(OR($Q739=TRUE(),$Q739="TRUE"),1,0))</f>
        <v/>
      </c>
      <c r="AL739" s="28" t="str">
        <f aca="false">IF($N739="","",IF(MATCH($N739,$N$2:$N$3001,0)=ROWS($N$2:$N739),$N739,""))</f>
        <v/>
      </c>
    </row>
    <row r="740" customFormat="false" ht="15" hidden="false" customHeight="false" outlineLevel="0" collapsed="false">
      <c r="E740" s="25"/>
      <c r="M740" s="26" t="str">
        <f aca="false">IF($A740="","",$L740*$U740/100)</f>
        <v/>
      </c>
      <c r="W740" s="26" t="str">
        <f aca="false">IF($A740="","",U740*AB740/100)</f>
        <v/>
      </c>
      <c r="X740" s="26" t="str">
        <f aca="false">IF($A740="","",U740-W740)</f>
        <v/>
      </c>
      <c r="Y740" s="26" t="str">
        <f aca="false">IF($A740="","",U740-W740-M740)</f>
        <v/>
      </c>
      <c r="AB740" s="27" t="str">
        <f aca="false">IF($A740="","",IF($AK740=1,'كشف المطالبة'!$D$5,'كشف المطالبة'!$D$6)*100)</f>
        <v/>
      </c>
      <c r="AK740" s="28" t="str">
        <f aca="false">IF($A740="","",IF(OR($Q740=TRUE(),$Q740="TRUE"),1,0))</f>
        <v/>
      </c>
      <c r="AL740" s="28" t="str">
        <f aca="false">IF($N740="","",IF(MATCH($N740,$N$2:$N$3001,0)=ROWS($N$2:$N740),$N740,""))</f>
        <v/>
      </c>
    </row>
    <row r="741" customFormat="false" ht="15" hidden="false" customHeight="false" outlineLevel="0" collapsed="false">
      <c r="E741" s="25"/>
      <c r="M741" s="26" t="str">
        <f aca="false">IF($A741="","",$L741*$U741/100)</f>
        <v/>
      </c>
      <c r="W741" s="26" t="str">
        <f aca="false">IF($A741="","",U741*AB741/100)</f>
        <v/>
      </c>
      <c r="X741" s="26" t="str">
        <f aca="false">IF($A741="","",U741-W741)</f>
        <v/>
      </c>
      <c r="Y741" s="26" t="str">
        <f aca="false">IF($A741="","",U741-W741-M741)</f>
        <v/>
      </c>
      <c r="AB741" s="27" t="str">
        <f aca="false">IF($A741="","",IF($AK741=1,'كشف المطالبة'!$D$5,'كشف المطالبة'!$D$6)*100)</f>
        <v/>
      </c>
      <c r="AK741" s="28" t="str">
        <f aca="false">IF($A741="","",IF(OR($Q741=TRUE(),$Q741="TRUE"),1,0))</f>
        <v/>
      </c>
      <c r="AL741" s="28" t="str">
        <f aca="false">IF($N741="","",IF(MATCH($N741,$N$2:$N$3001,0)=ROWS($N$2:$N741),$N741,""))</f>
        <v/>
      </c>
    </row>
    <row r="742" customFormat="false" ht="15" hidden="false" customHeight="false" outlineLevel="0" collapsed="false">
      <c r="E742" s="25"/>
      <c r="M742" s="26" t="str">
        <f aca="false">IF($A742="","",$L742*$U742/100)</f>
        <v/>
      </c>
      <c r="W742" s="26" t="str">
        <f aca="false">IF($A742="","",U742*AB742/100)</f>
        <v/>
      </c>
      <c r="X742" s="26" t="str">
        <f aca="false">IF($A742="","",U742-W742)</f>
        <v/>
      </c>
      <c r="Y742" s="26" t="str">
        <f aca="false">IF($A742="","",U742-W742-M742)</f>
        <v/>
      </c>
      <c r="AB742" s="27" t="str">
        <f aca="false">IF($A742="","",IF($AK742=1,'كشف المطالبة'!$D$5,'كشف المطالبة'!$D$6)*100)</f>
        <v/>
      </c>
      <c r="AK742" s="28" t="str">
        <f aca="false">IF($A742="","",IF(OR($Q742=TRUE(),$Q742="TRUE"),1,0))</f>
        <v/>
      </c>
      <c r="AL742" s="28" t="str">
        <f aca="false">IF($N742="","",IF(MATCH($N742,$N$2:$N$3001,0)=ROWS($N$2:$N742),$N742,""))</f>
        <v/>
      </c>
    </row>
    <row r="743" customFormat="false" ht="15" hidden="false" customHeight="false" outlineLevel="0" collapsed="false">
      <c r="E743" s="25"/>
      <c r="M743" s="26" t="str">
        <f aca="false">IF($A743="","",$L743*$U743/100)</f>
        <v/>
      </c>
      <c r="W743" s="26" t="str">
        <f aca="false">IF($A743="","",U743*AB743/100)</f>
        <v/>
      </c>
      <c r="X743" s="26" t="str">
        <f aca="false">IF($A743="","",U743-W743)</f>
        <v/>
      </c>
      <c r="Y743" s="26" t="str">
        <f aca="false">IF($A743="","",U743-W743-M743)</f>
        <v/>
      </c>
      <c r="AB743" s="27" t="str">
        <f aca="false">IF($A743="","",IF($AK743=1,'كشف المطالبة'!$D$5,'كشف المطالبة'!$D$6)*100)</f>
        <v/>
      </c>
      <c r="AK743" s="28" t="str">
        <f aca="false">IF($A743="","",IF(OR($Q743=TRUE(),$Q743="TRUE"),1,0))</f>
        <v/>
      </c>
      <c r="AL743" s="28" t="str">
        <f aca="false">IF($N743="","",IF(MATCH($N743,$N$2:$N$3001,0)=ROWS($N$2:$N743),$N743,""))</f>
        <v/>
      </c>
    </row>
    <row r="744" customFormat="false" ht="15" hidden="false" customHeight="false" outlineLevel="0" collapsed="false">
      <c r="E744" s="25"/>
      <c r="M744" s="26" t="str">
        <f aca="false">IF($A744="","",$L744*$U744/100)</f>
        <v/>
      </c>
      <c r="W744" s="26" t="str">
        <f aca="false">IF($A744="","",U744*AB744/100)</f>
        <v/>
      </c>
      <c r="X744" s="26" t="str">
        <f aca="false">IF($A744="","",U744-W744)</f>
        <v/>
      </c>
      <c r="Y744" s="26" t="str">
        <f aca="false">IF($A744="","",U744-W744-M744)</f>
        <v/>
      </c>
      <c r="AB744" s="27" t="str">
        <f aca="false">IF($A744="","",IF($AK744=1,'كشف المطالبة'!$D$5,'كشف المطالبة'!$D$6)*100)</f>
        <v/>
      </c>
      <c r="AK744" s="28" t="str">
        <f aca="false">IF($A744="","",IF(OR($Q744=TRUE(),$Q744="TRUE"),1,0))</f>
        <v/>
      </c>
      <c r="AL744" s="28" t="str">
        <f aca="false">IF($N744="","",IF(MATCH($N744,$N$2:$N$3001,0)=ROWS($N$2:$N744),$N744,""))</f>
        <v/>
      </c>
    </row>
    <row r="745" customFormat="false" ht="15" hidden="false" customHeight="false" outlineLevel="0" collapsed="false">
      <c r="E745" s="25"/>
      <c r="M745" s="26" t="str">
        <f aca="false">IF($A745="","",$L745*$U745/100)</f>
        <v/>
      </c>
      <c r="W745" s="26" t="str">
        <f aca="false">IF($A745="","",U745*AB745/100)</f>
        <v/>
      </c>
      <c r="X745" s="26" t="str">
        <f aca="false">IF($A745="","",U745-W745)</f>
        <v/>
      </c>
      <c r="Y745" s="26" t="str">
        <f aca="false">IF($A745="","",U745-W745-M745)</f>
        <v/>
      </c>
      <c r="AB745" s="27" t="str">
        <f aca="false">IF($A745="","",IF($AK745=1,'كشف المطالبة'!$D$5,'كشف المطالبة'!$D$6)*100)</f>
        <v/>
      </c>
      <c r="AK745" s="28" t="str">
        <f aca="false">IF($A745="","",IF(OR($Q745=TRUE(),$Q745="TRUE"),1,0))</f>
        <v/>
      </c>
      <c r="AL745" s="28" t="str">
        <f aca="false">IF($N745="","",IF(MATCH($N745,$N$2:$N$3001,0)=ROWS($N$2:$N745),$N745,""))</f>
        <v/>
      </c>
    </row>
    <row r="746" customFormat="false" ht="15" hidden="false" customHeight="false" outlineLevel="0" collapsed="false">
      <c r="E746" s="25"/>
      <c r="M746" s="26" t="str">
        <f aca="false">IF($A746="","",$L746*$U746/100)</f>
        <v/>
      </c>
      <c r="W746" s="26" t="str">
        <f aca="false">IF($A746="","",U746*AB746/100)</f>
        <v/>
      </c>
      <c r="X746" s="26" t="str">
        <f aca="false">IF($A746="","",U746-W746)</f>
        <v/>
      </c>
      <c r="Y746" s="26" t="str">
        <f aca="false">IF($A746="","",U746-W746-M746)</f>
        <v/>
      </c>
      <c r="AB746" s="27" t="str">
        <f aca="false">IF($A746="","",IF($AK746=1,'كشف المطالبة'!$D$5,'كشف المطالبة'!$D$6)*100)</f>
        <v/>
      </c>
      <c r="AK746" s="28" t="str">
        <f aca="false">IF($A746="","",IF(OR($Q746=TRUE(),$Q746="TRUE"),1,0))</f>
        <v/>
      </c>
      <c r="AL746" s="28" t="str">
        <f aca="false">IF($N746="","",IF(MATCH($N746,$N$2:$N$3001,0)=ROWS($N$2:$N746),$N746,""))</f>
        <v/>
      </c>
    </row>
    <row r="747" customFormat="false" ht="15" hidden="false" customHeight="false" outlineLevel="0" collapsed="false">
      <c r="E747" s="25"/>
      <c r="M747" s="26" t="str">
        <f aca="false">IF($A747="","",$L747*$U747/100)</f>
        <v/>
      </c>
      <c r="W747" s="26" t="str">
        <f aca="false">IF($A747="","",U747*AB747/100)</f>
        <v/>
      </c>
      <c r="X747" s="26" t="str">
        <f aca="false">IF($A747="","",U747-W747)</f>
        <v/>
      </c>
      <c r="Y747" s="26" t="str">
        <f aca="false">IF($A747="","",U747-W747-M747)</f>
        <v/>
      </c>
      <c r="AB747" s="27" t="str">
        <f aca="false">IF($A747="","",IF($AK747=1,'كشف المطالبة'!$D$5,'كشف المطالبة'!$D$6)*100)</f>
        <v/>
      </c>
      <c r="AK747" s="28" t="str">
        <f aca="false">IF($A747="","",IF(OR($Q747=TRUE(),$Q747="TRUE"),1,0))</f>
        <v/>
      </c>
      <c r="AL747" s="28" t="str">
        <f aca="false">IF($N747="","",IF(MATCH($N747,$N$2:$N$3001,0)=ROWS($N$2:$N747),$N747,""))</f>
        <v/>
      </c>
    </row>
    <row r="748" customFormat="false" ht="15" hidden="false" customHeight="false" outlineLevel="0" collapsed="false">
      <c r="E748" s="25"/>
      <c r="M748" s="26" t="str">
        <f aca="false">IF($A748="","",$L748*$U748/100)</f>
        <v/>
      </c>
      <c r="W748" s="26" t="str">
        <f aca="false">IF($A748="","",U748*AB748/100)</f>
        <v/>
      </c>
      <c r="X748" s="26" t="str">
        <f aca="false">IF($A748="","",U748-W748)</f>
        <v/>
      </c>
      <c r="Y748" s="26" t="str">
        <f aca="false">IF($A748="","",U748-W748-M748)</f>
        <v/>
      </c>
      <c r="AB748" s="27" t="str">
        <f aca="false">IF($A748="","",IF($AK748=1,'كشف المطالبة'!$D$5,'كشف المطالبة'!$D$6)*100)</f>
        <v/>
      </c>
      <c r="AK748" s="28" t="str">
        <f aca="false">IF($A748="","",IF(OR($Q748=TRUE(),$Q748="TRUE"),1,0))</f>
        <v/>
      </c>
      <c r="AL748" s="28" t="str">
        <f aca="false">IF($N748="","",IF(MATCH($N748,$N$2:$N$3001,0)=ROWS($N$2:$N748),$N748,""))</f>
        <v/>
      </c>
    </row>
    <row r="749" customFormat="false" ht="15" hidden="false" customHeight="false" outlineLevel="0" collapsed="false">
      <c r="E749" s="25"/>
      <c r="M749" s="26" t="str">
        <f aca="false">IF($A749="","",$L749*$U749/100)</f>
        <v/>
      </c>
      <c r="W749" s="26" t="str">
        <f aca="false">IF($A749="","",U749*AB749/100)</f>
        <v/>
      </c>
      <c r="X749" s="26" t="str">
        <f aca="false">IF($A749="","",U749-W749)</f>
        <v/>
      </c>
      <c r="Y749" s="26" t="str">
        <f aca="false">IF($A749="","",U749-W749-M749)</f>
        <v/>
      </c>
      <c r="AB749" s="27" t="str">
        <f aca="false">IF($A749="","",IF($AK749=1,'كشف المطالبة'!$D$5,'كشف المطالبة'!$D$6)*100)</f>
        <v/>
      </c>
      <c r="AK749" s="28" t="str">
        <f aca="false">IF($A749="","",IF(OR($Q749=TRUE(),$Q749="TRUE"),1,0))</f>
        <v/>
      </c>
      <c r="AL749" s="28" t="str">
        <f aca="false">IF($N749="","",IF(MATCH($N749,$N$2:$N$3001,0)=ROWS($N$2:$N749),$N749,""))</f>
        <v/>
      </c>
    </row>
    <row r="750" customFormat="false" ht="15" hidden="false" customHeight="false" outlineLevel="0" collapsed="false">
      <c r="E750" s="25"/>
      <c r="M750" s="26" t="str">
        <f aca="false">IF($A750="","",$L750*$U750/100)</f>
        <v/>
      </c>
      <c r="W750" s="26" t="str">
        <f aca="false">IF($A750="","",U750*AB750/100)</f>
        <v/>
      </c>
      <c r="X750" s="26" t="str">
        <f aca="false">IF($A750="","",U750-W750)</f>
        <v/>
      </c>
      <c r="Y750" s="26" t="str">
        <f aca="false">IF($A750="","",U750-W750-M750)</f>
        <v/>
      </c>
      <c r="AB750" s="27" t="str">
        <f aca="false">IF($A750="","",IF($AK750=1,'كشف المطالبة'!$D$5,'كشف المطالبة'!$D$6)*100)</f>
        <v/>
      </c>
      <c r="AK750" s="28" t="str">
        <f aca="false">IF($A750="","",IF(OR($Q750=TRUE(),$Q750="TRUE"),1,0))</f>
        <v/>
      </c>
      <c r="AL750" s="28" t="str">
        <f aca="false">IF($N750="","",IF(MATCH($N750,$N$2:$N$3001,0)=ROWS($N$2:$N750),$N750,""))</f>
        <v/>
      </c>
    </row>
    <row r="751" customFormat="false" ht="15" hidden="false" customHeight="false" outlineLevel="0" collapsed="false">
      <c r="E751" s="25"/>
      <c r="M751" s="26" t="str">
        <f aca="false">IF($A751="","",$L751*$U751/100)</f>
        <v/>
      </c>
      <c r="W751" s="26" t="str">
        <f aca="false">IF($A751="","",U751*AB751/100)</f>
        <v/>
      </c>
      <c r="X751" s="26" t="str">
        <f aca="false">IF($A751="","",U751-W751)</f>
        <v/>
      </c>
      <c r="Y751" s="26" t="str">
        <f aca="false">IF($A751="","",U751-W751-M751)</f>
        <v/>
      </c>
      <c r="AB751" s="27" t="str">
        <f aca="false">IF($A751="","",IF($AK751=1,'كشف المطالبة'!$D$5,'كشف المطالبة'!$D$6)*100)</f>
        <v/>
      </c>
      <c r="AK751" s="28" t="str">
        <f aca="false">IF($A751="","",IF(OR($Q751=TRUE(),$Q751="TRUE"),1,0))</f>
        <v/>
      </c>
      <c r="AL751" s="28" t="str">
        <f aca="false">IF($N751="","",IF(MATCH($N751,$N$2:$N$3001,0)=ROWS($N$2:$N751),$N751,""))</f>
        <v/>
      </c>
    </row>
    <row r="752" customFormat="false" ht="15" hidden="false" customHeight="false" outlineLevel="0" collapsed="false">
      <c r="E752" s="25"/>
      <c r="M752" s="26" t="str">
        <f aca="false">IF($A752="","",$L752*$U752/100)</f>
        <v/>
      </c>
      <c r="W752" s="26" t="str">
        <f aca="false">IF($A752="","",U752*AB752/100)</f>
        <v/>
      </c>
      <c r="X752" s="26" t="str">
        <f aca="false">IF($A752="","",U752-W752)</f>
        <v/>
      </c>
      <c r="Y752" s="26" t="str">
        <f aca="false">IF($A752="","",U752-W752-M752)</f>
        <v/>
      </c>
      <c r="AB752" s="27" t="str">
        <f aca="false">IF($A752="","",IF($AK752=1,'كشف المطالبة'!$D$5,'كشف المطالبة'!$D$6)*100)</f>
        <v/>
      </c>
      <c r="AK752" s="28" t="str">
        <f aca="false">IF($A752="","",IF(OR($Q752=TRUE(),$Q752="TRUE"),1,0))</f>
        <v/>
      </c>
      <c r="AL752" s="28" t="str">
        <f aca="false">IF($N752="","",IF(MATCH($N752,$N$2:$N$3001,0)=ROWS($N$2:$N752),$N752,""))</f>
        <v/>
      </c>
    </row>
    <row r="753" customFormat="false" ht="15" hidden="false" customHeight="false" outlineLevel="0" collapsed="false">
      <c r="E753" s="25"/>
      <c r="M753" s="26" t="str">
        <f aca="false">IF($A753="","",$L753*$U753/100)</f>
        <v/>
      </c>
      <c r="W753" s="26" t="str">
        <f aca="false">IF($A753="","",U753*AB753/100)</f>
        <v/>
      </c>
      <c r="X753" s="26" t="str">
        <f aca="false">IF($A753="","",U753-W753)</f>
        <v/>
      </c>
      <c r="Y753" s="26" t="str">
        <f aca="false">IF($A753="","",U753-W753-M753)</f>
        <v/>
      </c>
      <c r="AB753" s="27" t="str">
        <f aca="false">IF($A753="","",IF($AK753=1,'كشف المطالبة'!$D$5,'كشف المطالبة'!$D$6)*100)</f>
        <v/>
      </c>
      <c r="AK753" s="28" t="str">
        <f aca="false">IF($A753="","",IF(OR($Q753=TRUE(),$Q753="TRUE"),1,0))</f>
        <v/>
      </c>
      <c r="AL753" s="28" t="str">
        <f aca="false">IF($N753="","",IF(MATCH($N753,$N$2:$N$3001,0)=ROWS($N$2:$N753),$N753,""))</f>
        <v/>
      </c>
    </row>
    <row r="754" customFormat="false" ht="15" hidden="false" customHeight="false" outlineLevel="0" collapsed="false">
      <c r="E754" s="25"/>
      <c r="M754" s="26" t="str">
        <f aca="false">IF($A754="","",$L754*$U754/100)</f>
        <v/>
      </c>
      <c r="W754" s="26" t="str">
        <f aca="false">IF($A754="","",U754*AB754/100)</f>
        <v/>
      </c>
      <c r="X754" s="26" t="str">
        <f aca="false">IF($A754="","",U754-W754)</f>
        <v/>
      </c>
      <c r="Y754" s="26" t="str">
        <f aca="false">IF($A754="","",U754-W754-M754)</f>
        <v/>
      </c>
      <c r="AB754" s="27" t="str">
        <f aca="false">IF($A754="","",IF($AK754=1,'كشف المطالبة'!$D$5,'كشف المطالبة'!$D$6)*100)</f>
        <v/>
      </c>
      <c r="AK754" s="28" t="str">
        <f aca="false">IF($A754="","",IF(OR($Q754=TRUE(),$Q754="TRUE"),1,0))</f>
        <v/>
      </c>
      <c r="AL754" s="28" t="str">
        <f aca="false">IF($N754="","",IF(MATCH($N754,$N$2:$N$3001,0)=ROWS($N$2:$N754),$N754,""))</f>
        <v/>
      </c>
    </row>
    <row r="755" customFormat="false" ht="15" hidden="false" customHeight="false" outlineLevel="0" collapsed="false">
      <c r="E755" s="25"/>
      <c r="M755" s="26" t="str">
        <f aca="false">IF($A755="","",$L755*$U755/100)</f>
        <v/>
      </c>
      <c r="W755" s="26" t="str">
        <f aca="false">IF($A755="","",U755*AB755/100)</f>
        <v/>
      </c>
      <c r="X755" s="26" t="str">
        <f aca="false">IF($A755="","",U755-W755)</f>
        <v/>
      </c>
      <c r="Y755" s="26" t="str">
        <f aca="false">IF($A755="","",U755-W755-M755)</f>
        <v/>
      </c>
      <c r="AB755" s="27" t="str">
        <f aca="false">IF($A755="","",IF($AK755=1,'كشف المطالبة'!$D$5,'كشف المطالبة'!$D$6)*100)</f>
        <v/>
      </c>
      <c r="AK755" s="28" t="str">
        <f aca="false">IF($A755="","",IF(OR($Q755=TRUE(),$Q755="TRUE"),1,0))</f>
        <v/>
      </c>
      <c r="AL755" s="28" t="str">
        <f aca="false">IF($N755="","",IF(MATCH($N755,$N$2:$N$3001,0)=ROWS($N$2:$N755),$N755,""))</f>
        <v/>
      </c>
    </row>
    <row r="756" customFormat="false" ht="15" hidden="false" customHeight="false" outlineLevel="0" collapsed="false">
      <c r="E756" s="25"/>
      <c r="M756" s="26" t="str">
        <f aca="false">IF($A756="","",$L756*$U756/100)</f>
        <v/>
      </c>
      <c r="W756" s="26" t="str">
        <f aca="false">IF($A756="","",U756*AB756/100)</f>
        <v/>
      </c>
      <c r="X756" s="26" t="str">
        <f aca="false">IF($A756="","",U756-W756)</f>
        <v/>
      </c>
      <c r="Y756" s="26" t="str">
        <f aca="false">IF($A756="","",U756-W756-M756)</f>
        <v/>
      </c>
      <c r="AB756" s="27" t="str">
        <f aca="false">IF($A756="","",IF($AK756=1,'كشف المطالبة'!$D$5,'كشف المطالبة'!$D$6)*100)</f>
        <v/>
      </c>
      <c r="AK756" s="28" t="str">
        <f aca="false">IF($A756="","",IF(OR($Q756=TRUE(),$Q756="TRUE"),1,0))</f>
        <v/>
      </c>
      <c r="AL756" s="28" t="str">
        <f aca="false">IF($N756="","",IF(MATCH($N756,$N$2:$N$3001,0)=ROWS($N$2:$N756),$N756,""))</f>
        <v/>
      </c>
    </row>
    <row r="757" customFormat="false" ht="15" hidden="false" customHeight="false" outlineLevel="0" collapsed="false">
      <c r="E757" s="25"/>
      <c r="M757" s="26" t="str">
        <f aca="false">IF($A757="","",$L757*$U757/100)</f>
        <v/>
      </c>
      <c r="W757" s="26" t="str">
        <f aca="false">IF($A757="","",U757*AB757/100)</f>
        <v/>
      </c>
      <c r="X757" s="26" t="str">
        <f aca="false">IF($A757="","",U757-W757)</f>
        <v/>
      </c>
      <c r="Y757" s="26" t="str">
        <f aca="false">IF($A757="","",U757-W757-M757)</f>
        <v/>
      </c>
      <c r="AB757" s="27" t="str">
        <f aca="false">IF($A757="","",IF($AK757=1,'كشف المطالبة'!$D$5,'كشف المطالبة'!$D$6)*100)</f>
        <v/>
      </c>
      <c r="AK757" s="28" t="str">
        <f aca="false">IF($A757="","",IF(OR($Q757=TRUE(),$Q757="TRUE"),1,0))</f>
        <v/>
      </c>
      <c r="AL757" s="28" t="str">
        <f aca="false">IF($N757="","",IF(MATCH($N757,$N$2:$N$3001,0)=ROWS($N$2:$N757),$N757,""))</f>
        <v/>
      </c>
    </row>
    <row r="758" customFormat="false" ht="15" hidden="false" customHeight="false" outlineLevel="0" collapsed="false">
      <c r="E758" s="25"/>
      <c r="M758" s="26" t="str">
        <f aca="false">IF($A758="","",$L758*$U758/100)</f>
        <v/>
      </c>
      <c r="W758" s="26" t="str">
        <f aca="false">IF($A758="","",U758*AB758/100)</f>
        <v/>
      </c>
      <c r="X758" s="26" t="str">
        <f aca="false">IF($A758="","",U758-W758)</f>
        <v/>
      </c>
      <c r="Y758" s="26" t="str">
        <f aca="false">IF($A758="","",U758-W758-M758)</f>
        <v/>
      </c>
      <c r="AB758" s="27" t="str">
        <f aca="false">IF($A758="","",IF($AK758=1,'كشف المطالبة'!$D$5,'كشف المطالبة'!$D$6)*100)</f>
        <v/>
      </c>
      <c r="AK758" s="28" t="str">
        <f aca="false">IF($A758="","",IF(OR($Q758=TRUE(),$Q758="TRUE"),1,0))</f>
        <v/>
      </c>
      <c r="AL758" s="28" t="str">
        <f aca="false">IF($N758="","",IF(MATCH($N758,$N$2:$N$3001,0)=ROWS($N$2:$N758),$N758,""))</f>
        <v/>
      </c>
    </row>
    <row r="759" customFormat="false" ht="15" hidden="false" customHeight="false" outlineLevel="0" collapsed="false">
      <c r="E759" s="25"/>
      <c r="M759" s="26" t="str">
        <f aca="false">IF($A759="","",$L759*$U759/100)</f>
        <v/>
      </c>
      <c r="W759" s="26" t="str">
        <f aca="false">IF($A759="","",U759*AB759/100)</f>
        <v/>
      </c>
      <c r="X759" s="26" t="str">
        <f aca="false">IF($A759="","",U759-W759)</f>
        <v/>
      </c>
      <c r="Y759" s="26" t="str">
        <f aca="false">IF($A759="","",U759-W759-M759)</f>
        <v/>
      </c>
      <c r="AB759" s="27" t="str">
        <f aca="false">IF($A759="","",IF($AK759=1,'كشف المطالبة'!$D$5,'كشف المطالبة'!$D$6)*100)</f>
        <v/>
      </c>
      <c r="AK759" s="28" t="str">
        <f aca="false">IF($A759="","",IF(OR($Q759=TRUE(),$Q759="TRUE"),1,0))</f>
        <v/>
      </c>
      <c r="AL759" s="28" t="str">
        <f aca="false">IF($N759="","",IF(MATCH($N759,$N$2:$N$3001,0)=ROWS($N$2:$N759),$N759,""))</f>
        <v/>
      </c>
    </row>
    <row r="760" customFormat="false" ht="15" hidden="false" customHeight="false" outlineLevel="0" collapsed="false">
      <c r="E760" s="25"/>
      <c r="M760" s="26" t="str">
        <f aca="false">IF($A760="","",$L760*$U760/100)</f>
        <v/>
      </c>
      <c r="W760" s="26" t="str">
        <f aca="false">IF($A760="","",U760*AB760/100)</f>
        <v/>
      </c>
      <c r="X760" s="26" t="str">
        <f aca="false">IF($A760="","",U760-W760)</f>
        <v/>
      </c>
      <c r="Y760" s="26" t="str">
        <f aca="false">IF($A760="","",U760-W760-M760)</f>
        <v/>
      </c>
      <c r="AB760" s="27" t="str">
        <f aca="false">IF($A760="","",IF($AK760=1,'كشف المطالبة'!$D$5,'كشف المطالبة'!$D$6)*100)</f>
        <v/>
      </c>
      <c r="AK760" s="28" t="str">
        <f aca="false">IF($A760="","",IF(OR($Q760=TRUE(),$Q760="TRUE"),1,0))</f>
        <v/>
      </c>
      <c r="AL760" s="28" t="str">
        <f aca="false">IF($N760="","",IF(MATCH($N760,$N$2:$N$3001,0)=ROWS($N$2:$N760),$N760,""))</f>
        <v/>
      </c>
    </row>
    <row r="761" customFormat="false" ht="15" hidden="false" customHeight="false" outlineLevel="0" collapsed="false">
      <c r="E761" s="25"/>
      <c r="M761" s="26" t="str">
        <f aca="false">IF($A761="","",$L761*$U761/100)</f>
        <v/>
      </c>
      <c r="W761" s="26" t="str">
        <f aca="false">IF($A761="","",U761*AB761/100)</f>
        <v/>
      </c>
      <c r="X761" s="26" t="str">
        <f aca="false">IF($A761="","",U761-W761)</f>
        <v/>
      </c>
      <c r="Y761" s="26" t="str">
        <f aca="false">IF($A761="","",U761-W761-M761)</f>
        <v/>
      </c>
      <c r="AB761" s="27" t="str">
        <f aca="false">IF($A761="","",IF($AK761=1,'كشف المطالبة'!$D$5,'كشف المطالبة'!$D$6)*100)</f>
        <v/>
      </c>
      <c r="AK761" s="28" t="str">
        <f aca="false">IF($A761="","",IF(OR($Q761=TRUE(),$Q761="TRUE"),1,0))</f>
        <v/>
      </c>
      <c r="AL761" s="28" t="str">
        <f aca="false">IF($N761="","",IF(MATCH($N761,$N$2:$N$3001,0)=ROWS($N$2:$N761),$N761,""))</f>
        <v/>
      </c>
    </row>
    <row r="762" customFormat="false" ht="15" hidden="false" customHeight="false" outlineLevel="0" collapsed="false">
      <c r="E762" s="25"/>
      <c r="M762" s="26" t="str">
        <f aca="false">IF($A762="","",$L762*$U762/100)</f>
        <v/>
      </c>
      <c r="W762" s="26" t="str">
        <f aca="false">IF($A762="","",U762*AB762/100)</f>
        <v/>
      </c>
      <c r="X762" s="26" t="str">
        <f aca="false">IF($A762="","",U762-W762)</f>
        <v/>
      </c>
      <c r="Y762" s="26" t="str">
        <f aca="false">IF($A762="","",U762-W762-M762)</f>
        <v/>
      </c>
      <c r="AB762" s="27" t="str">
        <f aca="false">IF($A762="","",IF($AK762=1,'كشف المطالبة'!$D$5,'كشف المطالبة'!$D$6)*100)</f>
        <v/>
      </c>
      <c r="AK762" s="28" t="str">
        <f aca="false">IF($A762="","",IF(OR($Q762=TRUE(),$Q762="TRUE"),1,0))</f>
        <v/>
      </c>
      <c r="AL762" s="28" t="str">
        <f aca="false">IF($N762="","",IF(MATCH($N762,$N$2:$N$3001,0)=ROWS($N$2:$N762),$N762,""))</f>
        <v/>
      </c>
    </row>
    <row r="763" customFormat="false" ht="15" hidden="false" customHeight="false" outlineLevel="0" collapsed="false">
      <c r="E763" s="25"/>
      <c r="M763" s="26" t="str">
        <f aca="false">IF($A763="","",$L763*$U763/100)</f>
        <v/>
      </c>
      <c r="W763" s="26" t="str">
        <f aca="false">IF($A763="","",U763*AB763/100)</f>
        <v/>
      </c>
      <c r="X763" s="26" t="str">
        <f aca="false">IF($A763="","",U763-W763)</f>
        <v/>
      </c>
      <c r="Y763" s="26" t="str">
        <f aca="false">IF($A763="","",U763-W763-M763)</f>
        <v/>
      </c>
      <c r="AB763" s="27" t="str">
        <f aca="false">IF($A763="","",IF($AK763=1,'كشف المطالبة'!$D$5,'كشف المطالبة'!$D$6)*100)</f>
        <v/>
      </c>
      <c r="AK763" s="28" t="str">
        <f aca="false">IF($A763="","",IF(OR($Q763=TRUE(),$Q763="TRUE"),1,0))</f>
        <v/>
      </c>
      <c r="AL763" s="28" t="str">
        <f aca="false">IF($N763="","",IF(MATCH($N763,$N$2:$N$3001,0)=ROWS($N$2:$N763),$N763,""))</f>
        <v/>
      </c>
    </row>
    <row r="764" customFormat="false" ht="15" hidden="false" customHeight="false" outlineLevel="0" collapsed="false">
      <c r="E764" s="25"/>
      <c r="M764" s="26" t="str">
        <f aca="false">IF($A764="","",$L764*$U764/100)</f>
        <v/>
      </c>
      <c r="W764" s="26" t="str">
        <f aca="false">IF($A764="","",U764*AB764/100)</f>
        <v/>
      </c>
      <c r="X764" s="26" t="str">
        <f aca="false">IF($A764="","",U764-W764)</f>
        <v/>
      </c>
      <c r="Y764" s="26" t="str">
        <f aca="false">IF($A764="","",U764-W764-M764)</f>
        <v/>
      </c>
      <c r="AB764" s="27" t="str">
        <f aca="false">IF($A764="","",IF($AK764=1,'كشف المطالبة'!$D$5,'كشف المطالبة'!$D$6)*100)</f>
        <v/>
      </c>
      <c r="AK764" s="28" t="str">
        <f aca="false">IF($A764="","",IF(OR($Q764=TRUE(),$Q764="TRUE"),1,0))</f>
        <v/>
      </c>
      <c r="AL764" s="28" t="str">
        <f aca="false">IF($N764="","",IF(MATCH($N764,$N$2:$N$3001,0)=ROWS($N$2:$N764),$N764,""))</f>
        <v/>
      </c>
    </row>
    <row r="765" customFormat="false" ht="15" hidden="false" customHeight="false" outlineLevel="0" collapsed="false">
      <c r="E765" s="25"/>
      <c r="M765" s="26" t="str">
        <f aca="false">IF($A765="","",$L765*$U765/100)</f>
        <v/>
      </c>
      <c r="W765" s="26" t="str">
        <f aca="false">IF($A765="","",U765*AB765/100)</f>
        <v/>
      </c>
      <c r="X765" s="26" t="str">
        <f aca="false">IF($A765="","",U765-W765)</f>
        <v/>
      </c>
      <c r="Y765" s="26" t="str">
        <f aca="false">IF($A765="","",U765-W765-M765)</f>
        <v/>
      </c>
      <c r="AB765" s="27" t="str">
        <f aca="false">IF($A765="","",IF($AK765=1,'كشف المطالبة'!$D$5,'كشف المطالبة'!$D$6)*100)</f>
        <v/>
      </c>
      <c r="AK765" s="28" t="str">
        <f aca="false">IF($A765="","",IF(OR($Q765=TRUE(),$Q765="TRUE"),1,0))</f>
        <v/>
      </c>
      <c r="AL765" s="28" t="str">
        <f aca="false">IF($N765="","",IF(MATCH($N765,$N$2:$N$3001,0)=ROWS($N$2:$N765),$N765,""))</f>
        <v/>
      </c>
    </row>
    <row r="766" customFormat="false" ht="15" hidden="false" customHeight="false" outlineLevel="0" collapsed="false">
      <c r="E766" s="25"/>
      <c r="M766" s="26" t="str">
        <f aca="false">IF($A766="","",$L766*$U766/100)</f>
        <v/>
      </c>
      <c r="W766" s="26" t="str">
        <f aca="false">IF($A766="","",U766*AB766/100)</f>
        <v/>
      </c>
      <c r="X766" s="26" t="str">
        <f aca="false">IF($A766="","",U766-W766)</f>
        <v/>
      </c>
      <c r="Y766" s="26" t="str">
        <f aca="false">IF($A766="","",U766-W766-M766)</f>
        <v/>
      </c>
      <c r="AB766" s="27" t="str">
        <f aca="false">IF($A766="","",IF($AK766=1,'كشف المطالبة'!$D$5,'كشف المطالبة'!$D$6)*100)</f>
        <v/>
      </c>
      <c r="AK766" s="28" t="str">
        <f aca="false">IF($A766="","",IF(OR($Q766=TRUE(),$Q766="TRUE"),1,0))</f>
        <v/>
      </c>
      <c r="AL766" s="28" t="str">
        <f aca="false">IF($N766="","",IF(MATCH($N766,$N$2:$N$3001,0)=ROWS($N$2:$N766),$N766,""))</f>
        <v/>
      </c>
    </row>
    <row r="767" customFormat="false" ht="15" hidden="false" customHeight="false" outlineLevel="0" collapsed="false">
      <c r="E767" s="25"/>
      <c r="M767" s="26" t="str">
        <f aca="false">IF($A767="","",$L767*$U767/100)</f>
        <v/>
      </c>
      <c r="W767" s="26" t="str">
        <f aca="false">IF($A767="","",U767*AB767/100)</f>
        <v/>
      </c>
      <c r="X767" s="26" t="str">
        <f aca="false">IF($A767="","",U767-W767)</f>
        <v/>
      </c>
      <c r="Y767" s="26" t="str">
        <f aca="false">IF($A767="","",U767-W767-M767)</f>
        <v/>
      </c>
      <c r="AB767" s="27" t="str">
        <f aca="false">IF($A767="","",IF($AK767=1,'كشف المطالبة'!$D$5,'كشف المطالبة'!$D$6)*100)</f>
        <v/>
      </c>
      <c r="AK767" s="28" t="str">
        <f aca="false">IF($A767="","",IF(OR($Q767=TRUE(),$Q767="TRUE"),1,0))</f>
        <v/>
      </c>
      <c r="AL767" s="28" t="str">
        <f aca="false">IF($N767="","",IF(MATCH($N767,$N$2:$N$3001,0)=ROWS($N$2:$N767),$N767,""))</f>
        <v/>
      </c>
    </row>
    <row r="768" customFormat="false" ht="15" hidden="false" customHeight="false" outlineLevel="0" collapsed="false">
      <c r="E768" s="25"/>
      <c r="M768" s="26" t="str">
        <f aca="false">IF($A768="","",$L768*$U768/100)</f>
        <v/>
      </c>
      <c r="W768" s="26" t="str">
        <f aca="false">IF($A768="","",U768*AB768/100)</f>
        <v/>
      </c>
      <c r="X768" s="26" t="str">
        <f aca="false">IF($A768="","",U768-W768)</f>
        <v/>
      </c>
      <c r="Y768" s="26" t="str">
        <f aca="false">IF($A768="","",U768-W768-M768)</f>
        <v/>
      </c>
      <c r="AB768" s="27" t="str">
        <f aca="false">IF($A768="","",IF($AK768=1,'كشف المطالبة'!$D$5,'كشف المطالبة'!$D$6)*100)</f>
        <v/>
      </c>
      <c r="AK768" s="28" t="str">
        <f aca="false">IF($A768="","",IF(OR($Q768=TRUE(),$Q768="TRUE"),1,0))</f>
        <v/>
      </c>
      <c r="AL768" s="28" t="str">
        <f aca="false">IF($N768="","",IF(MATCH($N768,$N$2:$N$3001,0)=ROWS($N$2:$N768),$N768,""))</f>
        <v/>
      </c>
    </row>
    <row r="769" customFormat="false" ht="15" hidden="false" customHeight="false" outlineLevel="0" collapsed="false">
      <c r="E769" s="25"/>
      <c r="M769" s="26" t="str">
        <f aca="false">IF($A769="","",$L769*$U769/100)</f>
        <v/>
      </c>
      <c r="W769" s="26" t="str">
        <f aca="false">IF($A769="","",U769*AB769/100)</f>
        <v/>
      </c>
      <c r="X769" s="26" t="str">
        <f aca="false">IF($A769="","",U769-W769)</f>
        <v/>
      </c>
      <c r="Y769" s="26" t="str">
        <f aca="false">IF($A769="","",U769-W769-M769)</f>
        <v/>
      </c>
      <c r="AB769" s="27" t="str">
        <f aca="false">IF($A769="","",IF($AK769=1,'كشف المطالبة'!$D$5,'كشف المطالبة'!$D$6)*100)</f>
        <v/>
      </c>
      <c r="AK769" s="28" t="str">
        <f aca="false">IF($A769="","",IF(OR($Q769=TRUE(),$Q769="TRUE"),1,0))</f>
        <v/>
      </c>
      <c r="AL769" s="28" t="str">
        <f aca="false">IF($N769="","",IF(MATCH($N769,$N$2:$N$3001,0)=ROWS($N$2:$N769),$N769,""))</f>
        <v/>
      </c>
    </row>
    <row r="770" customFormat="false" ht="15" hidden="false" customHeight="false" outlineLevel="0" collapsed="false">
      <c r="E770" s="25"/>
      <c r="M770" s="26" t="str">
        <f aca="false">IF($A770="","",$L770*$U770/100)</f>
        <v/>
      </c>
      <c r="W770" s="26" t="str">
        <f aca="false">IF($A770="","",U770*AB770/100)</f>
        <v/>
      </c>
      <c r="X770" s="26" t="str">
        <f aca="false">IF($A770="","",U770-W770)</f>
        <v/>
      </c>
      <c r="Y770" s="26" t="str">
        <f aca="false">IF($A770="","",U770-W770-M770)</f>
        <v/>
      </c>
      <c r="AB770" s="27" t="str">
        <f aca="false">IF($A770="","",IF($AK770=1,'كشف المطالبة'!$D$5,'كشف المطالبة'!$D$6)*100)</f>
        <v/>
      </c>
      <c r="AK770" s="28" t="str">
        <f aca="false">IF($A770="","",IF(OR($Q770=TRUE(),$Q770="TRUE"),1,0))</f>
        <v/>
      </c>
      <c r="AL770" s="28" t="str">
        <f aca="false">IF($N770="","",IF(MATCH($N770,$N$2:$N$3001,0)=ROWS($N$2:$N770),$N770,""))</f>
        <v/>
      </c>
    </row>
    <row r="771" customFormat="false" ht="15" hidden="false" customHeight="false" outlineLevel="0" collapsed="false">
      <c r="E771" s="25"/>
      <c r="M771" s="26" t="str">
        <f aca="false">IF($A771="","",$L771*$U771/100)</f>
        <v/>
      </c>
      <c r="W771" s="26" t="str">
        <f aca="false">IF($A771="","",U771*AB771/100)</f>
        <v/>
      </c>
      <c r="X771" s="26" t="str">
        <f aca="false">IF($A771="","",U771-W771)</f>
        <v/>
      </c>
      <c r="Y771" s="26" t="str">
        <f aca="false">IF($A771="","",U771-W771-M771)</f>
        <v/>
      </c>
      <c r="AB771" s="27" t="str">
        <f aca="false">IF($A771="","",IF($AK771=1,'كشف المطالبة'!$D$5,'كشف المطالبة'!$D$6)*100)</f>
        <v/>
      </c>
      <c r="AK771" s="28" t="str">
        <f aca="false">IF($A771="","",IF(OR($Q771=TRUE(),$Q771="TRUE"),1,0))</f>
        <v/>
      </c>
      <c r="AL771" s="28" t="str">
        <f aca="false">IF($N771="","",IF(MATCH($N771,$N$2:$N$3001,0)=ROWS($N$2:$N771),$N771,""))</f>
        <v/>
      </c>
    </row>
    <row r="772" customFormat="false" ht="15" hidden="false" customHeight="false" outlineLevel="0" collapsed="false">
      <c r="E772" s="25"/>
      <c r="M772" s="26" t="str">
        <f aca="false">IF($A772="","",$L772*$U772/100)</f>
        <v/>
      </c>
      <c r="W772" s="26" t="str">
        <f aca="false">IF($A772="","",U772*AB772/100)</f>
        <v/>
      </c>
      <c r="X772" s="26" t="str">
        <f aca="false">IF($A772="","",U772-W772)</f>
        <v/>
      </c>
      <c r="Y772" s="26" t="str">
        <f aca="false">IF($A772="","",U772-W772-M772)</f>
        <v/>
      </c>
      <c r="AB772" s="27" t="str">
        <f aca="false">IF($A772="","",IF($AK772=1,'كشف المطالبة'!$D$5,'كشف المطالبة'!$D$6)*100)</f>
        <v/>
      </c>
      <c r="AK772" s="28" t="str">
        <f aca="false">IF($A772="","",IF(OR($Q772=TRUE(),$Q772="TRUE"),1,0))</f>
        <v/>
      </c>
      <c r="AL772" s="28" t="str">
        <f aca="false">IF($N772="","",IF(MATCH($N772,$N$2:$N$3001,0)=ROWS($N$2:$N772),$N772,""))</f>
        <v/>
      </c>
    </row>
    <row r="773" customFormat="false" ht="15" hidden="false" customHeight="false" outlineLevel="0" collapsed="false">
      <c r="E773" s="25"/>
      <c r="M773" s="26" t="str">
        <f aca="false">IF($A773="","",$L773*$U773/100)</f>
        <v/>
      </c>
      <c r="W773" s="26" t="str">
        <f aca="false">IF($A773="","",U773*AB773/100)</f>
        <v/>
      </c>
      <c r="X773" s="26" t="str">
        <f aca="false">IF($A773="","",U773-W773)</f>
        <v/>
      </c>
      <c r="Y773" s="26" t="str">
        <f aca="false">IF($A773="","",U773-W773-M773)</f>
        <v/>
      </c>
      <c r="AB773" s="27" t="str">
        <f aca="false">IF($A773="","",IF($AK773=1,'كشف المطالبة'!$D$5,'كشف المطالبة'!$D$6)*100)</f>
        <v/>
      </c>
      <c r="AK773" s="28" t="str">
        <f aca="false">IF($A773="","",IF(OR($Q773=TRUE(),$Q773="TRUE"),1,0))</f>
        <v/>
      </c>
      <c r="AL773" s="28" t="str">
        <f aca="false">IF($N773="","",IF(MATCH($N773,$N$2:$N$3001,0)=ROWS($N$2:$N773),$N773,""))</f>
        <v/>
      </c>
    </row>
    <row r="774" customFormat="false" ht="15" hidden="false" customHeight="false" outlineLevel="0" collapsed="false">
      <c r="E774" s="25"/>
      <c r="M774" s="26" t="str">
        <f aca="false">IF($A774="","",$L774*$U774/100)</f>
        <v/>
      </c>
      <c r="W774" s="26" t="str">
        <f aca="false">IF($A774="","",U774*AB774/100)</f>
        <v/>
      </c>
      <c r="X774" s="26" t="str">
        <f aca="false">IF($A774="","",U774-W774)</f>
        <v/>
      </c>
      <c r="Y774" s="26" t="str">
        <f aca="false">IF($A774="","",U774-W774-M774)</f>
        <v/>
      </c>
      <c r="AB774" s="27" t="str">
        <f aca="false">IF($A774="","",IF($AK774=1,'كشف المطالبة'!$D$5,'كشف المطالبة'!$D$6)*100)</f>
        <v/>
      </c>
      <c r="AK774" s="28" t="str">
        <f aca="false">IF($A774="","",IF(OR($Q774=TRUE(),$Q774="TRUE"),1,0))</f>
        <v/>
      </c>
      <c r="AL774" s="28" t="str">
        <f aca="false">IF($N774="","",IF(MATCH($N774,$N$2:$N$3001,0)=ROWS($N$2:$N774),$N774,""))</f>
        <v/>
      </c>
    </row>
    <row r="775" customFormat="false" ht="15" hidden="false" customHeight="false" outlineLevel="0" collapsed="false">
      <c r="E775" s="25"/>
      <c r="M775" s="26" t="str">
        <f aca="false">IF($A775="","",$L775*$U775/100)</f>
        <v/>
      </c>
      <c r="W775" s="26" t="str">
        <f aca="false">IF($A775="","",U775*AB775/100)</f>
        <v/>
      </c>
      <c r="X775" s="26" t="str">
        <f aca="false">IF($A775="","",U775-W775)</f>
        <v/>
      </c>
      <c r="Y775" s="26" t="str">
        <f aca="false">IF($A775="","",U775-W775-M775)</f>
        <v/>
      </c>
      <c r="AB775" s="27" t="str">
        <f aca="false">IF($A775="","",IF($AK775=1,'كشف المطالبة'!$D$5,'كشف المطالبة'!$D$6)*100)</f>
        <v/>
      </c>
      <c r="AK775" s="28" t="str">
        <f aca="false">IF($A775="","",IF(OR($Q775=TRUE(),$Q775="TRUE"),1,0))</f>
        <v/>
      </c>
      <c r="AL775" s="28" t="str">
        <f aca="false">IF($N775="","",IF(MATCH($N775,$N$2:$N$3001,0)=ROWS($N$2:$N775),$N775,""))</f>
        <v/>
      </c>
    </row>
    <row r="776" customFormat="false" ht="15" hidden="false" customHeight="false" outlineLevel="0" collapsed="false">
      <c r="E776" s="25"/>
      <c r="M776" s="26" t="str">
        <f aca="false">IF($A776="","",$L776*$U776/100)</f>
        <v/>
      </c>
      <c r="W776" s="26" t="str">
        <f aca="false">IF($A776="","",U776*AB776/100)</f>
        <v/>
      </c>
      <c r="X776" s="26" t="str">
        <f aca="false">IF($A776="","",U776-W776)</f>
        <v/>
      </c>
      <c r="Y776" s="26" t="str">
        <f aca="false">IF($A776="","",U776-W776-M776)</f>
        <v/>
      </c>
      <c r="AB776" s="27" t="str">
        <f aca="false">IF($A776="","",IF($AK776=1,'كشف المطالبة'!$D$5,'كشف المطالبة'!$D$6)*100)</f>
        <v/>
      </c>
      <c r="AK776" s="28" t="str">
        <f aca="false">IF($A776="","",IF(OR($Q776=TRUE(),$Q776="TRUE"),1,0))</f>
        <v/>
      </c>
      <c r="AL776" s="28" t="str">
        <f aca="false">IF($N776="","",IF(MATCH($N776,$N$2:$N$3001,0)=ROWS($N$2:$N776),$N776,""))</f>
        <v/>
      </c>
    </row>
    <row r="777" customFormat="false" ht="15" hidden="false" customHeight="false" outlineLevel="0" collapsed="false">
      <c r="E777" s="25"/>
      <c r="M777" s="26" t="str">
        <f aca="false">IF($A777="","",$L777*$U777/100)</f>
        <v/>
      </c>
      <c r="W777" s="26" t="str">
        <f aca="false">IF($A777="","",U777*AB777/100)</f>
        <v/>
      </c>
      <c r="X777" s="26" t="str">
        <f aca="false">IF($A777="","",U777-W777)</f>
        <v/>
      </c>
      <c r="Y777" s="26" t="str">
        <f aca="false">IF($A777="","",U777-W777-M777)</f>
        <v/>
      </c>
      <c r="AB777" s="27" t="str">
        <f aca="false">IF($A777="","",IF($AK777=1,'كشف المطالبة'!$D$5,'كشف المطالبة'!$D$6)*100)</f>
        <v/>
      </c>
      <c r="AK777" s="28" t="str">
        <f aca="false">IF($A777="","",IF(OR($Q777=TRUE(),$Q777="TRUE"),1,0))</f>
        <v/>
      </c>
      <c r="AL777" s="28" t="str">
        <f aca="false">IF($N777="","",IF(MATCH($N777,$N$2:$N$3001,0)=ROWS($N$2:$N777),$N777,""))</f>
        <v/>
      </c>
    </row>
    <row r="778" customFormat="false" ht="15" hidden="false" customHeight="false" outlineLevel="0" collapsed="false">
      <c r="E778" s="25"/>
      <c r="M778" s="26" t="str">
        <f aca="false">IF($A778="","",$L778*$U778/100)</f>
        <v/>
      </c>
      <c r="W778" s="26" t="str">
        <f aca="false">IF($A778="","",U778*AB778/100)</f>
        <v/>
      </c>
      <c r="X778" s="26" t="str">
        <f aca="false">IF($A778="","",U778-W778)</f>
        <v/>
      </c>
      <c r="Y778" s="26" t="str">
        <f aca="false">IF($A778="","",U778-W778-M778)</f>
        <v/>
      </c>
      <c r="AB778" s="27" t="str">
        <f aca="false">IF($A778="","",IF($AK778=1,'كشف المطالبة'!$D$5,'كشف المطالبة'!$D$6)*100)</f>
        <v/>
      </c>
      <c r="AK778" s="28" t="str">
        <f aca="false">IF($A778="","",IF(OR($Q778=TRUE(),$Q778="TRUE"),1,0))</f>
        <v/>
      </c>
      <c r="AL778" s="28" t="str">
        <f aca="false">IF($N778="","",IF(MATCH($N778,$N$2:$N$3001,0)=ROWS($N$2:$N778),$N778,""))</f>
        <v/>
      </c>
    </row>
    <row r="779" customFormat="false" ht="15" hidden="false" customHeight="false" outlineLevel="0" collapsed="false">
      <c r="E779" s="25"/>
      <c r="M779" s="26" t="str">
        <f aca="false">IF($A779="","",$L779*$U779/100)</f>
        <v/>
      </c>
      <c r="W779" s="26" t="str">
        <f aca="false">IF($A779="","",U779*AB779/100)</f>
        <v/>
      </c>
      <c r="X779" s="26" t="str">
        <f aca="false">IF($A779="","",U779-W779)</f>
        <v/>
      </c>
      <c r="Y779" s="26" t="str">
        <f aca="false">IF($A779="","",U779-W779-M779)</f>
        <v/>
      </c>
      <c r="AB779" s="27" t="str">
        <f aca="false">IF($A779="","",IF($AK779=1,'كشف المطالبة'!$D$5,'كشف المطالبة'!$D$6)*100)</f>
        <v/>
      </c>
      <c r="AK779" s="28" t="str">
        <f aca="false">IF($A779="","",IF(OR($Q779=TRUE(),$Q779="TRUE"),1,0))</f>
        <v/>
      </c>
      <c r="AL779" s="28" t="str">
        <f aca="false">IF($N779="","",IF(MATCH($N779,$N$2:$N$3001,0)=ROWS($N$2:$N779),$N779,""))</f>
        <v/>
      </c>
    </row>
    <row r="780" customFormat="false" ht="15" hidden="false" customHeight="false" outlineLevel="0" collapsed="false">
      <c r="E780" s="25"/>
      <c r="M780" s="26" t="str">
        <f aca="false">IF($A780="","",$L780*$U780/100)</f>
        <v/>
      </c>
      <c r="W780" s="26" t="str">
        <f aca="false">IF($A780="","",U780*AB780/100)</f>
        <v/>
      </c>
      <c r="X780" s="26" t="str">
        <f aca="false">IF($A780="","",U780-W780)</f>
        <v/>
      </c>
      <c r="Y780" s="26" t="str">
        <f aca="false">IF($A780="","",U780-W780-M780)</f>
        <v/>
      </c>
      <c r="AB780" s="27" t="str">
        <f aca="false">IF($A780="","",IF($AK780=1,'كشف المطالبة'!$D$5,'كشف المطالبة'!$D$6)*100)</f>
        <v/>
      </c>
      <c r="AK780" s="28" t="str">
        <f aca="false">IF($A780="","",IF(OR($Q780=TRUE(),$Q780="TRUE"),1,0))</f>
        <v/>
      </c>
      <c r="AL780" s="28" t="str">
        <f aca="false">IF($N780="","",IF(MATCH($N780,$N$2:$N$3001,0)=ROWS($N$2:$N780),$N780,""))</f>
        <v/>
      </c>
    </row>
    <row r="781" customFormat="false" ht="15" hidden="false" customHeight="false" outlineLevel="0" collapsed="false">
      <c r="E781" s="25"/>
      <c r="M781" s="26" t="str">
        <f aca="false">IF($A781="","",$L781*$U781/100)</f>
        <v/>
      </c>
      <c r="W781" s="26" t="str">
        <f aca="false">IF($A781="","",U781*AB781/100)</f>
        <v/>
      </c>
      <c r="X781" s="26" t="str">
        <f aca="false">IF($A781="","",U781-W781)</f>
        <v/>
      </c>
      <c r="Y781" s="26" t="str">
        <f aca="false">IF($A781="","",U781-W781-M781)</f>
        <v/>
      </c>
      <c r="AB781" s="27" t="str">
        <f aca="false">IF($A781="","",IF($AK781=1,'كشف المطالبة'!$D$5,'كشف المطالبة'!$D$6)*100)</f>
        <v/>
      </c>
      <c r="AK781" s="28" t="str">
        <f aca="false">IF($A781="","",IF(OR($Q781=TRUE(),$Q781="TRUE"),1,0))</f>
        <v/>
      </c>
      <c r="AL781" s="28" t="str">
        <f aca="false">IF($N781="","",IF(MATCH($N781,$N$2:$N$3001,0)=ROWS($N$2:$N781),$N781,""))</f>
        <v/>
      </c>
    </row>
    <row r="782" customFormat="false" ht="15" hidden="false" customHeight="false" outlineLevel="0" collapsed="false">
      <c r="E782" s="25"/>
      <c r="M782" s="26" t="str">
        <f aca="false">IF($A782="","",$L782*$U782/100)</f>
        <v/>
      </c>
      <c r="W782" s="26" t="str">
        <f aca="false">IF($A782="","",U782*AB782/100)</f>
        <v/>
      </c>
      <c r="X782" s="26" t="str">
        <f aca="false">IF($A782="","",U782-W782)</f>
        <v/>
      </c>
      <c r="Y782" s="26" t="str">
        <f aca="false">IF($A782="","",U782-W782-M782)</f>
        <v/>
      </c>
      <c r="AB782" s="27" t="str">
        <f aca="false">IF($A782="","",IF($AK782=1,'كشف المطالبة'!$D$5,'كشف المطالبة'!$D$6)*100)</f>
        <v/>
      </c>
      <c r="AK782" s="28" t="str">
        <f aca="false">IF($A782="","",IF(OR($Q782=TRUE(),$Q782="TRUE"),1,0))</f>
        <v/>
      </c>
      <c r="AL782" s="28" t="str">
        <f aca="false">IF($N782="","",IF(MATCH($N782,$N$2:$N$3001,0)=ROWS($N$2:$N782),$N782,""))</f>
        <v/>
      </c>
    </row>
    <row r="783" customFormat="false" ht="15" hidden="false" customHeight="false" outlineLevel="0" collapsed="false">
      <c r="E783" s="25"/>
      <c r="M783" s="26" t="str">
        <f aca="false">IF($A783="","",$L783*$U783/100)</f>
        <v/>
      </c>
      <c r="W783" s="26" t="str">
        <f aca="false">IF($A783="","",U783*AB783/100)</f>
        <v/>
      </c>
      <c r="X783" s="26" t="str">
        <f aca="false">IF($A783="","",U783-W783)</f>
        <v/>
      </c>
      <c r="Y783" s="26" t="str">
        <f aca="false">IF($A783="","",U783-W783-M783)</f>
        <v/>
      </c>
      <c r="AB783" s="27" t="str">
        <f aca="false">IF($A783="","",IF($AK783=1,'كشف المطالبة'!$D$5,'كشف المطالبة'!$D$6)*100)</f>
        <v/>
      </c>
      <c r="AK783" s="28" t="str">
        <f aca="false">IF($A783="","",IF(OR($Q783=TRUE(),$Q783="TRUE"),1,0))</f>
        <v/>
      </c>
      <c r="AL783" s="28" t="str">
        <f aca="false">IF($N783="","",IF(MATCH($N783,$N$2:$N$3001,0)=ROWS($N$2:$N783),$N783,""))</f>
        <v/>
      </c>
    </row>
    <row r="784" customFormat="false" ht="15" hidden="false" customHeight="false" outlineLevel="0" collapsed="false">
      <c r="E784" s="25"/>
      <c r="M784" s="26" t="str">
        <f aca="false">IF($A784="","",$L784*$U784/100)</f>
        <v/>
      </c>
      <c r="W784" s="26" t="str">
        <f aca="false">IF($A784="","",U784*AB784/100)</f>
        <v/>
      </c>
      <c r="X784" s="26" t="str">
        <f aca="false">IF($A784="","",U784-W784)</f>
        <v/>
      </c>
      <c r="Y784" s="26" t="str">
        <f aca="false">IF($A784="","",U784-W784-M784)</f>
        <v/>
      </c>
      <c r="AB784" s="27" t="str">
        <f aca="false">IF($A784="","",IF($AK784=1,'كشف المطالبة'!$D$5,'كشف المطالبة'!$D$6)*100)</f>
        <v/>
      </c>
      <c r="AK784" s="28" t="str">
        <f aca="false">IF($A784="","",IF(OR($Q784=TRUE(),$Q784="TRUE"),1,0))</f>
        <v/>
      </c>
      <c r="AL784" s="28" t="str">
        <f aca="false">IF($N784="","",IF(MATCH($N784,$N$2:$N$3001,0)=ROWS($N$2:$N784),$N784,""))</f>
        <v/>
      </c>
    </row>
    <row r="785" customFormat="false" ht="15" hidden="false" customHeight="false" outlineLevel="0" collapsed="false">
      <c r="E785" s="25"/>
      <c r="M785" s="26" t="str">
        <f aca="false">IF($A785="","",$L785*$U785/100)</f>
        <v/>
      </c>
      <c r="W785" s="26" t="str">
        <f aca="false">IF($A785="","",U785*AB785/100)</f>
        <v/>
      </c>
      <c r="X785" s="26" t="str">
        <f aca="false">IF($A785="","",U785-W785)</f>
        <v/>
      </c>
      <c r="Y785" s="26" t="str">
        <f aca="false">IF($A785="","",U785-W785-M785)</f>
        <v/>
      </c>
      <c r="AB785" s="27" t="str">
        <f aca="false">IF($A785="","",IF($AK785=1,'كشف المطالبة'!$D$5,'كشف المطالبة'!$D$6)*100)</f>
        <v/>
      </c>
      <c r="AK785" s="28" t="str">
        <f aca="false">IF($A785="","",IF(OR($Q785=TRUE(),$Q785="TRUE"),1,0))</f>
        <v/>
      </c>
      <c r="AL785" s="28" t="str">
        <f aca="false">IF($N785="","",IF(MATCH($N785,$N$2:$N$3001,0)=ROWS($N$2:$N785),$N785,""))</f>
        <v/>
      </c>
    </row>
    <row r="786" customFormat="false" ht="15" hidden="false" customHeight="false" outlineLevel="0" collapsed="false">
      <c r="E786" s="25"/>
      <c r="M786" s="26" t="str">
        <f aca="false">IF($A786="","",$L786*$U786/100)</f>
        <v/>
      </c>
      <c r="W786" s="26" t="str">
        <f aca="false">IF($A786="","",U786*AB786/100)</f>
        <v/>
      </c>
      <c r="X786" s="26" t="str">
        <f aca="false">IF($A786="","",U786-W786)</f>
        <v/>
      </c>
      <c r="Y786" s="26" t="str">
        <f aca="false">IF($A786="","",U786-W786-M786)</f>
        <v/>
      </c>
      <c r="AB786" s="27" t="str">
        <f aca="false">IF($A786="","",IF($AK786=1,'كشف المطالبة'!$D$5,'كشف المطالبة'!$D$6)*100)</f>
        <v/>
      </c>
      <c r="AK786" s="28" t="str">
        <f aca="false">IF($A786="","",IF(OR($Q786=TRUE(),$Q786="TRUE"),1,0))</f>
        <v/>
      </c>
      <c r="AL786" s="28" t="str">
        <f aca="false">IF($N786="","",IF(MATCH($N786,$N$2:$N$3001,0)=ROWS($N$2:$N786),$N786,""))</f>
        <v/>
      </c>
    </row>
    <row r="787" customFormat="false" ht="15" hidden="false" customHeight="false" outlineLevel="0" collapsed="false">
      <c r="E787" s="25"/>
      <c r="M787" s="26" t="str">
        <f aca="false">IF($A787="","",$L787*$U787/100)</f>
        <v/>
      </c>
      <c r="W787" s="26" t="str">
        <f aca="false">IF($A787="","",U787*AB787/100)</f>
        <v/>
      </c>
      <c r="X787" s="26" t="str">
        <f aca="false">IF($A787="","",U787-W787)</f>
        <v/>
      </c>
      <c r="Y787" s="26" t="str">
        <f aca="false">IF($A787="","",U787-W787-M787)</f>
        <v/>
      </c>
      <c r="AB787" s="27" t="str">
        <f aca="false">IF($A787="","",IF($AK787=1,'كشف المطالبة'!$D$5,'كشف المطالبة'!$D$6)*100)</f>
        <v/>
      </c>
      <c r="AK787" s="28" t="str">
        <f aca="false">IF($A787="","",IF(OR($Q787=TRUE(),$Q787="TRUE"),1,0))</f>
        <v/>
      </c>
      <c r="AL787" s="28" t="str">
        <f aca="false">IF($N787="","",IF(MATCH($N787,$N$2:$N$3001,0)=ROWS($N$2:$N787),$N787,""))</f>
        <v/>
      </c>
    </row>
    <row r="788" customFormat="false" ht="15" hidden="false" customHeight="false" outlineLevel="0" collapsed="false">
      <c r="E788" s="25"/>
      <c r="M788" s="26" t="str">
        <f aca="false">IF($A788="","",$L788*$U788/100)</f>
        <v/>
      </c>
      <c r="W788" s="26" t="str">
        <f aca="false">IF($A788="","",U788*AB788/100)</f>
        <v/>
      </c>
      <c r="X788" s="26" t="str">
        <f aca="false">IF($A788="","",U788-W788)</f>
        <v/>
      </c>
      <c r="Y788" s="26" t="str">
        <f aca="false">IF($A788="","",U788-W788-M788)</f>
        <v/>
      </c>
      <c r="AB788" s="27" t="str">
        <f aca="false">IF($A788="","",IF($AK788=1,'كشف المطالبة'!$D$5,'كشف المطالبة'!$D$6)*100)</f>
        <v/>
      </c>
      <c r="AK788" s="28" t="str">
        <f aca="false">IF($A788="","",IF(OR($Q788=TRUE(),$Q788="TRUE"),1,0))</f>
        <v/>
      </c>
      <c r="AL788" s="28" t="str">
        <f aca="false">IF($N788="","",IF(MATCH($N788,$N$2:$N$3001,0)=ROWS($N$2:$N788),$N788,""))</f>
        <v/>
      </c>
    </row>
    <row r="789" customFormat="false" ht="15" hidden="false" customHeight="false" outlineLevel="0" collapsed="false">
      <c r="E789" s="25"/>
      <c r="M789" s="26" t="str">
        <f aca="false">IF($A789="","",$L789*$U789/100)</f>
        <v/>
      </c>
      <c r="W789" s="26" t="str">
        <f aca="false">IF($A789="","",U789*AB789/100)</f>
        <v/>
      </c>
      <c r="X789" s="26" t="str">
        <f aca="false">IF($A789="","",U789-W789)</f>
        <v/>
      </c>
      <c r="Y789" s="26" t="str">
        <f aca="false">IF($A789="","",U789-W789-M789)</f>
        <v/>
      </c>
      <c r="AB789" s="27" t="str">
        <f aca="false">IF($A789="","",IF($AK789=1,'كشف المطالبة'!$D$5,'كشف المطالبة'!$D$6)*100)</f>
        <v/>
      </c>
      <c r="AK789" s="28" t="str">
        <f aca="false">IF($A789="","",IF(OR($Q789=TRUE(),$Q789="TRUE"),1,0))</f>
        <v/>
      </c>
      <c r="AL789" s="28" t="str">
        <f aca="false">IF($N789="","",IF(MATCH($N789,$N$2:$N$3001,0)=ROWS($N$2:$N789),$N789,""))</f>
        <v/>
      </c>
    </row>
    <row r="790" customFormat="false" ht="15" hidden="false" customHeight="false" outlineLevel="0" collapsed="false">
      <c r="E790" s="25"/>
      <c r="M790" s="26" t="str">
        <f aca="false">IF($A790="","",$L790*$U790/100)</f>
        <v/>
      </c>
      <c r="W790" s="26" t="str">
        <f aca="false">IF($A790="","",U790*AB790/100)</f>
        <v/>
      </c>
      <c r="X790" s="26" t="str">
        <f aca="false">IF($A790="","",U790-W790)</f>
        <v/>
      </c>
      <c r="Y790" s="26" t="str">
        <f aca="false">IF($A790="","",U790-W790-M790)</f>
        <v/>
      </c>
      <c r="AB790" s="27" t="str">
        <f aca="false">IF($A790="","",IF($AK790=1,'كشف المطالبة'!$D$5,'كشف المطالبة'!$D$6)*100)</f>
        <v/>
      </c>
      <c r="AK790" s="28" t="str">
        <f aca="false">IF($A790="","",IF(OR($Q790=TRUE(),$Q790="TRUE"),1,0))</f>
        <v/>
      </c>
      <c r="AL790" s="28" t="str">
        <f aca="false">IF($N790="","",IF(MATCH($N790,$N$2:$N$3001,0)=ROWS($N$2:$N790),$N790,""))</f>
        <v/>
      </c>
    </row>
    <row r="791" customFormat="false" ht="15" hidden="false" customHeight="false" outlineLevel="0" collapsed="false">
      <c r="E791" s="25"/>
      <c r="M791" s="26" t="str">
        <f aca="false">IF($A791="","",$L791*$U791/100)</f>
        <v/>
      </c>
      <c r="W791" s="26" t="str">
        <f aca="false">IF($A791="","",U791*AB791/100)</f>
        <v/>
      </c>
      <c r="X791" s="26" t="str">
        <f aca="false">IF($A791="","",U791-W791)</f>
        <v/>
      </c>
      <c r="Y791" s="26" t="str">
        <f aca="false">IF($A791="","",U791-W791-M791)</f>
        <v/>
      </c>
      <c r="AB791" s="27" t="str">
        <f aca="false">IF($A791="","",IF($AK791=1,'كشف المطالبة'!$D$5,'كشف المطالبة'!$D$6)*100)</f>
        <v/>
      </c>
      <c r="AK791" s="28" t="str">
        <f aca="false">IF($A791="","",IF(OR($Q791=TRUE(),$Q791="TRUE"),1,0))</f>
        <v/>
      </c>
      <c r="AL791" s="28" t="str">
        <f aca="false">IF($N791="","",IF(MATCH($N791,$N$2:$N$3001,0)=ROWS($N$2:$N791),$N791,""))</f>
        <v/>
      </c>
    </row>
    <row r="792" customFormat="false" ht="15" hidden="false" customHeight="false" outlineLevel="0" collapsed="false">
      <c r="E792" s="25"/>
      <c r="M792" s="26" t="str">
        <f aca="false">IF($A792="","",$L792*$U792/100)</f>
        <v/>
      </c>
      <c r="W792" s="26" t="str">
        <f aca="false">IF($A792="","",U792*AB792/100)</f>
        <v/>
      </c>
      <c r="X792" s="26" t="str">
        <f aca="false">IF($A792="","",U792-W792)</f>
        <v/>
      </c>
      <c r="Y792" s="26" t="str">
        <f aca="false">IF($A792="","",U792-W792-M792)</f>
        <v/>
      </c>
      <c r="AB792" s="27" t="str">
        <f aca="false">IF($A792="","",IF($AK792=1,'كشف المطالبة'!$D$5,'كشف المطالبة'!$D$6)*100)</f>
        <v/>
      </c>
      <c r="AK792" s="28" t="str">
        <f aca="false">IF($A792="","",IF(OR($Q792=TRUE(),$Q792="TRUE"),1,0))</f>
        <v/>
      </c>
      <c r="AL792" s="28" t="str">
        <f aca="false">IF($N792="","",IF(MATCH($N792,$N$2:$N$3001,0)=ROWS($N$2:$N792),$N792,""))</f>
        <v/>
      </c>
    </row>
    <row r="793" customFormat="false" ht="15" hidden="false" customHeight="false" outlineLevel="0" collapsed="false">
      <c r="E793" s="25"/>
      <c r="M793" s="26" t="str">
        <f aca="false">IF($A793="","",$L793*$U793/100)</f>
        <v/>
      </c>
      <c r="W793" s="26" t="str">
        <f aca="false">IF($A793="","",U793*AB793/100)</f>
        <v/>
      </c>
      <c r="X793" s="26" t="str">
        <f aca="false">IF($A793="","",U793-W793)</f>
        <v/>
      </c>
      <c r="Y793" s="26" t="str">
        <f aca="false">IF($A793="","",U793-W793-M793)</f>
        <v/>
      </c>
      <c r="AB793" s="27" t="str">
        <f aca="false">IF($A793="","",IF($AK793=1,'كشف المطالبة'!$D$5,'كشف المطالبة'!$D$6)*100)</f>
        <v/>
      </c>
      <c r="AK793" s="28" t="str">
        <f aca="false">IF($A793="","",IF(OR($Q793=TRUE(),$Q793="TRUE"),1,0))</f>
        <v/>
      </c>
      <c r="AL793" s="28" t="str">
        <f aca="false">IF($N793="","",IF(MATCH($N793,$N$2:$N$3001,0)=ROWS($N$2:$N793),$N793,""))</f>
        <v/>
      </c>
    </row>
    <row r="794" customFormat="false" ht="15" hidden="false" customHeight="false" outlineLevel="0" collapsed="false">
      <c r="E794" s="25"/>
      <c r="M794" s="26" t="str">
        <f aca="false">IF($A794="","",$L794*$U794/100)</f>
        <v/>
      </c>
      <c r="W794" s="26" t="str">
        <f aca="false">IF($A794="","",U794*AB794/100)</f>
        <v/>
      </c>
      <c r="X794" s="26" t="str">
        <f aca="false">IF($A794="","",U794-W794)</f>
        <v/>
      </c>
      <c r="Y794" s="26" t="str">
        <f aca="false">IF($A794="","",U794-W794-M794)</f>
        <v/>
      </c>
      <c r="AB794" s="27" t="str">
        <f aca="false">IF($A794="","",IF($AK794=1,'كشف المطالبة'!$D$5,'كشف المطالبة'!$D$6)*100)</f>
        <v/>
      </c>
      <c r="AK794" s="28" t="str">
        <f aca="false">IF($A794="","",IF(OR($Q794=TRUE(),$Q794="TRUE"),1,0))</f>
        <v/>
      </c>
      <c r="AL794" s="28" t="str">
        <f aca="false">IF($N794="","",IF(MATCH($N794,$N$2:$N$3001,0)=ROWS($N$2:$N794),$N794,""))</f>
        <v/>
      </c>
    </row>
    <row r="795" customFormat="false" ht="15" hidden="false" customHeight="false" outlineLevel="0" collapsed="false">
      <c r="E795" s="25"/>
      <c r="M795" s="26" t="str">
        <f aca="false">IF($A795="","",$L795*$U795/100)</f>
        <v/>
      </c>
      <c r="W795" s="26" t="str">
        <f aca="false">IF($A795="","",U795*AB795/100)</f>
        <v/>
      </c>
      <c r="X795" s="26" t="str">
        <f aca="false">IF($A795="","",U795-W795)</f>
        <v/>
      </c>
      <c r="Y795" s="26" t="str">
        <f aca="false">IF($A795="","",U795-W795-M795)</f>
        <v/>
      </c>
      <c r="AB795" s="27" t="str">
        <f aca="false">IF($A795="","",IF($AK795=1,'كشف المطالبة'!$D$5,'كشف المطالبة'!$D$6)*100)</f>
        <v/>
      </c>
      <c r="AK795" s="28" t="str">
        <f aca="false">IF($A795="","",IF(OR($Q795=TRUE(),$Q795="TRUE"),1,0))</f>
        <v/>
      </c>
      <c r="AL795" s="28" t="str">
        <f aca="false">IF($N795="","",IF(MATCH($N795,$N$2:$N$3001,0)=ROWS($N$2:$N795),$N795,""))</f>
        <v/>
      </c>
    </row>
    <row r="796" customFormat="false" ht="15" hidden="false" customHeight="false" outlineLevel="0" collapsed="false">
      <c r="E796" s="25"/>
      <c r="M796" s="26" t="str">
        <f aca="false">IF($A796="","",$L796*$U796/100)</f>
        <v/>
      </c>
      <c r="W796" s="26" t="str">
        <f aca="false">IF($A796="","",U796*AB796/100)</f>
        <v/>
      </c>
      <c r="X796" s="26" t="str">
        <f aca="false">IF($A796="","",U796-W796)</f>
        <v/>
      </c>
      <c r="Y796" s="26" t="str">
        <f aca="false">IF($A796="","",U796-W796-M796)</f>
        <v/>
      </c>
      <c r="AB796" s="27" t="str">
        <f aca="false">IF($A796="","",IF($AK796=1,'كشف المطالبة'!$D$5,'كشف المطالبة'!$D$6)*100)</f>
        <v/>
      </c>
      <c r="AK796" s="28" t="str">
        <f aca="false">IF($A796="","",IF(OR($Q796=TRUE(),$Q796="TRUE"),1,0))</f>
        <v/>
      </c>
      <c r="AL796" s="28" t="str">
        <f aca="false">IF($N796="","",IF(MATCH($N796,$N$2:$N$3001,0)=ROWS($N$2:$N796),$N796,""))</f>
        <v/>
      </c>
    </row>
    <row r="797" customFormat="false" ht="15" hidden="false" customHeight="false" outlineLevel="0" collapsed="false">
      <c r="E797" s="25"/>
      <c r="M797" s="26" t="str">
        <f aca="false">IF($A797="","",$L797*$U797/100)</f>
        <v/>
      </c>
      <c r="W797" s="26" t="str">
        <f aca="false">IF($A797="","",U797*AB797/100)</f>
        <v/>
      </c>
      <c r="X797" s="26" t="str">
        <f aca="false">IF($A797="","",U797-W797)</f>
        <v/>
      </c>
      <c r="Y797" s="26" t="str">
        <f aca="false">IF($A797="","",U797-W797-M797)</f>
        <v/>
      </c>
      <c r="AB797" s="27" t="str">
        <f aca="false">IF($A797="","",IF($AK797=1,'كشف المطالبة'!$D$5,'كشف المطالبة'!$D$6)*100)</f>
        <v/>
      </c>
      <c r="AK797" s="28" t="str">
        <f aca="false">IF($A797="","",IF(OR($Q797=TRUE(),$Q797="TRUE"),1,0))</f>
        <v/>
      </c>
      <c r="AL797" s="28" t="str">
        <f aca="false">IF($N797="","",IF(MATCH($N797,$N$2:$N$3001,0)=ROWS($N$2:$N797),$N797,""))</f>
        <v/>
      </c>
    </row>
    <row r="798" customFormat="false" ht="15" hidden="false" customHeight="false" outlineLevel="0" collapsed="false">
      <c r="E798" s="25"/>
      <c r="M798" s="26" t="str">
        <f aca="false">IF($A798="","",$L798*$U798/100)</f>
        <v/>
      </c>
      <c r="W798" s="26" t="str">
        <f aca="false">IF($A798="","",U798*AB798/100)</f>
        <v/>
      </c>
      <c r="X798" s="26" t="str">
        <f aca="false">IF($A798="","",U798-W798)</f>
        <v/>
      </c>
      <c r="Y798" s="26" t="str">
        <f aca="false">IF($A798="","",U798-W798-M798)</f>
        <v/>
      </c>
      <c r="AB798" s="27" t="str">
        <f aca="false">IF($A798="","",IF($AK798=1,'كشف المطالبة'!$D$5,'كشف المطالبة'!$D$6)*100)</f>
        <v/>
      </c>
      <c r="AK798" s="28" t="str">
        <f aca="false">IF($A798="","",IF(OR($Q798=TRUE(),$Q798="TRUE"),1,0))</f>
        <v/>
      </c>
      <c r="AL798" s="28" t="str">
        <f aca="false">IF($N798="","",IF(MATCH($N798,$N$2:$N$3001,0)=ROWS($N$2:$N798),$N798,""))</f>
        <v/>
      </c>
    </row>
    <row r="799" customFormat="false" ht="15" hidden="false" customHeight="false" outlineLevel="0" collapsed="false">
      <c r="E799" s="25"/>
      <c r="M799" s="26" t="str">
        <f aca="false">IF($A799="","",$L799*$U799/100)</f>
        <v/>
      </c>
      <c r="W799" s="26" t="str">
        <f aca="false">IF($A799="","",U799*AB799/100)</f>
        <v/>
      </c>
      <c r="X799" s="26" t="str">
        <f aca="false">IF($A799="","",U799-W799)</f>
        <v/>
      </c>
      <c r="Y799" s="26" t="str">
        <f aca="false">IF($A799="","",U799-W799-M799)</f>
        <v/>
      </c>
      <c r="AB799" s="27" t="str">
        <f aca="false">IF($A799="","",IF($AK799=1,'كشف المطالبة'!$D$5,'كشف المطالبة'!$D$6)*100)</f>
        <v/>
      </c>
      <c r="AK799" s="28" t="str">
        <f aca="false">IF($A799="","",IF(OR($Q799=TRUE(),$Q799="TRUE"),1,0))</f>
        <v/>
      </c>
      <c r="AL799" s="28" t="str">
        <f aca="false">IF($N799="","",IF(MATCH($N799,$N$2:$N$3001,0)=ROWS($N$2:$N799),$N799,""))</f>
        <v/>
      </c>
    </row>
    <row r="800" customFormat="false" ht="15" hidden="false" customHeight="false" outlineLevel="0" collapsed="false">
      <c r="E800" s="25"/>
      <c r="M800" s="26" t="str">
        <f aca="false">IF($A800="","",$L800*$U800/100)</f>
        <v/>
      </c>
      <c r="W800" s="26" t="str">
        <f aca="false">IF($A800="","",U800*AB800/100)</f>
        <v/>
      </c>
      <c r="X800" s="26" t="str">
        <f aca="false">IF($A800="","",U800-W800)</f>
        <v/>
      </c>
      <c r="Y800" s="26" t="str">
        <f aca="false">IF($A800="","",U800-W800-M800)</f>
        <v/>
      </c>
      <c r="AB800" s="27" t="str">
        <f aca="false">IF($A800="","",IF($AK800=1,'كشف المطالبة'!$D$5,'كشف المطالبة'!$D$6)*100)</f>
        <v/>
      </c>
      <c r="AK800" s="28" t="str">
        <f aca="false">IF($A800="","",IF(OR($Q800=TRUE(),$Q800="TRUE"),1,0))</f>
        <v/>
      </c>
      <c r="AL800" s="28" t="str">
        <f aca="false">IF($N800="","",IF(MATCH($N800,$N$2:$N$3001,0)=ROWS($N$2:$N800),$N800,""))</f>
        <v/>
      </c>
    </row>
    <row r="801" customFormat="false" ht="15" hidden="false" customHeight="false" outlineLevel="0" collapsed="false">
      <c r="E801" s="25"/>
      <c r="M801" s="26" t="str">
        <f aca="false">IF($A801="","",$L801*$U801/100)</f>
        <v/>
      </c>
      <c r="W801" s="26" t="str">
        <f aca="false">IF($A801="","",U801*AB801/100)</f>
        <v/>
      </c>
      <c r="X801" s="26" t="str">
        <f aca="false">IF($A801="","",U801-W801)</f>
        <v/>
      </c>
      <c r="Y801" s="26" t="str">
        <f aca="false">IF($A801="","",U801-W801-M801)</f>
        <v/>
      </c>
      <c r="AB801" s="27" t="str">
        <f aca="false">IF($A801="","",IF($AK801=1,'كشف المطالبة'!$D$5,'كشف المطالبة'!$D$6)*100)</f>
        <v/>
      </c>
      <c r="AK801" s="28" t="str">
        <f aca="false">IF($A801="","",IF(OR($Q801=TRUE(),$Q801="TRUE"),1,0))</f>
        <v/>
      </c>
      <c r="AL801" s="28" t="str">
        <f aca="false">IF($N801="","",IF(MATCH($N801,$N$2:$N$3001,0)=ROWS($N$2:$N801),$N801,""))</f>
        <v/>
      </c>
    </row>
    <row r="802" customFormat="false" ht="15" hidden="false" customHeight="false" outlineLevel="0" collapsed="false">
      <c r="E802" s="25"/>
      <c r="M802" s="26" t="str">
        <f aca="false">IF($A802="","",$L802*$U802/100)</f>
        <v/>
      </c>
      <c r="W802" s="26" t="str">
        <f aca="false">IF($A802="","",U802*AB802/100)</f>
        <v/>
      </c>
      <c r="X802" s="26" t="str">
        <f aca="false">IF($A802="","",U802-W802)</f>
        <v/>
      </c>
      <c r="Y802" s="26" t="str">
        <f aca="false">IF($A802="","",U802-W802-M802)</f>
        <v/>
      </c>
      <c r="AB802" s="27" t="str">
        <f aca="false">IF($A802="","",IF($AK802=1,'كشف المطالبة'!$D$5,'كشف المطالبة'!$D$6)*100)</f>
        <v/>
      </c>
      <c r="AK802" s="28" t="str">
        <f aca="false">IF($A802="","",IF(OR($Q802=TRUE(),$Q802="TRUE"),1,0))</f>
        <v/>
      </c>
      <c r="AL802" s="28" t="str">
        <f aca="false">IF($N802="","",IF(MATCH($N802,$N$2:$N$3001,0)=ROWS($N$2:$N802),$N802,""))</f>
        <v/>
      </c>
    </row>
    <row r="803" customFormat="false" ht="15" hidden="false" customHeight="false" outlineLevel="0" collapsed="false">
      <c r="E803" s="25"/>
      <c r="M803" s="26" t="str">
        <f aca="false">IF($A803="","",$L803*$U803/100)</f>
        <v/>
      </c>
      <c r="W803" s="26" t="str">
        <f aca="false">IF($A803="","",U803*AB803/100)</f>
        <v/>
      </c>
      <c r="X803" s="26" t="str">
        <f aca="false">IF($A803="","",U803-W803)</f>
        <v/>
      </c>
      <c r="Y803" s="26" t="str">
        <f aca="false">IF($A803="","",U803-W803-M803)</f>
        <v/>
      </c>
      <c r="AB803" s="27" t="str">
        <f aca="false">IF($A803="","",IF($AK803=1,'كشف المطالبة'!$D$5,'كشف المطالبة'!$D$6)*100)</f>
        <v/>
      </c>
      <c r="AK803" s="28" t="str">
        <f aca="false">IF($A803="","",IF(OR($Q803=TRUE(),$Q803="TRUE"),1,0))</f>
        <v/>
      </c>
      <c r="AL803" s="28" t="str">
        <f aca="false">IF($N803="","",IF(MATCH($N803,$N$2:$N$3001,0)=ROWS($N$2:$N803),$N803,""))</f>
        <v/>
      </c>
    </row>
    <row r="804" customFormat="false" ht="15" hidden="false" customHeight="false" outlineLevel="0" collapsed="false">
      <c r="E804" s="25"/>
      <c r="M804" s="26" t="str">
        <f aca="false">IF($A804="","",$L804*$U804/100)</f>
        <v/>
      </c>
      <c r="W804" s="26" t="str">
        <f aca="false">IF($A804="","",U804*AB804/100)</f>
        <v/>
      </c>
      <c r="X804" s="26" t="str">
        <f aca="false">IF($A804="","",U804-W804)</f>
        <v/>
      </c>
      <c r="Y804" s="26" t="str">
        <f aca="false">IF($A804="","",U804-W804-M804)</f>
        <v/>
      </c>
      <c r="AB804" s="27" t="str">
        <f aca="false">IF($A804="","",IF($AK804=1,'كشف المطالبة'!$D$5,'كشف المطالبة'!$D$6)*100)</f>
        <v/>
      </c>
      <c r="AK804" s="28" t="str">
        <f aca="false">IF($A804="","",IF(OR($Q804=TRUE(),$Q804="TRUE"),1,0))</f>
        <v/>
      </c>
      <c r="AL804" s="28" t="str">
        <f aca="false">IF($N804="","",IF(MATCH($N804,$N$2:$N$3001,0)=ROWS($N$2:$N804),$N804,""))</f>
        <v/>
      </c>
    </row>
    <row r="805" customFormat="false" ht="15" hidden="false" customHeight="false" outlineLevel="0" collapsed="false">
      <c r="E805" s="25"/>
      <c r="M805" s="26" t="str">
        <f aca="false">IF($A805="","",$L805*$U805/100)</f>
        <v/>
      </c>
      <c r="W805" s="26" t="str">
        <f aca="false">IF($A805="","",U805*AB805/100)</f>
        <v/>
      </c>
      <c r="X805" s="26" t="str">
        <f aca="false">IF($A805="","",U805-W805)</f>
        <v/>
      </c>
      <c r="Y805" s="26" t="str">
        <f aca="false">IF($A805="","",U805-W805-M805)</f>
        <v/>
      </c>
      <c r="AB805" s="27" t="str">
        <f aca="false">IF($A805="","",IF($AK805=1,'كشف المطالبة'!$D$5,'كشف المطالبة'!$D$6)*100)</f>
        <v/>
      </c>
      <c r="AK805" s="28" t="str">
        <f aca="false">IF($A805="","",IF(OR($Q805=TRUE(),$Q805="TRUE"),1,0))</f>
        <v/>
      </c>
      <c r="AL805" s="28" t="str">
        <f aca="false">IF($N805="","",IF(MATCH($N805,$N$2:$N$3001,0)=ROWS($N$2:$N805),$N805,""))</f>
        <v/>
      </c>
    </row>
    <row r="806" customFormat="false" ht="15" hidden="false" customHeight="false" outlineLevel="0" collapsed="false">
      <c r="E806" s="25"/>
      <c r="M806" s="26" t="str">
        <f aca="false">IF($A806="","",$L806*$U806/100)</f>
        <v/>
      </c>
      <c r="W806" s="26" t="str">
        <f aca="false">IF($A806="","",U806*AB806/100)</f>
        <v/>
      </c>
      <c r="X806" s="26" t="str">
        <f aca="false">IF($A806="","",U806-W806)</f>
        <v/>
      </c>
      <c r="Y806" s="26" t="str">
        <f aca="false">IF($A806="","",U806-W806-M806)</f>
        <v/>
      </c>
      <c r="AB806" s="27" t="str">
        <f aca="false">IF($A806="","",IF($AK806=1,'كشف المطالبة'!$D$5,'كشف المطالبة'!$D$6)*100)</f>
        <v/>
      </c>
      <c r="AK806" s="28" t="str">
        <f aca="false">IF($A806="","",IF(OR($Q806=TRUE(),$Q806="TRUE"),1,0))</f>
        <v/>
      </c>
      <c r="AL806" s="28" t="str">
        <f aca="false">IF($N806="","",IF(MATCH($N806,$N$2:$N$3001,0)=ROWS($N$2:$N806),$N806,""))</f>
        <v/>
      </c>
    </row>
    <row r="807" customFormat="false" ht="15" hidden="false" customHeight="false" outlineLevel="0" collapsed="false">
      <c r="E807" s="25"/>
      <c r="M807" s="26" t="str">
        <f aca="false">IF($A807="","",$L807*$U807/100)</f>
        <v/>
      </c>
      <c r="W807" s="26" t="str">
        <f aca="false">IF($A807="","",U807*AB807/100)</f>
        <v/>
      </c>
      <c r="X807" s="26" t="str">
        <f aca="false">IF($A807="","",U807-W807)</f>
        <v/>
      </c>
      <c r="Y807" s="26" t="str">
        <f aca="false">IF($A807="","",U807-W807-M807)</f>
        <v/>
      </c>
      <c r="AB807" s="27" t="str">
        <f aca="false">IF($A807="","",IF($AK807=1,'كشف المطالبة'!$D$5,'كشف المطالبة'!$D$6)*100)</f>
        <v/>
      </c>
      <c r="AK807" s="28" t="str">
        <f aca="false">IF($A807="","",IF(OR($Q807=TRUE(),$Q807="TRUE"),1,0))</f>
        <v/>
      </c>
      <c r="AL807" s="28" t="str">
        <f aca="false">IF($N807="","",IF(MATCH($N807,$N$2:$N$3001,0)=ROWS($N$2:$N807),$N807,""))</f>
        <v/>
      </c>
    </row>
    <row r="808" customFormat="false" ht="15" hidden="false" customHeight="false" outlineLevel="0" collapsed="false">
      <c r="E808" s="25"/>
      <c r="M808" s="26" t="str">
        <f aca="false">IF($A808="","",$L808*$U808/100)</f>
        <v/>
      </c>
      <c r="W808" s="26" t="str">
        <f aca="false">IF($A808="","",U808*AB808/100)</f>
        <v/>
      </c>
      <c r="X808" s="26" t="str">
        <f aca="false">IF($A808="","",U808-W808)</f>
        <v/>
      </c>
      <c r="Y808" s="26" t="str">
        <f aca="false">IF($A808="","",U808-W808-M808)</f>
        <v/>
      </c>
      <c r="AB808" s="27" t="str">
        <f aca="false">IF($A808="","",IF($AK808=1,'كشف المطالبة'!$D$5,'كشف المطالبة'!$D$6)*100)</f>
        <v/>
      </c>
      <c r="AK808" s="28" t="str">
        <f aca="false">IF($A808="","",IF(OR($Q808=TRUE(),$Q808="TRUE"),1,0))</f>
        <v/>
      </c>
      <c r="AL808" s="28" t="str">
        <f aca="false">IF($N808="","",IF(MATCH($N808,$N$2:$N$3001,0)=ROWS($N$2:$N808),$N808,""))</f>
        <v/>
      </c>
    </row>
    <row r="809" customFormat="false" ht="15" hidden="false" customHeight="false" outlineLevel="0" collapsed="false">
      <c r="E809" s="25"/>
      <c r="M809" s="26" t="str">
        <f aca="false">IF($A809="","",$L809*$U809/100)</f>
        <v/>
      </c>
      <c r="W809" s="26" t="str">
        <f aca="false">IF($A809="","",U809*AB809/100)</f>
        <v/>
      </c>
      <c r="X809" s="26" t="str">
        <f aca="false">IF($A809="","",U809-W809)</f>
        <v/>
      </c>
      <c r="Y809" s="26" t="str">
        <f aca="false">IF($A809="","",U809-W809-M809)</f>
        <v/>
      </c>
      <c r="AB809" s="27" t="str">
        <f aca="false">IF($A809="","",IF($AK809=1,'كشف المطالبة'!$D$5,'كشف المطالبة'!$D$6)*100)</f>
        <v/>
      </c>
      <c r="AK809" s="28" t="str">
        <f aca="false">IF($A809="","",IF(OR($Q809=TRUE(),$Q809="TRUE"),1,0))</f>
        <v/>
      </c>
      <c r="AL809" s="28" t="str">
        <f aca="false">IF($N809="","",IF(MATCH($N809,$N$2:$N$3001,0)=ROWS($N$2:$N809),$N809,""))</f>
        <v/>
      </c>
    </row>
    <row r="810" customFormat="false" ht="15" hidden="false" customHeight="false" outlineLevel="0" collapsed="false">
      <c r="E810" s="25"/>
      <c r="M810" s="26" t="str">
        <f aca="false">IF($A810="","",$L810*$U810/100)</f>
        <v/>
      </c>
      <c r="W810" s="26" t="str">
        <f aca="false">IF($A810="","",U810*AB810/100)</f>
        <v/>
      </c>
      <c r="X810" s="26" t="str">
        <f aca="false">IF($A810="","",U810-W810)</f>
        <v/>
      </c>
      <c r="Y810" s="26" t="str">
        <f aca="false">IF($A810="","",U810-W810-M810)</f>
        <v/>
      </c>
      <c r="AB810" s="27" t="str">
        <f aca="false">IF($A810="","",IF($AK810=1,'كشف المطالبة'!$D$5,'كشف المطالبة'!$D$6)*100)</f>
        <v/>
      </c>
      <c r="AK810" s="28" t="str">
        <f aca="false">IF($A810="","",IF(OR($Q810=TRUE(),$Q810="TRUE"),1,0))</f>
        <v/>
      </c>
      <c r="AL810" s="28" t="str">
        <f aca="false">IF($N810="","",IF(MATCH($N810,$N$2:$N$3001,0)=ROWS($N$2:$N810),$N810,""))</f>
        <v/>
      </c>
    </row>
    <row r="811" customFormat="false" ht="15" hidden="false" customHeight="false" outlineLevel="0" collapsed="false">
      <c r="E811" s="25"/>
      <c r="M811" s="26" t="str">
        <f aca="false">IF($A811="","",$L811*$U811/100)</f>
        <v/>
      </c>
      <c r="W811" s="26" t="str">
        <f aca="false">IF($A811="","",U811*AB811/100)</f>
        <v/>
      </c>
      <c r="X811" s="26" t="str">
        <f aca="false">IF($A811="","",U811-W811)</f>
        <v/>
      </c>
      <c r="Y811" s="26" t="str">
        <f aca="false">IF($A811="","",U811-W811-M811)</f>
        <v/>
      </c>
      <c r="AB811" s="27" t="str">
        <f aca="false">IF($A811="","",IF($AK811=1,'كشف المطالبة'!$D$5,'كشف المطالبة'!$D$6)*100)</f>
        <v/>
      </c>
      <c r="AK811" s="28" t="str">
        <f aca="false">IF($A811="","",IF(OR($Q811=TRUE(),$Q811="TRUE"),1,0))</f>
        <v/>
      </c>
      <c r="AL811" s="28" t="str">
        <f aca="false">IF($N811="","",IF(MATCH($N811,$N$2:$N$3001,0)=ROWS($N$2:$N811),$N811,""))</f>
        <v/>
      </c>
    </row>
    <row r="812" customFormat="false" ht="15" hidden="false" customHeight="false" outlineLevel="0" collapsed="false">
      <c r="E812" s="25"/>
      <c r="M812" s="26" t="str">
        <f aca="false">IF($A812="","",$L812*$U812/100)</f>
        <v/>
      </c>
      <c r="W812" s="26" t="str">
        <f aca="false">IF($A812="","",U812*AB812/100)</f>
        <v/>
      </c>
      <c r="X812" s="26" t="str">
        <f aca="false">IF($A812="","",U812-W812)</f>
        <v/>
      </c>
      <c r="Y812" s="26" t="str">
        <f aca="false">IF($A812="","",U812-W812-M812)</f>
        <v/>
      </c>
      <c r="AB812" s="27" t="str">
        <f aca="false">IF($A812="","",IF($AK812=1,'كشف المطالبة'!$D$5,'كشف المطالبة'!$D$6)*100)</f>
        <v/>
      </c>
      <c r="AK812" s="28" t="str">
        <f aca="false">IF($A812="","",IF(OR($Q812=TRUE(),$Q812="TRUE"),1,0))</f>
        <v/>
      </c>
      <c r="AL812" s="28" t="str">
        <f aca="false">IF($N812="","",IF(MATCH($N812,$N$2:$N$3001,0)=ROWS($N$2:$N812),$N812,""))</f>
        <v/>
      </c>
    </row>
    <row r="813" customFormat="false" ht="15" hidden="false" customHeight="false" outlineLevel="0" collapsed="false">
      <c r="E813" s="25"/>
      <c r="M813" s="26" t="str">
        <f aca="false">IF($A813="","",$L813*$U813/100)</f>
        <v/>
      </c>
      <c r="W813" s="26" t="str">
        <f aca="false">IF($A813="","",U813*AB813/100)</f>
        <v/>
      </c>
      <c r="X813" s="26" t="str">
        <f aca="false">IF($A813="","",U813-W813)</f>
        <v/>
      </c>
      <c r="Y813" s="26" t="str">
        <f aca="false">IF($A813="","",U813-W813-M813)</f>
        <v/>
      </c>
      <c r="AB813" s="27" t="str">
        <f aca="false">IF($A813="","",IF($AK813=1,'كشف المطالبة'!$D$5,'كشف المطالبة'!$D$6)*100)</f>
        <v/>
      </c>
      <c r="AK813" s="28" t="str">
        <f aca="false">IF($A813="","",IF(OR($Q813=TRUE(),$Q813="TRUE"),1,0))</f>
        <v/>
      </c>
      <c r="AL813" s="28" t="str">
        <f aca="false">IF($N813="","",IF(MATCH($N813,$N$2:$N$3001,0)=ROWS($N$2:$N813),$N813,""))</f>
        <v/>
      </c>
    </row>
    <row r="814" customFormat="false" ht="15" hidden="false" customHeight="false" outlineLevel="0" collapsed="false">
      <c r="E814" s="25"/>
      <c r="M814" s="26" t="str">
        <f aca="false">IF($A814="","",$L814*$U814/100)</f>
        <v/>
      </c>
      <c r="W814" s="26" t="str">
        <f aca="false">IF($A814="","",U814*AB814/100)</f>
        <v/>
      </c>
      <c r="X814" s="26" t="str">
        <f aca="false">IF($A814="","",U814-W814)</f>
        <v/>
      </c>
      <c r="Y814" s="26" t="str">
        <f aca="false">IF($A814="","",U814-W814-M814)</f>
        <v/>
      </c>
      <c r="AB814" s="27" t="str">
        <f aca="false">IF($A814="","",IF($AK814=1,'كشف المطالبة'!$D$5,'كشف المطالبة'!$D$6)*100)</f>
        <v/>
      </c>
      <c r="AK814" s="28" t="str">
        <f aca="false">IF($A814="","",IF(OR($Q814=TRUE(),$Q814="TRUE"),1,0))</f>
        <v/>
      </c>
      <c r="AL814" s="28" t="str">
        <f aca="false">IF($N814="","",IF(MATCH($N814,$N$2:$N$3001,0)=ROWS($N$2:$N814),$N814,""))</f>
        <v/>
      </c>
    </row>
    <row r="815" customFormat="false" ht="15" hidden="false" customHeight="false" outlineLevel="0" collapsed="false">
      <c r="E815" s="25"/>
      <c r="M815" s="26" t="str">
        <f aca="false">IF($A815="","",$L815*$U815/100)</f>
        <v/>
      </c>
      <c r="W815" s="26" t="str">
        <f aca="false">IF($A815="","",U815*AB815/100)</f>
        <v/>
      </c>
      <c r="X815" s="26" t="str">
        <f aca="false">IF($A815="","",U815-W815)</f>
        <v/>
      </c>
      <c r="Y815" s="26" t="str">
        <f aca="false">IF($A815="","",U815-W815-M815)</f>
        <v/>
      </c>
      <c r="AB815" s="27" t="str">
        <f aca="false">IF($A815="","",IF($AK815=1,'كشف المطالبة'!$D$5,'كشف المطالبة'!$D$6)*100)</f>
        <v/>
      </c>
      <c r="AK815" s="28" t="str">
        <f aca="false">IF($A815="","",IF(OR($Q815=TRUE(),$Q815="TRUE"),1,0))</f>
        <v/>
      </c>
      <c r="AL815" s="28" t="str">
        <f aca="false">IF($N815="","",IF(MATCH($N815,$N$2:$N$3001,0)=ROWS($N$2:$N815),$N815,""))</f>
        <v/>
      </c>
    </row>
    <row r="816" customFormat="false" ht="15" hidden="false" customHeight="false" outlineLevel="0" collapsed="false">
      <c r="E816" s="25"/>
      <c r="M816" s="26" t="str">
        <f aca="false">IF($A816="","",$L816*$U816/100)</f>
        <v/>
      </c>
      <c r="W816" s="26" t="str">
        <f aca="false">IF($A816="","",U816*AB816/100)</f>
        <v/>
      </c>
      <c r="X816" s="26" t="str">
        <f aca="false">IF($A816="","",U816-W816)</f>
        <v/>
      </c>
      <c r="Y816" s="26" t="str">
        <f aca="false">IF($A816="","",U816-W816-M816)</f>
        <v/>
      </c>
      <c r="AB816" s="27" t="str">
        <f aca="false">IF($A816="","",IF($AK816=1,'كشف المطالبة'!$D$5,'كشف المطالبة'!$D$6)*100)</f>
        <v/>
      </c>
      <c r="AK816" s="28" t="str">
        <f aca="false">IF($A816="","",IF(OR($Q816=TRUE(),$Q816="TRUE"),1,0))</f>
        <v/>
      </c>
      <c r="AL816" s="28" t="str">
        <f aca="false">IF($N816="","",IF(MATCH($N816,$N$2:$N$3001,0)=ROWS($N$2:$N816),$N816,""))</f>
        <v/>
      </c>
    </row>
    <row r="817" customFormat="false" ht="15" hidden="false" customHeight="false" outlineLevel="0" collapsed="false">
      <c r="E817" s="25"/>
      <c r="M817" s="26" t="str">
        <f aca="false">IF($A817="","",$L817*$U817/100)</f>
        <v/>
      </c>
      <c r="W817" s="26" t="str">
        <f aca="false">IF($A817="","",U817*AB817/100)</f>
        <v/>
      </c>
      <c r="X817" s="26" t="str">
        <f aca="false">IF($A817="","",U817-W817)</f>
        <v/>
      </c>
      <c r="Y817" s="26" t="str">
        <f aca="false">IF($A817="","",U817-W817-M817)</f>
        <v/>
      </c>
      <c r="AB817" s="27" t="str">
        <f aca="false">IF($A817="","",IF($AK817=1,'كشف المطالبة'!$D$5,'كشف المطالبة'!$D$6)*100)</f>
        <v/>
      </c>
      <c r="AK817" s="28" t="str">
        <f aca="false">IF($A817="","",IF(OR($Q817=TRUE(),$Q817="TRUE"),1,0))</f>
        <v/>
      </c>
      <c r="AL817" s="28" t="str">
        <f aca="false">IF($N817="","",IF(MATCH($N817,$N$2:$N$3001,0)=ROWS($N$2:$N817),$N817,""))</f>
        <v/>
      </c>
    </row>
    <row r="818" customFormat="false" ht="15" hidden="false" customHeight="false" outlineLevel="0" collapsed="false">
      <c r="E818" s="25"/>
      <c r="M818" s="26" t="str">
        <f aca="false">IF($A818="","",$L818*$U818/100)</f>
        <v/>
      </c>
      <c r="W818" s="26" t="str">
        <f aca="false">IF($A818="","",U818*AB818/100)</f>
        <v/>
      </c>
      <c r="X818" s="26" t="str">
        <f aca="false">IF($A818="","",U818-W818)</f>
        <v/>
      </c>
      <c r="Y818" s="26" t="str">
        <f aca="false">IF($A818="","",U818-W818-M818)</f>
        <v/>
      </c>
      <c r="AB818" s="27" t="str">
        <f aca="false">IF($A818="","",IF($AK818=1,'كشف المطالبة'!$D$5,'كشف المطالبة'!$D$6)*100)</f>
        <v/>
      </c>
      <c r="AK818" s="28" t="str">
        <f aca="false">IF($A818="","",IF(OR($Q818=TRUE(),$Q818="TRUE"),1,0))</f>
        <v/>
      </c>
      <c r="AL818" s="28" t="str">
        <f aca="false">IF($N818="","",IF(MATCH($N818,$N$2:$N$3001,0)=ROWS($N$2:$N818),$N818,""))</f>
        <v/>
      </c>
    </row>
    <row r="819" customFormat="false" ht="15" hidden="false" customHeight="false" outlineLevel="0" collapsed="false">
      <c r="E819" s="25"/>
      <c r="M819" s="26" t="str">
        <f aca="false">IF($A819="","",$L819*$U819/100)</f>
        <v/>
      </c>
      <c r="W819" s="26" t="str">
        <f aca="false">IF($A819="","",U819*AB819/100)</f>
        <v/>
      </c>
      <c r="X819" s="26" t="str">
        <f aca="false">IF($A819="","",U819-W819)</f>
        <v/>
      </c>
      <c r="Y819" s="26" t="str">
        <f aca="false">IF($A819="","",U819-W819-M819)</f>
        <v/>
      </c>
      <c r="AB819" s="27" t="str">
        <f aca="false">IF($A819="","",IF($AK819=1,'كشف المطالبة'!$D$5,'كشف المطالبة'!$D$6)*100)</f>
        <v/>
      </c>
      <c r="AK819" s="28" t="str">
        <f aca="false">IF($A819="","",IF(OR($Q819=TRUE(),$Q819="TRUE"),1,0))</f>
        <v/>
      </c>
      <c r="AL819" s="28" t="str">
        <f aca="false">IF($N819="","",IF(MATCH($N819,$N$2:$N$3001,0)=ROWS($N$2:$N819),$N819,""))</f>
        <v/>
      </c>
    </row>
    <row r="820" customFormat="false" ht="15" hidden="false" customHeight="false" outlineLevel="0" collapsed="false">
      <c r="E820" s="25"/>
      <c r="M820" s="26" t="str">
        <f aca="false">IF($A820="","",$L820*$U820/100)</f>
        <v/>
      </c>
      <c r="W820" s="26" t="str">
        <f aca="false">IF($A820="","",U820*AB820/100)</f>
        <v/>
      </c>
      <c r="X820" s="26" t="str">
        <f aca="false">IF($A820="","",U820-W820)</f>
        <v/>
      </c>
      <c r="Y820" s="26" t="str">
        <f aca="false">IF($A820="","",U820-W820-M820)</f>
        <v/>
      </c>
      <c r="AB820" s="27" t="str">
        <f aca="false">IF($A820="","",IF($AK820=1,'كشف المطالبة'!$D$5,'كشف المطالبة'!$D$6)*100)</f>
        <v/>
      </c>
      <c r="AK820" s="28" t="str">
        <f aca="false">IF($A820="","",IF(OR($Q820=TRUE(),$Q820="TRUE"),1,0))</f>
        <v/>
      </c>
      <c r="AL820" s="28" t="str">
        <f aca="false">IF($N820="","",IF(MATCH($N820,$N$2:$N$3001,0)=ROWS($N$2:$N820),$N820,""))</f>
        <v/>
      </c>
    </row>
    <row r="821" customFormat="false" ht="15" hidden="false" customHeight="false" outlineLevel="0" collapsed="false">
      <c r="E821" s="25"/>
      <c r="M821" s="26" t="str">
        <f aca="false">IF($A821="","",$L821*$U821/100)</f>
        <v/>
      </c>
      <c r="W821" s="26" t="str">
        <f aca="false">IF($A821="","",U821*AB821/100)</f>
        <v/>
      </c>
      <c r="X821" s="26" t="str">
        <f aca="false">IF($A821="","",U821-W821)</f>
        <v/>
      </c>
      <c r="Y821" s="26" t="str">
        <f aca="false">IF($A821="","",U821-W821-M821)</f>
        <v/>
      </c>
      <c r="AB821" s="27" t="str">
        <f aca="false">IF($A821="","",IF($AK821=1,'كشف المطالبة'!$D$5,'كشف المطالبة'!$D$6)*100)</f>
        <v/>
      </c>
      <c r="AK821" s="28" t="str">
        <f aca="false">IF($A821="","",IF(OR($Q821=TRUE(),$Q821="TRUE"),1,0))</f>
        <v/>
      </c>
      <c r="AL821" s="28" t="str">
        <f aca="false">IF($N821="","",IF(MATCH($N821,$N$2:$N$3001,0)=ROWS($N$2:$N821),$N821,""))</f>
        <v/>
      </c>
    </row>
    <row r="822" customFormat="false" ht="15" hidden="false" customHeight="false" outlineLevel="0" collapsed="false">
      <c r="E822" s="25"/>
      <c r="M822" s="26" t="str">
        <f aca="false">IF($A822="","",$L822*$U822/100)</f>
        <v/>
      </c>
      <c r="W822" s="26" t="str">
        <f aca="false">IF($A822="","",U822*AB822/100)</f>
        <v/>
      </c>
      <c r="X822" s="26" t="str">
        <f aca="false">IF($A822="","",U822-W822)</f>
        <v/>
      </c>
      <c r="Y822" s="26" t="str">
        <f aca="false">IF($A822="","",U822-W822-M822)</f>
        <v/>
      </c>
      <c r="AB822" s="27" t="str">
        <f aca="false">IF($A822="","",IF($AK822=1,'كشف المطالبة'!$D$5,'كشف المطالبة'!$D$6)*100)</f>
        <v/>
      </c>
      <c r="AK822" s="28" t="str">
        <f aca="false">IF($A822="","",IF(OR($Q822=TRUE(),$Q822="TRUE"),1,0))</f>
        <v/>
      </c>
      <c r="AL822" s="28" t="str">
        <f aca="false">IF($N822="","",IF(MATCH($N822,$N$2:$N$3001,0)=ROWS($N$2:$N822),$N822,""))</f>
        <v/>
      </c>
    </row>
    <row r="823" customFormat="false" ht="15" hidden="false" customHeight="false" outlineLevel="0" collapsed="false">
      <c r="E823" s="25"/>
      <c r="M823" s="26" t="str">
        <f aca="false">IF($A823="","",$L823*$U823/100)</f>
        <v/>
      </c>
      <c r="W823" s="26" t="str">
        <f aca="false">IF($A823="","",U823*AB823/100)</f>
        <v/>
      </c>
      <c r="X823" s="26" t="str">
        <f aca="false">IF($A823="","",U823-W823)</f>
        <v/>
      </c>
      <c r="Y823" s="26" t="str">
        <f aca="false">IF($A823="","",U823-W823-M823)</f>
        <v/>
      </c>
      <c r="AB823" s="27" t="str">
        <f aca="false">IF($A823="","",IF($AK823=1,'كشف المطالبة'!$D$5,'كشف المطالبة'!$D$6)*100)</f>
        <v/>
      </c>
      <c r="AK823" s="28" t="str">
        <f aca="false">IF($A823="","",IF(OR($Q823=TRUE(),$Q823="TRUE"),1,0))</f>
        <v/>
      </c>
      <c r="AL823" s="28" t="str">
        <f aca="false">IF($N823="","",IF(MATCH($N823,$N$2:$N$3001,0)=ROWS($N$2:$N823),$N823,""))</f>
        <v/>
      </c>
    </row>
    <row r="824" customFormat="false" ht="15" hidden="false" customHeight="false" outlineLevel="0" collapsed="false">
      <c r="E824" s="25"/>
      <c r="M824" s="26" t="str">
        <f aca="false">IF($A824="","",$L824*$U824/100)</f>
        <v/>
      </c>
      <c r="W824" s="26" t="str">
        <f aca="false">IF($A824="","",U824*AB824/100)</f>
        <v/>
      </c>
      <c r="X824" s="26" t="str">
        <f aca="false">IF($A824="","",U824-W824)</f>
        <v/>
      </c>
      <c r="Y824" s="26" t="str">
        <f aca="false">IF($A824="","",U824-W824-M824)</f>
        <v/>
      </c>
      <c r="AB824" s="27" t="str">
        <f aca="false">IF($A824="","",IF($AK824=1,'كشف المطالبة'!$D$5,'كشف المطالبة'!$D$6)*100)</f>
        <v/>
      </c>
      <c r="AK824" s="28" t="str">
        <f aca="false">IF($A824="","",IF(OR($Q824=TRUE(),$Q824="TRUE"),1,0))</f>
        <v/>
      </c>
      <c r="AL824" s="28" t="str">
        <f aca="false">IF($N824="","",IF(MATCH($N824,$N$2:$N$3001,0)=ROWS($N$2:$N824),$N824,""))</f>
        <v/>
      </c>
    </row>
    <row r="825" customFormat="false" ht="15" hidden="false" customHeight="false" outlineLevel="0" collapsed="false">
      <c r="E825" s="25"/>
      <c r="M825" s="26" t="str">
        <f aca="false">IF($A825="","",$L825*$U825/100)</f>
        <v/>
      </c>
      <c r="W825" s="26" t="str">
        <f aca="false">IF($A825="","",U825*AB825/100)</f>
        <v/>
      </c>
      <c r="X825" s="26" t="str">
        <f aca="false">IF($A825="","",U825-W825)</f>
        <v/>
      </c>
      <c r="Y825" s="26" t="str">
        <f aca="false">IF($A825="","",U825-W825-M825)</f>
        <v/>
      </c>
      <c r="AB825" s="27" t="str">
        <f aca="false">IF($A825="","",IF($AK825=1,'كشف المطالبة'!$D$5,'كشف المطالبة'!$D$6)*100)</f>
        <v/>
      </c>
      <c r="AK825" s="28" t="str">
        <f aca="false">IF($A825="","",IF(OR($Q825=TRUE(),$Q825="TRUE"),1,0))</f>
        <v/>
      </c>
      <c r="AL825" s="28" t="str">
        <f aca="false">IF($N825="","",IF(MATCH($N825,$N$2:$N$3001,0)=ROWS($N$2:$N825),$N825,""))</f>
        <v/>
      </c>
    </row>
    <row r="826" customFormat="false" ht="15" hidden="false" customHeight="false" outlineLevel="0" collapsed="false">
      <c r="E826" s="25"/>
      <c r="M826" s="26" t="str">
        <f aca="false">IF($A826="","",$L826*$U826/100)</f>
        <v/>
      </c>
      <c r="W826" s="26" t="str">
        <f aca="false">IF($A826="","",U826*AB826/100)</f>
        <v/>
      </c>
      <c r="X826" s="26" t="str">
        <f aca="false">IF($A826="","",U826-W826)</f>
        <v/>
      </c>
      <c r="Y826" s="26" t="str">
        <f aca="false">IF($A826="","",U826-W826-M826)</f>
        <v/>
      </c>
      <c r="AB826" s="27" t="str">
        <f aca="false">IF($A826="","",IF($AK826=1,'كشف المطالبة'!$D$5,'كشف المطالبة'!$D$6)*100)</f>
        <v/>
      </c>
      <c r="AK826" s="28" t="str">
        <f aca="false">IF($A826="","",IF(OR($Q826=TRUE(),$Q826="TRUE"),1,0))</f>
        <v/>
      </c>
      <c r="AL826" s="28" t="str">
        <f aca="false">IF($N826="","",IF(MATCH($N826,$N$2:$N$3001,0)=ROWS($N$2:$N826),$N826,""))</f>
        <v/>
      </c>
    </row>
    <row r="827" customFormat="false" ht="15" hidden="false" customHeight="false" outlineLevel="0" collapsed="false">
      <c r="E827" s="25"/>
      <c r="M827" s="26" t="str">
        <f aca="false">IF($A827="","",$L827*$U827/100)</f>
        <v/>
      </c>
      <c r="W827" s="26" t="str">
        <f aca="false">IF($A827="","",U827*AB827/100)</f>
        <v/>
      </c>
      <c r="X827" s="26" t="str">
        <f aca="false">IF($A827="","",U827-W827)</f>
        <v/>
      </c>
      <c r="Y827" s="26" t="str">
        <f aca="false">IF($A827="","",U827-W827-M827)</f>
        <v/>
      </c>
      <c r="AB827" s="27" t="str">
        <f aca="false">IF($A827="","",IF($AK827=1,'كشف المطالبة'!$D$5,'كشف المطالبة'!$D$6)*100)</f>
        <v/>
      </c>
      <c r="AK827" s="28" t="str">
        <f aca="false">IF($A827="","",IF(OR($Q827=TRUE(),$Q827="TRUE"),1,0))</f>
        <v/>
      </c>
      <c r="AL827" s="28" t="str">
        <f aca="false">IF($N827="","",IF(MATCH($N827,$N$2:$N$3001,0)=ROWS($N$2:$N827),$N827,""))</f>
        <v/>
      </c>
    </row>
    <row r="828" customFormat="false" ht="15" hidden="false" customHeight="false" outlineLevel="0" collapsed="false">
      <c r="E828" s="25"/>
      <c r="M828" s="26" t="str">
        <f aca="false">IF($A828="","",$L828*$U828/100)</f>
        <v/>
      </c>
      <c r="W828" s="26" t="str">
        <f aca="false">IF($A828="","",U828*AB828/100)</f>
        <v/>
      </c>
      <c r="X828" s="26" t="str">
        <f aca="false">IF($A828="","",U828-W828)</f>
        <v/>
      </c>
      <c r="Y828" s="26" t="str">
        <f aca="false">IF($A828="","",U828-W828-M828)</f>
        <v/>
      </c>
      <c r="AB828" s="27" t="str">
        <f aca="false">IF($A828="","",IF($AK828=1,'كشف المطالبة'!$D$5,'كشف المطالبة'!$D$6)*100)</f>
        <v/>
      </c>
      <c r="AK828" s="28" t="str">
        <f aca="false">IF($A828="","",IF(OR($Q828=TRUE(),$Q828="TRUE"),1,0))</f>
        <v/>
      </c>
      <c r="AL828" s="28" t="str">
        <f aca="false">IF($N828="","",IF(MATCH($N828,$N$2:$N$3001,0)=ROWS($N$2:$N828),$N828,""))</f>
        <v/>
      </c>
    </row>
    <row r="829" customFormat="false" ht="15" hidden="false" customHeight="false" outlineLevel="0" collapsed="false">
      <c r="E829" s="25"/>
      <c r="M829" s="26" t="str">
        <f aca="false">IF($A829="","",$L829*$U829/100)</f>
        <v/>
      </c>
      <c r="W829" s="26" t="str">
        <f aca="false">IF($A829="","",U829*AB829/100)</f>
        <v/>
      </c>
      <c r="X829" s="26" t="str">
        <f aca="false">IF($A829="","",U829-W829)</f>
        <v/>
      </c>
      <c r="Y829" s="26" t="str">
        <f aca="false">IF($A829="","",U829-W829-M829)</f>
        <v/>
      </c>
      <c r="AB829" s="27" t="str">
        <f aca="false">IF($A829="","",IF($AK829=1,'كشف المطالبة'!$D$5,'كشف المطالبة'!$D$6)*100)</f>
        <v/>
      </c>
      <c r="AK829" s="28" t="str">
        <f aca="false">IF($A829="","",IF(OR($Q829=TRUE(),$Q829="TRUE"),1,0))</f>
        <v/>
      </c>
      <c r="AL829" s="28" t="str">
        <f aca="false">IF($N829="","",IF(MATCH($N829,$N$2:$N$3001,0)=ROWS($N$2:$N829),$N829,""))</f>
        <v/>
      </c>
    </row>
    <row r="830" customFormat="false" ht="15" hidden="false" customHeight="false" outlineLevel="0" collapsed="false">
      <c r="E830" s="25"/>
      <c r="M830" s="26" t="str">
        <f aca="false">IF($A830="","",$L830*$U830/100)</f>
        <v/>
      </c>
      <c r="W830" s="26" t="str">
        <f aca="false">IF($A830="","",U830*AB830/100)</f>
        <v/>
      </c>
      <c r="X830" s="26" t="str">
        <f aca="false">IF($A830="","",U830-W830)</f>
        <v/>
      </c>
      <c r="Y830" s="26" t="str">
        <f aca="false">IF($A830="","",U830-W830-M830)</f>
        <v/>
      </c>
      <c r="AB830" s="27" t="str">
        <f aca="false">IF($A830="","",IF($AK830=1,'كشف المطالبة'!$D$5,'كشف المطالبة'!$D$6)*100)</f>
        <v/>
      </c>
      <c r="AK830" s="28" t="str">
        <f aca="false">IF($A830="","",IF(OR($Q830=TRUE(),$Q830="TRUE"),1,0))</f>
        <v/>
      </c>
      <c r="AL830" s="28" t="str">
        <f aca="false">IF($N830="","",IF(MATCH($N830,$N$2:$N$3001,0)=ROWS($N$2:$N830),$N830,""))</f>
        <v/>
      </c>
    </row>
    <row r="831" customFormat="false" ht="15" hidden="false" customHeight="false" outlineLevel="0" collapsed="false">
      <c r="E831" s="25"/>
      <c r="M831" s="26" t="str">
        <f aca="false">IF($A831="","",$L831*$U831/100)</f>
        <v/>
      </c>
      <c r="W831" s="26" t="str">
        <f aca="false">IF($A831="","",U831*AB831/100)</f>
        <v/>
      </c>
      <c r="X831" s="26" t="str">
        <f aca="false">IF($A831="","",U831-W831)</f>
        <v/>
      </c>
      <c r="Y831" s="26" t="str">
        <f aca="false">IF($A831="","",U831-W831-M831)</f>
        <v/>
      </c>
      <c r="AB831" s="27" t="str">
        <f aca="false">IF($A831="","",IF($AK831=1,'كشف المطالبة'!$D$5,'كشف المطالبة'!$D$6)*100)</f>
        <v/>
      </c>
      <c r="AK831" s="28" t="str">
        <f aca="false">IF($A831="","",IF(OR($Q831=TRUE(),$Q831="TRUE"),1,0))</f>
        <v/>
      </c>
      <c r="AL831" s="28" t="str">
        <f aca="false">IF($N831="","",IF(MATCH($N831,$N$2:$N$3001,0)=ROWS($N$2:$N831),$N831,""))</f>
        <v/>
      </c>
    </row>
    <row r="832" customFormat="false" ht="15" hidden="false" customHeight="false" outlineLevel="0" collapsed="false">
      <c r="E832" s="25"/>
      <c r="M832" s="26" t="str">
        <f aca="false">IF($A832="","",$L832*$U832/100)</f>
        <v/>
      </c>
      <c r="W832" s="26" t="str">
        <f aca="false">IF($A832="","",U832*AB832/100)</f>
        <v/>
      </c>
      <c r="X832" s="26" t="str">
        <f aca="false">IF($A832="","",U832-W832)</f>
        <v/>
      </c>
      <c r="Y832" s="26" t="str">
        <f aca="false">IF($A832="","",U832-W832-M832)</f>
        <v/>
      </c>
      <c r="AB832" s="27" t="str">
        <f aca="false">IF($A832="","",IF($AK832=1,'كشف المطالبة'!$D$5,'كشف المطالبة'!$D$6)*100)</f>
        <v/>
      </c>
      <c r="AK832" s="28" t="str">
        <f aca="false">IF($A832="","",IF(OR($Q832=TRUE(),$Q832="TRUE"),1,0))</f>
        <v/>
      </c>
      <c r="AL832" s="28" t="str">
        <f aca="false">IF($N832="","",IF(MATCH($N832,$N$2:$N$3001,0)=ROWS($N$2:$N832),$N832,""))</f>
        <v/>
      </c>
    </row>
    <row r="833" customFormat="false" ht="15" hidden="false" customHeight="false" outlineLevel="0" collapsed="false">
      <c r="E833" s="25"/>
      <c r="M833" s="26" t="str">
        <f aca="false">IF($A833="","",$L833*$U833/100)</f>
        <v/>
      </c>
      <c r="W833" s="26" t="str">
        <f aca="false">IF($A833="","",U833*AB833/100)</f>
        <v/>
      </c>
      <c r="X833" s="26" t="str">
        <f aca="false">IF($A833="","",U833-W833)</f>
        <v/>
      </c>
      <c r="Y833" s="26" t="str">
        <f aca="false">IF($A833="","",U833-W833-M833)</f>
        <v/>
      </c>
      <c r="AB833" s="27" t="str">
        <f aca="false">IF($A833="","",IF($AK833=1,'كشف المطالبة'!$D$5,'كشف المطالبة'!$D$6)*100)</f>
        <v/>
      </c>
      <c r="AK833" s="28" t="str">
        <f aca="false">IF($A833="","",IF(OR($Q833=TRUE(),$Q833="TRUE"),1,0))</f>
        <v/>
      </c>
      <c r="AL833" s="28" t="str">
        <f aca="false">IF($N833="","",IF(MATCH($N833,$N$2:$N$3001,0)=ROWS($N$2:$N833),$N833,""))</f>
        <v/>
      </c>
    </row>
    <row r="834" customFormat="false" ht="15" hidden="false" customHeight="false" outlineLevel="0" collapsed="false">
      <c r="E834" s="25"/>
      <c r="M834" s="26" t="str">
        <f aca="false">IF($A834="","",$L834*$U834/100)</f>
        <v/>
      </c>
      <c r="W834" s="26" t="str">
        <f aca="false">IF($A834="","",U834*AB834/100)</f>
        <v/>
      </c>
      <c r="X834" s="26" t="str">
        <f aca="false">IF($A834="","",U834-W834)</f>
        <v/>
      </c>
      <c r="Y834" s="26" t="str">
        <f aca="false">IF($A834="","",U834-W834-M834)</f>
        <v/>
      </c>
      <c r="AB834" s="27" t="str">
        <f aca="false">IF($A834="","",IF($AK834=1,'كشف المطالبة'!$D$5,'كشف المطالبة'!$D$6)*100)</f>
        <v/>
      </c>
      <c r="AK834" s="28" t="str">
        <f aca="false">IF($A834="","",IF(OR($Q834=TRUE(),$Q834="TRUE"),1,0))</f>
        <v/>
      </c>
      <c r="AL834" s="28" t="str">
        <f aca="false">IF($N834="","",IF(MATCH($N834,$N$2:$N$3001,0)=ROWS($N$2:$N834),$N834,""))</f>
        <v/>
      </c>
    </row>
    <row r="835" customFormat="false" ht="15" hidden="false" customHeight="false" outlineLevel="0" collapsed="false">
      <c r="E835" s="25"/>
      <c r="M835" s="26" t="str">
        <f aca="false">IF($A835="","",$L835*$U835/100)</f>
        <v/>
      </c>
      <c r="W835" s="26" t="str">
        <f aca="false">IF($A835="","",U835*AB835/100)</f>
        <v/>
      </c>
      <c r="X835" s="26" t="str">
        <f aca="false">IF($A835="","",U835-W835)</f>
        <v/>
      </c>
      <c r="Y835" s="26" t="str">
        <f aca="false">IF($A835="","",U835-W835-M835)</f>
        <v/>
      </c>
      <c r="AB835" s="27" t="str">
        <f aca="false">IF($A835="","",IF($AK835=1,'كشف المطالبة'!$D$5,'كشف المطالبة'!$D$6)*100)</f>
        <v/>
      </c>
      <c r="AK835" s="28" t="str">
        <f aca="false">IF($A835="","",IF(OR($Q835=TRUE(),$Q835="TRUE"),1,0))</f>
        <v/>
      </c>
      <c r="AL835" s="28" t="str">
        <f aca="false">IF($N835="","",IF(MATCH($N835,$N$2:$N$3001,0)=ROWS($N$2:$N835),$N835,""))</f>
        <v/>
      </c>
    </row>
    <row r="836" customFormat="false" ht="15" hidden="false" customHeight="false" outlineLevel="0" collapsed="false">
      <c r="E836" s="25"/>
      <c r="M836" s="26" t="str">
        <f aca="false">IF($A836="","",$L836*$U836/100)</f>
        <v/>
      </c>
      <c r="W836" s="26" t="str">
        <f aca="false">IF($A836="","",U836*AB836/100)</f>
        <v/>
      </c>
      <c r="X836" s="26" t="str">
        <f aca="false">IF($A836="","",U836-W836)</f>
        <v/>
      </c>
      <c r="Y836" s="26" t="str">
        <f aca="false">IF($A836="","",U836-W836-M836)</f>
        <v/>
      </c>
      <c r="AB836" s="27" t="str">
        <f aca="false">IF($A836="","",IF($AK836=1,'كشف المطالبة'!$D$5,'كشف المطالبة'!$D$6)*100)</f>
        <v/>
      </c>
      <c r="AK836" s="28" t="str">
        <f aca="false">IF($A836="","",IF(OR($Q836=TRUE(),$Q836="TRUE"),1,0))</f>
        <v/>
      </c>
      <c r="AL836" s="28" t="str">
        <f aca="false">IF($N836="","",IF(MATCH($N836,$N$2:$N$3001,0)=ROWS($N$2:$N836),$N836,""))</f>
        <v/>
      </c>
    </row>
    <row r="837" customFormat="false" ht="15" hidden="false" customHeight="false" outlineLevel="0" collapsed="false">
      <c r="E837" s="25"/>
      <c r="M837" s="26" t="str">
        <f aca="false">IF($A837="","",$L837*$U837/100)</f>
        <v/>
      </c>
      <c r="W837" s="26" t="str">
        <f aca="false">IF($A837="","",U837*AB837/100)</f>
        <v/>
      </c>
      <c r="X837" s="26" t="str">
        <f aca="false">IF($A837="","",U837-W837)</f>
        <v/>
      </c>
      <c r="Y837" s="26" t="str">
        <f aca="false">IF($A837="","",U837-W837-M837)</f>
        <v/>
      </c>
      <c r="AB837" s="27" t="str">
        <f aca="false">IF($A837="","",IF($AK837=1,'كشف المطالبة'!$D$5,'كشف المطالبة'!$D$6)*100)</f>
        <v/>
      </c>
      <c r="AK837" s="28" t="str">
        <f aca="false">IF($A837="","",IF(OR($Q837=TRUE(),$Q837="TRUE"),1,0))</f>
        <v/>
      </c>
      <c r="AL837" s="28" t="str">
        <f aca="false">IF($N837="","",IF(MATCH($N837,$N$2:$N$3001,0)=ROWS($N$2:$N837),$N837,""))</f>
        <v/>
      </c>
    </row>
    <row r="838" customFormat="false" ht="15" hidden="false" customHeight="false" outlineLevel="0" collapsed="false">
      <c r="E838" s="25"/>
      <c r="M838" s="26" t="str">
        <f aca="false">IF($A838="","",$L838*$U838/100)</f>
        <v/>
      </c>
      <c r="W838" s="26" t="str">
        <f aca="false">IF($A838="","",U838*AB838/100)</f>
        <v/>
      </c>
      <c r="X838" s="26" t="str">
        <f aca="false">IF($A838="","",U838-W838)</f>
        <v/>
      </c>
      <c r="Y838" s="26" t="str">
        <f aca="false">IF($A838="","",U838-W838-M838)</f>
        <v/>
      </c>
      <c r="AB838" s="27" t="str">
        <f aca="false">IF($A838="","",IF($AK838=1,'كشف المطالبة'!$D$5,'كشف المطالبة'!$D$6)*100)</f>
        <v/>
      </c>
      <c r="AK838" s="28" t="str">
        <f aca="false">IF($A838="","",IF(OR($Q838=TRUE(),$Q838="TRUE"),1,0))</f>
        <v/>
      </c>
      <c r="AL838" s="28" t="str">
        <f aca="false">IF($N838="","",IF(MATCH($N838,$N$2:$N$3001,0)=ROWS($N$2:$N838),$N838,""))</f>
        <v/>
      </c>
    </row>
    <row r="839" customFormat="false" ht="15" hidden="false" customHeight="false" outlineLevel="0" collapsed="false">
      <c r="E839" s="25"/>
      <c r="M839" s="26" t="str">
        <f aca="false">IF($A839="","",$L839*$U839/100)</f>
        <v/>
      </c>
      <c r="W839" s="26" t="str">
        <f aca="false">IF($A839="","",U839*AB839/100)</f>
        <v/>
      </c>
      <c r="X839" s="26" t="str">
        <f aca="false">IF($A839="","",U839-W839)</f>
        <v/>
      </c>
      <c r="Y839" s="26" t="str">
        <f aca="false">IF($A839="","",U839-W839-M839)</f>
        <v/>
      </c>
      <c r="AB839" s="27" t="str">
        <f aca="false">IF($A839="","",IF($AK839=1,'كشف المطالبة'!$D$5,'كشف المطالبة'!$D$6)*100)</f>
        <v/>
      </c>
      <c r="AK839" s="28" t="str">
        <f aca="false">IF($A839="","",IF(OR($Q839=TRUE(),$Q839="TRUE"),1,0))</f>
        <v/>
      </c>
      <c r="AL839" s="28" t="str">
        <f aca="false">IF($N839="","",IF(MATCH($N839,$N$2:$N$3001,0)=ROWS($N$2:$N839),$N839,""))</f>
        <v/>
      </c>
    </row>
    <row r="840" customFormat="false" ht="15" hidden="false" customHeight="false" outlineLevel="0" collapsed="false">
      <c r="E840" s="25"/>
      <c r="M840" s="26" t="str">
        <f aca="false">IF($A840="","",$L840*$U840/100)</f>
        <v/>
      </c>
      <c r="W840" s="26" t="str">
        <f aca="false">IF($A840="","",U840*AB840/100)</f>
        <v/>
      </c>
      <c r="X840" s="26" t="str">
        <f aca="false">IF($A840="","",U840-W840)</f>
        <v/>
      </c>
      <c r="Y840" s="26" t="str">
        <f aca="false">IF($A840="","",U840-W840-M840)</f>
        <v/>
      </c>
      <c r="AB840" s="27" t="str">
        <f aca="false">IF($A840="","",IF($AK840=1,'كشف المطالبة'!$D$5,'كشف المطالبة'!$D$6)*100)</f>
        <v/>
      </c>
      <c r="AK840" s="28" t="str">
        <f aca="false">IF($A840="","",IF(OR($Q840=TRUE(),$Q840="TRUE"),1,0))</f>
        <v/>
      </c>
      <c r="AL840" s="28" t="str">
        <f aca="false">IF($N840="","",IF(MATCH($N840,$N$2:$N$3001,0)=ROWS($N$2:$N840),$N840,""))</f>
        <v/>
      </c>
    </row>
    <row r="841" customFormat="false" ht="15" hidden="false" customHeight="false" outlineLevel="0" collapsed="false">
      <c r="E841" s="25"/>
      <c r="M841" s="26" t="str">
        <f aca="false">IF($A841="","",$L841*$U841/100)</f>
        <v/>
      </c>
      <c r="W841" s="26" t="str">
        <f aca="false">IF($A841="","",U841*AB841/100)</f>
        <v/>
      </c>
      <c r="X841" s="26" t="str">
        <f aca="false">IF($A841="","",U841-W841)</f>
        <v/>
      </c>
      <c r="Y841" s="26" t="str">
        <f aca="false">IF($A841="","",U841-W841-M841)</f>
        <v/>
      </c>
      <c r="AB841" s="27" t="str">
        <f aca="false">IF($A841="","",IF($AK841=1,'كشف المطالبة'!$D$5,'كشف المطالبة'!$D$6)*100)</f>
        <v/>
      </c>
      <c r="AK841" s="28" t="str">
        <f aca="false">IF($A841="","",IF(OR($Q841=TRUE(),$Q841="TRUE"),1,0))</f>
        <v/>
      </c>
      <c r="AL841" s="28" t="str">
        <f aca="false">IF($N841="","",IF(MATCH($N841,$N$2:$N$3001,0)=ROWS($N$2:$N841),$N841,""))</f>
        <v/>
      </c>
    </row>
    <row r="842" customFormat="false" ht="15" hidden="false" customHeight="false" outlineLevel="0" collapsed="false">
      <c r="E842" s="25"/>
      <c r="M842" s="26" t="str">
        <f aca="false">IF($A842="","",$L842*$U842/100)</f>
        <v/>
      </c>
      <c r="W842" s="26" t="str">
        <f aca="false">IF($A842="","",U842*AB842/100)</f>
        <v/>
      </c>
      <c r="X842" s="26" t="str">
        <f aca="false">IF($A842="","",U842-W842)</f>
        <v/>
      </c>
      <c r="Y842" s="26" t="str">
        <f aca="false">IF($A842="","",U842-W842-M842)</f>
        <v/>
      </c>
      <c r="AB842" s="27" t="str">
        <f aca="false">IF($A842="","",IF($AK842=1,'كشف المطالبة'!$D$5,'كشف المطالبة'!$D$6)*100)</f>
        <v/>
      </c>
      <c r="AK842" s="28" t="str">
        <f aca="false">IF($A842="","",IF(OR($Q842=TRUE(),$Q842="TRUE"),1,0))</f>
        <v/>
      </c>
      <c r="AL842" s="28" t="str">
        <f aca="false">IF($N842="","",IF(MATCH($N842,$N$2:$N$3001,0)=ROWS($N$2:$N842),$N842,""))</f>
        <v/>
      </c>
    </row>
    <row r="843" customFormat="false" ht="15" hidden="false" customHeight="false" outlineLevel="0" collapsed="false">
      <c r="E843" s="25"/>
      <c r="M843" s="26" t="str">
        <f aca="false">IF($A843="","",$L843*$U843/100)</f>
        <v/>
      </c>
      <c r="W843" s="26" t="str">
        <f aca="false">IF($A843="","",U843*AB843/100)</f>
        <v/>
      </c>
      <c r="X843" s="26" t="str">
        <f aca="false">IF($A843="","",U843-W843)</f>
        <v/>
      </c>
      <c r="Y843" s="26" t="str">
        <f aca="false">IF($A843="","",U843-W843-M843)</f>
        <v/>
      </c>
      <c r="AB843" s="27" t="str">
        <f aca="false">IF($A843="","",IF($AK843=1,'كشف المطالبة'!$D$5,'كشف المطالبة'!$D$6)*100)</f>
        <v/>
      </c>
      <c r="AK843" s="28" t="str">
        <f aca="false">IF($A843="","",IF(OR($Q843=TRUE(),$Q843="TRUE"),1,0))</f>
        <v/>
      </c>
      <c r="AL843" s="28" t="str">
        <f aca="false">IF($N843="","",IF(MATCH($N843,$N$2:$N$3001,0)=ROWS($N$2:$N843),$N843,""))</f>
        <v/>
      </c>
    </row>
    <row r="844" customFormat="false" ht="15" hidden="false" customHeight="false" outlineLevel="0" collapsed="false">
      <c r="E844" s="25"/>
      <c r="M844" s="26" t="str">
        <f aca="false">IF($A844="","",$L844*$U844/100)</f>
        <v/>
      </c>
      <c r="W844" s="26" t="str">
        <f aca="false">IF($A844="","",U844*AB844/100)</f>
        <v/>
      </c>
      <c r="X844" s="26" t="str">
        <f aca="false">IF($A844="","",U844-W844)</f>
        <v/>
      </c>
      <c r="Y844" s="26" t="str">
        <f aca="false">IF($A844="","",U844-W844-M844)</f>
        <v/>
      </c>
      <c r="AB844" s="27" t="str">
        <f aca="false">IF($A844="","",IF($AK844=1,'كشف المطالبة'!$D$5,'كشف المطالبة'!$D$6)*100)</f>
        <v/>
      </c>
      <c r="AK844" s="28" t="str">
        <f aca="false">IF($A844="","",IF(OR($Q844=TRUE(),$Q844="TRUE"),1,0))</f>
        <v/>
      </c>
      <c r="AL844" s="28" t="str">
        <f aca="false">IF($N844="","",IF(MATCH($N844,$N$2:$N$3001,0)=ROWS($N$2:$N844),$N844,""))</f>
        <v/>
      </c>
    </row>
    <row r="845" customFormat="false" ht="15" hidden="false" customHeight="false" outlineLevel="0" collapsed="false">
      <c r="E845" s="25"/>
      <c r="M845" s="26" t="str">
        <f aca="false">IF($A845="","",$L845*$U845/100)</f>
        <v/>
      </c>
      <c r="W845" s="26" t="str">
        <f aca="false">IF($A845="","",U845*AB845/100)</f>
        <v/>
      </c>
      <c r="X845" s="26" t="str">
        <f aca="false">IF($A845="","",U845-W845)</f>
        <v/>
      </c>
      <c r="Y845" s="26" t="str">
        <f aca="false">IF($A845="","",U845-W845-M845)</f>
        <v/>
      </c>
      <c r="AB845" s="27" t="str">
        <f aca="false">IF($A845="","",IF($AK845=1,'كشف المطالبة'!$D$5,'كشف المطالبة'!$D$6)*100)</f>
        <v/>
      </c>
      <c r="AK845" s="28" t="str">
        <f aca="false">IF($A845="","",IF(OR($Q845=TRUE(),$Q845="TRUE"),1,0))</f>
        <v/>
      </c>
      <c r="AL845" s="28" t="str">
        <f aca="false">IF($N845="","",IF(MATCH($N845,$N$2:$N$3001,0)=ROWS($N$2:$N845),$N845,""))</f>
        <v/>
      </c>
    </row>
    <row r="846" customFormat="false" ht="15" hidden="false" customHeight="false" outlineLevel="0" collapsed="false">
      <c r="E846" s="25"/>
      <c r="M846" s="26" t="str">
        <f aca="false">IF($A846="","",$L846*$U846/100)</f>
        <v/>
      </c>
      <c r="W846" s="26" t="str">
        <f aca="false">IF($A846="","",U846*AB846/100)</f>
        <v/>
      </c>
      <c r="X846" s="26" t="str">
        <f aca="false">IF($A846="","",U846-W846)</f>
        <v/>
      </c>
      <c r="Y846" s="26" t="str">
        <f aca="false">IF($A846="","",U846-W846-M846)</f>
        <v/>
      </c>
      <c r="AB846" s="27" t="str">
        <f aca="false">IF($A846="","",IF($AK846=1,'كشف المطالبة'!$D$5,'كشف المطالبة'!$D$6)*100)</f>
        <v/>
      </c>
      <c r="AK846" s="28" t="str">
        <f aca="false">IF($A846="","",IF(OR($Q846=TRUE(),$Q846="TRUE"),1,0))</f>
        <v/>
      </c>
      <c r="AL846" s="28" t="str">
        <f aca="false">IF($N846="","",IF(MATCH($N846,$N$2:$N$3001,0)=ROWS($N$2:$N846),$N846,""))</f>
        <v/>
      </c>
    </row>
    <row r="847" customFormat="false" ht="15" hidden="false" customHeight="false" outlineLevel="0" collapsed="false">
      <c r="E847" s="25"/>
      <c r="M847" s="26" t="str">
        <f aca="false">IF($A847="","",$L847*$U847/100)</f>
        <v/>
      </c>
      <c r="W847" s="26" t="str">
        <f aca="false">IF($A847="","",U847*AB847/100)</f>
        <v/>
      </c>
      <c r="X847" s="26" t="str">
        <f aca="false">IF($A847="","",U847-W847)</f>
        <v/>
      </c>
      <c r="Y847" s="26" t="str">
        <f aca="false">IF($A847="","",U847-W847-M847)</f>
        <v/>
      </c>
      <c r="AB847" s="27" t="str">
        <f aca="false">IF($A847="","",IF($AK847=1,'كشف المطالبة'!$D$5,'كشف المطالبة'!$D$6)*100)</f>
        <v/>
      </c>
      <c r="AK847" s="28" t="str">
        <f aca="false">IF($A847="","",IF(OR($Q847=TRUE(),$Q847="TRUE"),1,0))</f>
        <v/>
      </c>
      <c r="AL847" s="28" t="str">
        <f aca="false">IF($N847="","",IF(MATCH($N847,$N$2:$N$3001,0)=ROWS($N$2:$N847),$N847,""))</f>
        <v/>
      </c>
    </row>
    <row r="848" customFormat="false" ht="15" hidden="false" customHeight="false" outlineLevel="0" collapsed="false">
      <c r="E848" s="25"/>
      <c r="M848" s="26" t="str">
        <f aca="false">IF($A848="","",$L848*$U848/100)</f>
        <v/>
      </c>
      <c r="W848" s="26" t="str">
        <f aca="false">IF($A848="","",U848*AB848/100)</f>
        <v/>
      </c>
      <c r="X848" s="26" t="str">
        <f aca="false">IF($A848="","",U848-W848)</f>
        <v/>
      </c>
      <c r="Y848" s="26" t="str">
        <f aca="false">IF($A848="","",U848-W848-M848)</f>
        <v/>
      </c>
      <c r="AB848" s="27" t="str">
        <f aca="false">IF($A848="","",IF($AK848=1,'كشف المطالبة'!$D$5,'كشف المطالبة'!$D$6)*100)</f>
        <v/>
      </c>
      <c r="AK848" s="28" t="str">
        <f aca="false">IF($A848="","",IF(OR($Q848=TRUE(),$Q848="TRUE"),1,0))</f>
        <v/>
      </c>
      <c r="AL848" s="28" t="str">
        <f aca="false">IF($N848="","",IF(MATCH($N848,$N$2:$N$3001,0)=ROWS($N$2:$N848),$N848,""))</f>
        <v/>
      </c>
    </row>
    <row r="849" customFormat="false" ht="15" hidden="false" customHeight="false" outlineLevel="0" collapsed="false">
      <c r="E849" s="25"/>
      <c r="M849" s="26" t="str">
        <f aca="false">IF($A849="","",$L849*$U849/100)</f>
        <v/>
      </c>
      <c r="W849" s="26" t="str">
        <f aca="false">IF($A849="","",U849*AB849/100)</f>
        <v/>
      </c>
      <c r="X849" s="26" t="str">
        <f aca="false">IF($A849="","",U849-W849)</f>
        <v/>
      </c>
      <c r="Y849" s="26" t="str">
        <f aca="false">IF($A849="","",U849-W849-M849)</f>
        <v/>
      </c>
      <c r="AB849" s="27" t="str">
        <f aca="false">IF($A849="","",IF($AK849=1,'كشف المطالبة'!$D$5,'كشف المطالبة'!$D$6)*100)</f>
        <v/>
      </c>
      <c r="AK849" s="28" t="str">
        <f aca="false">IF($A849="","",IF(OR($Q849=TRUE(),$Q849="TRUE"),1,0))</f>
        <v/>
      </c>
      <c r="AL849" s="28" t="str">
        <f aca="false">IF($N849="","",IF(MATCH($N849,$N$2:$N$3001,0)=ROWS($N$2:$N849),$N849,""))</f>
        <v/>
      </c>
    </row>
    <row r="850" customFormat="false" ht="15" hidden="false" customHeight="false" outlineLevel="0" collapsed="false">
      <c r="E850" s="25"/>
      <c r="M850" s="26" t="str">
        <f aca="false">IF($A850="","",$L850*$U850/100)</f>
        <v/>
      </c>
      <c r="W850" s="26" t="str">
        <f aca="false">IF($A850="","",U850*AB850/100)</f>
        <v/>
      </c>
      <c r="X850" s="26" t="str">
        <f aca="false">IF($A850="","",U850-W850)</f>
        <v/>
      </c>
      <c r="Y850" s="26" t="str">
        <f aca="false">IF($A850="","",U850-W850-M850)</f>
        <v/>
      </c>
      <c r="AB850" s="27" t="str">
        <f aca="false">IF($A850="","",IF($AK850=1,'كشف المطالبة'!$D$5,'كشف المطالبة'!$D$6)*100)</f>
        <v/>
      </c>
      <c r="AK850" s="28" t="str">
        <f aca="false">IF($A850="","",IF(OR($Q850=TRUE(),$Q850="TRUE"),1,0))</f>
        <v/>
      </c>
      <c r="AL850" s="28" t="str">
        <f aca="false">IF($N850="","",IF(MATCH($N850,$N$2:$N$3001,0)=ROWS($N$2:$N850),$N850,""))</f>
        <v/>
      </c>
    </row>
    <row r="851" customFormat="false" ht="15" hidden="false" customHeight="false" outlineLevel="0" collapsed="false">
      <c r="E851" s="25"/>
      <c r="M851" s="26" t="str">
        <f aca="false">IF($A851="","",$L851*$U851/100)</f>
        <v/>
      </c>
      <c r="W851" s="26" t="str">
        <f aca="false">IF($A851="","",U851*AB851/100)</f>
        <v/>
      </c>
      <c r="X851" s="26" t="str">
        <f aca="false">IF($A851="","",U851-W851)</f>
        <v/>
      </c>
      <c r="Y851" s="26" t="str">
        <f aca="false">IF($A851="","",U851-W851-M851)</f>
        <v/>
      </c>
      <c r="AB851" s="27" t="str">
        <f aca="false">IF($A851="","",IF($AK851=1,'كشف المطالبة'!$D$5,'كشف المطالبة'!$D$6)*100)</f>
        <v/>
      </c>
      <c r="AK851" s="28" t="str">
        <f aca="false">IF($A851="","",IF(OR($Q851=TRUE(),$Q851="TRUE"),1,0))</f>
        <v/>
      </c>
      <c r="AL851" s="28" t="str">
        <f aca="false">IF($N851="","",IF(MATCH($N851,$N$2:$N$3001,0)=ROWS($N$2:$N851),$N851,""))</f>
        <v/>
      </c>
    </row>
    <row r="852" customFormat="false" ht="15" hidden="false" customHeight="false" outlineLevel="0" collapsed="false">
      <c r="E852" s="25"/>
      <c r="M852" s="26" t="str">
        <f aca="false">IF($A852="","",$L852*$U852/100)</f>
        <v/>
      </c>
      <c r="W852" s="26" t="str">
        <f aca="false">IF($A852="","",U852*AB852/100)</f>
        <v/>
      </c>
      <c r="X852" s="26" t="str">
        <f aca="false">IF($A852="","",U852-W852)</f>
        <v/>
      </c>
      <c r="Y852" s="26" t="str">
        <f aca="false">IF($A852="","",U852-W852-M852)</f>
        <v/>
      </c>
      <c r="AB852" s="27" t="str">
        <f aca="false">IF($A852="","",IF($AK852=1,'كشف المطالبة'!$D$5,'كشف المطالبة'!$D$6)*100)</f>
        <v/>
      </c>
      <c r="AK852" s="28" t="str">
        <f aca="false">IF($A852="","",IF(OR($Q852=TRUE(),$Q852="TRUE"),1,0))</f>
        <v/>
      </c>
      <c r="AL852" s="28" t="str">
        <f aca="false">IF($N852="","",IF(MATCH($N852,$N$2:$N$3001,0)=ROWS($N$2:$N852),$N852,""))</f>
        <v/>
      </c>
    </row>
    <row r="853" customFormat="false" ht="15" hidden="false" customHeight="false" outlineLevel="0" collapsed="false">
      <c r="E853" s="25"/>
      <c r="M853" s="26" t="str">
        <f aca="false">IF($A853="","",$L853*$U853/100)</f>
        <v/>
      </c>
      <c r="W853" s="26" t="str">
        <f aca="false">IF($A853="","",U853*AB853/100)</f>
        <v/>
      </c>
      <c r="X853" s="26" t="str">
        <f aca="false">IF($A853="","",U853-W853)</f>
        <v/>
      </c>
      <c r="Y853" s="26" t="str">
        <f aca="false">IF($A853="","",U853-W853-M853)</f>
        <v/>
      </c>
      <c r="AB853" s="27" t="str">
        <f aca="false">IF($A853="","",IF($AK853=1,'كشف المطالبة'!$D$5,'كشف المطالبة'!$D$6)*100)</f>
        <v/>
      </c>
      <c r="AK853" s="28" t="str">
        <f aca="false">IF($A853="","",IF(OR($Q853=TRUE(),$Q853="TRUE"),1,0))</f>
        <v/>
      </c>
      <c r="AL853" s="28" t="str">
        <f aca="false">IF($N853="","",IF(MATCH($N853,$N$2:$N$3001,0)=ROWS($N$2:$N853),$N853,""))</f>
        <v/>
      </c>
    </row>
    <row r="854" customFormat="false" ht="15" hidden="false" customHeight="false" outlineLevel="0" collapsed="false">
      <c r="E854" s="25"/>
      <c r="M854" s="26" t="str">
        <f aca="false">IF($A854="","",$L854*$U854/100)</f>
        <v/>
      </c>
      <c r="W854" s="26" t="str">
        <f aca="false">IF($A854="","",U854*AB854/100)</f>
        <v/>
      </c>
      <c r="X854" s="26" t="str">
        <f aca="false">IF($A854="","",U854-W854)</f>
        <v/>
      </c>
      <c r="Y854" s="26" t="str">
        <f aca="false">IF($A854="","",U854-W854-M854)</f>
        <v/>
      </c>
      <c r="AB854" s="27" t="str">
        <f aca="false">IF($A854="","",IF($AK854=1,'كشف المطالبة'!$D$5,'كشف المطالبة'!$D$6)*100)</f>
        <v/>
      </c>
      <c r="AK854" s="28" t="str">
        <f aca="false">IF($A854="","",IF(OR($Q854=TRUE(),$Q854="TRUE"),1,0))</f>
        <v/>
      </c>
      <c r="AL854" s="28" t="str">
        <f aca="false">IF($N854="","",IF(MATCH($N854,$N$2:$N$3001,0)=ROWS($N$2:$N854),$N854,""))</f>
        <v/>
      </c>
    </row>
    <row r="855" customFormat="false" ht="15" hidden="false" customHeight="false" outlineLevel="0" collapsed="false">
      <c r="E855" s="25"/>
      <c r="M855" s="26" t="str">
        <f aca="false">IF($A855="","",$L855*$U855/100)</f>
        <v/>
      </c>
      <c r="W855" s="26" t="str">
        <f aca="false">IF($A855="","",U855*AB855/100)</f>
        <v/>
      </c>
      <c r="X855" s="26" t="str">
        <f aca="false">IF($A855="","",U855-W855)</f>
        <v/>
      </c>
      <c r="Y855" s="26" t="str">
        <f aca="false">IF($A855="","",U855-W855-M855)</f>
        <v/>
      </c>
      <c r="AB855" s="27" t="str">
        <f aca="false">IF($A855="","",IF($AK855=1,'كشف المطالبة'!$D$5,'كشف المطالبة'!$D$6)*100)</f>
        <v/>
      </c>
      <c r="AK855" s="28" t="str">
        <f aca="false">IF($A855="","",IF(OR($Q855=TRUE(),$Q855="TRUE"),1,0))</f>
        <v/>
      </c>
      <c r="AL855" s="28" t="str">
        <f aca="false">IF($N855="","",IF(MATCH($N855,$N$2:$N$3001,0)=ROWS($N$2:$N855),$N855,""))</f>
        <v/>
      </c>
    </row>
    <row r="856" customFormat="false" ht="15" hidden="false" customHeight="false" outlineLevel="0" collapsed="false">
      <c r="E856" s="25"/>
      <c r="M856" s="26" t="str">
        <f aca="false">IF($A856="","",$L856*$U856/100)</f>
        <v/>
      </c>
      <c r="W856" s="26" t="str">
        <f aca="false">IF($A856="","",U856*AB856/100)</f>
        <v/>
      </c>
      <c r="X856" s="26" t="str">
        <f aca="false">IF($A856="","",U856-W856)</f>
        <v/>
      </c>
      <c r="Y856" s="26" t="str">
        <f aca="false">IF($A856="","",U856-W856-M856)</f>
        <v/>
      </c>
      <c r="AB856" s="27" t="str">
        <f aca="false">IF($A856="","",IF($AK856=1,'كشف المطالبة'!$D$5,'كشف المطالبة'!$D$6)*100)</f>
        <v/>
      </c>
      <c r="AK856" s="28" t="str">
        <f aca="false">IF($A856="","",IF(OR($Q856=TRUE(),$Q856="TRUE"),1,0))</f>
        <v/>
      </c>
      <c r="AL856" s="28" t="str">
        <f aca="false">IF($N856="","",IF(MATCH($N856,$N$2:$N$3001,0)=ROWS($N$2:$N856),$N856,""))</f>
        <v/>
      </c>
    </row>
    <row r="857" customFormat="false" ht="15" hidden="false" customHeight="false" outlineLevel="0" collapsed="false">
      <c r="E857" s="25"/>
      <c r="M857" s="26" t="str">
        <f aca="false">IF($A857="","",$L857*$U857/100)</f>
        <v/>
      </c>
      <c r="W857" s="26" t="str">
        <f aca="false">IF($A857="","",U857*AB857/100)</f>
        <v/>
      </c>
      <c r="X857" s="26" t="str">
        <f aca="false">IF($A857="","",U857-W857)</f>
        <v/>
      </c>
      <c r="Y857" s="26" t="str">
        <f aca="false">IF($A857="","",U857-W857-M857)</f>
        <v/>
      </c>
      <c r="AB857" s="27" t="str">
        <f aca="false">IF($A857="","",IF($AK857=1,'كشف المطالبة'!$D$5,'كشف المطالبة'!$D$6)*100)</f>
        <v/>
      </c>
      <c r="AK857" s="28" t="str">
        <f aca="false">IF($A857="","",IF(OR($Q857=TRUE(),$Q857="TRUE"),1,0))</f>
        <v/>
      </c>
      <c r="AL857" s="28" t="str">
        <f aca="false">IF($N857="","",IF(MATCH($N857,$N$2:$N$3001,0)=ROWS($N$2:$N857),$N857,""))</f>
        <v/>
      </c>
    </row>
    <row r="858" customFormat="false" ht="15" hidden="false" customHeight="false" outlineLevel="0" collapsed="false">
      <c r="E858" s="25"/>
      <c r="M858" s="26" t="str">
        <f aca="false">IF($A858="","",$L858*$U858/100)</f>
        <v/>
      </c>
      <c r="W858" s="26" t="str">
        <f aca="false">IF($A858="","",U858*AB858/100)</f>
        <v/>
      </c>
      <c r="X858" s="26" t="str">
        <f aca="false">IF($A858="","",U858-W858)</f>
        <v/>
      </c>
      <c r="Y858" s="26" t="str">
        <f aca="false">IF($A858="","",U858-W858-M858)</f>
        <v/>
      </c>
      <c r="AB858" s="27" t="str">
        <f aca="false">IF($A858="","",IF($AK858=1,'كشف المطالبة'!$D$5,'كشف المطالبة'!$D$6)*100)</f>
        <v/>
      </c>
      <c r="AK858" s="28" t="str">
        <f aca="false">IF($A858="","",IF(OR($Q858=TRUE(),$Q858="TRUE"),1,0))</f>
        <v/>
      </c>
      <c r="AL858" s="28" t="str">
        <f aca="false">IF($N858="","",IF(MATCH($N858,$N$2:$N$3001,0)=ROWS($N$2:$N858),$N858,""))</f>
        <v/>
      </c>
    </row>
    <row r="859" customFormat="false" ht="15" hidden="false" customHeight="false" outlineLevel="0" collapsed="false">
      <c r="E859" s="25"/>
      <c r="M859" s="26" t="str">
        <f aca="false">IF($A859="","",$L859*$U859/100)</f>
        <v/>
      </c>
      <c r="W859" s="26" t="str">
        <f aca="false">IF($A859="","",U859*AB859/100)</f>
        <v/>
      </c>
      <c r="X859" s="26" t="str">
        <f aca="false">IF($A859="","",U859-W859)</f>
        <v/>
      </c>
      <c r="Y859" s="26" t="str">
        <f aca="false">IF($A859="","",U859-W859-M859)</f>
        <v/>
      </c>
      <c r="AB859" s="27" t="str">
        <f aca="false">IF($A859="","",IF($AK859=1,'كشف المطالبة'!$D$5,'كشف المطالبة'!$D$6)*100)</f>
        <v/>
      </c>
      <c r="AK859" s="28" t="str">
        <f aca="false">IF($A859="","",IF(OR($Q859=TRUE(),$Q859="TRUE"),1,0))</f>
        <v/>
      </c>
      <c r="AL859" s="28" t="str">
        <f aca="false">IF($N859="","",IF(MATCH($N859,$N$2:$N$3001,0)=ROWS($N$2:$N859),$N859,""))</f>
        <v/>
      </c>
    </row>
    <row r="860" customFormat="false" ht="15" hidden="false" customHeight="false" outlineLevel="0" collapsed="false">
      <c r="E860" s="25"/>
      <c r="M860" s="26" t="str">
        <f aca="false">IF($A860="","",$L860*$U860/100)</f>
        <v/>
      </c>
      <c r="W860" s="26" t="str">
        <f aca="false">IF($A860="","",U860*AB860/100)</f>
        <v/>
      </c>
      <c r="X860" s="26" t="str">
        <f aca="false">IF($A860="","",U860-W860)</f>
        <v/>
      </c>
      <c r="Y860" s="26" t="str">
        <f aca="false">IF($A860="","",U860-W860-M860)</f>
        <v/>
      </c>
      <c r="AB860" s="27" t="str">
        <f aca="false">IF($A860="","",IF($AK860=1,'كشف المطالبة'!$D$5,'كشف المطالبة'!$D$6)*100)</f>
        <v/>
      </c>
      <c r="AK860" s="28" t="str">
        <f aca="false">IF($A860="","",IF(OR($Q860=TRUE(),$Q860="TRUE"),1,0))</f>
        <v/>
      </c>
      <c r="AL860" s="28" t="str">
        <f aca="false">IF($N860="","",IF(MATCH($N860,$N$2:$N$3001,0)=ROWS($N$2:$N860),$N860,""))</f>
        <v/>
      </c>
    </row>
    <row r="861" customFormat="false" ht="15" hidden="false" customHeight="false" outlineLevel="0" collapsed="false">
      <c r="E861" s="25"/>
      <c r="M861" s="26" t="str">
        <f aca="false">IF($A861="","",$L861*$U861/100)</f>
        <v/>
      </c>
      <c r="W861" s="26" t="str">
        <f aca="false">IF($A861="","",U861*AB861/100)</f>
        <v/>
      </c>
      <c r="X861" s="26" t="str">
        <f aca="false">IF($A861="","",U861-W861)</f>
        <v/>
      </c>
      <c r="Y861" s="26" t="str">
        <f aca="false">IF($A861="","",U861-W861-M861)</f>
        <v/>
      </c>
      <c r="AB861" s="27" t="str">
        <f aca="false">IF($A861="","",IF($AK861=1,'كشف المطالبة'!$D$5,'كشف المطالبة'!$D$6)*100)</f>
        <v/>
      </c>
      <c r="AK861" s="28" t="str">
        <f aca="false">IF($A861="","",IF(OR($Q861=TRUE(),$Q861="TRUE"),1,0))</f>
        <v/>
      </c>
      <c r="AL861" s="28" t="str">
        <f aca="false">IF($N861="","",IF(MATCH($N861,$N$2:$N$3001,0)=ROWS($N$2:$N861),$N861,""))</f>
        <v/>
      </c>
    </row>
    <row r="862" customFormat="false" ht="15" hidden="false" customHeight="false" outlineLevel="0" collapsed="false">
      <c r="E862" s="25"/>
      <c r="M862" s="26" t="str">
        <f aca="false">IF($A862="","",$L862*$U862/100)</f>
        <v/>
      </c>
      <c r="W862" s="26" t="str">
        <f aca="false">IF($A862="","",U862*AB862/100)</f>
        <v/>
      </c>
      <c r="X862" s="26" t="str">
        <f aca="false">IF($A862="","",U862-W862)</f>
        <v/>
      </c>
      <c r="Y862" s="26" t="str">
        <f aca="false">IF($A862="","",U862-W862-M862)</f>
        <v/>
      </c>
      <c r="AB862" s="27" t="str">
        <f aca="false">IF($A862="","",IF($AK862=1,'كشف المطالبة'!$D$5,'كشف المطالبة'!$D$6)*100)</f>
        <v/>
      </c>
      <c r="AK862" s="28" t="str">
        <f aca="false">IF($A862="","",IF(OR($Q862=TRUE(),$Q862="TRUE"),1,0))</f>
        <v/>
      </c>
      <c r="AL862" s="28" t="str">
        <f aca="false">IF($N862="","",IF(MATCH($N862,$N$2:$N$3001,0)=ROWS($N$2:$N862),$N862,""))</f>
        <v/>
      </c>
    </row>
    <row r="863" customFormat="false" ht="15" hidden="false" customHeight="false" outlineLevel="0" collapsed="false">
      <c r="E863" s="25"/>
      <c r="M863" s="26" t="str">
        <f aca="false">IF($A863="","",$L863*$U863/100)</f>
        <v/>
      </c>
      <c r="W863" s="26" t="str">
        <f aca="false">IF($A863="","",U863*AB863/100)</f>
        <v/>
      </c>
      <c r="X863" s="26" t="str">
        <f aca="false">IF($A863="","",U863-W863)</f>
        <v/>
      </c>
      <c r="Y863" s="26" t="str">
        <f aca="false">IF($A863="","",U863-W863-M863)</f>
        <v/>
      </c>
      <c r="AB863" s="27" t="str">
        <f aca="false">IF($A863="","",IF($AK863=1,'كشف المطالبة'!$D$5,'كشف المطالبة'!$D$6)*100)</f>
        <v/>
      </c>
      <c r="AK863" s="28" t="str">
        <f aca="false">IF($A863="","",IF(OR($Q863=TRUE(),$Q863="TRUE"),1,0))</f>
        <v/>
      </c>
      <c r="AL863" s="28" t="str">
        <f aca="false">IF($N863="","",IF(MATCH($N863,$N$2:$N$3001,0)=ROWS($N$2:$N863),$N863,""))</f>
        <v/>
      </c>
    </row>
    <row r="864" customFormat="false" ht="15" hidden="false" customHeight="false" outlineLevel="0" collapsed="false">
      <c r="E864" s="25"/>
      <c r="M864" s="26" t="str">
        <f aca="false">IF($A864="","",$L864*$U864/100)</f>
        <v/>
      </c>
      <c r="W864" s="26" t="str">
        <f aca="false">IF($A864="","",U864*AB864/100)</f>
        <v/>
      </c>
      <c r="X864" s="26" t="str">
        <f aca="false">IF($A864="","",U864-W864)</f>
        <v/>
      </c>
      <c r="Y864" s="26" t="str">
        <f aca="false">IF($A864="","",U864-W864-M864)</f>
        <v/>
      </c>
      <c r="AB864" s="27" t="str">
        <f aca="false">IF($A864="","",IF($AK864=1,'كشف المطالبة'!$D$5,'كشف المطالبة'!$D$6)*100)</f>
        <v/>
      </c>
      <c r="AK864" s="28" t="str">
        <f aca="false">IF($A864="","",IF(OR($Q864=TRUE(),$Q864="TRUE"),1,0))</f>
        <v/>
      </c>
      <c r="AL864" s="28" t="str">
        <f aca="false">IF($N864="","",IF(MATCH($N864,$N$2:$N$3001,0)=ROWS($N$2:$N864),$N864,""))</f>
        <v/>
      </c>
    </row>
    <row r="865" customFormat="false" ht="15" hidden="false" customHeight="false" outlineLevel="0" collapsed="false">
      <c r="E865" s="25"/>
      <c r="M865" s="26" t="str">
        <f aca="false">IF($A865="","",$L865*$U865/100)</f>
        <v/>
      </c>
      <c r="W865" s="26" t="str">
        <f aca="false">IF($A865="","",U865*AB865/100)</f>
        <v/>
      </c>
      <c r="X865" s="26" t="str">
        <f aca="false">IF($A865="","",U865-W865)</f>
        <v/>
      </c>
      <c r="Y865" s="26" t="str">
        <f aca="false">IF($A865="","",U865-W865-M865)</f>
        <v/>
      </c>
      <c r="AB865" s="27" t="str">
        <f aca="false">IF($A865="","",IF($AK865=1,'كشف المطالبة'!$D$5,'كشف المطالبة'!$D$6)*100)</f>
        <v/>
      </c>
      <c r="AK865" s="28" t="str">
        <f aca="false">IF($A865="","",IF(OR($Q865=TRUE(),$Q865="TRUE"),1,0))</f>
        <v/>
      </c>
      <c r="AL865" s="28" t="str">
        <f aca="false">IF($N865="","",IF(MATCH($N865,$N$2:$N$3001,0)=ROWS($N$2:$N865),$N865,""))</f>
        <v/>
      </c>
    </row>
    <row r="866" customFormat="false" ht="15" hidden="false" customHeight="false" outlineLevel="0" collapsed="false">
      <c r="E866" s="25"/>
      <c r="M866" s="26" t="str">
        <f aca="false">IF($A866="","",$L866*$U866/100)</f>
        <v/>
      </c>
      <c r="W866" s="26" t="str">
        <f aca="false">IF($A866="","",U866*AB866/100)</f>
        <v/>
      </c>
      <c r="X866" s="26" t="str">
        <f aca="false">IF($A866="","",U866-W866)</f>
        <v/>
      </c>
      <c r="Y866" s="26" t="str">
        <f aca="false">IF($A866="","",U866-W866-M866)</f>
        <v/>
      </c>
      <c r="AB866" s="27" t="str">
        <f aca="false">IF($A866="","",IF($AK866=1,'كشف المطالبة'!$D$5,'كشف المطالبة'!$D$6)*100)</f>
        <v/>
      </c>
      <c r="AK866" s="28" t="str">
        <f aca="false">IF($A866="","",IF(OR($Q866=TRUE(),$Q866="TRUE"),1,0))</f>
        <v/>
      </c>
      <c r="AL866" s="28" t="str">
        <f aca="false">IF($N866="","",IF(MATCH($N866,$N$2:$N$3001,0)=ROWS($N$2:$N866),$N866,""))</f>
        <v/>
      </c>
    </row>
    <row r="867" customFormat="false" ht="15" hidden="false" customHeight="false" outlineLevel="0" collapsed="false">
      <c r="E867" s="25"/>
      <c r="M867" s="26" t="str">
        <f aca="false">IF($A867="","",$L867*$U867/100)</f>
        <v/>
      </c>
      <c r="W867" s="26" t="str">
        <f aca="false">IF($A867="","",U867*AB867/100)</f>
        <v/>
      </c>
      <c r="X867" s="26" t="str">
        <f aca="false">IF($A867="","",U867-W867)</f>
        <v/>
      </c>
      <c r="Y867" s="26" t="str">
        <f aca="false">IF($A867="","",U867-W867-M867)</f>
        <v/>
      </c>
      <c r="AB867" s="27" t="str">
        <f aca="false">IF($A867="","",IF($AK867=1,'كشف المطالبة'!$D$5,'كشف المطالبة'!$D$6)*100)</f>
        <v/>
      </c>
      <c r="AK867" s="28" t="str">
        <f aca="false">IF($A867="","",IF(OR($Q867=TRUE(),$Q867="TRUE"),1,0))</f>
        <v/>
      </c>
      <c r="AL867" s="28" t="str">
        <f aca="false">IF($N867="","",IF(MATCH($N867,$N$2:$N$3001,0)=ROWS($N$2:$N867),$N867,""))</f>
        <v/>
      </c>
    </row>
    <row r="868" customFormat="false" ht="15" hidden="false" customHeight="false" outlineLevel="0" collapsed="false">
      <c r="E868" s="25"/>
      <c r="M868" s="26" t="str">
        <f aca="false">IF($A868="","",$L868*$U868/100)</f>
        <v/>
      </c>
      <c r="W868" s="26" t="str">
        <f aca="false">IF($A868="","",U868*AB868/100)</f>
        <v/>
      </c>
      <c r="X868" s="26" t="str">
        <f aca="false">IF($A868="","",U868-W868)</f>
        <v/>
      </c>
      <c r="Y868" s="26" t="str">
        <f aca="false">IF($A868="","",U868-W868-M868)</f>
        <v/>
      </c>
      <c r="AB868" s="27" t="str">
        <f aca="false">IF($A868="","",IF($AK868=1,'كشف المطالبة'!$D$5,'كشف المطالبة'!$D$6)*100)</f>
        <v/>
      </c>
      <c r="AK868" s="28" t="str">
        <f aca="false">IF($A868="","",IF(OR($Q868=TRUE(),$Q868="TRUE"),1,0))</f>
        <v/>
      </c>
      <c r="AL868" s="28" t="str">
        <f aca="false">IF($N868="","",IF(MATCH($N868,$N$2:$N$3001,0)=ROWS($N$2:$N868),$N868,""))</f>
        <v/>
      </c>
    </row>
    <row r="869" customFormat="false" ht="15" hidden="false" customHeight="false" outlineLevel="0" collapsed="false">
      <c r="E869" s="25"/>
      <c r="M869" s="26" t="str">
        <f aca="false">IF($A869="","",$L869*$U869/100)</f>
        <v/>
      </c>
      <c r="W869" s="26" t="str">
        <f aca="false">IF($A869="","",U869*AB869/100)</f>
        <v/>
      </c>
      <c r="X869" s="26" t="str">
        <f aca="false">IF($A869="","",U869-W869)</f>
        <v/>
      </c>
      <c r="Y869" s="26" t="str">
        <f aca="false">IF($A869="","",U869-W869-M869)</f>
        <v/>
      </c>
      <c r="AB869" s="27" t="str">
        <f aca="false">IF($A869="","",IF($AK869=1,'كشف المطالبة'!$D$5,'كشف المطالبة'!$D$6)*100)</f>
        <v/>
      </c>
      <c r="AK869" s="28" t="str">
        <f aca="false">IF($A869="","",IF(OR($Q869=TRUE(),$Q869="TRUE"),1,0))</f>
        <v/>
      </c>
      <c r="AL869" s="28" t="str">
        <f aca="false">IF($N869="","",IF(MATCH($N869,$N$2:$N$3001,0)=ROWS($N$2:$N869),$N869,""))</f>
        <v/>
      </c>
    </row>
    <row r="870" customFormat="false" ht="15" hidden="false" customHeight="false" outlineLevel="0" collapsed="false">
      <c r="E870" s="25"/>
      <c r="M870" s="26" t="str">
        <f aca="false">IF($A870="","",$L870*$U870/100)</f>
        <v/>
      </c>
      <c r="W870" s="26" t="str">
        <f aca="false">IF($A870="","",U870*AB870/100)</f>
        <v/>
      </c>
      <c r="X870" s="26" t="str">
        <f aca="false">IF($A870="","",U870-W870)</f>
        <v/>
      </c>
      <c r="Y870" s="26" t="str">
        <f aca="false">IF($A870="","",U870-W870-M870)</f>
        <v/>
      </c>
      <c r="AB870" s="27" t="str">
        <f aca="false">IF($A870="","",IF($AK870=1,'كشف المطالبة'!$D$5,'كشف المطالبة'!$D$6)*100)</f>
        <v/>
      </c>
      <c r="AK870" s="28" t="str">
        <f aca="false">IF($A870="","",IF(OR($Q870=TRUE(),$Q870="TRUE"),1,0))</f>
        <v/>
      </c>
      <c r="AL870" s="28" t="str">
        <f aca="false">IF($N870="","",IF(MATCH($N870,$N$2:$N$3001,0)=ROWS($N$2:$N870),$N870,""))</f>
        <v/>
      </c>
    </row>
    <row r="871" customFormat="false" ht="15" hidden="false" customHeight="false" outlineLevel="0" collapsed="false">
      <c r="E871" s="25"/>
      <c r="M871" s="26" t="str">
        <f aca="false">IF($A871="","",$L871*$U871/100)</f>
        <v/>
      </c>
      <c r="W871" s="26" t="str">
        <f aca="false">IF($A871="","",U871*AB871/100)</f>
        <v/>
      </c>
      <c r="X871" s="26" t="str">
        <f aca="false">IF($A871="","",U871-W871)</f>
        <v/>
      </c>
      <c r="Y871" s="26" t="str">
        <f aca="false">IF($A871="","",U871-W871-M871)</f>
        <v/>
      </c>
      <c r="AB871" s="27" t="str">
        <f aca="false">IF($A871="","",IF($AK871=1,'كشف المطالبة'!$D$5,'كشف المطالبة'!$D$6)*100)</f>
        <v/>
      </c>
      <c r="AK871" s="28" t="str">
        <f aca="false">IF($A871="","",IF(OR($Q871=TRUE(),$Q871="TRUE"),1,0))</f>
        <v/>
      </c>
      <c r="AL871" s="28" t="str">
        <f aca="false">IF($N871="","",IF(MATCH($N871,$N$2:$N$3001,0)=ROWS($N$2:$N871),$N871,""))</f>
        <v/>
      </c>
    </row>
    <row r="872" customFormat="false" ht="15" hidden="false" customHeight="false" outlineLevel="0" collapsed="false">
      <c r="E872" s="25"/>
      <c r="M872" s="26" t="str">
        <f aca="false">IF($A872="","",$L872*$U872/100)</f>
        <v/>
      </c>
      <c r="W872" s="26" t="str">
        <f aca="false">IF($A872="","",U872*AB872/100)</f>
        <v/>
      </c>
      <c r="X872" s="26" t="str">
        <f aca="false">IF($A872="","",U872-W872)</f>
        <v/>
      </c>
      <c r="Y872" s="26" t="str">
        <f aca="false">IF($A872="","",U872-W872-M872)</f>
        <v/>
      </c>
      <c r="AB872" s="27" t="str">
        <f aca="false">IF($A872="","",IF($AK872=1,'كشف المطالبة'!$D$5,'كشف المطالبة'!$D$6)*100)</f>
        <v/>
      </c>
      <c r="AK872" s="28" t="str">
        <f aca="false">IF($A872="","",IF(OR($Q872=TRUE(),$Q872="TRUE"),1,0))</f>
        <v/>
      </c>
      <c r="AL872" s="28" t="str">
        <f aca="false">IF($N872="","",IF(MATCH($N872,$N$2:$N$3001,0)=ROWS($N$2:$N872),$N872,""))</f>
        <v/>
      </c>
    </row>
    <row r="873" customFormat="false" ht="15" hidden="false" customHeight="false" outlineLevel="0" collapsed="false">
      <c r="E873" s="25"/>
      <c r="M873" s="26" t="str">
        <f aca="false">IF($A873="","",$L873*$U873/100)</f>
        <v/>
      </c>
      <c r="W873" s="26" t="str">
        <f aca="false">IF($A873="","",U873*AB873/100)</f>
        <v/>
      </c>
      <c r="X873" s="26" t="str">
        <f aca="false">IF($A873="","",U873-W873)</f>
        <v/>
      </c>
      <c r="Y873" s="26" t="str">
        <f aca="false">IF($A873="","",U873-W873-M873)</f>
        <v/>
      </c>
      <c r="AB873" s="27" t="str">
        <f aca="false">IF($A873="","",IF($AK873=1,'كشف المطالبة'!$D$5,'كشف المطالبة'!$D$6)*100)</f>
        <v/>
      </c>
      <c r="AK873" s="28" t="str">
        <f aca="false">IF($A873="","",IF(OR($Q873=TRUE(),$Q873="TRUE"),1,0))</f>
        <v/>
      </c>
      <c r="AL873" s="28" t="str">
        <f aca="false">IF($N873="","",IF(MATCH($N873,$N$2:$N$3001,0)=ROWS($N$2:$N873),$N873,""))</f>
        <v/>
      </c>
    </row>
    <row r="874" customFormat="false" ht="15" hidden="false" customHeight="false" outlineLevel="0" collapsed="false">
      <c r="E874" s="25"/>
      <c r="M874" s="26" t="str">
        <f aca="false">IF($A874="","",$L874*$U874/100)</f>
        <v/>
      </c>
      <c r="W874" s="26" t="str">
        <f aca="false">IF($A874="","",U874*AB874/100)</f>
        <v/>
      </c>
      <c r="X874" s="26" t="str">
        <f aca="false">IF($A874="","",U874-W874)</f>
        <v/>
      </c>
      <c r="Y874" s="26" t="str">
        <f aca="false">IF($A874="","",U874-W874-M874)</f>
        <v/>
      </c>
      <c r="AB874" s="27" t="str">
        <f aca="false">IF($A874="","",IF($AK874=1,'كشف المطالبة'!$D$5,'كشف المطالبة'!$D$6)*100)</f>
        <v/>
      </c>
      <c r="AK874" s="28" t="str">
        <f aca="false">IF($A874="","",IF(OR($Q874=TRUE(),$Q874="TRUE"),1,0))</f>
        <v/>
      </c>
      <c r="AL874" s="28" t="str">
        <f aca="false">IF($N874="","",IF(MATCH($N874,$N$2:$N$3001,0)=ROWS($N$2:$N874),$N874,""))</f>
        <v/>
      </c>
    </row>
    <row r="875" customFormat="false" ht="15" hidden="false" customHeight="false" outlineLevel="0" collapsed="false">
      <c r="E875" s="25"/>
      <c r="M875" s="26" t="str">
        <f aca="false">IF($A875="","",$L875*$U875/100)</f>
        <v/>
      </c>
      <c r="W875" s="26" t="str">
        <f aca="false">IF($A875="","",U875*AB875/100)</f>
        <v/>
      </c>
      <c r="X875" s="26" t="str">
        <f aca="false">IF($A875="","",U875-W875)</f>
        <v/>
      </c>
      <c r="Y875" s="26" t="str">
        <f aca="false">IF($A875="","",U875-W875-M875)</f>
        <v/>
      </c>
      <c r="AB875" s="27" t="str">
        <f aca="false">IF($A875="","",IF($AK875=1,'كشف المطالبة'!$D$5,'كشف المطالبة'!$D$6)*100)</f>
        <v/>
      </c>
      <c r="AK875" s="28" t="str">
        <f aca="false">IF($A875="","",IF(OR($Q875=TRUE(),$Q875="TRUE"),1,0))</f>
        <v/>
      </c>
      <c r="AL875" s="28" t="str">
        <f aca="false">IF($N875="","",IF(MATCH($N875,$N$2:$N$3001,0)=ROWS($N$2:$N875),$N875,""))</f>
        <v/>
      </c>
    </row>
    <row r="876" customFormat="false" ht="15" hidden="false" customHeight="false" outlineLevel="0" collapsed="false">
      <c r="E876" s="25"/>
      <c r="M876" s="26" t="str">
        <f aca="false">IF($A876="","",$L876*$U876/100)</f>
        <v/>
      </c>
      <c r="W876" s="26" t="str">
        <f aca="false">IF($A876="","",U876*AB876/100)</f>
        <v/>
      </c>
      <c r="X876" s="26" t="str">
        <f aca="false">IF($A876="","",U876-W876)</f>
        <v/>
      </c>
      <c r="Y876" s="26" t="str">
        <f aca="false">IF($A876="","",U876-W876-M876)</f>
        <v/>
      </c>
      <c r="AB876" s="27" t="str">
        <f aca="false">IF($A876="","",IF($AK876=1,'كشف المطالبة'!$D$5,'كشف المطالبة'!$D$6)*100)</f>
        <v/>
      </c>
      <c r="AK876" s="28" t="str">
        <f aca="false">IF($A876="","",IF(OR($Q876=TRUE(),$Q876="TRUE"),1,0))</f>
        <v/>
      </c>
      <c r="AL876" s="28" t="str">
        <f aca="false">IF($N876="","",IF(MATCH($N876,$N$2:$N$3001,0)=ROWS($N$2:$N876),$N876,""))</f>
        <v/>
      </c>
    </row>
    <row r="877" customFormat="false" ht="15" hidden="false" customHeight="false" outlineLevel="0" collapsed="false">
      <c r="E877" s="25"/>
      <c r="M877" s="26" t="str">
        <f aca="false">IF($A877="","",$L877*$U877/100)</f>
        <v/>
      </c>
      <c r="W877" s="26" t="str">
        <f aca="false">IF($A877="","",U877*AB877/100)</f>
        <v/>
      </c>
      <c r="X877" s="26" t="str">
        <f aca="false">IF($A877="","",U877-W877)</f>
        <v/>
      </c>
      <c r="Y877" s="26" t="str">
        <f aca="false">IF($A877="","",U877-W877-M877)</f>
        <v/>
      </c>
      <c r="AB877" s="27" t="str">
        <f aca="false">IF($A877="","",IF($AK877=1,'كشف المطالبة'!$D$5,'كشف المطالبة'!$D$6)*100)</f>
        <v/>
      </c>
      <c r="AK877" s="28" t="str">
        <f aca="false">IF($A877="","",IF(OR($Q877=TRUE(),$Q877="TRUE"),1,0))</f>
        <v/>
      </c>
      <c r="AL877" s="28" t="str">
        <f aca="false">IF($N877="","",IF(MATCH($N877,$N$2:$N$3001,0)=ROWS($N$2:$N877),$N877,""))</f>
        <v/>
      </c>
    </row>
    <row r="878" customFormat="false" ht="15" hidden="false" customHeight="false" outlineLevel="0" collapsed="false">
      <c r="E878" s="25"/>
      <c r="M878" s="26" t="str">
        <f aca="false">IF($A878="","",$L878*$U878/100)</f>
        <v/>
      </c>
      <c r="W878" s="26" t="str">
        <f aca="false">IF($A878="","",U878*AB878/100)</f>
        <v/>
      </c>
      <c r="X878" s="26" t="str">
        <f aca="false">IF($A878="","",U878-W878)</f>
        <v/>
      </c>
      <c r="Y878" s="26" t="str">
        <f aca="false">IF($A878="","",U878-W878-M878)</f>
        <v/>
      </c>
      <c r="AB878" s="27" t="str">
        <f aca="false">IF($A878="","",IF($AK878=1,'كشف المطالبة'!$D$5,'كشف المطالبة'!$D$6)*100)</f>
        <v/>
      </c>
      <c r="AK878" s="28" t="str">
        <f aca="false">IF($A878="","",IF(OR($Q878=TRUE(),$Q878="TRUE"),1,0))</f>
        <v/>
      </c>
      <c r="AL878" s="28" t="str">
        <f aca="false">IF($N878="","",IF(MATCH($N878,$N$2:$N$3001,0)=ROWS($N$2:$N878),$N878,""))</f>
        <v/>
      </c>
    </row>
    <row r="879" customFormat="false" ht="15" hidden="false" customHeight="false" outlineLevel="0" collapsed="false">
      <c r="E879" s="25"/>
      <c r="M879" s="26" t="str">
        <f aca="false">IF($A879="","",$L879*$U879/100)</f>
        <v/>
      </c>
      <c r="W879" s="26" t="str">
        <f aca="false">IF($A879="","",U879*AB879/100)</f>
        <v/>
      </c>
      <c r="X879" s="26" t="str">
        <f aca="false">IF($A879="","",U879-W879)</f>
        <v/>
      </c>
      <c r="Y879" s="26" t="str">
        <f aca="false">IF($A879="","",U879-W879-M879)</f>
        <v/>
      </c>
      <c r="AB879" s="27" t="str">
        <f aca="false">IF($A879="","",IF($AK879=1,'كشف المطالبة'!$D$5,'كشف المطالبة'!$D$6)*100)</f>
        <v/>
      </c>
      <c r="AK879" s="28" t="str">
        <f aca="false">IF($A879="","",IF(OR($Q879=TRUE(),$Q879="TRUE"),1,0))</f>
        <v/>
      </c>
      <c r="AL879" s="28" t="str">
        <f aca="false">IF($N879="","",IF(MATCH($N879,$N$2:$N$3001,0)=ROWS($N$2:$N879),$N879,""))</f>
        <v/>
      </c>
    </row>
    <row r="880" customFormat="false" ht="15" hidden="false" customHeight="false" outlineLevel="0" collapsed="false">
      <c r="E880" s="25"/>
      <c r="M880" s="26" t="str">
        <f aca="false">IF($A880="","",$L880*$U880/100)</f>
        <v/>
      </c>
      <c r="W880" s="26" t="str">
        <f aca="false">IF($A880="","",U880*AB880/100)</f>
        <v/>
      </c>
      <c r="X880" s="26" t="str">
        <f aca="false">IF($A880="","",U880-W880)</f>
        <v/>
      </c>
      <c r="Y880" s="26" t="str">
        <f aca="false">IF($A880="","",U880-W880-M880)</f>
        <v/>
      </c>
      <c r="AB880" s="27" t="str">
        <f aca="false">IF($A880="","",IF($AK880=1,'كشف المطالبة'!$D$5,'كشف المطالبة'!$D$6)*100)</f>
        <v/>
      </c>
      <c r="AK880" s="28" t="str">
        <f aca="false">IF($A880="","",IF(OR($Q880=TRUE(),$Q880="TRUE"),1,0))</f>
        <v/>
      </c>
      <c r="AL880" s="28" t="str">
        <f aca="false">IF($N880="","",IF(MATCH($N880,$N$2:$N$3001,0)=ROWS($N$2:$N880),$N880,""))</f>
        <v/>
      </c>
    </row>
    <row r="881" customFormat="false" ht="15" hidden="false" customHeight="false" outlineLevel="0" collapsed="false">
      <c r="E881" s="25"/>
      <c r="M881" s="26" t="str">
        <f aca="false">IF($A881="","",$L881*$U881/100)</f>
        <v/>
      </c>
      <c r="W881" s="26" t="str">
        <f aca="false">IF($A881="","",U881*AB881/100)</f>
        <v/>
      </c>
      <c r="X881" s="26" t="str">
        <f aca="false">IF($A881="","",U881-W881)</f>
        <v/>
      </c>
      <c r="Y881" s="26" t="str">
        <f aca="false">IF($A881="","",U881-W881-M881)</f>
        <v/>
      </c>
      <c r="AB881" s="27" t="str">
        <f aca="false">IF($A881="","",IF($AK881=1,'كشف المطالبة'!$D$5,'كشف المطالبة'!$D$6)*100)</f>
        <v/>
      </c>
      <c r="AK881" s="28" t="str">
        <f aca="false">IF($A881="","",IF(OR($Q881=TRUE(),$Q881="TRUE"),1,0))</f>
        <v/>
      </c>
      <c r="AL881" s="28" t="str">
        <f aca="false">IF($N881="","",IF(MATCH($N881,$N$2:$N$3001,0)=ROWS($N$2:$N881),$N881,""))</f>
        <v/>
      </c>
    </row>
    <row r="882" customFormat="false" ht="15" hidden="false" customHeight="false" outlineLevel="0" collapsed="false">
      <c r="E882" s="25"/>
      <c r="M882" s="26" t="str">
        <f aca="false">IF($A882="","",$L882*$U882/100)</f>
        <v/>
      </c>
      <c r="W882" s="26" t="str">
        <f aca="false">IF($A882="","",U882*AB882/100)</f>
        <v/>
      </c>
      <c r="X882" s="26" t="str">
        <f aca="false">IF($A882="","",U882-W882)</f>
        <v/>
      </c>
      <c r="Y882" s="26" t="str">
        <f aca="false">IF($A882="","",U882-W882-M882)</f>
        <v/>
      </c>
      <c r="AB882" s="27" t="str">
        <f aca="false">IF($A882="","",IF($AK882=1,'كشف المطالبة'!$D$5,'كشف المطالبة'!$D$6)*100)</f>
        <v/>
      </c>
      <c r="AK882" s="28" t="str">
        <f aca="false">IF($A882="","",IF(OR($Q882=TRUE(),$Q882="TRUE"),1,0))</f>
        <v/>
      </c>
      <c r="AL882" s="28" t="str">
        <f aca="false">IF($N882="","",IF(MATCH($N882,$N$2:$N$3001,0)=ROWS($N$2:$N882),$N882,""))</f>
        <v/>
      </c>
    </row>
    <row r="883" customFormat="false" ht="15" hidden="false" customHeight="false" outlineLevel="0" collapsed="false">
      <c r="E883" s="25"/>
      <c r="M883" s="26" t="str">
        <f aca="false">IF($A883="","",$L883*$U883/100)</f>
        <v/>
      </c>
      <c r="W883" s="26" t="str">
        <f aca="false">IF($A883="","",U883*AB883/100)</f>
        <v/>
      </c>
      <c r="X883" s="26" t="str">
        <f aca="false">IF($A883="","",U883-W883)</f>
        <v/>
      </c>
      <c r="Y883" s="26" t="str">
        <f aca="false">IF($A883="","",U883-W883-M883)</f>
        <v/>
      </c>
      <c r="AB883" s="27" t="str">
        <f aca="false">IF($A883="","",IF($AK883=1,'كشف المطالبة'!$D$5,'كشف المطالبة'!$D$6)*100)</f>
        <v/>
      </c>
      <c r="AK883" s="28" t="str">
        <f aca="false">IF($A883="","",IF(OR($Q883=TRUE(),$Q883="TRUE"),1,0))</f>
        <v/>
      </c>
      <c r="AL883" s="28" t="str">
        <f aca="false">IF($N883="","",IF(MATCH($N883,$N$2:$N$3001,0)=ROWS($N$2:$N883),$N883,""))</f>
        <v/>
      </c>
    </row>
    <row r="884" customFormat="false" ht="15" hidden="false" customHeight="false" outlineLevel="0" collapsed="false">
      <c r="E884" s="25"/>
      <c r="M884" s="26" t="str">
        <f aca="false">IF($A884="","",$L884*$U884/100)</f>
        <v/>
      </c>
      <c r="W884" s="26" t="str">
        <f aca="false">IF($A884="","",U884*AB884/100)</f>
        <v/>
      </c>
      <c r="X884" s="26" t="str">
        <f aca="false">IF($A884="","",U884-W884)</f>
        <v/>
      </c>
      <c r="Y884" s="26" t="str">
        <f aca="false">IF($A884="","",U884-W884-M884)</f>
        <v/>
      </c>
      <c r="AB884" s="27" t="str">
        <f aca="false">IF($A884="","",IF($AK884=1,'كشف المطالبة'!$D$5,'كشف المطالبة'!$D$6)*100)</f>
        <v/>
      </c>
      <c r="AK884" s="28" t="str">
        <f aca="false">IF($A884="","",IF(OR($Q884=TRUE(),$Q884="TRUE"),1,0))</f>
        <v/>
      </c>
      <c r="AL884" s="28" t="str">
        <f aca="false">IF($N884="","",IF(MATCH($N884,$N$2:$N$3001,0)=ROWS($N$2:$N884),$N884,""))</f>
        <v/>
      </c>
    </row>
    <row r="885" customFormat="false" ht="15" hidden="false" customHeight="false" outlineLevel="0" collapsed="false">
      <c r="E885" s="25"/>
      <c r="M885" s="26" t="str">
        <f aca="false">IF($A885="","",$L885*$U885/100)</f>
        <v/>
      </c>
      <c r="W885" s="26" t="str">
        <f aca="false">IF($A885="","",U885*AB885/100)</f>
        <v/>
      </c>
      <c r="X885" s="26" t="str">
        <f aca="false">IF($A885="","",U885-W885)</f>
        <v/>
      </c>
      <c r="Y885" s="26" t="str">
        <f aca="false">IF($A885="","",U885-W885-M885)</f>
        <v/>
      </c>
      <c r="AB885" s="27" t="str">
        <f aca="false">IF($A885="","",IF($AK885=1,'كشف المطالبة'!$D$5,'كشف المطالبة'!$D$6)*100)</f>
        <v/>
      </c>
      <c r="AK885" s="28" t="str">
        <f aca="false">IF($A885="","",IF(OR($Q885=TRUE(),$Q885="TRUE"),1,0))</f>
        <v/>
      </c>
      <c r="AL885" s="28" t="str">
        <f aca="false">IF($N885="","",IF(MATCH($N885,$N$2:$N$3001,0)=ROWS($N$2:$N885),$N885,""))</f>
        <v/>
      </c>
    </row>
    <row r="886" customFormat="false" ht="15" hidden="false" customHeight="false" outlineLevel="0" collapsed="false">
      <c r="E886" s="25"/>
      <c r="M886" s="26" t="str">
        <f aca="false">IF($A886="","",$L886*$U886/100)</f>
        <v/>
      </c>
      <c r="W886" s="26" t="str">
        <f aca="false">IF($A886="","",U886*AB886/100)</f>
        <v/>
      </c>
      <c r="X886" s="26" t="str">
        <f aca="false">IF($A886="","",U886-W886)</f>
        <v/>
      </c>
      <c r="Y886" s="26" t="str">
        <f aca="false">IF($A886="","",U886-W886-M886)</f>
        <v/>
      </c>
      <c r="AB886" s="27" t="str">
        <f aca="false">IF($A886="","",IF($AK886=1,'كشف المطالبة'!$D$5,'كشف المطالبة'!$D$6)*100)</f>
        <v/>
      </c>
      <c r="AK886" s="28" t="str">
        <f aca="false">IF($A886="","",IF(OR($Q886=TRUE(),$Q886="TRUE"),1,0))</f>
        <v/>
      </c>
      <c r="AL886" s="28" t="str">
        <f aca="false">IF($N886="","",IF(MATCH($N886,$N$2:$N$3001,0)=ROWS($N$2:$N886),$N886,""))</f>
        <v/>
      </c>
    </row>
    <row r="887" customFormat="false" ht="15" hidden="false" customHeight="false" outlineLevel="0" collapsed="false">
      <c r="E887" s="25"/>
      <c r="M887" s="26" t="str">
        <f aca="false">IF($A887="","",$L887*$U887/100)</f>
        <v/>
      </c>
      <c r="W887" s="26" t="str">
        <f aca="false">IF($A887="","",U887*AB887/100)</f>
        <v/>
      </c>
      <c r="X887" s="26" t="str">
        <f aca="false">IF($A887="","",U887-W887)</f>
        <v/>
      </c>
      <c r="Y887" s="26" t="str">
        <f aca="false">IF($A887="","",U887-W887-M887)</f>
        <v/>
      </c>
      <c r="AB887" s="27" t="str">
        <f aca="false">IF($A887="","",IF($AK887=1,'كشف المطالبة'!$D$5,'كشف المطالبة'!$D$6)*100)</f>
        <v/>
      </c>
      <c r="AK887" s="28" t="str">
        <f aca="false">IF($A887="","",IF(OR($Q887=TRUE(),$Q887="TRUE"),1,0))</f>
        <v/>
      </c>
      <c r="AL887" s="28" t="str">
        <f aca="false">IF($N887="","",IF(MATCH($N887,$N$2:$N$3001,0)=ROWS($N$2:$N887),$N887,""))</f>
        <v/>
      </c>
    </row>
    <row r="888" customFormat="false" ht="15" hidden="false" customHeight="false" outlineLevel="0" collapsed="false">
      <c r="E888" s="25"/>
      <c r="M888" s="26" t="str">
        <f aca="false">IF($A888="","",$L888*$U888/100)</f>
        <v/>
      </c>
      <c r="W888" s="26" t="str">
        <f aca="false">IF($A888="","",U888*AB888/100)</f>
        <v/>
      </c>
      <c r="X888" s="26" t="str">
        <f aca="false">IF($A888="","",U888-W888)</f>
        <v/>
      </c>
      <c r="Y888" s="26" t="str">
        <f aca="false">IF($A888="","",U888-W888-M888)</f>
        <v/>
      </c>
      <c r="AB888" s="27" t="str">
        <f aca="false">IF($A888="","",IF($AK888=1,'كشف المطالبة'!$D$5,'كشف المطالبة'!$D$6)*100)</f>
        <v/>
      </c>
      <c r="AK888" s="28" t="str">
        <f aca="false">IF($A888="","",IF(OR($Q888=TRUE(),$Q888="TRUE"),1,0))</f>
        <v/>
      </c>
      <c r="AL888" s="28" t="str">
        <f aca="false">IF($N888="","",IF(MATCH($N888,$N$2:$N$3001,0)=ROWS($N$2:$N888),$N888,""))</f>
        <v/>
      </c>
    </row>
    <row r="889" customFormat="false" ht="15" hidden="false" customHeight="false" outlineLevel="0" collapsed="false">
      <c r="E889" s="25"/>
      <c r="M889" s="26" t="str">
        <f aca="false">IF($A889="","",$L889*$U889/100)</f>
        <v/>
      </c>
      <c r="W889" s="26" t="str">
        <f aca="false">IF($A889="","",U889*AB889/100)</f>
        <v/>
      </c>
      <c r="X889" s="26" t="str">
        <f aca="false">IF($A889="","",U889-W889)</f>
        <v/>
      </c>
      <c r="Y889" s="26" t="str">
        <f aca="false">IF($A889="","",U889-W889-M889)</f>
        <v/>
      </c>
      <c r="AB889" s="27" t="str">
        <f aca="false">IF($A889="","",IF($AK889=1,'كشف المطالبة'!$D$5,'كشف المطالبة'!$D$6)*100)</f>
        <v/>
      </c>
      <c r="AK889" s="28" t="str">
        <f aca="false">IF($A889="","",IF(OR($Q889=TRUE(),$Q889="TRUE"),1,0))</f>
        <v/>
      </c>
      <c r="AL889" s="28" t="str">
        <f aca="false">IF($N889="","",IF(MATCH($N889,$N$2:$N$3001,0)=ROWS($N$2:$N889),$N889,""))</f>
        <v/>
      </c>
    </row>
    <row r="890" customFormat="false" ht="15" hidden="false" customHeight="false" outlineLevel="0" collapsed="false">
      <c r="E890" s="25"/>
      <c r="M890" s="26" t="str">
        <f aca="false">IF($A890="","",$L890*$U890/100)</f>
        <v/>
      </c>
      <c r="W890" s="26" t="str">
        <f aca="false">IF($A890="","",U890*AB890/100)</f>
        <v/>
      </c>
      <c r="X890" s="26" t="str">
        <f aca="false">IF($A890="","",U890-W890)</f>
        <v/>
      </c>
      <c r="Y890" s="26" t="str">
        <f aca="false">IF($A890="","",U890-W890-M890)</f>
        <v/>
      </c>
      <c r="AB890" s="27" t="str">
        <f aca="false">IF($A890="","",IF($AK890=1,'كشف المطالبة'!$D$5,'كشف المطالبة'!$D$6)*100)</f>
        <v/>
      </c>
      <c r="AK890" s="28" t="str">
        <f aca="false">IF($A890="","",IF(OR($Q890=TRUE(),$Q890="TRUE"),1,0))</f>
        <v/>
      </c>
      <c r="AL890" s="28" t="str">
        <f aca="false">IF($N890="","",IF(MATCH($N890,$N$2:$N$3001,0)=ROWS($N$2:$N890),$N890,""))</f>
        <v/>
      </c>
    </row>
    <row r="891" customFormat="false" ht="15" hidden="false" customHeight="false" outlineLevel="0" collapsed="false">
      <c r="E891" s="25"/>
      <c r="M891" s="26" t="str">
        <f aca="false">IF($A891="","",$L891*$U891/100)</f>
        <v/>
      </c>
      <c r="W891" s="26" t="str">
        <f aca="false">IF($A891="","",U891*AB891/100)</f>
        <v/>
      </c>
      <c r="X891" s="26" t="str">
        <f aca="false">IF($A891="","",U891-W891)</f>
        <v/>
      </c>
      <c r="Y891" s="26" t="str">
        <f aca="false">IF($A891="","",U891-W891-M891)</f>
        <v/>
      </c>
      <c r="AB891" s="27" t="str">
        <f aca="false">IF($A891="","",IF($AK891=1,'كشف المطالبة'!$D$5,'كشف المطالبة'!$D$6)*100)</f>
        <v/>
      </c>
      <c r="AK891" s="28" t="str">
        <f aca="false">IF($A891="","",IF(OR($Q891=TRUE(),$Q891="TRUE"),1,0))</f>
        <v/>
      </c>
      <c r="AL891" s="28" t="str">
        <f aca="false">IF($N891="","",IF(MATCH($N891,$N$2:$N$3001,0)=ROWS($N$2:$N891),$N891,""))</f>
        <v/>
      </c>
    </row>
    <row r="892" customFormat="false" ht="15" hidden="false" customHeight="false" outlineLevel="0" collapsed="false">
      <c r="E892" s="25"/>
      <c r="M892" s="26" t="str">
        <f aca="false">IF($A892="","",$L892*$U892/100)</f>
        <v/>
      </c>
      <c r="W892" s="26" t="str">
        <f aca="false">IF($A892="","",U892*AB892/100)</f>
        <v/>
      </c>
      <c r="X892" s="26" t="str">
        <f aca="false">IF($A892="","",U892-W892)</f>
        <v/>
      </c>
      <c r="Y892" s="26" t="str">
        <f aca="false">IF($A892="","",U892-W892-M892)</f>
        <v/>
      </c>
      <c r="AB892" s="27" t="str">
        <f aca="false">IF($A892="","",IF($AK892=1,'كشف المطالبة'!$D$5,'كشف المطالبة'!$D$6)*100)</f>
        <v/>
      </c>
      <c r="AK892" s="28" t="str">
        <f aca="false">IF($A892="","",IF(OR($Q892=TRUE(),$Q892="TRUE"),1,0))</f>
        <v/>
      </c>
      <c r="AL892" s="28" t="str">
        <f aca="false">IF($N892="","",IF(MATCH($N892,$N$2:$N$3001,0)=ROWS($N$2:$N892),$N892,""))</f>
        <v/>
      </c>
    </row>
    <row r="893" customFormat="false" ht="15" hidden="false" customHeight="false" outlineLevel="0" collapsed="false">
      <c r="E893" s="25"/>
      <c r="M893" s="26" t="str">
        <f aca="false">IF($A893="","",$L893*$U893/100)</f>
        <v/>
      </c>
      <c r="W893" s="26" t="str">
        <f aca="false">IF($A893="","",U893*AB893/100)</f>
        <v/>
      </c>
      <c r="X893" s="26" t="str">
        <f aca="false">IF($A893="","",U893-W893)</f>
        <v/>
      </c>
      <c r="Y893" s="26" t="str">
        <f aca="false">IF($A893="","",U893-W893-M893)</f>
        <v/>
      </c>
      <c r="AB893" s="27" t="str">
        <f aca="false">IF($A893="","",IF($AK893=1,'كشف المطالبة'!$D$5,'كشف المطالبة'!$D$6)*100)</f>
        <v/>
      </c>
      <c r="AK893" s="28" t="str">
        <f aca="false">IF($A893="","",IF(OR($Q893=TRUE(),$Q893="TRUE"),1,0))</f>
        <v/>
      </c>
      <c r="AL893" s="28" t="str">
        <f aca="false">IF($N893="","",IF(MATCH($N893,$N$2:$N$3001,0)=ROWS($N$2:$N893),$N893,""))</f>
        <v/>
      </c>
    </row>
    <row r="894" customFormat="false" ht="15" hidden="false" customHeight="false" outlineLevel="0" collapsed="false">
      <c r="E894" s="25"/>
      <c r="M894" s="26" t="str">
        <f aca="false">IF($A894="","",$L894*$U894/100)</f>
        <v/>
      </c>
      <c r="W894" s="26" t="str">
        <f aca="false">IF($A894="","",U894*AB894/100)</f>
        <v/>
      </c>
      <c r="X894" s="26" t="str">
        <f aca="false">IF($A894="","",U894-W894)</f>
        <v/>
      </c>
      <c r="Y894" s="26" t="str">
        <f aca="false">IF($A894="","",U894-W894-M894)</f>
        <v/>
      </c>
      <c r="AB894" s="27" t="str">
        <f aca="false">IF($A894="","",IF($AK894=1,'كشف المطالبة'!$D$5,'كشف المطالبة'!$D$6)*100)</f>
        <v/>
      </c>
      <c r="AK894" s="28" t="str">
        <f aca="false">IF($A894="","",IF(OR($Q894=TRUE(),$Q894="TRUE"),1,0))</f>
        <v/>
      </c>
      <c r="AL894" s="28" t="str">
        <f aca="false">IF($N894="","",IF(MATCH($N894,$N$2:$N$3001,0)=ROWS($N$2:$N894),$N894,""))</f>
        <v/>
      </c>
    </row>
    <row r="895" customFormat="false" ht="15" hidden="false" customHeight="false" outlineLevel="0" collapsed="false">
      <c r="E895" s="25"/>
      <c r="M895" s="26" t="str">
        <f aca="false">IF($A895="","",$L895*$U895/100)</f>
        <v/>
      </c>
      <c r="W895" s="26" t="str">
        <f aca="false">IF($A895="","",U895*AB895/100)</f>
        <v/>
      </c>
      <c r="X895" s="26" t="str">
        <f aca="false">IF($A895="","",U895-W895)</f>
        <v/>
      </c>
      <c r="Y895" s="26" t="str">
        <f aca="false">IF($A895="","",U895-W895-M895)</f>
        <v/>
      </c>
      <c r="AB895" s="27" t="str">
        <f aca="false">IF($A895="","",IF($AK895=1,'كشف المطالبة'!$D$5,'كشف المطالبة'!$D$6)*100)</f>
        <v/>
      </c>
      <c r="AK895" s="28" t="str">
        <f aca="false">IF($A895="","",IF(OR($Q895=TRUE(),$Q895="TRUE"),1,0))</f>
        <v/>
      </c>
      <c r="AL895" s="28" t="str">
        <f aca="false">IF($N895="","",IF(MATCH($N895,$N$2:$N$3001,0)=ROWS($N$2:$N895),$N895,""))</f>
        <v/>
      </c>
    </row>
    <row r="896" customFormat="false" ht="15" hidden="false" customHeight="false" outlineLevel="0" collapsed="false">
      <c r="E896" s="25"/>
      <c r="M896" s="26" t="str">
        <f aca="false">IF($A896="","",$L896*$U896/100)</f>
        <v/>
      </c>
      <c r="W896" s="26" t="str">
        <f aca="false">IF($A896="","",U896*AB896/100)</f>
        <v/>
      </c>
      <c r="X896" s="26" t="str">
        <f aca="false">IF($A896="","",U896-W896)</f>
        <v/>
      </c>
      <c r="Y896" s="26" t="str">
        <f aca="false">IF($A896="","",U896-W896-M896)</f>
        <v/>
      </c>
      <c r="AB896" s="27" t="str">
        <f aca="false">IF($A896="","",IF($AK896=1,'كشف المطالبة'!$D$5,'كشف المطالبة'!$D$6)*100)</f>
        <v/>
      </c>
      <c r="AK896" s="28" t="str">
        <f aca="false">IF($A896="","",IF(OR($Q896=TRUE(),$Q896="TRUE"),1,0))</f>
        <v/>
      </c>
      <c r="AL896" s="28" t="str">
        <f aca="false">IF($N896="","",IF(MATCH($N896,$N$2:$N$3001,0)=ROWS($N$2:$N896),$N896,""))</f>
        <v/>
      </c>
    </row>
    <row r="897" customFormat="false" ht="15" hidden="false" customHeight="false" outlineLevel="0" collapsed="false">
      <c r="E897" s="25"/>
      <c r="M897" s="26" t="str">
        <f aca="false">IF($A897="","",$L897*$U897/100)</f>
        <v/>
      </c>
      <c r="W897" s="26" t="str">
        <f aca="false">IF($A897="","",U897*AB897/100)</f>
        <v/>
      </c>
      <c r="X897" s="26" t="str">
        <f aca="false">IF($A897="","",U897-W897)</f>
        <v/>
      </c>
      <c r="Y897" s="26" t="str">
        <f aca="false">IF($A897="","",U897-W897-M897)</f>
        <v/>
      </c>
      <c r="AB897" s="27" t="str">
        <f aca="false">IF($A897="","",IF($AK897=1,'كشف المطالبة'!$D$5,'كشف المطالبة'!$D$6)*100)</f>
        <v/>
      </c>
      <c r="AK897" s="28" t="str">
        <f aca="false">IF($A897="","",IF(OR($Q897=TRUE(),$Q897="TRUE"),1,0))</f>
        <v/>
      </c>
      <c r="AL897" s="28" t="str">
        <f aca="false">IF($N897="","",IF(MATCH($N897,$N$2:$N$3001,0)=ROWS($N$2:$N897),$N897,""))</f>
        <v/>
      </c>
    </row>
    <row r="898" customFormat="false" ht="15" hidden="false" customHeight="false" outlineLevel="0" collapsed="false">
      <c r="E898" s="25"/>
      <c r="M898" s="26" t="str">
        <f aca="false">IF($A898="","",$L898*$U898/100)</f>
        <v/>
      </c>
      <c r="W898" s="26" t="str">
        <f aca="false">IF($A898="","",U898*AB898/100)</f>
        <v/>
      </c>
      <c r="X898" s="26" t="str">
        <f aca="false">IF($A898="","",U898-W898)</f>
        <v/>
      </c>
      <c r="Y898" s="26" t="str">
        <f aca="false">IF($A898="","",U898-W898-M898)</f>
        <v/>
      </c>
      <c r="AB898" s="27" t="str">
        <f aca="false">IF($A898="","",IF($AK898=1,'كشف المطالبة'!$D$5,'كشف المطالبة'!$D$6)*100)</f>
        <v/>
      </c>
      <c r="AK898" s="28" t="str">
        <f aca="false">IF($A898="","",IF(OR($Q898=TRUE(),$Q898="TRUE"),1,0))</f>
        <v/>
      </c>
      <c r="AL898" s="28" t="str">
        <f aca="false">IF($N898="","",IF(MATCH($N898,$N$2:$N$3001,0)=ROWS($N$2:$N898),$N898,""))</f>
        <v/>
      </c>
    </row>
    <row r="899" customFormat="false" ht="15" hidden="false" customHeight="false" outlineLevel="0" collapsed="false">
      <c r="E899" s="25"/>
      <c r="M899" s="26" t="str">
        <f aca="false">IF($A899="","",$L899*$U899/100)</f>
        <v/>
      </c>
      <c r="W899" s="26" t="str">
        <f aca="false">IF($A899="","",U899*AB899/100)</f>
        <v/>
      </c>
      <c r="X899" s="26" t="str">
        <f aca="false">IF($A899="","",U899-W899)</f>
        <v/>
      </c>
      <c r="Y899" s="26" t="str">
        <f aca="false">IF($A899="","",U899-W899-M899)</f>
        <v/>
      </c>
      <c r="AB899" s="27" t="str">
        <f aca="false">IF($A899="","",IF($AK899=1,'كشف المطالبة'!$D$5,'كشف المطالبة'!$D$6)*100)</f>
        <v/>
      </c>
      <c r="AK899" s="28" t="str">
        <f aca="false">IF($A899="","",IF(OR($Q899=TRUE(),$Q899="TRUE"),1,0))</f>
        <v/>
      </c>
      <c r="AL899" s="28" t="str">
        <f aca="false">IF($N899="","",IF(MATCH($N899,$N$2:$N$3001,0)=ROWS($N$2:$N899),$N899,""))</f>
        <v/>
      </c>
    </row>
    <row r="900" customFormat="false" ht="15" hidden="false" customHeight="false" outlineLevel="0" collapsed="false">
      <c r="E900" s="25"/>
      <c r="M900" s="26" t="str">
        <f aca="false">IF($A900="","",$L900*$U900/100)</f>
        <v/>
      </c>
      <c r="W900" s="26" t="str">
        <f aca="false">IF($A900="","",U900*AB900/100)</f>
        <v/>
      </c>
      <c r="X900" s="26" t="str">
        <f aca="false">IF($A900="","",U900-W900)</f>
        <v/>
      </c>
      <c r="Y900" s="26" t="str">
        <f aca="false">IF($A900="","",U900-W900-M900)</f>
        <v/>
      </c>
      <c r="AB900" s="27" t="str">
        <f aca="false">IF($A900="","",IF($AK900=1,'كشف المطالبة'!$D$5,'كشف المطالبة'!$D$6)*100)</f>
        <v/>
      </c>
      <c r="AK900" s="28" t="str">
        <f aca="false">IF($A900="","",IF(OR($Q900=TRUE(),$Q900="TRUE"),1,0))</f>
        <v/>
      </c>
      <c r="AL900" s="28" t="str">
        <f aca="false">IF($N900="","",IF(MATCH($N900,$N$2:$N$3001,0)=ROWS($N$2:$N900),$N900,""))</f>
        <v/>
      </c>
    </row>
    <row r="901" customFormat="false" ht="15" hidden="false" customHeight="false" outlineLevel="0" collapsed="false">
      <c r="E901" s="25"/>
      <c r="M901" s="26" t="str">
        <f aca="false">IF($A901="","",$L901*$U901/100)</f>
        <v/>
      </c>
      <c r="W901" s="26" t="str">
        <f aca="false">IF($A901="","",U901*AB901/100)</f>
        <v/>
      </c>
      <c r="X901" s="26" t="str">
        <f aca="false">IF($A901="","",U901-W901)</f>
        <v/>
      </c>
      <c r="Y901" s="26" t="str">
        <f aca="false">IF($A901="","",U901-W901-M901)</f>
        <v/>
      </c>
      <c r="AB901" s="27" t="str">
        <f aca="false">IF($A901="","",IF($AK901=1,'كشف المطالبة'!$D$5,'كشف المطالبة'!$D$6)*100)</f>
        <v/>
      </c>
      <c r="AK901" s="28" t="str">
        <f aca="false">IF($A901="","",IF(OR($Q901=TRUE(),$Q901="TRUE"),1,0))</f>
        <v/>
      </c>
      <c r="AL901" s="28" t="str">
        <f aca="false">IF($N901="","",IF(MATCH($N901,$N$2:$N$3001,0)=ROWS($N$2:$N901),$N901,""))</f>
        <v/>
      </c>
    </row>
    <row r="902" customFormat="false" ht="15" hidden="false" customHeight="false" outlineLevel="0" collapsed="false">
      <c r="E902" s="25"/>
      <c r="M902" s="26" t="str">
        <f aca="false">IF($A902="","",$L902*$U902/100)</f>
        <v/>
      </c>
      <c r="W902" s="26" t="str">
        <f aca="false">IF($A902="","",U902*AB902/100)</f>
        <v/>
      </c>
      <c r="X902" s="26" t="str">
        <f aca="false">IF($A902="","",U902-W902)</f>
        <v/>
      </c>
      <c r="Y902" s="26" t="str">
        <f aca="false">IF($A902="","",U902-W902-M902)</f>
        <v/>
      </c>
      <c r="AB902" s="27" t="str">
        <f aca="false">IF($A902="","",IF($AK902=1,'كشف المطالبة'!$D$5,'كشف المطالبة'!$D$6)*100)</f>
        <v/>
      </c>
      <c r="AK902" s="28" t="str">
        <f aca="false">IF($A902="","",IF(OR($Q902=TRUE(),$Q902="TRUE"),1,0))</f>
        <v/>
      </c>
      <c r="AL902" s="28" t="str">
        <f aca="false">IF($N902="","",IF(MATCH($N902,$N$2:$N$3001,0)=ROWS($N$2:$N902),$N902,""))</f>
        <v/>
      </c>
    </row>
    <row r="903" customFormat="false" ht="15" hidden="false" customHeight="false" outlineLevel="0" collapsed="false">
      <c r="E903" s="25"/>
      <c r="M903" s="26" t="str">
        <f aca="false">IF($A903="","",$L903*$U903/100)</f>
        <v/>
      </c>
      <c r="W903" s="26" t="str">
        <f aca="false">IF($A903="","",U903*AB903/100)</f>
        <v/>
      </c>
      <c r="X903" s="26" t="str">
        <f aca="false">IF($A903="","",U903-W903)</f>
        <v/>
      </c>
      <c r="Y903" s="26" t="str">
        <f aca="false">IF($A903="","",U903-W903-M903)</f>
        <v/>
      </c>
      <c r="AB903" s="27" t="str">
        <f aca="false">IF($A903="","",IF($AK903=1,'كشف المطالبة'!$D$5,'كشف المطالبة'!$D$6)*100)</f>
        <v/>
      </c>
      <c r="AK903" s="28" t="str">
        <f aca="false">IF($A903="","",IF(OR($Q903=TRUE(),$Q903="TRUE"),1,0))</f>
        <v/>
      </c>
      <c r="AL903" s="28" t="str">
        <f aca="false">IF($N903="","",IF(MATCH($N903,$N$2:$N$3001,0)=ROWS($N$2:$N903),$N903,""))</f>
        <v/>
      </c>
    </row>
    <row r="904" customFormat="false" ht="15" hidden="false" customHeight="false" outlineLevel="0" collapsed="false">
      <c r="E904" s="25"/>
      <c r="M904" s="26" t="str">
        <f aca="false">IF($A904="","",$L904*$U904/100)</f>
        <v/>
      </c>
      <c r="W904" s="26" t="str">
        <f aca="false">IF($A904="","",U904*AB904/100)</f>
        <v/>
      </c>
      <c r="X904" s="26" t="str">
        <f aca="false">IF($A904="","",U904-W904)</f>
        <v/>
      </c>
      <c r="Y904" s="26" t="str">
        <f aca="false">IF($A904="","",U904-W904-M904)</f>
        <v/>
      </c>
      <c r="AB904" s="27" t="str">
        <f aca="false">IF($A904="","",IF($AK904=1,'كشف المطالبة'!$D$5,'كشف المطالبة'!$D$6)*100)</f>
        <v/>
      </c>
      <c r="AK904" s="28" t="str">
        <f aca="false">IF($A904="","",IF(OR($Q904=TRUE(),$Q904="TRUE"),1,0))</f>
        <v/>
      </c>
      <c r="AL904" s="28" t="str">
        <f aca="false">IF($N904="","",IF(MATCH($N904,$N$2:$N$3001,0)=ROWS($N$2:$N904),$N904,""))</f>
        <v/>
      </c>
    </row>
    <row r="905" customFormat="false" ht="15" hidden="false" customHeight="false" outlineLevel="0" collapsed="false">
      <c r="E905" s="25"/>
      <c r="M905" s="26" t="str">
        <f aca="false">IF($A905="","",$L905*$U905/100)</f>
        <v/>
      </c>
      <c r="W905" s="26" t="str">
        <f aca="false">IF($A905="","",U905*AB905/100)</f>
        <v/>
      </c>
      <c r="X905" s="26" t="str">
        <f aca="false">IF($A905="","",U905-W905)</f>
        <v/>
      </c>
      <c r="Y905" s="26" t="str">
        <f aca="false">IF($A905="","",U905-W905-M905)</f>
        <v/>
      </c>
      <c r="AB905" s="27" t="str">
        <f aca="false">IF($A905="","",IF($AK905=1,'كشف المطالبة'!$D$5,'كشف المطالبة'!$D$6)*100)</f>
        <v/>
      </c>
      <c r="AK905" s="28" t="str">
        <f aca="false">IF($A905="","",IF(OR($Q905=TRUE(),$Q905="TRUE"),1,0))</f>
        <v/>
      </c>
      <c r="AL905" s="28" t="str">
        <f aca="false">IF($N905="","",IF(MATCH($N905,$N$2:$N$3001,0)=ROWS($N$2:$N905),$N905,""))</f>
        <v/>
      </c>
    </row>
    <row r="906" customFormat="false" ht="15" hidden="false" customHeight="false" outlineLevel="0" collapsed="false">
      <c r="E906" s="25"/>
      <c r="M906" s="26" t="str">
        <f aca="false">IF($A906="","",$L906*$U906/100)</f>
        <v/>
      </c>
      <c r="W906" s="26" t="str">
        <f aca="false">IF($A906="","",U906*AB906/100)</f>
        <v/>
      </c>
      <c r="X906" s="26" t="str">
        <f aca="false">IF($A906="","",U906-W906)</f>
        <v/>
      </c>
      <c r="Y906" s="26" t="str">
        <f aca="false">IF($A906="","",U906-W906-M906)</f>
        <v/>
      </c>
      <c r="AB906" s="27" t="str">
        <f aca="false">IF($A906="","",IF($AK906=1,'كشف المطالبة'!$D$5,'كشف المطالبة'!$D$6)*100)</f>
        <v/>
      </c>
      <c r="AK906" s="28" t="str">
        <f aca="false">IF($A906="","",IF(OR($Q906=TRUE(),$Q906="TRUE"),1,0))</f>
        <v/>
      </c>
      <c r="AL906" s="28" t="str">
        <f aca="false">IF($N906="","",IF(MATCH($N906,$N$2:$N$3001,0)=ROWS($N$2:$N906),$N906,""))</f>
        <v/>
      </c>
    </row>
    <row r="907" customFormat="false" ht="15" hidden="false" customHeight="false" outlineLevel="0" collapsed="false">
      <c r="E907" s="25"/>
      <c r="M907" s="26" t="str">
        <f aca="false">IF($A907="","",$L907*$U907/100)</f>
        <v/>
      </c>
      <c r="W907" s="26" t="str">
        <f aca="false">IF($A907="","",U907*AB907/100)</f>
        <v/>
      </c>
      <c r="X907" s="26" t="str">
        <f aca="false">IF($A907="","",U907-W907)</f>
        <v/>
      </c>
      <c r="Y907" s="26" t="str">
        <f aca="false">IF($A907="","",U907-W907-M907)</f>
        <v/>
      </c>
      <c r="AB907" s="27" t="str">
        <f aca="false">IF($A907="","",IF($AK907=1,'كشف المطالبة'!$D$5,'كشف المطالبة'!$D$6)*100)</f>
        <v/>
      </c>
      <c r="AK907" s="28" t="str">
        <f aca="false">IF($A907="","",IF(OR($Q907=TRUE(),$Q907="TRUE"),1,0))</f>
        <v/>
      </c>
      <c r="AL907" s="28" t="str">
        <f aca="false">IF($N907="","",IF(MATCH($N907,$N$2:$N$3001,0)=ROWS($N$2:$N907),$N907,""))</f>
        <v/>
      </c>
    </row>
    <row r="908" customFormat="false" ht="15" hidden="false" customHeight="false" outlineLevel="0" collapsed="false">
      <c r="E908" s="25"/>
      <c r="M908" s="26" t="str">
        <f aca="false">IF($A908="","",$L908*$U908/100)</f>
        <v/>
      </c>
      <c r="W908" s="26" t="str">
        <f aca="false">IF($A908="","",U908*AB908/100)</f>
        <v/>
      </c>
      <c r="X908" s="26" t="str">
        <f aca="false">IF($A908="","",U908-W908)</f>
        <v/>
      </c>
      <c r="Y908" s="26" t="str">
        <f aca="false">IF($A908="","",U908-W908-M908)</f>
        <v/>
      </c>
      <c r="AB908" s="27" t="str">
        <f aca="false">IF($A908="","",IF($AK908=1,'كشف المطالبة'!$D$5,'كشف المطالبة'!$D$6)*100)</f>
        <v/>
      </c>
      <c r="AK908" s="28" t="str">
        <f aca="false">IF($A908="","",IF(OR($Q908=TRUE(),$Q908="TRUE"),1,0))</f>
        <v/>
      </c>
      <c r="AL908" s="28" t="str">
        <f aca="false">IF($N908="","",IF(MATCH($N908,$N$2:$N$3001,0)=ROWS($N$2:$N908),$N908,""))</f>
        <v/>
      </c>
    </row>
    <row r="909" customFormat="false" ht="15" hidden="false" customHeight="false" outlineLevel="0" collapsed="false">
      <c r="E909" s="25"/>
      <c r="M909" s="26" t="str">
        <f aca="false">IF($A909="","",$L909*$U909/100)</f>
        <v/>
      </c>
      <c r="W909" s="26" t="str">
        <f aca="false">IF($A909="","",U909*AB909/100)</f>
        <v/>
      </c>
      <c r="X909" s="26" t="str">
        <f aca="false">IF($A909="","",U909-W909)</f>
        <v/>
      </c>
      <c r="Y909" s="26" t="str">
        <f aca="false">IF($A909="","",U909-W909-M909)</f>
        <v/>
      </c>
      <c r="AB909" s="27" t="str">
        <f aca="false">IF($A909="","",IF($AK909=1,'كشف المطالبة'!$D$5,'كشف المطالبة'!$D$6)*100)</f>
        <v/>
      </c>
      <c r="AK909" s="28" t="str">
        <f aca="false">IF($A909="","",IF(OR($Q909=TRUE(),$Q909="TRUE"),1,0))</f>
        <v/>
      </c>
      <c r="AL909" s="28" t="str">
        <f aca="false">IF($N909="","",IF(MATCH($N909,$N$2:$N$3001,0)=ROWS($N$2:$N909),$N909,""))</f>
        <v/>
      </c>
    </row>
    <row r="910" customFormat="false" ht="15" hidden="false" customHeight="false" outlineLevel="0" collapsed="false">
      <c r="E910" s="25"/>
      <c r="M910" s="26" t="str">
        <f aca="false">IF($A910="","",$L910*$U910/100)</f>
        <v/>
      </c>
      <c r="W910" s="26" t="str">
        <f aca="false">IF($A910="","",U910*AB910/100)</f>
        <v/>
      </c>
      <c r="X910" s="26" t="str">
        <f aca="false">IF($A910="","",U910-W910)</f>
        <v/>
      </c>
      <c r="Y910" s="26" t="str">
        <f aca="false">IF($A910="","",U910-W910-M910)</f>
        <v/>
      </c>
      <c r="AB910" s="27" t="str">
        <f aca="false">IF($A910="","",IF($AK910=1,'كشف المطالبة'!$D$5,'كشف المطالبة'!$D$6)*100)</f>
        <v/>
      </c>
      <c r="AK910" s="28" t="str">
        <f aca="false">IF($A910="","",IF(OR($Q910=TRUE(),$Q910="TRUE"),1,0))</f>
        <v/>
      </c>
      <c r="AL910" s="28" t="str">
        <f aca="false">IF($N910="","",IF(MATCH($N910,$N$2:$N$3001,0)=ROWS($N$2:$N910),$N910,""))</f>
        <v/>
      </c>
    </row>
    <row r="911" customFormat="false" ht="15" hidden="false" customHeight="false" outlineLevel="0" collapsed="false">
      <c r="E911" s="25"/>
      <c r="M911" s="26" t="str">
        <f aca="false">IF($A911="","",$L911*$U911/100)</f>
        <v/>
      </c>
      <c r="W911" s="26" t="str">
        <f aca="false">IF($A911="","",U911*AB911/100)</f>
        <v/>
      </c>
      <c r="X911" s="26" t="str">
        <f aca="false">IF($A911="","",U911-W911)</f>
        <v/>
      </c>
      <c r="Y911" s="26" t="str">
        <f aca="false">IF($A911="","",U911-W911-M911)</f>
        <v/>
      </c>
      <c r="AB911" s="27" t="str">
        <f aca="false">IF($A911="","",IF($AK911=1,'كشف المطالبة'!$D$5,'كشف المطالبة'!$D$6)*100)</f>
        <v/>
      </c>
      <c r="AK911" s="28" t="str">
        <f aca="false">IF($A911="","",IF(OR($Q911=TRUE(),$Q911="TRUE"),1,0))</f>
        <v/>
      </c>
      <c r="AL911" s="28" t="str">
        <f aca="false">IF($N911="","",IF(MATCH($N911,$N$2:$N$3001,0)=ROWS($N$2:$N911),$N911,""))</f>
        <v/>
      </c>
    </row>
    <row r="912" customFormat="false" ht="15" hidden="false" customHeight="false" outlineLevel="0" collapsed="false">
      <c r="E912" s="25"/>
      <c r="M912" s="26" t="str">
        <f aca="false">IF($A912="","",$L912*$U912/100)</f>
        <v/>
      </c>
      <c r="W912" s="26" t="str">
        <f aca="false">IF($A912="","",U912*AB912/100)</f>
        <v/>
      </c>
      <c r="X912" s="26" t="str">
        <f aca="false">IF($A912="","",U912-W912)</f>
        <v/>
      </c>
      <c r="Y912" s="26" t="str">
        <f aca="false">IF($A912="","",U912-W912-M912)</f>
        <v/>
      </c>
      <c r="AB912" s="27" t="str">
        <f aca="false">IF($A912="","",IF($AK912=1,'كشف المطالبة'!$D$5,'كشف المطالبة'!$D$6)*100)</f>
        <v/>
      </c>
      <c r="AK912" s="28" t="str">
        <f aca="false">IF($A912="","",IF(OR($Q912=TRUE(),$Q912="TRUE"),1,0))</f>
        <v/>
      </c>
      <c r="AL912" s="28" t="str">
        <f aca="false">IF($N912="","",IF(MATCH($N912,$N$2:$N$3001,0)=ROWS($N$2:$N912),$N912,""))</f>
        <v/>
      </c>
    </row>
    <row r="913" customFormat="false" ht="15" hidden="false" customHeight="false" outlineLevel="0" collapsed="false">
      <c r="E913" s="25"/>
      <c r="M913" s="26" t="str">
        <f aca="false">IF($A913="","",$L913*$U913/100)</f>
        <v/>
      </c>
      <c r="W913" s="26" t="str">
        <f aca="false">IF($A913="","",U913*AB913/100)</f>
        <v/>
      </c>
      <c r="X913" s="26" t="str">
        <f aca="false">IF($A913="","",U913-W913)</f>
        <v/>
      </c>
      <c r="Y913" s="26" t="str">
        <f aca="false">IF($A913="","",U913-W913-M913)</f>
        <v/>
      </c>
      <c r="AB913" s="27" t="str">
        <f aca="false">IF($A913="","",IF($AK913=1,'كشف المطالبة'!$D$5,'كشف المطالبة'!$D$6)*100)</f>
        <v/>
      </c>
      <c r="AK913" s="28" t="str">
        <f aca="false">IF($A913="","",IF(OR($Q913=TRUE(),$Q913="TRUE"),1,0))</f>
        <v/>
      </c>
      <c r="AL913" s="28" t="str">
        <f aca="false">IF($N913="","",IF(MATCH($N913,$N$2:$N$3001,0)=ROWS($N$2:$N913),$N913,""))</f>
        <v/>
      </c>
    </row>
    <row r="914" customFormat="false" ht="15" hidden="false" customHeight="false" outlineLevel="0" collapsed="false">
      <c r="E914" s="25"/>
      <c r="M914" s="26" t="str">
        <f aca="false">IF($A914="","",$L914*$U914/100)</f>
        <v/>
      </c>
      <c r="W914" s="26" t="str">
        <f aca="false">IF($A914="","",U914*AB914/100)</f>
        <v/>
      </c>
      <c r="X914" s="26" t="str">
        <f aca="false">IF($A914="","",U914-W914)</f>
        <v/>
      </c>
      <c r="Y914" s="26" t="str">
        <f aca="false">IF($A914="","",U914-W914-M914)</f>
        <v/>
      </c>
      <c r="AB914" s="27" t="str">
        <f aca="false">IF($A914="","",IF($AK914=1,'كشف المطالبة'!$D$5,'كشف المطالبة'!$D$6)*100)</f>
        <v/>
      </c>
      <c r="AK914" s="28" t="str">
        <f aca="false">IF($A914="","",IF(OR($Q914=TRUE(),$Q914="TRUE"),1,0))</f>
        <v/>
      </c>
      <c r="AL914" s="28" t="str">
        <f aca="false">IF($N914="","",IF(MATCH($N914,$N$2:$N$3001,0)=ROWS($N$2:$N914),$N914,""))</f>
        <v/>
      </c>
    </row>
    <row r="915" customFormat="false" ht="15" hidden="false" customHeight="false" outlineLevel="0" collapsed="false">
      <c r="E915" s="25"/>
      <c r="M915" s="26" t="str">
        <f aca="false">IF($A915="","",$L915*$U915/100)</f>
        <v/>
      </c>
      <c r="W915" s="26" t="str">
        <f aca="false">IF($A915="","",U915*AB915/100)</f>
        <v/>
      </c>
      <c r="X915" s="26" t="str">
        <f aca="false">IF($A915="","",U915-W915)</f>
        <v/>
      </c>
      <c r="Y915" s="26" t="str">
        <f aca="false">IF($A915="","",U915-W915-M915)</f>
        <v/>
      </c>
      <c r="AB915" s="27" t="str">
        <f aca="false">IF($A915="","",IF($AK915=1,'كشف المطالبة'!$D$5,'كشف المطالبة'!$D$6)*100)</f>
        <v/>
      </c>
      <c r="AK915" s="28" t="str">
        <f aca="false">IF($A915="","",IF(OR($Q915=TRUE(),$Q915="TRUE"),1,0))</f>
        <v/>
      </c>
      <c r="AL915" s="28" t="str">
        <f aca="false">IF($N915="","",IF(MATCH($N915,$N$2:$N$3001,0)=ROWS($N$2:$N915),$N915,""))</f>
        <v/>
      </c>
    </row>
    <row r="916" customFormat="false" ht="15" hidden="false" customHeight="false" outlineLevel="0" collapsed="false">
      <c r="E916" s="25"/>
      <c r="M916" s="26" t="str">
        <f aca="false">IF($A916="","",$L916*$U916/100)</f>
        <v/>
      </c>
      <c r="W916" s="26" t="str">
        <f aca="false">IF($A916="","",U916*AB916/100)</f>
        <v/>
      </c>
      <c r="X916" s="26" t="str">
        <f aca="false">IF($A916="","",U916-W916)</f>
        <v/>
      </c>
      <c r="Y916" s="26" t="str">
        <f aca="false">IF($A916="","",U916-W916-M916)</f>
        <v/>
      </c>
      <c r="AB916" s="27" t="str">
        <f aca="false">IF($A916="","",IF($AK916=1,'كشف المطالبة'!$D$5,'كشف المطالبة'!$D$6)*100)</f>
        <v/>
      </c>
      <c r="AK916" s="28" t="str">
        <f aca="false">IF($A916="","",IF(OR($Q916=TRUE(),$Q916="TRUE"),1,0))</f>
        <v/>
      </c>
      <c r="AL916" s="28" t="str">
        <f aca="false">IF($N916="","",IF(MATCH($N916,$N$2:$N$3001,0)=ROWS($N$2:$N916),$N916,""))</f>
        <v/>
      </c>
    </row>
    <row r="917" customFormat="false" ht="15" hidden="false" customHeight="false" outlineLevel="0" collapsed="false">
      <c r="E917" s="25"/>
      <c r="M917" s="26" t="str">
        <f aca="false">IF($A917="","",$L917*$U917/100)</f>
        <v/>
      </c>
      <c r="W917" s="26" t="str">
        <f aca="false">IF($A917="","",U917*AB917/100)</f>
        <v/>
      </c>
      <c r="X917" s="26" t="str">
        <f aca="false">IF($A917="","",U917-W917)</f>
        <v/>
      </c>
      <c r="Y917" s="26" t="str">
        <f aca="false">IF($A917="","",U917-W917-M917)</f>
        <v/>
      </c>
      <c r="AB917" s="27" t="str">
        <f aca="false">IF($A917="","",IF($AK917=1,'كشف المطالبة'!$D$5,'كشف المطالبة'!$D$6)*100)</f>
        <v/>
      </c>
      <c r="AK917" s="28" t="str">
        <f aca="false">IF($A917="","",IF(OR($Q917=TRUE(),$Q917="TRUE"),1,0))</f>
        <v/>
      </c>
      <c r="AL917" s="28" t="str">
        <f aca="false">IF($N917="","",IF(MATCH($N917,$N$2:$N$3001,0)=ROWS($N$2:$N917),$N917,""))</f>
        <v/>
      </c>
    </row>
    <row r="918" customFormat="false" ht="15" hidden="false" customHeight="false" outlineLevel="0" collapsed="false">
      <c r="E918" s="25"/>
      <c r="M918" s="26" t="str">
        <f aca="false">IF($A918="","",$L918*$U918/100)</f>
        <v/>
      </c>
      <c r="W918" s="26" t="str">
        <f aca="false">IF($A918="","",U918*AB918/100)</f>
        <v/>
      </c>
      <c r="X918" s="26" t="str">
        <f aca="false">IF($A918="","",U918-W918)</f>
        <v/>
      </c>
      <c r="Y918" s="26" t="str">
        <f aca="false">IF($A918="","",U918-W918-M918)</f>
        <v/>
      </c>
      <c r="AB918" s="27" t="str">
        <f aca="false">IF($A918="","",IF($AK918=1,'كشف المطالبة'!$D$5,'كشف المطالبة'!$D$6)*100)</f>
        <v/>
      </c>
      <c r="AK918" s="28" t="str">
        <f aca="false">IF($A918="","",IF(OR($Q918=TRUE(),$Q918="TRUE"),1,0))</f>
        <v/>
      </c>
      <c r="AL918" s="28" t="str">
        <f aca="false">IF($N918="","",IF(MATCH($N918,$N$2:$N$3001,0)=ROWS($N$2:$N918),$N918,""))</f>
        <v/>
      </c>
    </row>
    <row r="919" customFormat="false" ht="15" hidden="false" customHeight="false" outlineLevel="0" collapsed="false">
      <c r="E919" s="25"/>
      <c r="M919" s="26" t="str">
        <f aca="false">IF($A919="","",$L919*$U919/100)</f>
        <v/>
      </c>
      <c r="W919" s="26" t="str">
        <f aca="false">IF($A919="","",U919*AB919/100)</f>
        <v/>
      </c>
      <c r="X919" s="26" t="str">
        <f aca="false">IF($A919="","",U919-W919)</f>
        <v/>
      </c>
      <c r="Y919" s="26" t="str">
        <f aca="false">IF($A919="","",U919-W919-M919)</f>
        <v/>
      </c>
      <c r="AB919" s="27" t="str">
        <f aca="false">IF($A919="","",IF($AK919=1,'كشف المطالبة'!$D$5,'كشف المطالبة'!$D$6)*100)</f>
        <v/>
      </c>
      <c r="AK919" s="28" t="str">
        <f aca="false">IF($A919="","",IF(OR($Q919=TRUE(),$Q919="TRUE"),1,0))</f>
        <v/>
      </c>
      <c r="AL919" s="28" t="str">
        <f aca="false">IF($N919="","",IF(MATCH($N919,$N$2:$N$3001,0)=ROWS($N$2:$N919),$N919,""))</f>
        <v/>
      </c>
    </row>
    <row r="920" customFormat="false" ht="15" hidden="false" customHeight="false" outlineLevel="0" collapsed="false">
      <c r="E920" s="25"/>
      <c r="M920" s="26" t="str">
        <f aca="false">IF($A920="","",$L920*$U920/100)</f>
        <v/>
      </c>
      <c r="W920" s="26" t="str">
        <f aca="false">IF($A920="","",U920*AB920/100)</f>
        <v/>
      </c>
      <c r="X920" s="26" t="str">
        <f aca="false">IF($A920="","",U920-W920)</f>
        <v/>
      </c>
      <c r="Y920" s="26" t="str">
        <f aca="false">IF($A920="","",U920-W920-M920)</f>
        <v/>
      </c>
      <c r="AB920" s="27" t="str">
        <f aca="false">IF($A920="","",IF($AK920=1,'كشف المطالبة'!$D$5,'كشف المطالبة'!$D$6)*100)</f>
        <v/>
      </c>
      <c r="AK920" s="28" t="str">
        <f aca="false">IF($A920="","",IF(OR($Q920=TRUE(),$Q920="TRUE"),1,0))</f>
        <v/>
      </c>
      <c r="AL920" s="28" t="str">
        <f aca="false">IF($N920="","",IF(MATCH($N920,$N$2:$N$3001,0)=ROWS($N$2:$N920),$N920,""))</f>
        <v/>
      </c>
    </row>
    <row r="921" customFormat="false" ht="15" hidden="false" customHeight="false" outlineLevel="0" collapsed="false">
      <c r="E921" s="25"/>
      <c r="M921" s="26" t="str">
        <f aca="false">IF($A921="","",$L921*$U921/100)</f>
        <v/>
      </c>
      <c r="W921" s="26" t="str">
        <f aca="false">IF($A921="","",U921*AB921/100)</f>
        <v/>
      </c>
      <c r="X921" s="26" t="str">
        <f aca="false">IF($A921="","",U921-W921)</f>
        <v/>
      </c>
      <c r="Y921" s="26" t="str">
        <f aca="false">IF($A921="","",U921-W921-M921)</f>
        <v/>
      </c>
      <c r="AB921" s="27" t="str">
        <f aca="false">IF($A921="","",IF($AK921=1,'كشف المطالبة'!$D$5,'كشف المطالبة'!$D$6)*100)</f>
        <v/>
      </c>
      <c r="AK921" s="28" t="str">
        <f aca="false">IF($A921="","",IF(OR($Q921=TRUE(),$Q921="TRUE"),1,0))</f>
        <v/>
      </c>
      <c r="AL921" s="28" t="str">
        <f aca="false">IF($N921="","",IF(MATCH($N921,$N$2:$N$3001,0)=ROWS($N$2:$N921),$N921,""))</f>
        <v/>
      </c>
    </row>
    <row r="922" customFormat="false" ht="15" hidden="false" customHeight="false" outlineLevel="0" collapsed="false">
      <c r="E922" s="25"/>
      <c r="M922" s="26" t="str">
        <f aca="false">IF($A922="","",$L922*$U922/100)</f>
        <v/>
      </c>
      <c r="W922" s="26" t="str">
        <f aca="false">IF($A922="","",U922*AB922/100)</f>
        <v/>
      </c>
      <c r="X922" s="26" t="str">
        <f aca="false">IF($A922="","",U922-W922)</f>
        <v/>
      </c>
      <c r="Y922" s="26" t="str">
        <f aca="false">IF($A922="","",U922-W922-M922)</f>
        <v/>
      </c>
      <c r="AB922" s="27" t="str">
        <f aca="false">IF($A922="","",IF($AK922=1,'كشف المطالبة'!$D$5,'كشف المطالبة'!$D$6)*100)</f>
        <v/>
      </c>
      <c r="AK922" s="28" t="str">
        <f aca="false">IF($A922="","",IF(OR($Q922=TRUE(),$Q922="TRUE"),1,0))</f>
        <v/>
      </c>
      <c r="AL922" s="28" t="str">
        <f aca="false">IF($N922="","",IF(MATCH($N922,$N$2:$N$3001,0)=ROWS($N$2:$N922),$N922,""))</f>
        <v/>
      </c>
    </row>
    <row r="923" customFormat="false" ht="15" hidden="false" customHeight="false" outlineLevel="0" collapsed="false">
      <c r="E923" s="25"/>
      <c r="M923" s="26" t="str">
        <f aca="false">IF($A923="","",$L923*$U923/100)</f>
        <v/>
      </c>
      <c r="W923" s="26" t="str">
        <f aca="false">IF($A923="","",U923*AB923/100)</f>
        <v/>
      </c>
      <c r="X923" s="26" t="str">
        <f aca="false">IF($A923="","",U923-W923)</f>
        <v/>
      </c>
      <c r="Y923" s="26" t="str">
        <f aca="false">IF($A923="","",U923-W923-M923)</f>
        <v/>
      </c>
      <c r="AB923" s="27" t="str">
        <f aca="false">IF($A923="","",IF($AK923=1,'كشف المطالبة'!$D$5,'كشف المطالبة'!$D$6)*100)</f>
        <v/>
      </c>
      <c r="AK923" s="28" t="str">
        <f aca="false">IF($A923="","",IF(OR($Q923=TRUE(),$Q923="TRUE"),1,0))</f>
        <v/>
      </c>
      <c r="AL923" s="28" t="str">
        <f aca="false">IF($N923="","",IF(MATCH($N923,$N$2:$N$3001,0)=ROWS($N$2:$N923),$N923,""))</f>
        <v/>
      </c>
    </row>
    <row r="924" customFormat="false" ht="15" hidden="false" customHeight="false" outlineLevel="0" collapsed="false">
      <c r="E924" s="25"/>
      <c r="M924" s="26" t="str">
        <f aca="false">IF($A924="","",$L924*$U924/100)</f>
        <v/>
      </c>
      <c r="W924" s="26" t="str">
        <f aca="false">IF($A924="","",U924*AB924/100)</f>
        <v/>
      </c>
      <c r="X924" s="26" t="str">
        <f aca="false">IF($A924="","",U924-W924)</f>
        <v/>
      </c>
      <c r="Y924" s="26" t="str">
        <f aca="false">IF($A924="","",U924-W924-M924)</f>
        <v/>
      </c>
      <c r="AB924" s="27" t="str">
        <f aca="false">IF($A924="","",IF($AK924=1,'كشف المطالبة'!$D$5,'كشف المطالبة'!$D$6)*100)</f>
        <v/>
      </c>
      <c r="AK924" s="28" t="str">
        <f aca="false">IF($A924="","",IF(OR($Q924=TRUE(),$Q924="TRUE"),1,0))</f>
        <v/>
      </c>
      <c r="AL924" s="28" t="str">
        <f aca="false">IF($N924="","",IF(MATCH($N924,$N$2:$N$3001,0)=ROWS($N$2:$N924),$N924,""))</f>
        <v/>
      </c>
    </row>
    <row r="925" customFormat="false" ht="15" hidden="false" customHeight="false" outlineLevel="0" collapsed="false">
      <c r="E925" s="25"/>
      <c r="M925" s="26" t="str">
        <f aca="false">IF($A925="","",$L925*$U925/100)</f>
        <v/>
      </c>
      <c r="W925" s="26" t="str">
        <f aca="false">IF($A925="","",U925*AB925/100)</f>
        <v/>
      </c>
      <c r="X925" s="26" t="str">
        <f aca="false">IF($A925="","",U925-W925)</f>
        <v/>
      </c>
      <c r="Y925" s="26" t="str">
        <f aca="false">IF($A925="","",U925-W925-M925)</f>
        <v/>
      </c>
      <c r="AB925" s="27" t="str">
        <f aca="false">IF($A925="","",IF($AK925=1,'كشف المطالبة'!$D$5,'كشف المطالبة'!$D$6)*100)</f>
        <v/>
      </c>
      <c r="AK925" s="28" t="str">
        <f aca="false">IF($A925="","",IF(OR($Q925=TRUE(),$Q925="TRUE"),1,0))</f>
        <v/>
      </c>
      <c r="AL925" s="28" t="str">
        <f aca="false">IF($N925="","",IF(MATCH($N925,$N$2:$N$3001,0)=ROWS($N$2:$N925),$N925,""))</f>
        <v/>
      </c>
    </row>
    <row r="926" customFormat="false" ht="15" hidden="false" customHeight="false" outlineLevel="0" collapsed="false">
      <c r="E926" s="25"/>
      <c r="M926" s="26" t="str">
        <f aca="false">IF($A926="","",$L926*$U926/100)</f>
        <v/>
      </c>
      <c r="W926" s="26" t="str">
        <f aca="false">IF($A926="","",U926*AB926/100)</f>
        <v/>
      </c>
      <c r="X926" s="26" t="str">
        <f aca="false">IF($A926="","",U926-W926)</f>
        <v/>
      </c>
      <c r="Y926" s="26" t="str">
        <f aca="false">IF($A926="","",U926-W926-M926)</f>
        <v/>
      </c>
      <c r="AB926" s="27" t="str">
        <f aca="false">IF($A926="","",IF($AK926=1,'كشف المطالبة'!$D$5,'كشف المطالبة'!$D$6)*100)</f>
        <v/>
      </c>
      <c r="AK926" s="28" t="str">
        <f aca="false">IF($A926="","",IF(OR($Q926=TRUE(),$Q926="TRUE"),1,0))</f>
        <v/>
      </c>
      <c r="AL926" s="28" t="str">
        <f aca="false">IF($N926="","",IF(MATCH($N926,$N$2:$N$3001,0)=ROWS($N$2:$N926),$N926,""))</f>
        <v/>
      </c>
    </row>
    <row r="927" customFormat="false" ht="15" hidden="false" customHeight="false" outlineLevel="0" collapsed="false">
      <c r="E927" s="25"/>
      <c r="M927" s="26" t="str">
        <f aca="false">IF($A927="","",$L927*$U927/100)</f>
        <v/>
      </c>
      <c r="W927" s="26" t="str">
        <f aca="false">IF($A927="","",U927*AB927/100)</f>
        <v/>
      </c>
      <c r="X927" s="26" t="str">
        <f aca="false">IF($A927="","",U927-W927)</f>
        <v/>
      </c>
      <c r="Y927" s="26" t="str">
        <f aca="false">IF($A927="","",U927-W927-M927)</f>
        <v/>
      </c>
      <c r="AB927" s="27" t="str">
        <f aca="false">IF($A927="","",IF($AK927=1,'كشف المطالبة'!$D$5,'كشف المطالبة'!$D$6)*100)</f>
        <v/>
      </c>
      <c r="AK927" s="28" t="str">
        <f aca="false">IF($A927="","",IF(OR($Q927=TRUE(),$Q927="TRUE"),1,0))</f>
        <v/>
      </c>
      <c r="AL927" s="28" t="str">
        <f aca="false">IF($N927="","",IF(MATCH($N927,$N$2:$N$3001,0)=ROWS($N$2:$N927),$N927,""))</f>
        <v/>
      </c>
    </row>
    <row r="928" customFormat="false" ht="15" hidden="false" customHeight="false" outlineLevel="0" collapsed="false">
      <c r="E928" s="25"/>
      <c r="M928" s="26" t="str">
        <f aca="false">IF($A928="","",$L928*$U928/100)</f>
        <v/>
      </c>
      <c r="W928" s="26" t="str">
        <f aca="false">IF($A928="","",U928*AB928/100)</f>
        <v/>
      </c>
      <c r="X928" s="26" t="str">
        <f aca="false">IF($A928="","",U928-W928)</f>
        <v/>
      </c>
      <c r="Y928" s="26" t="str">
        <f aca="false">IF($A928="","",U928-W928-M928)</f>
        <v/>
      </c>
      <c r="AB928" s="27" t="str">
        <f aca="false">IF($A928="","",IF($AK928=1,'كشف المطالبة'!$D$5,'كشف المطالبة'!$D$6)*100)</f>
        <v/>
      </c>
      <c r="AK928" s="28" t="str">
        <f aca="false">IF($A928="","",IF(OR($Q928=TRUE(),$Q928="TRUE"),1,0))</f>
        <v/>
      </c>
      <c r="AL928" s="28" t="str">
        <f aca="false">IF($N928="","",IF(MATCH($N928,$N$2:$N$3001,0)=ROWS($N$2:$N928),$N928,""))</f>
        <v/>
      </c>
    </row>
    <row r="929" customFormat="false" ht="15" hidden="false" customHeight="false" outlineLevel="0" collapsed="false">
      <c r="E929" s="25"/>
      <c r="M929" s="26" t="str">
        <f aca="false">IF($A929="","",$L929*$U929/100)</f>
        <v/>
      </c>
      <c r="W929" s="26" t="str">
        <f aca="false">IF($A929="","",U929*AB929/100)</f>
        <v/>
      </c>
      <c r="X929" s="26" t="str">
        <f aca="false">IF($A929="","",U929-W929)</f>
        <v/>
      </c>
      <c r="Y929" s="26" t="str">
        <f aca="false">IF($A929="","",U929-W929-M929)</f>
        <v/>
      </c>
      <c r="AB929" s="27" t="str">
        <f aca="false">IF($A929="","",IF($AK929=1,'كشف المطالبة'!$D$5,'كشف المطالبة'!$D$6)*100)</f>
        <v/>
      </c>
      <c r="AK929" s="28" t="str">
        <f aca="false">IF($A929="","",IF(OR($Q929=TRUE(),$Q929="TRUE"),1,0))</f>
        <v/>
      </c>
      <c r="AL929" s="28" t="str">
        <f aca="false">IF($N929="","",IF(MATCH($N929,$N$2:$N$3001,0)=ROWS($N$2:$N929),$N929,""))</f>
        <v/>
      </c>
    </row>
    <row r="930" customFormat="false" ht="15" hidden="false" customHeight="false" outlineLevel="0" collapsed="false">
      <c r="E930" s="25"/>
      <c r="M930" s="26" t="str">
        <f aca="false">IF($A930="","",$L930*$U930/100)</f>
        <v/>
      </c>
      <c r="W930" s="26" t="str">
        <f aca="false">IF($A930="","",U930*AB930/100)</f>
        <v/>
      </c>
      <c r="X930" s="26" t="str">
        <f aca="false">IF($A930="","",U930-W930)</f>
        <v/>
      </c>
      <c r="Y930" s="26" t="str">
        <f aca="false">IF($A930="","",U930-W930-M930)</f>
        <v/>
      </c>
      <c r="AB930" s="27" t="str">
        <f aca="false">IF($A930="","",IF($AK930=1,'كشف المطالبة'!$D$5,'كشف المطالبة'!$D$6)*100)</f>
        <v/>
      </c>
      <c r="AK930" s="28" t="str">
        <f aca="false">IF($A930="","",IF(OR($Q930=TRUE(),$Q930="TRUE"),1,0))</f>
        <v/>
      </c>
      <c r="AL930" s="28" t="str">
        <f aca="false">IF($N930="","",IF(MATCH($N930,$N$2:$N$3001,0)=ROWS($N$2:$N930),$N930,""))</f>
        <v/>
      </c>
    </row>
    <row r="931" customFormat="false" ht="15" hidden="false" customHeight="false" outlineLevel="0" collapsed="false">
      <c r="E931" s="25"/>
      <c r="M931" s="26" t="str">
        <f aca="false">IF($A931="","",$L931*$U931/100)</f>
        <v/>
      </c>
      <c r="W931" s="26" t="str">
        <f aca="false">IF($A931="","",U931*AB931/100)</f>
        <v/>
      </c>
      <c r="X931" s="26" t="str">
        <f aca="false">IF($A931="","",U931-W931)</f>
        <v/>
      </c>
      <c r="Y931" s="26" t="str">
        <f aca="false">IF($A931="","",U931-W931-M931)</f>
        <v/>
      </c>
      <c r="AB931" s="27" t="str">
        <f aca="false">IF($A931="","",IF($AK931=1,'كشف المطالبة'!$D$5,'كشف المطالبة'!$D$6)*100)</f>
        <v/>
      </c>
      <c r="AK931" s="28" t="str">
        <f aca="false">IF($A931="","",IF(OR($Q931=TRUE(),$Q931="TRUE"),1,0))</f>
        <v/>
      </c>
      <c r="AL931" s="28" t="str">
        <f aca="false">IF($N931="","",IF(MATCH($N931,$N$2:$N$3001,0)=ROWS($N$2:$N931),$N931,""))</f>
        <v/>
      </c>
    </row>
    <row r="932" customFormat="false" ht="15" hidden="false" customHeight="false" outlineLevel="0" collapsed="false">
      <c r="E932" s="25"/>
      <c r="M932" s="26" t="str">
        <f aca="false">IF($A932="","",$L932*$U932/100)</f>
        <v/>
      </c>
      <c r="W932" s="26" t="str">
        <f aca="false">IF($A932="","",U932*AB932/100)</f>
        <v/>
      </c>
      <c r="X932" s="26" t="str">
        <f aca="false">IF($A932="","",U932-W932)</f>
        <v/>
      </c>
      <c r="Y932" s="26" t="str">
        <f aca="false">IF($A932="","",U932-W932-M932)</f>
        <v/>
      </c>
      <c r="AB932" s="27" t="str">
        <f aca="false">IF($A932="","",IF($AK932=1,'كشف المطالبة'!$D$5,'كشف المطالبة'!$D$6)*100)</f>
        <v/>
      </c>
      <c r="AK932" s="28" t="str">
        <f aca="false">IF($A932="","",IF(OR($Q932=TRUE(),$Q932="TRUE"),1,0))</f>
        <v/>
      </c>
      <c r="AL932" s="28" t="str">
        <f aca="false">IF($N932="","",IF(MATCH($N932,$N$2:$N$3001,0)=ROWS($N$2:$N932),$N932,""))</f>
        <v/>
      </c>
    </row>
    <row r="933" customFormat="false" ht="15" hidden="false" customHeight="false" outlineLevel="0" collapsed="false">
      <c r="E933" s="25"/>
      <c r="M933" s="26" t="str">
        <f aca="false">IF($A933="","",$L933*$U933/100)</f>
        <v/>
      </c>
      <c r="W933" s="26" t="str">
        <f aca="false">IF($A933="","",U933*AB933/100)</f>
        <v/>
      </c>
      <c r="X933" s="26" t="str">
        <f aca="false">IF($A933="","",U933-W933)</f>
        <v/>
      </c>
      <c r="Y933" s="26" t="str">
        <f aca="false">IF($A933="","",U933-W933-M933)</f>
        <v/>
      </c>
      <c r="AB933" s="27" t="str">
        <f aca="false">IF($A933="","",IF($AK933=1,'كشف المطالبة'!$D$5,'كشف المطالبة'!$D$6)*100)</f>
        <v/>
      </c>
      <c r="AK933" s="28" t="str">
        <f aca="false">IF($A933="","",IF(OR($Q933=TRUE(),$Q933="TRUE"),1,0))</f>
        <v/>
      </c>
      <c r="AL933" s="28" t="str">
        <f aca="false">IF($N933="","",IF(MATCH($N933,$N$2:$N$3001,0)=ROWS($N$2:$N933),$N933,""))</f>
        <v/>
      </c>
    </row>
    <row r="934" customFormat="false" ht="15" hidden="false" customHeight="false" outlineLevel="0" collapsed="false">
      <c r="E934" s="25"/>
      <c r="M934" s="26" t="str">
        <f aca="false">IF($A934="","",$L934*$U934/100)</f>
        <v/>
      </c>
      <c r="W934" s="26" t="str">
        <f aca="false">IF($A934="","",U934*AB934/100)</f>
        <v/>
      </c>
      <c r="X934" s="26" t="str">
        <f aca="false">IF($A934="","",U934-W934)</f>
        <v/>
      </c>
      <c r="Y934" s="26" t="str">
        <f aca="false">IF($A934="","",U934-W934-M934)</f>
        <v/>
      </c>
      <c r="AB934" s="27" t="str">
        <f aca="false">IF($A934="","",IF($AK934=1,'كشف المطالبة'!$D$5,'كشف المطالبة'!$D$6)*100)</f>
        <v/>
      </c>
      <c r="AK934" s="28" t="str">
        <f aca="false">IF($A934="","",IF(OR($Q934=TRUE(),$Q934="TRUE"),1,0))</f>
        <v/>
      </c>
      <c r="AL934" s="28" t="str">
        <f aca="false">IF($N934="","",IF(MATCH($N934,$N$2:$N$3001,0)=ROWS($N$2:$N934),$N934,""))</f>
        <v/>
      </c>
    </row>
    <row r="935" customFormat="false" ht="15" hidden="false" customHeight="false" outlineLevel="0" collapsed="false">
      <c r="E935" s="25"/>
      <c r="M935" s="26" t="str">
        <f aca="false">IF($A935="","",$L935*$U935/100)</f>
        <v/>
      </c>
      <c r="W935" s="26" t="str">
        <f aca="false">IF($A935="","",U935*AB935/100)</f>
        <v/>
      </c>
      <c r="X935" s="26" t="str">
        <f aca="false">IF($A935="","",U935-W935)</f>
        <v/>
      </c>
      <c r="Y935" s="26" t="str">
        <f aca="false">IF($A935="","",U935-W935-M935)</f>
        <v/>
      </c>
      <c r="AB935" s="27" t="str">
        <f aca="false">IF($A935="","",IF($AK935=1,'كشف المطالبة'!$D$5,'كشف المطالبة'!$D$6)*100)</f>
        <v/>
      </c>
      <c r="AK935" s="28" t="str">
        <f aca="false">IF($A935="","",IF(OR($Q935=TRUE(),$Q935="TRUE"),1,0))</f>
        <v/>
      </c>
      <c r="AL935" s="28" t="str">
        <f aca="false">IF($N935="","",IF(MATCH($N935,$N$2:$N$3001,0)=ROWS($N$2:$N935),$N935,""))</f>
        <v/>
      </c>
    </row>
    <row r="936" customFormat="false" ht="15" hidden="false" customHeight="false" outlineLevel="0" collapsed="false">
      <c r="E936" s="25"/>
      <c r="M936" s="26" t="str">
        <f aca="false">IF($A936="","",$L936*$U936/100)</f>
        <v/>
      </c>
      <c r="W936" s="26" t="str">
        <f aca="false">IF($A936="","",U936*AB936/100)</f>
        <v/>
      </c>
      <c r="X936" s="26" t="str">
        <f aca="false">IF($A936="","",U936-W936)</f>
        <v/>
      </c>
      <c r="Y936" s="26" t="str">
        <f aca="false">IF($A936="","",U936-W936-M936)</f>
        <v/>
      </c>
      <c r="AB936" s="27" t="str">
        <f aca="false">IF($A936="","",IF($AK936=1,'كشف المطالبة'!$D$5,'كشف المطالبة'!$D$6)*100)</f>
        <v/>
      </c>
      <c r="AK936" s="28" t="str">
        <f aca="false">IF($A936="","",IF(OR($Q936=TRUE(),$Q936="TRUE"),1,0))</f>
        <v/>
      </c>
      <c r="AL936" s="28" t="str">
        <f aca="false">IF($N936="","",IF(MATCH($N936,$N$2:$N$3001,0)=ROWS($N$2:$N936),$N936,""))</f>
        <v/>
      </c>
    </row>
    <row r="937" customFormat="false" ht="15" hidden="false" customHeight="false" outlineLevel="0" collapsed="false">
      <c r="E937" s="25"/>
      <c r="M937" s="26" t="str">
        <f aca="false">IF($A937="","",$L937*$U937/100)</f>
        <v/>
      </c>
      <c r="W937" s="26" t="str">
        <f aca="false">IF($A937="","",U937*AB937/100)</f>
        <v/>
      </c>
      <c r="X937" s="26" t="str">
        <f aca="false">IF($A937="","",U937-W937)</f>
        <v/>
      </c>
      <c r="Y937" s="26" t="str">
        <f aca="false">IF($A937="","",U937-W937-M937)</f>
        <v/>
      </c>
      <c r="AB937" s="27" t="str">
        <f aca="false">IF($A937="","",IF($AK937=1,'كشف المطالبة'!$D$5,'كشف المطالبة'!$D$6)*100)</f>
        <v/>
      </c>
      <c r="AK937" s="28" t="str">
        <f aca="false">IF($A937="","",IF(OR($Q937=TRUE(),$Q937="TRUE"),1,0))</f>
        <v/>
      </c>
      <c r="AL937" s="28" t="str">
        <f aca="false">IF($N937="","",IF(MATCH($N937,$N$2:$N$3001,0)=ROWS($N$2:$N937),$N937,""))</f>
        <v/>
      </c>
    </row>
    <row r="938" customFormat="false" ht="15" hidden="false" customHeight="false" outlineLevel="0" collapsed="false">
      <c r="E938" s="25"/>
      <c r="M938" s="26" t="str">
        <f aca="false">IF($A938="","",$L938*$U938/100)</f>
        <v/>
      </c>
      <c r="W938" s="26" t="str">
        <f aca="false">IF($A938="","",U938*AB938/100)</f>
        <v/>
      </c>
      <c r="X938" s="26" t="str">
        <f aca="false">IF($A938="","",U938-W938)</f>
        <v/>
      </c>
      <c r="Y938" s="26" t="str">
        <f aca="false">IF($A938="","",U938-W938-M938)</f>
        <v/>
      </c>
      <c r="AB938" s="27" t="str">
        <f aca="false">IF($A938="","",IF($AK938=1,'كشف المطالبة'!$D$5,'كشف المطالبة'!$D$6)*100)</f>
        <v/>
      </c>
      <c r="AK938" s="28" t="str">
        <f aca="false">IF($A938="","",IF(OR($Q938=TRUE(),$Q938="TRUE"),1,0))</f>
        <v/>
      </c>
      <c r="AL938" s="28" t="str">
        <f aca="false">IF($N938="","",IF(MATCH($N938,$N$2:$N$3001,0)=ROWS($N$2:$N938),$N938,""))</f>
        <v/>
      </c>
    </row>
    <row r="939" customFormat="false" ht="15" hidden="false" customHeight="false" outlineLevel="0" collapsed="false">
      <c r="E939" s="25"/>
      <c r="M939" s="26" t="str">
        <f aca="false">IF($A939="","",$L939*$U939/100)</f>
        <v/>
      </c>
      <c r="W939" s="26" t="str">
        <f aca="false">IF($A939="","",U939*AB939/100)</f>
        <v/>
      </c>
      <c r="X939" s="26" t="str">
        <f aca="false">IF($A939="","",U939-W939)</f>
        <v/>
      </c>
      <c r="Y939" s="26" t="str">
        <f aca="false">IF($A939="","",U939-W939-M939)</f>
        <v/>
      </c>
      <c r="AB939" s="27" t="str">
        <f aca="false">IF($A939="","",IF($AK939=1,'كشف المطالبة'!$D$5,'كشف المطالبة'!$D$6)*100)</f>
        <v/>
      </c>
      <c r="AK939" s="28" t="str">
        <f aca="false">IF($A939="","",IF(OR($Q939=TRUE(),$Q939="TRUE"),1,0))</f>
        <v/>
      </c>
      <c r="AL939" s="28" t="str">
        <f aca="false">IF($N939="","",IF(MATCH($N939,$N$2:$N$3001,0)=ROWS($N$2:$N939),$N939,""))</f>
        <v/>
      </c>
    </row>
    <row r="940" customFormat="false" ht="15" hidden="false" customHeight="false" outlineLevel="0" collapsed="false">
      <c r="E940" s="25"/>
      <c r="M940" s="26" t="str">
        <f aca="false">IF($A940="","",$L940*$U940/100)</f>
        <v/>
      </c>
      <c r="W940" s="26" t="str">
        <f aca="false">IF($A940="","",U940*AB940/100)</f>
        <v/>
      </c>
      <c r="X940" s="26" t="str">
        <f aca="false">IF($A940="","",U940-W940)</f>
        <v/>
      </c>
      <c r="Y940" s="26" t="str">
        <f aca="false">IF($A940="","",U940-W940-M940)</f>
        <v/>
      </c>
      <c r="AB940" s="27" t="str">
        <f aca="false">IF($A940="","",IF($AK940=1,'كشف المطالبة'!$D$5,'كشف المطالبة'!$D$6)*100)</f>
        <v/>
      </c>
      <c r="AK940" s="28" t="str">
        <f aca="false">IF($A940="","",IF(OR($Q940=TRUE(),$Q940="TRUE"),1,0))</f>
        <v/>
      </c>
      <c r="AL940" s="28" t="str">
        <f aca="false">IF($N940="","",IF(MATCH($N940,$N$2:$N$3001,0)=ROWS($N$2:$N940),$N940,""))</f>
        <v/>
      </c>
    </row>
    <row r="941" customFormat="false" ht="15" hidden="false" customHeight="false" outlineLevel="0" collapsed="false">
      <c r="E941" s="25"/>
      <c r="M941" s="26" t="str">
        <f aca="false">IF($A941="","",$L941*$U941/100)</f>
        <v/>
      </c>
      <c r="W941" s="26" t="str">
        <f aca="false">IF($A941="","",U941*AB941/100)</f>
        <v/>
      </c>
      <c r="X941" s="26" t="str">
        <f aca="false">IF($A941="","",U941-W941)</f>
        <v/>
      </c>
      <c r="Y941" s="26" t="str">
        <f aca="false">IF($A941="","",U941-W941-M941)</f>
        <v/>
      </c>
      <c r="AB941" s="27" t="str">
        <f aca="false">IF($A941="","",IF($AK941=1,'كشف المطالبة'!$D$5,'كشف المطالبة'!$D$6)*100)</f>
        <v/>
      </c>
      <c r="AK941" s="28" t="str">
        <f aca="false">IF($A941="","",IF(OR($Q941=TRUE(),$Q941="TRUE"),1,0))</f>
        <v/>
      </c>
      <c r="AL941" s="28" t="str">
        <f aca="false">IF($N941="","",IF(MATCH($N941,$N$2:$N$3001,0)=ROWS($N$2:$N941),$N941,""))</f>
        <v/>
      </c>
    </row>
    <row r="942" customFormat="false" ht="15" hidden="false" customHeight="false" outlineLevel="0" collapsed="false">
      <c r="E942" s="25"/>
      <c r="M942" s="26" t="str">
        <f aca="false">IF($A942="","",$L942*$U942/100)</f>
        <v/>
      </c>
      <c r="W942" s="26" t="str">
        <f aca="false">IF($A942="","",U942*AB942/100)</f>
        <v/>
      </c>
      <c r="X942" s="26" t="str">
        <f aca="false">IF($A942="","",U942-W942)</f>
        <v/>
      </c>
      <c r="Y942" s="26" t="str">
        <f aca="false">IF($A942="","",U942-W942-M942)</f>
        <v/>
      </c>
      <c r="AB942" s="27" t="str">
        <f aca="false">IF($A942="","",IF($AK942=1,'كشف المطالبة'!$D$5,'كشف المطالبة'!$D$6)*100)</f>
        <v/>
      </c>
      <c r="AK942" s="28" t="str">
        <f aca="false">IF($A942="","",IF(OR($Q942=TRUE(),$Q942="TRUE"),1,0))</f>
        <v/>
      </c>
      <c r="AL942" s="28" t="str">
        <f aca="false">IF($N942="","",IF(MATCH($N942,$N$2:$N$3001,0)=ROWS($N$2:$N942),$N942,""))</f>
        <v/>
      </c>
    </row>
    <row r="943" customFormat="false" ht="15" hidden="false" customHeight="false" outlineLevel="0" collapsed="false">
      <c r="E943" s="25"/>
      <c r="M943" s="26" t="str">
        <f aca="false">IF($A943="","",$L943*$U943/100)</f>
        <v/>
      </c>
      <c r="W943" s="26" t="str">
        <f aca="false">IF($A943="","",U943*AB943/100)</f>
        <v/>
      </c>
      <c r="X943" s="26" t="str">
        <f aca="false">IF($A943="","",U943-W943)</f>
        <v/>
      </c>
      <c r="Y943" s="26" t="str">
        <f aca="false">IF($A943="","",U943-W943-M943)</f>
        <v/>
      </c>
      <c r="AB943" s="27" t="str">
        <f aca="false">IF($A943="","",IF($AK943=1,'كشف المطالبة'!$D$5,'كشف المطالبة'!$D$6)*100)</f>
        <v/>
      </c>
      <c r="AK943" s="28" t="str">
        <f aca="false">IF($A943="","",IF(OR($Q943=TRUE(),$Q943="TRUE"),1,0))</f>
        <v/>
      </c>
      <c r="AL943" s="28" t="str">
        <f aca="false">IF($N943="","",IF(MATCH($N943,$N$2:$N$3001,0)=ROWS($N$2:$N943),$N943,""))</f>
        <v/>
      </c>
    </row>
    <row r="944" customFormat="false" ht="15" hidden="false" customHeight="false" outlineLevel="0" collapsed="false">
      <c r="E944" s="25"/>
      <c r="M944" s="26" t="str">
        <f aca="false">IF($A944="","",$L944*$U944/100)</f>
        <v/>
      </c>
      <c r="W944" s="26" t="str">
        <f aca="false">IF($A944="","",U944*AB944/100)</f>
        <v/>
      </c>
      <c r="X944" s="26" t="str">
        <f aca="false">IF($A944="","",U944-W944)</f>
        <v/>
      </c>
      <c r="Y944" s="26" t="str">
        <f aca="false">IF($A944="","",U944-W944-M944)</f>
        <v/>
      </c>
      <c r="AB944" s="27" t="str">
        <f aca="false">IF($A944="","",IF($AK944=1,'كشف المطالبة'!$D$5,'كشف المطالبة'!$D$6)*100)</f>
        <v/>
      </c>
      <c r="AK944" s="28" t="str">
        <f aca="false">IF($A944="","",IF(OR($Q944=TRUE(),$Q944="TRUE"),1,0))</f>
        <v/>
      </c>
      <c r="AL944" s="28" t="str">
        <f aca="false">IF($N944="","",IF(MATCH($N944,$N$2:$N$3001,0)=ROWS($N$2:$N944),$N944,""))</f>
        <v/>
      </c>
    </row>
    <row r="945" customFormat="false" ht="15" hidden="false" customHeight="false" outlineLevel="0" collapsed="false">
      <c r="E945" s="25"/>
      <c r="M945" s="26" t="str">
        <f aca="false">IF($A945="","",$L945*$U945/100)</f>
        <v/>
      </c>
      <c r="W945" s="26" t="str">
        <f aca="false">IF($A945="","",U945*AB945/100)</f>
        <v/>
      </c>
      <c r="X945" s="26" t="str">
        <f aca="false">IF($A945="","",U945-W945)</f>
        <v/>
      </c>
      <c r="Y945" s="26" t="str">
        <f aca="false">IF($A945="","",U945-W945-M945)</f>
        <v/>
      </c>
      <c r="AB945" s="27" t="str">
        <f aca="false">IF($A945="","",IF($AK945=1,'كشف المطالبة'!$D$5,'كشف المطالبة'!$D$6)*100)</f>
        <v/>
      </c>
      <c r="AK945" s="28" t="str">
        <f aca="false">IF($A945="","",IF(OR($Q945=TRUE(),$Q945="TRUE"),1,0))</f>
        <v/>
      </c>
      <c r="AL945" s="28" t="str">
        <f aca="false">IF($N945="","",IF(MATCH($N945,$N$2:$N$3001,0)=ROWS($N$2:$N945),$N945,""))</f>
        <v/>
      </c>
    </row>
    <row r="946" customFormat="false" ht="15" hidden="false" customHeight="false" outlineLevel="0" collapsed="false">
      <c r="E946" s="25"/>
      <c r="M946" s="26" t="str">
        <f aca="false">IF($A946="","",$L946*$U946/100)</f>
        <v/>
      </c>
      <c r="W946" s="26" t="str">
        <f aca="false">IF($A946="","",U946*AB946/100)</f>
        <v/>
      </c>
      <c r="X946" s="26" t="str">
        <f aca="false">IF($A946="","",U946-W946)</f>
        <v/>
      </c>
      <c r="Y946" s="26" t="str">
        <f aca="false">IF($A946="","",U946-W946-M946)</f>
        <v/>
      </c>
      <c r="AB946" s="27" t="str">
        <f aca="false">IF($A946="","",IF($AK946=1,'كشف المطالبة'!$D$5,'كشف المطالبة'!$D$6)*100)</f>
        <v/>
      </c>
      <c r="AK946" s="28" t="str">
        <f aca="false">IF($A946="","",IF(OR($Q946=TRUE(),$Q946="TRUE"),1,0))</f>
        <v/>
      </c>
      <c r="AL946" s="28" t="str">
        <f aca="false">IF($N946="","",IF(MATCH($N946,$N$2:$N$3001,0)=ROWS($N$2:$N946),$N946,""))</f>
        <v/>
      </c>
    </row>
    <row r="947" customFormat="false" ht="15" hidden="false" customHeight="false" outlineLevel="0" collapsed="false">
      <c r="E947" s="25"/>
      <c r="M947" s="26" t="str">
        <f aca="false">IF($A947="","",$L947*$U947/100)</f>
        <v/>
      </c>
      <c r="W947" s="26" t="str">
        <f aca="false">IF($A947="","",U947*AB947/100)</f>
        <v/>
      </c>
      <c r="X947" s="26" t="str">
        <f aca="false">IF($A947="","",U947-W947)</f>
        <v/>
      </c>
      <c r="Y947" s="26" t="str">
        <f aca="false">IF($A947="","",U947-W947-M947)</f>
        <v/>
      </c>
      <c r="AB947" s="27" t="str">
        <f aca="false">IF($A947="","",IF($AK947=1,'كشف المطالبة'!$D$5,'كشف المطالبة'!$D$6)*100)</f>
        <v/>
      </c>
      <c r="AK947" s="28" t="str">
        <f aca="false">IF($A947="","",IF(OR($Q947=TRUE(),$Q947="TRUE"),1,0))</f>
        <v/>
      </c>
      <c r="AL947" s="28" t="str">
        <f aca="false">IF($N947="","",IF(MATCH($N947,$N$2:$N$3001,0)=ROWS($N$2:$N947),$N947,""))</f>
        <v/>
      </c>
    </row>
    <row r="948" customFormat="false" ht="15" hidden="false" customHeight="false" outlineLevel="0" collapsed="false">
      <c r="E948" s="25"/>
      <c r="M948" s="26" t="str">
        <f aca="false">IF($A948="","",$L948*$U948/100)</f>
        <v/>
      </c>
      <c r="W948" s="26" t="str">
        <f aca="false">IF($A948="","",U948*AB948/100)</f>
        <v/>
      </c>
      <c r="X948" s="26" t="str">
        <f aca="false">IF($A948="","",U948-W948)</f>
        <v/>
      </c>
      <c r="Y948" s="26" t="str">
        <f aca="false">IF($A948="","",U948-W948-M948)</f>
        <v/>
      </c>
      <c r="AB948" s="27" t="str">
        <f aca="false">IF($A948="","",IF($AK948=1,'كشف المطالبة'!$D$5,'كشف المطالبة'!$D$6)*100)</f>
        <v/>
      </c>
      <c r="AK948" s="28" t="str">
        <f aca="false">IF($A948="","",IF(OR($Q948=TRUE(),$Q948="TRUE"),1,0))</f>
        <v/>
      </c>
      <c r="AL948" s="28" t="str">
        <f aca="false">IF($N948="","",IF(MATCH($N948,$N$2:$N$3001,0)=ROWS($N$2:$N948),$N948,""))</f>
        <v/>
      </c>
    </row>
    <row r="949" customFormat="false" ht="15" hidden="false" customHeight="false" outlineLevel="0" collapsed="false">
      <c r="E949" s="25"/>
      <c r="M949" s="26" t="str">
        <f aca="false">IF($A949="","",$L949*$U949/100)</f>
        <v/>
      </c>
      <c r="W949" s="26" t="str">
        <f aca="false">IF($A949="","",U949*AB949/100)</f>
        <v/>
      </c>
      <c r="X949" s="26" t="str">
        <f aca="false">IF($A949="","",U949-W949)</f>
        <v/>
      </c>
      <c r="Y949" s="26" t="str">
        <f aca="false">IF($A949="","",U949-W949-M949)</f>
        <v/>
      </c>
      <c r="AB949" s="27" t="str">
        <f aca="false">IF($A949="","",IF($AK949=1,'كشف المطالبة'!$D$5,'كشف المطالبة'!$D$6)*100)</f>
        <v/>
      </c>
      <c r="AK949" s="28" t="str">
        <f aca="false">IF($A949="","",IF(OR($Q949=TRUE(),$Q949="TRUE"),1,0))</f>
        <v/>
      </c>
      <c r="AL949" s="28" t="str">
        <f aca="false">IF($N949="","",IF(MATCH($N949,$N$2:$N$3001,0)=ROWS($N$2:$N949),$N949,""))</f>
        <v/>
      </c>
    </row>
    <row r="950" customFormat="false" ht="15" hidden="false" customHeight="false" outlineLevel="0" collapsed="false">
      <c r="E950" s="25"/>
      <c r="M950" s="26" t="str">
        <f aca="false">IF($A950="","",$L950*$U950/100)</f>
        <v/>
      </c>
      <c r="W950" s="26" t="str">
        <f aca="false">IF($A950="","",U950*AB950/100)</f>
        <v/>
      </c>
      <c r="X950" s="26" t="str">
        <f aca="false">IF($A950="","",U950-W950)</f>
        <v/>
      </c>
      <c r="Y950" s="26" t="str">
        <f aca="false">IF($A950="","",U950-W950-M950)</f>
        <v/>
      </c>
      <c r="AB950" s="27" t="str">
        <f aca="false">IF($A950="","",IF($AK950=1,'كشف المطالبة'!$D$5,'كشف المطالبة'!$D$6)*100)</f>
        <v/>
      </c>
      <c r="AK950" s="28" t="str">
        <f aca="false">IF($A950="","",IF(OR($Q950=TRUE(),$Q950="TRUE"),1,0))</f>
        <v/>
      </c>
      <c r="AL950" s="28" t="str">
        <f aca="false">IF($N950="","",IF(MATCH($N950,$N$2:$N$3001,0)=ROWS($N$2:$N950),$N950,""))</f>
        <v/>
      </c>
    </row>
    <row r="951" customFormat="false" ht="15" hidden="false" customHeight="false" outlineLevel="0" collapsed="false">
      <c r="E951" s="25"/>
      <c r="M951" s="26" t="str">
        <f aca="false">IF($A951="","",$L951*$U951/100)</f>
        <v/>
      </c>
      <c r="W951" s="26" t="str">
        <f aca="false">IF($A951="","",U951*AB951/100)</f>
        <v/>
      </c>
      <c r="X951" s="26" t="str">
        <f aca="false">IF($A951="","",U951-W951)</f>
        <v/>
      </c>
      <c r="Y951" s="26" t="str">
        <f aca="false">IF($A951="","",U951-W951-M951)</f>
        <v/>
      </c>
      <c r="AB951" s="27" t="str">
        <f aca="false">IF($A951="","",IF($AK951=1,'كشف المطالبة'!$D$5,'كشف المطالبة'!$D$6)*100)</f>
        <v/>
      </c>
      <c r="AK951" s="28" t="str">
        <f aca="false">IF($A951="","",IF(OR($Q951=TRUE(),$Q951="TRUE"),1,0))</f>
        <v/>
      </c>
      <c r="AL951" s="28" t="str">
        <f aca="false">IF($N951="","",IF(MATCH($N951,$N$2:$N$3001,0)=ROWS($N$2:$N951),$N951,""))</f>
        <v/>
      </c>
    </row>
    <row r="952" customFormat="false" ht="15" hidden="false" customHeight="false" outlineLevel="0" collapsed="false">
      <c r="E952" s="25"/>
      <c r="M952" s="26" t="str">
        <f aca="false">IF($A952="","",$L952*$U952/100)</f>
        <v/>
      </c>
      <c r="W952" s="26" t="str">
        <f aca="false">IF($A952="","",U952*AB952/100)</f>
        <v/>
      </c>
      <c r="X952" s="26" t="str">
        <f aca="false">IF($A952="","",U952-W952)</f>
        <v/>
      </c>
      <c r="Y952" s="26" t="str">
        <f aca="false">IF($A952="","",U952-W952-M952)</f>
        <v/>
      </c>
      <c r="AB952" s="27" t="str">
        <f aca="false">IF($A952="","",IF($AK952=1,'كشف المطالبة'!$D$5,'كشف المطالبة'!$D$6)*100)</f>
        <v/>
      </c>
      <c r="AK952" s="28" t="str">
        <f aca="false">IF($A952="","",IF(OR($Q952=TRUE(),$Q952="TRUE"),1,0))</f>
        <v/>
      </c>
      <c r="AL952" s="28" t="str">
        <f aca="false">IF($N952="","",IF(MATCH($N952,$N$2:$N$3001,0)=ROWS($N$2:$N952),$N952,""))</f>
        <v/>
      </c>
    </row>
    <row r="953" customFormat="false" ht="15" hidden="false" customHeight="false" outlineLevel="0" collapsed="false">
      <c r="E953" s="25"/>
      <c r="M953" s="26" t="str">
        <f aca="false">IF($A953="","",$L953*$U953/100)</f>
        <v/>
      </c>
      <c r="W953" s="26" t="str">
        <f aca="false">IF($A953="","",U953*AB953/100)</f>
        <v/>
      </c>
      <c r="X953" s="26" t="str">
        <f aca="false">IF($A953="","",U953-W953)</f>
        <v/>
      </c>
      <c r="Y953" s="26" t="str">
        <f aca="false">IF($A953="","",U953-W953-M953)</f>
        <v/>
      </c>
      <c r="AB953" s="27" t="str">
        <f aca="false">IF($A953="","",IF($AK953=1,'كشف المطالبة'!$D$5,'كشف المطالبة'!$D$6)*100)</f>
        <v/>
      </c>
      <c r="AK953" s="28" t="str">
        <f aca="false">IF($A953="","",IF(OR($Q953=TRUE(),$Q953="TRUE"),1,0))</f>
        <v/>
      </c>
      <c r="AL953" s="28" t="str">
        <f aca="false">IF($N953="","",IF(MATCH($N953,$N$2:$N$3001,0)=ROWS($N$2:$N953),$N953,""))</f>
        <v/>
      </c>
    </row>
    <row r="954" customFormat="false" ht="15" hidden="false" customHeight="false" outlineLevel="0" collapsed="false">
      <c r="E954" s="25"/>
      <c r="M954" s="26" t="str">
        <f aca="false">IF($A954="","",$L954*$U954/100)</f>
        <v/>
      </c>
      <c r="W954" s="26" t="str">
        <f aca="false">IF($A954="","",U954*AB954/100)</f>
        <v/>
      </c>
      <c r="X954" s="26" t="str">
        <f aca="false">IF($A954="","",U954-W954)</f>
        <v/>
      </c>
      <c r="Y954" s="26" t="str">
        <f aca="false">IF($A954="","",U954-W954-M954)</f>
        <v/>
      </c>
      <c r="AB954" s="27" t="str">
        <f aca="false">IF($A954="","",IF($AK954=1,'كشف المطالبة'!$D$5,'كشف المطالبة'!$D$6)*100)</f>
        <v/>
      </c>
      <c r="AK954" s="28" t="str">
        <f aca="false">IF($A954="","",IF(OR($Q954=TRUE(),$Q954="TRUE"),1,0))</f>
        <v/>
      </c>
      <c r="AL954" s="28" t="str">
        <f aca="false">IF($N954="","",IF(MATCH($N954,$N$2:$N$3001,0)=ROWS($N$2:$N954),$N954,""))</f>
        <v/>
      </c>
    </row>
    <row r="955" customFormat="false" ht="15" hidden="false" customHeight="false" outlineLevel="0" collapsed="false">
      <c r="E955" s="25"/>
      <c r="M955" s="26" t="str">
        <f aca="false">IF($A955="","",$L955*$U955/100)</f>
        <v/>
      </c>
      <c r="W955" s="26" t="str">
        <f aca="false">IF($A955="","",U955*AB955/100)</f>
        <v/>
      </c>
      <c r="X955" s="26" t="str">
        <f aca="false">IF($A955="","",U955-W955)</f>
        <v/>
      </c>
      <c r="Y955" s="26" t="str">
        <f aca="false">IF($A955="","",U955-W955-M955)</f>
        <v/>
      </c>
      <c r="AB955" s="27" t="str">
        <f aca="false">IF($A955="","",IF($AK955=1,'كشف المطالبة'!$D$5,'كشف المطالبة'!$D$6)*100)</f>
        <v/>
      </c>
      <c r="AK955" s="28" t="str">
        <f aca="false">IF($A955="","",IF(OR($Q955=TRUE(),$Q955="TRUE"),1,0))</f>
        <v/>
      </c>
      <c r="AL955" s="28" t="str">
        <f aca="false">IF($N955="","",IF(MATCH($N955,$N$2:$N$3001,0)=ROWS($N$2:$N955),$N955,""))</f>
        <v/>
      </c>
    </row>
    <row r="956" customFormat="false" ht="15" hidden="false" customHeight="false" outlineLevel="0" collapsed="false">
      <c r="E956" s="25"/>
      <c r="M956" s="26" t="str">
        <f aca="false">IF($A956="","",$L956*$U956/100)</f>
        <v/>
      </c>
      <c r="W956" s="26" t="str">
        <f aca="false">IF($A956="","",U956*AB956/100)</f>
        <v/>
      </c>
      <c r="X956" s="26" t="str">
        <f aca="false">IF($A956="","",U956-W956)</f>
        <v/>
      </c>
      <c r="Y956" s="26" t="str">
        <f aca="false">IF($A956="","",U956-W956-M956)</f>
        <v/>
      </c>
      <c r="AB956" s="27" t="str">
        <f aca="false">IF($A956="","",IF($AK956=1,'كشف المطالبة'!$D$5,'كشف المطالبة'!$D$6)*100)</f>
        <v/>
      </c>
      <c r="AK956" s="28" t="str">
        <f aca="false">IF($A956="","",IF(OR($Q956=TRUE(),$Q956="TRUE"),1,0))</f>
        <v/>
      </c>
      <c r="AL956" s="28" t="str">
        <f aca="false">IF($N956="","",IF(MATCH($N956,$N$2:$N$3001,0)=ROWS($N$2:$N956),$N956,""))</f>
        <v/>
      </c>
    </row>
    <row r="957" customFormat="false" ht="15" hidden="false" customHeight="false" outlineLevel="0" collapsed="false">
      <c r="E957" s="25"/>
      <c r="M957" s="26" t="str">
        <f aca="false">IF($A957="","",$L957*$U957/100)</f>
        <v/>
      </c>
      <c r="W957" s="26" t="str">
        <f aca="false">IF($A957="","",U957*AB957/100)</f>
        <v/>
      </c>
      <c r="X957" s="26" t="str">
        <f aca="false">IF($A957="","",U957-W957)</f>
        <v/>
      </c>
      <c r="Y957" s="26" t="str">
        <f aca="false">IF($A957="","",U957-W957-M957)</f>
        <v/>
      </c>
      <c r="AB957" s="27" t="str">
        <f aca="false">IF($A957="","",IF($AK957=1,'كشف المطالبة'!$D$5,'كشف المطالبة'!$D$6)*100)</f>
        <v/>
      </c>
      <c r="AK957" s="28" t="str">
        <f aca="false">IF($A957="","",IF(OR($Q957=TRUE(),$Q957="TRUE"),1,0))</f>
        <v/>
      </c>
      <c r="AL957" s="28" t="str">
        <f aca="false">IF($N957="","",IF(MATCH($N957,$N$2:$N$3001,0)=ROWS($N$2:$N957),$N957,""))</f>
        <v/>
      </c>
    </row>
    <row r="958" customFormat="false" ht="15" hidden="false" customHeight="false" outlineLevel="0" collapsed="false">
      <c r="E958" s="25"/>
      <c r="M958" s="26" t="str">
        <f aca="false">IF($A958="","",$L958*$U958/100)</f>
        <v/>
      </c>
      <c r="W958" s="26" t="str">
        <f aca="false">IF($A958="","",U958*AB958/100)</f>
        <v/>
      </c>
      <c r="X958" s="26" t="str">
        <f aca="false">IF($A958="","",U958-W958)</f>
        <v/>
      </c>
      <c r="Y958" s="26" t="str">
        <f aca="false">IF($A958="","",U958-W958-M958)</f>
        <v/>
      </c>
      <c r="AB958" s="27" t="str">
        <f aca="false">IF($A958="","",IF($AK958=1,'كشف المطالبة'!$D$5,'كشف المطالبة'!$D$6)*100)</f>
        <v/>
      </c>
      <c r="AK958" s="28" t="str">
        <f aca="false">IF($A958="","",IF(OR($Q958=TRUE(),$Q958="TRUE"),1,0))</f>
        <v/>
      </c>
      <c r="AL958" s="28" t="str">
        <f aca="false">IF($N958="","",IF(MATCH($N958,$N$2:$N$3001,0)=ROWS($N$2:$N958),$N958,""))</f>
        <v/>
      </c>
    </row>
    <row r="959" customFormat="false" ht="15" hidden="false" customHeight="false" outlineLevel="0" collapsed="false">
      <c r="E959" s="25"/>
      <c r="M959" s="26" t="str">
        <f aca="false">IF($A959="","",$L959*$U959/100)</f>
        <v/>
      </c>
      <c r="W959" s="26" t="str">
        <f aca="false">IF($A959="","",U959*AB959/100)</f>
        <v/>
      </c>
      <c r="X959" s="26" t="str">
        <f aca="false">IF($A959="","",U959-W959)</f>
        <v/>
      </c>
      <c r="Y959" s="26" t="str">
        <f aca="false">IF($A959="","",U959-W959-M959)</f>
        <v/>
      </c>
      <c r="AB959" s="27" t="str">
        <f aca="false">IF($A959="","",IF($AK959=1,'كشف المطالبة'!$D$5,'كشف المطالبة'!$D$6)*100)</f>
        <v/>
      </c>
      <c r="AK959" s="28" t="str">
        <f aca="false">IF($A959="","",IF(OR($Q959=TRUE(),$Q959="TRUE"),1,0))</f>
        <v/>
      </c>
      <c r="AL959" s="28" t="str">
        <f aca="false">IF($N959="","",IF(MATCH($N959,$N$2:$N$3001,0)=ROWS($N$2:$N959),$N959,""))</f>
        <v/>
      </c>
    </row>
    <row r="960" customFormat="false" ht="15" hidden="false" customHeight="false" outlineLevel="0" collapsed="false">
      <c r="E960" s="25"/>
      <c r="M960" s="26" t="str">
        <f aca="false">IF($A960="","",$L960*$U960/100)</f>
        <v/>
      </c>
      <c r="W960" s="26" t="str">
        <f aca="false">IF($A960="","",U960*AB960/100)</f>
        <v/>
      </c>
      <c r="X960" s="26" t="str">
        <f aca="false">IF($A960="","",U960-W960)</f>
        <v/>
      </c>
      <c r="Y960" s="26" t="str">
        <f aca="false">IF($A960="","",U960-W960-M960)</f>
        <v/>
      </c>
      <c r="AB960" s="27" t="str">
        <f aca="false">IF($A960="","",IF($AK960=1,'كشف المطالبة'!$D$5,'كشف المطالبة'!$D$6)*100)</f>
        <v/>
      </c>
      <c r="AK960" s="28" t="str">
        <f aca="false">IF($A960="","",IF(OR($Q960=TRUE(),$Q960="TRUE"),1,0))</f>
        <v/>
      </c>
      <c r="AL960" s="28" t="str">
        <f aca="false">IF($N960="","",IF(MATCH($N960,$N$2:$N$3001,0)=ROWS($N$2:$N960),$N960,""))</f>
        <v/>
      </c>
    </row>
    <row r="961" customFormat="false" ht="15" hidden="false" customHeight="false" outlineLevel="0" collapsed="false">
      <c r="E961" s="25"/>
      <c r="M961" s="26" t="str">
        <f aca="false">IF($A961="","",$L961*$U961/100)</f>
        <v/>
      </c>
      <c r="W961" s="26" t="str">
        <f aca="false">IF($A961="","",U961*AB961/100)</f>
        <v/>
      </c>
      <c r="X961" s="26" t="str">
        <f aca="false">IF($A961="","",U961-W961)</f>
        <v/>
      </c>
      <c r="Y961" s="26" t="str">
        <f aca="false">IF($A961="","",U961-W961-M961)</f>
        <v/>
      </c>
      <c r="AB961" s="27" t="str">
        <f aca="false">IF($A961="","",IF($AK961=1,'كشف المطالبة'!$D$5,'كشف المطالبة'!$D$6)*100)</f>
        <v/>
      </c>
      <c r="AK961" s="28" t="str">
        <f aca="false">IF($A961="","",IF(OR($Q961=TRUE(),$Q961="TRUE"),1,0))</f>
        <v/>
      </c>
      <c r="AL961" s="28" t="str">
        <f aca="false">IF($N961="","",IF(MATCH($N961,$N$2:$N$3001,0)=ROWS($N$2:$N961),$N961,""))</f>
        <v/>
      </c>
    </row>
    <row r="962" customFormat="false" ht="15" hidden="false" customHeight="false" outlineLevel="0" collapsed="false">
      <c r="E962" s="25"/>
      <c r="M962" s="26" t="str">
        <f aca="false">IF($A962="","",$L962*$U962/100)</f>
        <v/>
      </c>
      <c r="W962" s="26" t="str">
        <f aca="false">IF($A962="","",U962*AB962/100)</f>
        <v/>
      </c>
      <c r="X962" s="26" t="str">
        <f aca="false">IF($A962="","",U962-W962)</f>
        <v/>
      </c>
      <c r="Y962" s="26" t="str">
        <f aca="false">IF($A962="","",U962-W962-M962)</f>
        <v/>
      </c>
      <c r="AB962" s="27" t="str">
        <f aca="false">IF($A962="","",IF($AK962=1,'كشف المطالبة'!$D$5,'كشف المطالبة'!$D$6)*100)</f>
        <v/>
      </c>
      <c r="AK962" s="28" t="str">
        <f aca="false">IF($A962="","",IF(OR($Q962=TRUE(),$Q962="TRUE"),1,0))</f>
        <v/>
      </c>
      <c r="AL962" s="28" t="str">
        <f aca="false">IF($N962="","",IF(MATCH($N962,$N$2:$N$3001,0)=ROWS($N$2:$N962),$N962,""))</f>
        <v/>
      </c>
    </row>
    <row r="963" customFormat="false" ht="15" hidden="false" customHeight="false" outlineLevel="0" collapsed="false">
      <c r="E963" s="25"/>
      <c r="M963" s="26" t="str">
        <f aca="false">IF($A963="","",$L963*$U963/100)</f>
        <v/>
      </c>
      <c r="W963" s="26" t="str">
        <f aca="false">IF($A963="","",U963*AB963/100)</f>
        <v/>
      </c>
      <c r="X963" s="26" t="str">
        <f aca="false">IF($A963="","",U963-W963)</f>
        <v/>
      </c>
      <c r="Y963" s="26" t="str">
        <f aca="false">IF($A963="","",U963-W963-M963)</f>
        <v/>
      </c>
      <c r="AB963" s="27" t="str">
        <f aca="false">IF($A963="","",IF($AK963=1,'كشف المطالبة'!$D$5,'كشف المطالبة'!$D$6)*100)</f>
        <v/>
      </c>
      <c r="AK963" s="28" t="str">
        <f aca="false">IF($A963="","",IF(OR($Q963=TRUE(),$Q963="TRUE"),1,0))</f>
        <v/>
      </c>
      <c r="AL963" s="28" t="str">
        <f aca="false">IF($N963="","",IF(MATCH($N963,$N$2:$N$3001,0)=ROWS($N$2:$N963),$N963,""))</f>
        <v/>
      </c>
    </row>
    <row r="964" customFormat="false" ht="15" hidden="false" customHeight="false" outlineLevel="0" collapsed="false">
      <c r="E964" s="25"/>
      <c r="M964" s="26" t="str">
        <f aca="false">IF($A964="","",$L964*$U964/100)</f>
        <v/>
      </c>
      <c r="W964" s="26" t="str">
        <f aca="false">IF($A964="","",U964*AB964/100)</f>
        <v/>
      </c>
      <c r="X964" s="26" t="str">
        <f aca="false">IF($A964="","",U964-W964)</f>
        <v/>
      </c>
      <c r="Y964" s="26" t="str">
        <f aca="false">IF($A964="","",U964-W964-M964)</f>
        <v/>
      </c>
      <c r="AB964" s="27" t="str">
        <f aca="false">IF($A964="","",IF($AK964=1,'كشف المطالبة'!$D$5,'كشف المطالبة'!$D$6)*100)</f>
        <v/>
      </c>
      <c r="AK964" s="28" t="str">
        <f aca="false">IF($A964="","",IF(OR($Q964=TRUE(),$Q964="TRUE"),1,0))</f>
        <v/>
      </c>
      <c r="AL964" s="28" t="str">
        <f aca="false">IF($N964="","",IF(MATCH($N964,$N$2:$N$3001,0)=ROWS($N$2:$N964),$N964,""))</f>
        <v/>
      </c>
    </row>
    <row r="965" customFormat="false" ht="15" hidden="false" customHeight="false" outlineLevel="0" collapsed="false">
      <c r="E965" s="25"/>
      <c r="M965" s="26" t="str">
        <f aca="false">IF($A965="","",$L965*$U965/100)</f>
        <v/>
      </c>
      <c r="W965" s="26" t="str">
        <f aca="false">IF($A965="","",U965*AB965/100)</f>
        <v/>
      </c>
      <c r="X965" s="26" t="str">
        <f aca="false">IF($A965="","",U965-W965)</f>
        <v/>
      </c>
      <c r="Y965" s="26" t="str">
        <f aca="false">IF($A965="","",U965-W965-M965)</f>
        <v/>
      </c>
      <c r="AB965" s="27" t="str">
        <f aca="false">IF($A965="","",IF($AK965=1,'كشف المطالبة'!$D$5,'كشف المطالبة'!$D$6)*100)</f>
        <v/>
      </c>
      <c r="AK965" s="28" t="str">
        <f aca="false">IF($A965="","",IF(OR($Q965=TRUE(),$Q965="TRUE"),1,0))</f>
        <v/>
      </c>
      <c r="AL965" s="28" t="str">
        <f aca="false">IF($N965="","",IF(MATCH($N965,$N$2:$N$3001,0)=ROWS($N$2:$N965),$N965,""))</f>
        <v/>
      </c>
    </row>
    <row r="966" customFormat="false" ht="15" hidden="false" customHeight="false" outlineLevel="0" collapsed="false">
      <c r="E966" s="25"/>
      <c r="M966" s="26" t="str">
        <f aca="false">IF($A966="","",$L966*$U966/100)</f>
        <v/>
      </c>
      <c r="W966" s="26" t="str">
        <f aca="false">IF($A966="","",U966*AB966/100)</f>
        <v/>
      </c>
      <c r="X966" s="26" t="str">
        <f aca="false">IF($A966="","",U966-W966)</f>
        <v/>
      </c>
      <c r="Y966" s="26" t="str">
        <f aca="false">IF($A966="","",U966-W966-M966)</f>
        <v/>
      </c>
      <c r="AB966" s="27" t="str">
        <f aca="false">IF($A966="","",IF($AK966=1,'كشف المطالبة'!$D$5,'كشف المطالبة'!$D$6)*100)</f>
        <v/>
      </c>
      <c r="AK966" s="28" t="str">
        <f aca="false">IF($A966="","",IF(OR($Q966=TRUE(),$Q966="TRUE"),1,0))</f>
        <v/>
      </c>
      <c r="AL966" s="28" t="str">
        <f aca="false">IF($N966="","",IF(MATCH($N966,$N$2:$N$3001,0)=ROWS($N$2:$N966),$N966,""))</f>
        <v/>
      </c>
    </row>
    <row r="967" customFormat="false" ht="15" hidden="false" customHeight="false" outlineLevel="0" collapsed="false">
      <c r="E967" s="25"/>
      <c r="M967" s="26" t="str">
        <f aca="false">IF($A967="","",$L967*$U967/100)</f>
        <v/>
      </c>
      <c r="W967" s="26" t="str">
        <f aca="false">IF($A967="","",U967*AB967/100)</f>
        <v/>
      </c>
      <c r="X967" s="26" t="str">
        <f aca="false">IF($A967="","",U967-W967)</f>
        <v/>
      </c>
      <c r="Y967" s="26" t="str">
        <f aca="false">IF($A967="","",U967-W967-M967)</f>
        <v/>
      </c>
      <c r="AB967" s="27" t="str">
        <f aca="false">IF($A967="","",IF($AK967=1,'كشف المطالبة'!$D$5,'كشف المطالبة'!$D$6)*100)</f>
        <v/>
      </c>
      <c r="AK967" s="28" t="str">
        <f aca="false">IF($A967="","",IF(OR($Q967=TRUE(),$Q967="TRUE"),1,0))</f>
        <v/>
      </c>
      <c r="AL967" s="28" t="str">
        <f aca="false">IF($N967="","",IF(MATCH($N967,$N$2:$N$3001,0)=ROWS($N$2:$N967),$N967,""))</f>
        <v/>
      </c>
    </row>
    <row r="968" customFormat="false" ht="15" hidden="false" customHeight="false" outlineLevel="0" collapsed="false">
      <c r="E968" s="25"/>
      <c r="M968" s="26" t="str">
        <f aca="false">IF($A968="","",$L968*$U968/100)</f>
        <v/>
      </c>
      <c r="W968" s="26" t="str">
        <f aca="false">IF($A968="","",U968*AB968/100)</f>
        <v/>
      </c>
      <c r="X968" s="26" t="str">
        <f aca="false">IF($A968="","",U968-W968)</f>
        <v/>
      </c>
      <c r="Y968" s="26" t="str">
        <f aca="false">IF($A968="","",U968-W968-M968)</f>
        <v/>
      </c>
      <c r="AB968" s="27" t="str">
        <f aca="false">IF($A968="","",IF($AK968=1,'كشف المطالبة'!$D$5,'كشف المطالبة'!$D$6)*100)</f>
        <v/>
      </c>
      <c r="AK968" s="28" t="str">
        <f aca="false">IF($A968="","",IF(OR($Q968=TRUE(),$Q968="TRUE"),1,0))</f>
        <v/>
      </c>
      <c r="AL968" s="28" t="str">
        <f aca="false">IF($N968="","",IF(MATCH($N968,$N$2:$N$3001,0)=ROWS($N$2:$N968),$N968,""))</f>
        <v/>
      </c>
    </row>
    <row r="969" customFormat="false" ht="15" hidden="false" customHeight="false" outlineLevel="0" collapsed="false">
      <c r="E969" s="25"/>
      <c r="M969" s="26" t="str">
        <f aca="false">IF($A969="","",$L969*$U969/100)</f>
        <v/>
      </c>
      <c r="W969" s="26" t="str">
        <f aca="false">IF($A969="","",U969*AB969/100)</f>
        <v/>
      </c>
      <c r="X969" s="26" t="str">
        <f aca="false">IF($A969="","",U969-W969)</f>
        <v/>
      </c>
      <c r="Y969" s="26" t="str">
        <f aca="false">IF($A969="","",U969-W969-M969)</f>
        <v/>
      </c>
      <c r="AB969" s="27" t="str">
        <f aca="false">IF($A969="","",IF($AK969=1,'كشف المطالبة'!$D$5,'كشف المطالبة'!$D$6)*100)</f>
        <v/>
      </c>
      <c r="AK969" s="28" t="str">
        <f aca="false">IF($A969="","",IF(OR($Q969=TRUE(),$Q969="TRUE"),1,0))</f>
        <v/>
      </c>
      <c r="AL969" s="28" t="str">
        <f aca="false">IF($N969="","",IF(MATCH($N969,$N$2:$N$3001,0)=ROWS($N$2:$N969),$N969,""))</f>
        <v/>
      </c>
    </row>
    <row r="970" customFormat="false" ht="15" hidden="false" customHeight="false" outlineLevel="0" collapsed="false">
      <c r="E970" s="25"/>
      <c r="M970" s="26" t="str">
        <f aca="false">IF($A970="","",$L970*$U970/100)</f>
        <v/>
      </c>
      <c r="W970" s="26" t="str">
        <f aca="false">IF($A970="","",U970*AB970/100)</f>
        <v/>
      </c>
      <c r="X970" s="26" t="str">
        <f aca="false">IF($A970="","",U970-W970)</f>
        <v/>
      </c>
      <c r="Y970" s="26" t="str">
        <f aca="false">IF($A970="","",U970-W970-M970)</f>
        <v/>
      </c>
      <c r="AB970" s="27" t="str">
        <f aca="false">IF($A970="","",IF($AK970=1,'كشف المطالبة'!$D$5,'كشف المطالبة'!$D$6)*100)</f>
        <v/>
      </c>
      <c r="AK970" s="28" t="str">
        <f aca="false">IF($A970="","",IF(OR($Q970=TRUE(),$Q970="TRUE"),1,0))</f>
        <v/>
      </c>
      <c r="AL970" s="28" t="str">
        <f aca="false">IF($N970="","",IF(MATCH($N970,$N$2:$N$3001,0)=ROWS($N$2:$N970),$N970,""))</f>
        <v/>
      </c>
    </row>
    <row r="971" customFormat="false" ht="15" hidden="false" customHeight="false" outlineLevel="0" collapsed="false">
      <c r="E971" s="25"/>
      <c r="M971" s="26" t="str">
        <f aca="false">IF($A971="","",$L971*$U971/100)</f>
        <v/>
      </c>
      <c r="W971" s="26" t="str">
        <f aca="false">IF($A971="","",U971*AB971/100)</f>
        <v/>
      </c>
      <c r="X971" s="26" t="str">
        <f aca="false">IF($A971="","",U971-W971)</f>
        <v/>
      </c>
      <c r="Y971" s="26" t="str">
        <f aca="false">IF($A971="","",U971-W971-M971)</f>
        <v/>
      </c>
      <c r="AB971" s="27" t="str">
        <f aca="false">IF($A971="","",IF($AK971=1,'كشف المطالبة'!$D$5,'كشف المطالبة'!$D$6)*100)</f>
        <v/>
      </c>
      <c r="AK971" s="28" t="str">
        <f aca="false">IF($A971="","",IF(OR($Q971=TRUE(),$Q971="TRUE"),1,0))</f>
        <v/>
      </c>
      <c r="AL971" s="28" t="str">
        <f aca="false">IF($N971="","",IF(MATCH($N971,$N$2:$N$3001,0)=ROWS($N$2:$N971),$N971,""))</f>
        <v/>
      </c>
    </row>
    <row r="972" customFormat="false" ht="15" hidden="false" customHeight="false" outlineLevel="0" collapsed="false">
      <c r="E972" s="25"/>
      <c r="M972" s="26" t="str">
        <f aca="false">IF($A972="","",$L972*$U972/100)</f>
        <v/>
      </c>
      <c r="W972" s="26" t="str">
        <f aca="false">IF($A972="","",U972*AB972/100)</f>
        <v/>
      </c>
      <c r="X972" s="26" t="str">
        <f aca="false">IF($A972="","",U972-W972)</f>
        <v/>
      </c>
      <c r="Y972" s="26" t="str">
        <f aca="false">IF($A972="","",U972-W972-M972)</f>
        <v/>
      </c>
      <c r="AB972" s="27" t="str">
        <f aca="false">IF($A972="","",IF($AK972=1,'كشف المطالبة'!$D$5,'كشف المطالبة'!$D$6)*100)</f>
        <v/>
      </c>
      <c r="AK972" s="28" t="str">
        <f aca="false">IF($A972="","",IF(OR($Q972=TRUE(),$Q972="TRUE"),1,0))</f>
        <v/>
      </c>
      <c r="AL972" s="28" t="str">
        <f aca="false">IF($N972="","",IF(MATCH($N972,$N$2:$N$3001,0)=ROWS($N$2:$N972),$N972,""))</f>
        <v/>
      </c>
    </row>
    <row r="973" customFormat="false" ht="15" hidden="false" customHeight="false" outlineLevel="0" collapsed="false">
      <c r="E973" s="25"/>
      <c r="M973" s="26" t="str">
        <f aca="false">IF($A973="","",$L973*$U973/100)</f>
        <v/>
      </c>
      <c r="W973" s="26" t="str">
        <f aca="false">IF($A973="","",U973*AB973/100)</f>
        <v/>
      </c>
      <c r="X973" s="26" t="str">
        <f aca="false">IF($A973="","",U973-W973)</f>
        <v/>
      </c>
      <c r="Y973" s="26" t="str">
        <f aca="false">IF($A973="","",U973-W973-M973)</f>
        <v/>
      </c>
      <c r="AB973" s="27" t="str">
        <f aca="false">IF($A973="","",IF($AK973=1,'كشف المطالبة'!$D$5,'كشف المطالبة'!$D$6)*100)</f>
        <v/>
      </c>
      <c r="AK973" s="28" t="str">
        <f aca="false">IF($A973="","",IF(OR($Q973=TRUE(),$Q973="TRUE"),1,0))</f>
        <v/>
      </c>
      <c r="AL973" s="28" t="str">
        <f aca="false">IF($N973="","",IF(MATCH($N973,$N$2:$N$3001,0)=ROWS($N$2:$N973),$N973,""))</f>
        <v/>
      </c>
    </row>
    <row r="974" customFormat="false" ht="15" hidden="false" customHeight="false" outlineLevel="0" collapsed="false">
      <c r="E974" s="25"/>
      <c r="M974" s="26" t="str">
        <f aca="false">IF($A974="","",$L974*$U974/100)</f>
        <v/>
      </c>
      <c r="W974" s="26" t="str">
        <f aca="false">IF($A974="","",U974*AB974/100)</f>
        <v/>
      </c>
      <c r="X974" s="26" t="str">
        <f aca="false">IF($A974="","",U974-W974)</f>
        <v/>
      </c>
      <c r="Y974" s="26" t="str">
        <f aca="false">IF($A974="","",U974-W974-M974)</f>
        <v/>
      </c>
      <c r="AB974" s="27" t="str">
        <f aca="false">IF($A974="","",IF($AK974=1,'كشف المطالبة'!$D$5,'كشف المطالبة'!$D$6)*100)</f>
        <v/>
      </c>
      <c r="AK974" s="28" t="str">
        <f aca="false">IF($A974="","",IF(OR($Q974=TRUE(),$Q974="TRUE"),1,0))</f>
        <v/>
      </c>
      <c r="AL974" s="28" t="str">
        <f aca="false">IF($N974="","",IF(MATCH($N974,$N$2:$N$3001,0)=ROWS($N$2:$N974),$N974,""))</f>
        <v/>
      </c>
    </row>
    <row r="975" customFormat="false" ht="15" hidden="false" customHeight="false" outlineLevel="0" collapsed="false">
      <c r="E975" s="25"/>
      <c r="M975" s="26" t="str">
        <f aca="false">IF($A975="","",$L975*$U975/100)</f>
        <v/>
      </c>
      <c r="W975" s="26" t="str">
        <f aca="false">IF($A975="","",U975*AB975/100)</f>
        <v/>
      </c>
      <c r="X975" s="26" t="str">
        <f aca="false">IF($A975="","",U975-W975)</f>
        <v/>
      </c>
      <c r="Y975" s="26" t="str">
        <f aca="false">IF($A975="","",U975-W975-M975)</f>
        <v/>
      </c>
      <c r="AB975" s="27" t="str">
        <f aca="false">IF($A975="","",IF($AK975=1,'كشف المطالبة'!$D$5,'كشف المطالبة'!$D$6)*100)</f>
        <v/>
      </c>
      <c r="AK975" s="28" t="str">
        <f aca="false">IF($A975="","",IF(OR($Q975=TRUE(),$Q975="TRUE"),1,0))</f>
        <v/>
      </c>
      <c r="AL975" s="28" t="str">
        <f aca="false">IF($N975="","",IF(MATCH($N975,$N$2:$N$3001,0)=ROWS($N$2:$N975),$N975,""))</f>
        <v/>
      </c>
    </row>
    <row r="976" customFormat="false" ht="15" hidden="false" customHeight="false" outlineLevel="0" collapsed="false">
      <c r="E976" s="25"/>
      <c r="M976" s="26" t="str">
        <f aca="false">IF($A976="","",$L976*$U976/100)</f>
        <v/>
      </c>
      <c r="W976" s="26" t="str">
        <f aca="false">IF($A976="","",U976*AB976/100)</f>
        <v/>
      </c>
      <c r="X976" s="26" t="str">
        <f aca="false">IF($A976="","",U976-W976)</f>
        <v/>
      </c>
      <c r="Y976" s="26" t="str">
        <f aca="false">IF($A976="","",U976-W976-M976)</f>
        <v/>
      </c>
      <c r="AB976" s="27" t="str">
        <f aca="false">IF($A976="","",IF($AK976=1,'كشف المطالبة'!$D$5,'كشف المطالبة'!$D$6)*100)</f>
        <v/>
      </c>
      <c r="AK976" s="28" t="str">
        <f aca="false">IF($A976="","",IF(OR($Q976=TRUE(),$Q976="TRUE"),1,0))</f>
        <v/>
      </c>
      <c r="AL976" s="28" t="str">
        <f aca="false">IF($N976="","",IF(MATCH($N976,$N$2:$N$3001,0)=ROWS($N$2:$N976),$N976,""))</f>
        <v/>
      </c>
    </row>
    <row r="977" customFormat="false" ht="15" hidden="false" customHeight="false" outlineLevel="0" collapsed="false">
      <c r="E977" s="25"/>
      <c r="M977" s="26" t="str">
        <f aca="false">IF($A977="","",$L977*$U977/100)</f>
        <v/>
      </c>
      <c r="W977" s="26" t="str">
        <f aca="false">IF($A977="","",U977*AB977/100)</f>
        <v/>
      </c>
      <c r="X977" s="26" t="str">
        <f aca="false">IF($A977="","",U977-W977)</f>
        <v/>
      </c>
      <c r="Y977" s="26" t="str">
        <f aca="false">IF($A977="","",U977-W977-M977)</f>
        <v/>
      </c>
      <c r="AB977" s="27" t="str">
        <f aca="false">IF($A977="","",IF($AK977=1,'كشف المطالبة'!$D$5,'كشف المطالبة'!$D$6)*100)</f>
        <v/>
      </c>
      <c r="AK977" s="28" t="str">
        <f aca="false">IF($A977="","",IF(OR($Q977=TRUE(),$Q977="TRUE"),1,0))</f>
        <v/>
      </c>
      <c r="AL977" s="28" t="str">
        <f aca="false">IF($N977="","",IF(MATCH($N977,$N$2:$N$3001,0)=ROWS($N$2:$N977),$N977,""))</f>
        <v/>
      </c>
    </row>
    <row r="978" customFormat="false" ht="15" hidden="false" customHeight="false" outlineLevel="0" collapsed="false">
      <c r="E978" s="25"/>
      <c r="M978" s="26" t="str">
        <f aca="false">IF($A978="","",$L978*$U978/100)</f>
        <v/>
      </c>
      <c r="W978" s="26" t="str">
        <f aca="false">IF($A978="","",U978*AB978/100)</f>
        <v/>
      </c>
      <c r="X978" s="26" t="str">
        <f aca="false">IF($A978="","",U978-W978)</f>
        <v/>
      </c>
      <c r="Y978" s="26" t="str">
        <f aca="false">IF($A978="","",U978-W978-M978)</f>
        <v/>
      </c>
      <c r="AB978" s="27" t="str">
        <f aca="false">IF($A978="","",IF($AK978=1,'كشف المطالبة'!$D$5,'كشف المطالبة'!$D$6)*100)</f>
        <v/>
      </c>
      <c r="AK978" s="28" t="str">
        <f aca="false">IF($A978="","",IF(OR($Q978=TRUE(),$Q978="TRUE"),1,0))</f>
        <v/>
      </c>
      <c r="AL978" s="28" t="str">
        <f aca="false">IF($N978="","",IF(MATCH($N978,$N$2:$N$3001,0)=ROWS($N$2:$N978),$N978,""))</f>
        <v/>
      </c>
    </row>
    <row r="979" customFormat="false" ht="15" hidden="false" customHeight="false" outlineLevel="0" collapsed="false">
      <c r="E979" s="25"/>
      <c r="M979" s="26" t="str">
        <f aca="false">IF($A979="","",$L979*$U979/100)</f>
        <v/>
      </c>
      <c r="W979" s="26" t="str">
        <f aca="false">IF($A979="","",U979*AB979/100)</f>
        <v/>
      </c>
      <c r="X979" s="26" t="str">
        <f aca="false">IF($A979="","",U979-W979)</f>
        <v/>
      </c>
      <c r="Y979" s="26" t="str">
        <f aca="false">IF($A979="","",U979-W979-M979)</f>
        <v/>
      </c>
      <c r="AB979" s="27" t="str">
        <f aca="false">IF($A979="","",IF($AK979=1,'كشف المطالبة'!$D$5,'كشف المطالبة'!$D$6)*100)</f>
        <v/>
      </c>
      <c r="AK979" s="28" t="str">
        <f aca="false">IF($A979="","",IF(OR($Q979=TRUE(),$Q979="TRUE"),1,0))</f>
        <v/>
      </c>
      <c r="AL979" s="28" t="str">
        <f aca="false">IF($N979="","",IF(MATCH($N979,$N$2:$N$3001,0)=ROWS($N$2:$N979),$N979,""))</f>
        <v/>
      </c>
    </row>
    <row r="980" customFormat="false" ht="15" hidden="false" customHeight="false" outlineLevel="0" collapsed="false">
      <c r="E980" s="25"/>
      <c r="M980" s="26" t="str">
        <f aca="false">IF($A980="","",$L980*$U980/100)</f>
        <v/>
      </c>
      <c r="W980" s="26" t="str">
        <f aca="false">IF($A980="","",U980*AB980/100)</f>
        <v/>
      </c>
      <c r="X980" s="26" t="str">
        <f aca="false">IF($A980="","",U980-W980)</f>
        <v/>
      </c>
      <c r="Y980" s="26" t="str">
        <f aca="false">IF($A980="","",U980-W980-M980)</f>
        <v/>
      </c>
      <c r="AB980" s="27" t="str">
        <f aca="false">IF($A980="","",IF($AK980=1,'كشف المطالبة'!$D$5,'كشف المطالبة'!$D$6)*100)</f>
        <v/>
      </c>
      <c r="AK980" s="28" t="str">
        <f aca="false">IF($A980="","",IF(OR($Q980=TRUE(),$Q980="TRUE"),1,0))</f>
        <v/>
      </c>
      <c r="AL980" s="28" t="str">
        <f aca="false">IF($N980="","",IF(MATCH($N980,$N$2:$N$3001,0)=ROWS($N$2:$N980),$N980,""))</f>
        <v/>
      </c>
    </row>
    <row r="981" customFormat="false" ht="15" hidden="false" customHeight="false" outlineLevel="0" collapsed="false">
      <c r="E981" s="25"/>
      <c r="M981" s="26" t="str">
        <f aca="false">IF($A981="","",$L981*$U981/100)</f>
        <v/>
      </c>
      <c r="W981" s="26" t="str">
        <f aca="false">IF($A981="","",U981*AB981/100)</f>
        <v/>
      </c>
      <c r="X981" s="26" t="str">
        <f aca="false">IF($A981="","",U981-W981)</f>
        <v/>
      </c>
      <c r="Y981" s="26" t="str">
        <f aca="false">IF($A981="","",U981-W981-M981)</f>
        <v/>
      </c>
      <c r="AB981" s="27" t="str">
        <f aca="false">IF($A981="","",IF($AK981=1,'كشف المطالبة'!$D$5,'كشف المطالبة'!$D$6)*100)</f>
        <v/>
      </c>
      <c r="AK981" s="28" t="str">
        <f aca="false">IF($A981="","",IF(OR($Q981=TRUE(),$Q981="TRUE"),1,0))</f>
        <v/>
      </c>
      <c r="AL981" s="28" t="str">
        <f aca="false">IF($N981="","",IF(MATCH($N981,$N$2:$N$3001,0)=ROWS($N$2:$N981),$N981,""))</f>
        <v/>
      </c>
    </row>
    <row r="982" customFormat="false" ht="15" hidden="false" customHeight="false" outlineLevel="0" collapsed="false">
      <c r="E982" s="25"/>
      <c r="M982" s="26" t="str">
        <f aca="false">IF($A982="","",$L982*$U982/100)</f>
        <v/>
      </c>
      <c r="W982" s="26" t="str">
        <f aca="false">IF($A982="","",U982*AB982/100)</f>
        <v/>
      </c>
      <c r="X982" s="26" t="str">
        <f aca="false">IF($A982="","",U982-W982)</f>
        <v/>
      </c>
      <c r="Y982" s="26" t="str">
        <f aca="false">IF($A982="","",U982-W982-M982)</f>
        <v/>
      </c>
      <c r="AB982" s="27" t="str">
        <f aca="false">IF($A982="","",IF($AK982=1,'كشف المطالبة'!$D$5,'كشف المطالبة'!$D$6)*100)</f>
        <v/>
      </c>
      <c r="AK982" s="28" t="str">
        <f aca="false">IF($A982="","",IF(OR($Q982=TRUE(),$Q982="TRUE"),1,0))</f>
        <v/>
      </c>
      <c r="AL982" s="28" t="str">
        <f aca="false">IF($N982="","",IF(MATCH($N982,$N$2:$N$3001,0)=ROWS($N$2:$N982),$N982,""))</f>
        <v/>
      </c>
    </row>
    <row r="983" customFormat="false" ht="15" hidden="false" customHeight="false" outlineLevel="0" collapsed="false">
      <c r="E983" s="25"/>
      <c r="M983" s="26" t="str">
        <f aca="false">IF($A983="","",$L983*$U983/100)</f>
        <v/>
      </c>
      <c r="W983" s="26" t="str">
        <f aca="false">IF($A983="","",U983*AB983/100)</f>
        <v/>
      </c>
      <c r="X983" s="26" t="str">
        <f aca="false">IF($A983="","",U983-W983)</f>
        <v/>
      </c>
      <c r="Y983" s="26" t="str">
        <f aca="false">IF($A983="","",U983-W983-M983)</f>
        <v/>
      </c>
      <c r="AB983" s="27" t="str">
        <f aca="false">IF($A983="","",IF($AK983=1,'كشف المطالبة'!$D$5,'كشف المطالبة'!$D$6)*100)</f>
        <v/>
      </c>
      <c r="AK983" s="28" t="str">
        <f aca="false">IF($A983="","",IF(OR($Q983=TRUE(),$Q983="TRUE"),1,0))</f>
        <v/>
      </c>
      <c r="AL983" s="28" t="str">
        <f aca="false">IF($N983="","",IF(MATCH($N983,$N$2:$N$3001,0)=ROWS($N$2:$N983),$N983,""))</f>
        <v/>
      </c>
    </row>
    <row r="984" customFormat="false" ht="15" hidden="false" customHeight="false" outlineLevel="0" collapsed="false">
      <c r="E984" s="25"/>
      <c r="M984" s="26" t="str">
        <f aca="false">IF($A984="","",$L984*$U984/100)</f>
        <v/>
      </c>
      <c r="W984" s="26" t="str">
        <f aca="false">IF($A984="","",U984*AB984/100)</f>
        <v/>
      </c>
      <c r="X984" s="26" t="str">
        <f aca="false">IF($A984="","",U984-W984)</f>
        <v/>
      </c>
      <c r="Y984" s="26" t="str">
        <f aca="false">IF($A984="","",U984-W984-M984)</f>
        <v/>
      </c>
      <c r="AB984" s="27" t="str">
        <f aca="false">IF($A984="","",IF($AK984=1,'كشف المطالبة'!$D$5,'كشف المطالبة'!$D$6)*100)</f>
        <v/>
      </c>
      <c r="AK984" s="28" t="str">
        <f aca="false">IF($A984="","",IF(OR($Q984=TRUE(),$Q984="TRUE"),1,0))</f>
        <v/>
      </c>
      <c r="AL984" s="28" t="str">
        <f aca="false">IF($N984="","",IF(MATCH($N984,$N$2:$N$3001,0)=ROWS($N$2:$N984),$N984,""))</f>
        <v/>
      </c>
    </row>
    <row r="985" customFormat="false" ht="15" hidden="false" customHeight="false" outlineLevel="0" collapsed="false">
      <c r="E985" s="25"/>
      <c r="M985" s="26" t="str">
        <f aca="false">IF($A985="","",$L985*$U985/100)</f>
        <v/>
      </c>
      <c r="W985" s="26" t="str">
        <f aca="false">IF($A985="","",U985*AB985/100)</f>
        <v/>
      </c>
      <c r="X985" s="26" t="str">
        <f aca="false">IF($A985="","",U985-W985)</f>
        <v/>
      </c>
      <c r="Y985" s="26" t="str">
        <f aca="false">IF($A985="","",U985-W985-M985)</f>
        <v/>
      </c>
      <c r="AB985" s="27" t="str">
        <f aca="false">IF($A985="","",IF($AK985=1,'كشف المطالبة'!$D$5,'كشف المطالبة'!$D$6)*100)</f>
        <v/>
      </c>
      <c r="AK985" s="28" t="str">
        <f aca="false">IF($A985="","",IF(OR($Q985=TRUE(),$Q985="TRUE"),1,0))</f>
        <v/>
      </c>
      <c r="AL985" s="28" t="str">
        <f aca="false">IF($N985="","",IF(MATCH($N985,$N$2:$N$3001,0)=ROWS($N$2:$N985),$N985,""))</f>
        <v/>
      </c>
    </row>
    <row r="986" customFormat="false" ht="15" hidden="false" customHeight="false" outlineLevel="0" collapsed="false">
      <c r="E986" s="25"/>
      <c r="M986" s="26" t="str">
        <f aca="false">IF($A986="","",$L986*$U986/100)</f>
        <v/>
      </c>
      <c r="W986" s="26" t="str">
        <f aca="false">IF($A986="","",U986*AB986/100)</f>
        <v/>
      </c>
      <c r="X986" s="26" t="str">
        <f aca="false">IF($A986="","",U986-W986)</f>
        <v/>
      </c>
      <c r="Y986" s="26" t="str">
        <f aca="false">IF($A986="","",U986-W986-M986)</f>
        <v/>
      </c>
      <c r="AB986" s="27" t="str">
        <f aca="false">IF($A986="","",IF($AK986=1,'كشف المطالبة'!$D$5,'كشف المطالبة'!$D$6)*100)</f>
        <v/>
      </c>
      <c r="AK986" s="28" t="str">
        <f aca="false">IF($A986="","",IF(OR($Q986=TRUE(),$Q986="TRUE"),1,0))</f>
        <v/>
      </c>
      <c r="AL986" s="28" t="str">
        <f aca="false">IF($N986="","",IF(MATCH($N986,$N$2:$N$3001,0)=ROWS($N$2:$N986),$N986,""))</f>
        <v/>
      </c>
    </row>
    <row r="987" customFormat="false" ht="15" hidden="false" customHeight="false" outlineLevel="0" collapsed="false">
      <c r="E987" s="25"/>
      <c r="M987" s="26" t="str">
        <f aca="false">IF($A987="","",$L987*$U987/100)</f>
        <v/>
      </c>
      <c r="W987" s="26" t="str">
        <f aca="false">IF($A987="","",U987*AB987/100)</f>
        <v/>
      </c>
      <c r="X987" s="26" t="str">
        <f aca="false">IF($A987="","",U987-W987)</f>
        <v/>
      </c>
      <c r="Y987" s="26" t="str">
        <f aca="false">IF($A987="","",U987-W987-M987)</f>
        <v/>
      </c>
      <c r="AB987" s="27" t="str">
        <f aca="false">IF($A987="","",IF($AK987=1,'كشف المطالبة'!$D$5,'كشف المطالبة'!$D$6)*100)</f>
        <v/>
      </c>
      <c r="AK987" s="28" t="str">
        <f aca="false">IF($A987="","",IF(OR($Q987=TRUE(),$Q987="TRUE"),1,0))</f>
        <v/>
      </c>
      <c r="AL987" s="28" t="str">
        <f aca="false">IF($N987="","",IF(MATCH($N987,$N$2:$N$3001,0)=ROWS($N$2:$N987),$N987,""))</f>
        <v/>
      </c>
    </row>
    <row r="988" customFormat="false" ht="15" hidden="false" customHeight="false" outlineLevel="0" collapsed="false">
      <c r="E988" s="25"/>
      <c r="M988" s="26" t="str">
        <f aca="false">IF($A988="","",$L988*$U988/100)</f>
        <v/>
      </c>
      <c r="W988" s="26" t="str">
        <f aca="false">IF($A988="","",U988*AB988/100)</f>
        <v/>
      </c>
      <c r="X988" s="26" t="str">
        <f aca="false">IF($A988="","",U988-W988)</f>
        <v/>
      </c>
      <c r="Y988" s="26" t="str">
        <f aca="false">IF($A988="","",U988-W988-M988)</f>
        <v/>
      </c>
      <c r="AB988" s="27" t="str">
        <f aca="false">IF($A988="","",IF($AK988=1,'كشف المطالبة'!$D$5,'كشف المطالبة'!$D$6)*100)</f>
        <v/>
      </c>
      <c r="AK988" s="28" t="str">
        <f aca="false">IF($A988="","",IF(OR($Q988=TRUE(),$Q988="TRUE"),1,0))</f>
        <v/>
      </c>
      <c r="AL988" s="28" t="str">
        <f aca="false">IF($N988="","",IF(MATCH($N988,$N$2:$N$3001,0)=ROWS($N$2:$N988),$N988,""))</f>
        <v/>
      </c>
    </row>
    <row r="989" customFormat="false" ht="15" hidden="false" customHeight="false" outlineLevel="0" collapsed="false">
      <c r="E989" s="25"/>
      <c r="M989" s="26" t="str">
        <f aca="false">IF($A989="","",$L989*$U989/100)</f>
        <v/>
      </c>
      <c r="W989" s="26" t="str">
        <f aca="false">IF($A989="","",U989*AB989/100)</f>
        <v/>
      </c>
      <c r="X989" s="26" t="str">
        <f aca="false">IF($A989="","",U989-W989)</f>
        <v/>
      </c>
      <c r="Y989" s="26" t="str">
        <f aca="false">IF($A989="","",U989-W989-M989)</f>
        <v/>
      </c>
      <c r="AB989" s="27" t="str">
        <f aca="false">IF($A989="","",IF($AK989=1,'كشف المطالبة'!$D$5,'كشف المطالبة'!$D$6)*100)</f>
        <v/>
      </c>
      <c r="AK989" s="28" t="str">
        <f aca="false">IF($A989="","",IF(OR($Q989=TRUE(),$Q989="TRUE"),1,0))</f>
        <v/>
      </c>
      <c r="AL989" s="28" t="str">
        <f aca="false">IF($N989="","",IF(MATCH($N989,$N$2:$N$3001,0)=ROWS($N$2:$N989),$N989,""))</f>
        <v/>
      </c>
    </row>
    <row r="990" customFormat="false" ht="15" hidden="false" customHeight="false" outlineLevel="0" collapsed="false">
      <c r="E990" s="25"/>
      <c r="M990" s="26" t="str">
        <f aca="false">IF($A990="","",$L990*$U990/100)</f>
        <v/>
      </c>
      <c r="W990" s="26" t="str">
        <f aca="false">IF($A990="","",U990*AB990/100)</f>
        <v/>
      </c>
      <c r="X990" s="26" t="str">
        <f aca="false">IF($A990="","",U990-W990)</f>
        <v/>
      </c>
      <c r="Y990" s="26" t="str">
        <f aca="false">IF($A990="","",U990-W990-M990)</f>
        <v/>
      </c>
      <c r="AB990" s="27" t="str">
        <f aca="false">IF($A990="","",IF($AK990=1,'كشف المطالبة'!$D$5,'كشف المطالبة'!$D$6)*100)</f>
        <v/>
      </c>
      <c r="AK990" s="28" t="str">
        <f aca="false">IF($A990="","",IF(OR($Q990=TRUE(),$Q990="TRUE"),1,0))</f>
        <v/>
      </c>
      <c r="AL990" s="28" t="str">
        <f aca="false">IF($N990="","",IF(MATCH($N990,$N$2:$N$3001,0)=ROWS($N$2:$N990),$N990,""))</f>
        <v/>
      </c>
    </row>
    <row r="991" customFormat="false" ht="15" hidden="false" customHeight="false" outlineLevel="0" collapsed="false">
      <c r="E991" s="25"/>
      <c r="M991" s="26" t="str">
        <f aca="false">IF($A991="","",$L991*$U991/100)</f>
        <v/>
      </c>
      <c r="W991" s="26" t="str">
        <f aca="false">IF($A991="","",U991*AB991/100)</f>
        <v/>
      </c>
      <c r="X991" s="26" t="str">
        <f aca="false">IF($A991="","",U991-W991)</f>
        <v/>
      </c>
      <c r="Y991" s="26" t="str">
        <f aca="false">IF($A991="","",U991-W991-M991)</f>
        <v/>
      </c>
      <c r="AB991" s="27" t="str">
        <f aca="false">IF($A991="","",IF($AK991=1,'كشف المطالبة'!$D$5,'كشف المطالبة'!$D$6)*100)</f>
        <v/>
      </c>
      <c r="AK991" s="28" t="str">
        <f aca="false">IF($A991="","",IF(OR($Q991=TRUE(),$Q991="TRUE"),1,0))</f>
        <v/>
      </c>
      <c r="AL991" s="28" t="str">
        <f aca="false">IF($N991="","",IF(MATCH($N991,$N$2:$N$3001,0)=ROWS($N$2:$N991),$N991,""))</f>
        <v/>
      </c>
    </row>
    <row r="992" customFormat="false" ht="15" hidden="false" customHeight="false" outlineLevel="0" collapsed="false">
      <c r="E992" s="25"/>
      <c r="M992" s="26" t="str">
        <f aca="false">IF($A992="","",$L992*$U992/100)</f>
        <v/>
      </c>
      <c r="W992" s="26" t="str">
        <f aca="false">IF($A992="","",U992*AB992/100)</f>
        <v/>
      </c>
      <c r="X992" s="26" t="str">
        <f aca="false">IF($A992="","",U992-W992)</f>
        <v/>
      </c>
      <c r="Y992" s="26" t="str">
        <f aca="false">IF($A992="","",U992-W992-M992)</f>
        <v/>
      </c>
      <c r="AB992" s="27" t="str">
        <f aca="false">IF($A992="","",IF($AK992=1,'كشف المطالبة'!$D$5,'كشف المطالبة'!$D$6)*100)</f>
        <v/>
      </c>
      <c r="AK992" s="28" t="str">
        <f aca="false">IF($A992="","",IF(OR($Q992=TRUE(),$Q992="TRUE"),1,0))</f>
        <v/>
      </c>
      <c r="AL992" s="28" t="str">
        <f aca="false">IF($N992="","",IF(MATCH($N992,$N$2:$N$3001,0)=ROWS($N$2:$N992),$N992,""))</f>
        <v/>
      </c>
    </row>
    <row r="993" customFormat="false" ht="15" hidden="false" customHeight="false" outlineLevel="0" collapsed="false">
      <c r="E993" s="25"/>
      <c r="M993" s="26" t="str">
        <f aca="false">IF($A993="","",$L993*$U993/100)</f>
        <v/>
      </c>
      <c r="W993" s="26" t="str">
        <f aca="false">IF($A993="","",U993*AB993/100)</f>
        <v/>
      </c>
      <c r="X993" s="26" t="str">
        <f aca="false">IF($A993="","",U993-W993)</f>
        <v/>
      </c>
      <c r="Y993" s="26" t="str">
        <f aca="false">IF($A993="","",U993-W993-M993)</f>
        <v/>
      </c>
      <c r="AB993" s="27" t="str">
        <f aca="false">IF($A993="","",IF($AK993=1,'كشف المطالبة'!$D$5,'كشف المطالبة'!$D$6)*100)</f>
        <v/>
      </c>
      <c r="AK993" s="28" t="str">
        <f aca="false">IF($A993="","",IF(OR($Q993=TRUE(),$Q993="TRUE"),1,0))</f>
        <v/>
      </c>
      <c r="AL993" s="28" t="str">
        <f aca="false">IF($N993="","",IF(MATCH($N993,$N$2:$N$3001,0)=ROWS($N$2:$N993),$N993,""))</f>
        <v/>
      </c>
    </row>
    <row r="994" customFormat="false" ht="15" hidden="false" customHeight="false" outlineLevel="0" collapsed="false">
      <c r="E994" s="25"/>
      <c r="M994" s="26" t="str">
        <f aca="false">IF($A994="","",$L994*$U994/100)</f>
        <v/>
      </c>
      <c r="W994" s="26" t="str">
        <f aca="false">IF($A994="","",U994*AB994/100)</f>
        <v/>
      </c>
      <c r="X994" s="26" t="str">
        <f aca="false">IF($A994="","",U994-W994)</f>
        <v/>
      </c>
      <c r="Y994" s="26" t="str">
        <f aca="false">IF($A994="","",U994-W994-M994)</f>
        <v/>
      </c>
      <c r="AB994" s="27" t="str">
        <f aca="false">IF($A994="","",IF($AK994=1,'كشف المطالبة'!$D$5,'كشف المطالبة'!$D$6)*100)</f>
        <v/>
      </c>
      <c r="AK994" s="28" t="str">
        <f aca="false">IF($A994="","",IF(OR($Q994=TRUE(),$Q994="TRUE"),1,0))</f>
        <v/>
      </c>
      <c r="AL994" s="28" t="str">
        <f aca="false">IF($N994="","",IF(MATCH($N994,$N$2:$N$3001,0)=ROWS($N$2:$N994),$N994,""))</f>
        <v/>
      </c>
    </row>
    <row r="995" customFormat="false" ht="15" hidden="false" customHeight="false" outlineLevel="0" collapsed="false">
      <c r="E995" s="25"/>
      <c r="M995" s="26" t="str">
        <f aca="false">IF($A995="","",$L995*$U995/100)</f>
        <v/>
      </c>
      <c r="W995" s="26" t="str">
        <f aca="false">IF($A995="","",U995*AB995/100)</f>
        <v/>
      </c>
      <c r="X995" s="26" t="str">
        <f aca="false">IF($A995="","",U995-W995)</f>
        <v/>
      </c>
      <c r="Y995" s="26" t="str">
        <f aca="false">IF($A995="","",U995-W995-M995)</f>
        <v/>
      </c>
      <c r="AB995" s="27" t="str">
        <f aca="false">IF($A995="","",IF($AK995=1,'كشف المطالبة'!$D$5,'كشف المطالبة'!$D$6)*100)</f>
        <v/>
      </c>
      <c r="AK995" s="28" t="str">
        <f aca="false">IF($A995="","",IF(OR($Q995=TRUE(),$Q995="TRUE"),1,0))</f>
        <v/>
      </c>
      <c r="AL995" s="28" t="str">
        <f aca="false">IF($N995="","",IF(MATCH($N995,$N$2:$N$3001,0)=ROWS($N$2:$N995),$N995,""))</f>
        <v/>
      </c>
    </row>
    <row r="996" customFormat="false" ht="15" hidden="false" customHeight="false" outlineLevel="0" collapsed="false">
      <c r="E996" s="25"/>
      <c r="M996" s="26" t="str">
        <f aca="false">IF($A996="","",$L996*$U996/100)</f>
        <v/>
      </c>
      <c r="W996" s="26" t="str">
        <f aca="false">IF($A996="","",U996*AB996/100)</f>
        <v/>
      </c>
      <c r="X996" s="26" t="str">
        <f aca="false">IF($A996="","",U996-W996)</f>
        <v/>
      </c>
      <c r="Y996" s="26" t="str">
        <f aca="false">IF($A996="","",U996-W996-M996)</f>
        <v/>
      </c>
      <c r="AB996" s="27" t="str">
        <f aca="false">IF($A996="","",IF($AK996=1,'كشف المطالبة'!$D$5,'كشف المطالبة'!$D$6)*100)</f>
        <v/>
      </c>
      <c r="AK996" s="28" t="str">
        <f aca="false">IF($A996="","",IF(OR($Q996=TRUE(),$Q996="TRUE"),1,0))</f>
        <v/>
      </c>
      <c r="AL996" s="28" t="str">
        <f aca="false">IF($N996="","",IF(MATCH($N996,$N$2:$N$3001,0)=ROWS($N$2:$N996),$N996,""))</f>
        <v/>
      </c>
    </row>
    <row r="997" customFormat="false" ht="15" hidden="false" customHeight="false" outlineLevel="0" collapsed="false">
      <c r="E997" s="25"/>
      <c r="M997" s="26" t="str">
        <f aca="false">IF($A997="","",$L997*$U997/100)</f>
        <v/>
      </c>
      <c r="W997" s="26" t="str">
        <f aca="false">IF($A997="","",U997*AB997/100)</f>
        <v/>
      </c>
      <c r="X997" s="26" t="str">
        <f aca="false">IF($A997="","",U997-W997)</f>
        <v/>
      </c>
      <c r="Y997" s="26" t="str">
        <f aca="false">IF($A997="","",U997-W997-M997)</f>
        <v/>
      </c>
      <c r="AB997" s="27" t="str">
        <f aca="false">IF($A997="","",IF($AK997=1,'كشف المطالبة'!$D$5,'كشف المطالبة'!$D$6)*100)</f>
        <v/>
      </c>
      <c r="AK997" s="28" t="str">
        <f aca="false">IF($A997="","",IF(OR($Q997=TRUE(),$Q997="TRUE"),1,0))</f>
        <v/>
      </c>
      <c r="AL997" s="28" t="str">
        <f aca="false">IF($N997="","",IF(MATCH($N997,$N$2:$N$3001,0)=ROWS($N$2:$N997),$N997,""))</f>
        <v/>
      </c>
    </row>
    <row r="998" customFormat="false" ht="15" hidden="false" customHeight="false" outlineLevel="0" collapsed="false">
      <c r="E998" s="25"/>
      <c r="M998" s="26" t="str">
        <f aca="false">IF($A998="","",$L998*$U998/100)</f>
        <v/>
      </c>
      <c r="W998" s="26" t="str">
        <f aca="false">IF($A998="","",U998*AB998/100)</f>
        <v/>
      </c>
      <c r="X998" s="26" t="str">
        <f aca="false">IF($A998="","",U998-W998)</f>
        <v/>
      </c>
      <c r="Y998" s="26" t="str">
        <f aca="false">IF($A998="","",U998-W998-M998)</f>
        <v/>
      </c>
      <c r="AB998" s="27" t="str">
        <f aca="false">IF($A998="","",IF($AK998=1,'كشف المطالبة'!$D$5,'كشف المطالبة'!$D$6)*100)</f>
        <v/>
      </c>
      <c r="AK998" s="28" t="str">
        <f aca="false">IF($A998="","",IF(OR($Q998=TRUE(),$Q998="TRUE"),1,0))</f>
        <v/>
      </c>
      <c r="AL998" s="28" t="str">
        <f aca="false">IF($N998="","",IF(MATCH($N998,$N$2:$N$3001,0)=ROWS($N$2:$N998),$N998,""))</f>
        <v/>
      </c>
    </row>
    <row r="999" customFormat="false" ht="15" hidden="false" customHeight="false" outlineLevel="0" collapsed="false">
      <c r="E999" s="25"/>
      <c r="M999" s="26" t="str">
        <f aca="false">IF($A999="","",$L999*$U999/100)</f>
        <v/>
      </c>
      <c r="W999" s="26" t="str">
        <f aca="false">IF($A999="","",U999*AB999/100)</f>
        <v/>
      </c>
      <c r="X999" s="26" t="str">
        <f aca="false">IF($A999="","",U999-W999)</f>
        <v/>
      </c>
      <c r="Y999" s="26" t="str">
        <f aca="false">IF($A999="","",U999-W999-M999)</f>
        <v/>
      </c>
      <c r="AB999" s="27" t="str">
        <f aca="false">IF($A999="","",IF($AK999=1,'كشف المطالبة'!$D$5,'كشف المطالبة'!$D$6)*100)</f>
        <v/>
      </c>
      <c r="AK999" s="28" t="str">
        <f aca="false">IF($A999="","",IF(OR($Q999=TRUE(),$Q999="TRUE"),1,0))</f>
        <v/>
      </c>
      <c r="AL999" s="28" t="str">
        <f aca="false">IF($N999="","",IF(MATCH($N999,$N$2:$N$3001,0)=ROWS($N$2:$N999),$N999,""))</f>
        <v/>
      </c>
    </row>
    <row r="1000" customFormat="false" ht="15" hidden="false" customHeight="false" outlineLevel="0" collapsed="false">
      <c r="E1000" s="25"/>
      <c r="M1000" s="26" t="str">
        <f aca="false">IF($A1000="","",$L1000*$U1000/100)</f>
        <v/>
      </c>
      <c r="W1000" s="26" t="str">
        <f aca="false">IF($A1000="","",U1000*AB1000/100)</f>
        <v/>
      </c>
      <c r="X1000" s="26" t="str">
        <f aca="false">IF($A1000="","",U1000-W1000)</f>
        <v/>
      </c>
      <c r="Y1000" s="26" t="str">
        <f aca="false">IF($A1000="","",U1000-W1000-M1000)</f>
        <v/>
      </c>
      <c r="AB1000" s="27" t="str">
        <f aca="false">IF($A1000="","",IF($AK1000=1,'كشف المطالبة'!$D$5,'كشف المطالبة'!$D$6)*100)</f>
        <v/>
      </c>
      <c r="AK1000" s="28" t="str">
        <f aca="false">IF($A1000="","",IF(OR($Q1000=TRUE(),$Q1000="TRUE"),1,0))</f>
        <v/>
      </c>
      <c r="AL1000" s="28" t="str">
        <f aca="false">IF($N1000="","",IF(MATCH($N1000,$N$2:$N$3001,0)=ROWS($N$2:$N1000),$N1000,""))</f>
        <v/>
      </c>
    </row>
    <row r="1001" customFormat="false" ht="15" hidden="false" customHeight="false" outlineLevel="0" collapsed="false">
      <c r="E1001" s="25"/>
      <c r="M1001" s="26" t="str">
        <f aca="false">IF($A1001="","",$L1001*$U1001/100)</f>
        <v/>
      </c>
      <c r="W1001" s="26" t="str">
        <f aca="false">IF($A1001="","",U1001*AB1001/100)</f>
        <v/>
      </c>
      <c r="X1001" s="26" t="str">
        <f aca="false">IF($A1001="","",U1001-W1001)</f>
        <v/>
      </c>
      <c r="Y1001" s="26" t="str">
        <f aca="false">IF($A1001="","",U1001-W1001-M1001)</f>
        <v/>
      </c>
      <c r="AB1001" s="27" t="str">
        <f aca="false">IF($A1001="","",IF($AK1001=1,'كشف المطالبة'!$D$5,'كشف المطالبة'!$D$6)*100)</f>
        <v/>
      </c>
      <c r="AK1001" s="28" t="str">
        <f aca="false">IF($A1001="","",IF(OR($Q1001=TRUE(),$Q1001="TRUE"),1,0))</f>
        <v/>
      </c>
      <c r="AL1001" s="28" t="str">
        <f aca="false">IF($N1001="","",IF(MATCH($N1001,$N$2:$N$3001,0)=ROWS($N$2:$N1001),$N1001,""))</f>
        <v/>
      </c>
    </row>
    <row r="1002" customFormat="false" ht="15" hidden="false" customHeight="false" outlineLevel="0" collapsed="false">
      <c r="E1002" s="25"/>
      <c r="M1002" s="26" t="str">
        <f aca="false">IF($A1002="","",$L1002*$U1002/100)</f>
        <v/>
      </c>
      <c r="W1002" s="26" t="str">
        <f aca="false">IF($A1002="","",U1002*AB1002/100)</f>
        <v/>
      </c>
      <c r="X1002" s="26" t="str">
        <f aca="false">IF($A1002="","",U1002-W1002)</f>
        <v/>
      </c>
      <c r="Y1002" s="26" t="str">
        <f aca="false">IF($A1002="","",U1002-W1002-M1002)</f>
        <v/>
      </c>
      <c r="AB1002" s="27" t="str">
        <f aca="false">IF($A1002="","",IF($AK1002=1,'كشف المطالبة'!$D$5,'كشف المطالبة'!$D$6)*100)</f>
        <v/>
      </c>
      <c r="AK1002" s="28" t="str">
        <f aca="false">IF($A1002="","",IF(OR($Q1002=TRUE(),$Q1002="TRUE"),1,0))</f>
        <v/>
      </c>
      <c r="AL1002" s="28" t="str">
        <f aca="false">IF($N1002="","",IF(MATCH($N1002,$N$2:$N$3001,0)=ROWS($N$2:$N1002),$N1002,""))</f>
        <v/>
      </c>
    </row>
    <row r="1003" customFormat="false" ht="15" hidden="false" customHeight="false" outlineLevel="0" collapsed="false">
      <c r="E1003" s="25"/>
      <c r="M1003" s="26" t="str">
        <f aca="false">IF($A1003="","",$L1003*$U1003/100)</f>
        <v/>
      </c>
      <c r="W1003" s="26" t="str">
        <f aca="false">IF($A1003="","",U1003*AB1003/100)</f>
        <v/>
      </c>
      <c r="X1003" s="26" t="str">
        <f aca="false">IF($A1003="","",U1003-W1003)</f>
        <v/>
      </c>
      <c r="Y1003" s="26" t="str">
        <f aca="false">IF($A1003="","",U1003-W1003-M1003)</f>
        <v/>
      </c>
      <c r="AB1003" s="27" t="str">
        <f aca="false">IF($A1003="","",IF($AK1003=1,'كشف المطالبة'!$D$5,'كشف المطالبة'!$D$6)*100)</f>
        <v/>
      </c>
      <c r="AK1003" s="28" t="str">
        <f aca="false">IF($A1003="","",IF(OR($Q1003=TRUE(),$Q1003="TRUE"),1,0))</f>
        <v/>
      </c>
      <c r="AL1003" s="28" t="str">
        <f aca="false">IF($N1003="","",IF(MATCH($N1003,$N$2:$N$3001,0)=ROWS($N$2:$N1003),$N1003,""))</f>
        <v/>
      </c>
    </row>
    <row r="1004" customFormat="false" ht="15" hidden="false" customHeight="false" outlineLevel="0" collapsed="false">
      <c r="E1004" s="25"/>
      <c r="M1004" s="26" t="str">
        <f aca="false">IF($A1004="","",$L1004*$U1004/100)</f>
        <v/>
      </c>
      <c r="W1004" s="26" t="str">
        <f aca="false">IF($A1004="","",U1004*AB1004/100)</f>
        <v/>
      </c>
      <c r="X1004" s="26" t="str">
        <f aca="false">IF($A1004="","",U1004-W1004)</f>
        <v/>
      </c>
      <c r="Y1004" s="26" t="str">
        <f aca="false">IF($A1004="","",U1004-W1004-M1004)</f>
        <v/>
      </c>
      <c r="AB1004" s="27" t="str">
        <f aca="false">IF($A1004="","",IF($AK1004=1,'كشف المطالبة'!$D$5,'كشف المطالبة'!$D$6)*100)</f>
        <v/>
      </c>
      <c r="AK1004" s="28" t="str">
        <f aca="false">IF($A1004="","",IF(OR($Q1004=TRUE(),$Q1004="TRUE"),1,0))</f>
        <v/>
      </c>
      <c r="AL1004" s="28" t="str">
        <f aca="false">IF($N1004="","",IF(MATCH($N1004,$N$2:$N$3001,0)=ROWS($N$2:$N1004),$N1004,""))</f>
        <v/>
      </c>
    </row>
    <row r="1005" customFormat="false" ht="15" hidden="false" customHeight="false" outlineLevel="0" collapsed="false">
      <c r="E1005" s="25"/>
      <c r="M1005" s="26" t="str">
        <f aca="false">IF($A1005="","",$L1005*$U1005/100)</f>
        <v/>
      </c>
      <c r="W1005" s="26" t="str">
        <f aca="false">IF($A1005="","",U1005*AB1005/100)</f>
        <v/>
      </c>
      <c r="X1005" s="26" t="str">
        <f aca="false">IF($A1005="","",U1005-W1005)</f>
        <v/>
      </c>
      <c r="Y1005" s="26" t="str">
        <f aca="false">IF($A1005="","",U1005-W1005-M1005)</f>
        <v/>
      </c>
      <c r="AB1005" s="27" t="str">
        <f aca="false">IF($A1005="","",IF($AK1005=1,'كشف المطالبة'!$D$5,'كشف المطالبة'!$D$6)*100)</f>
        <v/>
      </c>
      <c r="AK1005" s="28" t="str">
        <f aca="false">IF($A1005="","",IF(OR($Q1005=TRUE(),$Q1005="TRUE"),1,0))</f>
        <v/>
      </c>
      <c r="AL1005" s="28" t="str">
        <f aca="false">IF($N1005="","",IF(MATCH($N1005,$N$2:$N$3001,0)=ROWS($N$2:$N1005),$N1005,""))</f>
        <v/>
      </c>
    </row>
    <row r="1006" customFormat="false" ht="15" hidden="false" customHeight="false" outlineLevel="0" collapsed="false">
      <c r="E1006" s="25"/>
      <c r="M1006" s="26" t="str">
        <f aca="false">IF($A1006="","",$L1006*$U1006/100)</f>
        <v/>
      </c>
      <c r="W1006" s="26" t="str">
        <f aca="false">IF($A1006="","",U1006*AB1006/100)</f>
        <v/>
      </c>
      <c r="X1006" s="26" t="str">
        <f aca="false">IF($A1006="","",U1006-W1006)</f>
        <v/>
      </c>
      <c r="Y1006" s="26" t="str">
        <f aca="false">IF($A1006="","",U1006-W1006-M1006)</f>
        <v/>
      </c>
      <c r="AB1006" s="27" t="str">
        <f aca="false">IF($A1006="","",IF($AK1006=1,'كشف المطالبة'!$D$5,'كشف المطالبة'!$D$6)*100)</f>
        <v/>
      </c>
      <c r="AK1006" s="28" t="str">
        <f aca="false">IF($A1006="","",IF(OR($Q1006=TRUE(),$Q1006="TRUE"),1,0))</f>
        <v/>
      </c>
      <c r="AL1006" s="28" t="str">
        <f aca="false">IF($N1006="","",IF(MATCH($N1006,$N$2:$N$3001,0)=ROWS($N$2:$N1006),$N1006,""))</f>
        <v/>
      </c>
    </row>
    <row r="1007" customFormat="false" ht="15" hidden="false" customHeight="false" outlineLevel="0" collapsed="false">
      <c r="E1007" s="25"/>
      <c r="M1007" s="26" t="str">
        <f aca="false">IF($A1007="","",$L1007*$U1007/100)</f>
        <v/>
      </c>
      <c r="W1007" s="26" t="str">
        <f aca="false">IF($A1007="","",U1007*AB1007/100)</f>
        <v/>
      </c>
      <c r="X1007" s="26" t="str">
        <f aca="false">IF($A1007="","",U1007-W1007)</f>
        <v/>
      </c>
      <c r="Y1007" s="26" t="str">
        <f aca="false">IF($A1007="","",U1007-W1007-M1007)</f>
        <v/>
      </c>
      <c r="AB1007" s="27" t="str">
        <f aca="false">IF($A1007="","",IF($AK1007=1,'كشف المطالبة'!$D$5,'كشف المطالبة'!$D$6)*100)</f>
        <v/>
      </c>
      <c r="AK1007" s="28" t="str">
        <f aca="false">IF($A1007="","",IF(OR($Q1007=TRUE(),$Q1007="TRUE"),1,0))</f>
        <v/>
      </c>
      <c r="AL1007" s="28" t="str">
        <f aca="false">IF($N1007="","",IF(MATCH($N1007,$N$2:$N$3001,0)=ROWS($N$2:$N1007),$N1007,""))</f>
        <v/>
      </c>
    </row>
    <row r="1008" customFormat="false" ht="15" hidden="false" customHeight="false" outlineLevel="0" collapsed="false">
      <c r="E1008" s="25"/>
      <c r="M1008" s="26" t="str">
        <f aca="false">IF($A1008="","",$L1008*$U1008/100)</f>
        <v/>
      </c>
      <c r="W1008" s="26" t="str">
        <f aca="false">IF($A1008="","",U1008*AB1008/100)</f>
        <v/>
      </c>
      <c r="X1008" s="26" t="str">
        <f aca="false">IF($A1008="","",U1008-W1008)</f>
        <v/>
      </c>
      <c r="Y1008" s="26" t="str">
        <f aca="false">IF($A1008="","",U1008-W1008-M1008)</f>
        <v/>
      </c>
      <c r="AB1008" s="27" t="str">
        <f aca="false">IF($A1008="","",IF($AK1008=1,'كشف المطالبة'!$D$5,'كشف المطالبة'!$D$6)*100)</f>
        <v/>
      </c>
      <c r="AK1008" s="28" t="str">
        <f aca="false">IF($A1008="","",IF(OR($Q1008=TRUE(),$Q1008="TRUE"),1,0))</f>
        <v/>
      </c>
      <c r="AL1008" s="28" t="str">
        <f aca="false">IF($N1008="","",IF(MATCH($N1008,$N$2:$N$3001,0)=ROWS($N$2:$N1008),$N1008,""))</f>
        <v/>
      </c>
    </row>
    <row r="1009" customFormat="false" ht="15" hidden="false" customHeight="false" outlineLevel="0" collapsed="false">
      <c r="E1009" s="25"/>
      <c r="M1009" s="26" t="str">
        <f aca="false">IF($A1009="","",$L1009*$U1009/100)</f>
        <v/>
      </c>
      <c r="W1009" s="26" t="str">
        <f aca="false">IF($A1009="","",U1009*AB1009/100)</f>
        <v/>
      </c>
      <c r="X1009" s="26" t="str">
        <f aca="false">IF($A1009="","",U1009-W1009)</f>
        <v/>
      </c>
      <c r="Y1009" s="26" t="str">
        <f aca="false">IF($A1009="","",U1009-W1009-M1009)</f>
        <v/>
      </c>
      <c r="AB1009" s="27" t="str">
        <f aca="false">IF($A1009="","",IF($AK1009=1,'كشف المطالبة'!$D$5,'كشف المطالبة'!$D$6)*100)</f>
        <v/>
      </c>
      <c r="AK1009" s="28" t="str">
        <f aca="false">IF($A1009="","",IF(OR($Q1009=TRUE(),$Q1009="TRUE"),1,0))</f>
        <v/>
      </c>
      <c r="AL1009" s="28" t="str">
        <f aca="false">IF($N1009="","",IF(MATCH($N1009,$N$2:$N$3001,0)=ROWS($N$2:$N1009),$N1009,""))</f>
        <v/>
      </c>
    </row>
    <row r="1010" customFormat="false" ht="15" hidden="false" customHeight="false" outlineLevel="0" collapsed="false">
      <c r="E1010" s="25"/>
      <c r="M1010" s="26" t="str">
        <f aca="false">IF($A1010="","",$L1010*$U1010/100)</f>
        <v/>
      </c>
      <c r="W1010" s="26" t="str">
        <f aca="false">IF($A1010="","",U1010*AB1010/100)</f>
        <v/>
      </c>
      <c r="X1010" s="26" t="str">
        <f aca="false">IF($A1010="","",U1010-W1010)</f>
        <v/>
      </c>
      <c r="Y1010" s="26" t="str">
        <f aca="false">IF($A1010="","",U1010-W1010-M1010)</f>
        <v/>
      </c>
      <c r="AB1010" s="27" t="str">
        <f aca="false">IF($A1010="","",IF($AK1010=1,'كشف المطالبة'!$D$5,'كشف المطالبة'!$D$6)*100)</f>
        <v/>
      </c>
      <c r="AK1010" s="28" t="str">
        <f aca="false">IF($A1010="","",IF(OR($Q1010=TRUE(),$Q1010="TRUE"),1,0))</f>
        <v/>
      </c>
      <c r="AL1010" s="28" t="str">
        <f aca="false">IF($N1010="","",IF(MATCH($N1010,$N$2:$N$3001,0)=ROWS($N$2:$N1010),$N1010,""))</f>
        <v/>
      </c>
    </row>
    <row r="1011" customFormat="false" ht="15" hidden="false" customHeight="false" outlineLevel="0" collapsed="false">
      <c r="E1011" s="25"/>
      <c r="M1011" s="26" t="str">
        <f aca="false">IF($A1011="","",$L1011*$U1011/100)</f>
        <v/>
      </c>
      <c r="W1011" s="26" t="str">
        <f aca="false">IF($A1011="","",U1011*AB1011/100)</f>
        <v/>
      </c>
      <c r="X1011" s="26" t="str">
        <f aca="false">IF($A1011="","",U1011-W1011)</f>
        <v/>
      </c>
      <c r="Y1011" s="26" t="str">
        <f aca="false">IF($A1011="","",U1011-W1011-M1011)</f>
        <v/>
      </c>
      <c r="AB1011" s="27" t="str">
        <f aca="false">IF($A1011="","",IF($AK1011=1,'كشف المطالبة'!$D$5,'كشف المطالبة'!$D$6)*100)</f>
        <v/>
      </c>
      <c r="AK1011" s="28" t="str">
        <f aca="false">IF($A1011="","",IF(OR($Q1011=TRUE(),$Q1011="TRUE"),1,0))</f>
        <v/>
      </c>
      <c r="AL1011" s="28" t="str">
        <f aca="false">IF($N1011="","",IF(MATCH($N1011,$N$2:$N$3001,0)=ROWS($N$2:$N1011),$N1011,""))</f>
        <v/>
      </c>
    </row>
    <row r="1012" customFormat="false" ht="15" hidden="false" customHeight="false" outlineLevel="0" collapsed="false">
      <c r="E1012" s="25"/>
      <c r="M1012" s="26" t="str">
        <f aca="false">IF($A1012="","",$L1012*$U1012/100)</f>
        <v/>
      </c>
      <c r="W1012" s="26" t="str">
        <f aca="false">IF($A1012="","",U1012*AB1012/100)</f>
        <v/>
      </c>
      <c r="X1012" s="26" t="str">
        <f aca="false">IF($A1012="","",U1012-W1012)</f>
        <v/>
      </c>
      <c r="Y1012" s="26" t="str">
        <f aca="false">IF($A1012="","",U1012-W1012-M1012)</f>
        <v/>
      </c>
      <c r="AB1012" s="27" t="str">
        <f aca="false">IF($A1012="","",IF($AK1012=1,'كشف المطالبة'!$D$5,'كشف المطالبة'!$D$6)*100)</f>
        <v/>
      </c>
      <c r="AK1012" s="28" t="str">
        <f aca="false">IF($A1012="","",IF(OR($Q1012=TRUE(),$Q1012="TRUE"),1,0))</f>
        <v/>
      </c>
      <c r="AL1012" s="28" t="str">
        <f aca="false">IF($N1012="","",IF(MATCH($N1012,$N$2:$N$3001,0)=ROWS($N$2:$N1012),$N1012,""))</f>
        <v/>
      </c>
    </row>
    <row r="1013" customFormat="false" ht="15" hidden="false" customHeight="false" outlineLevel="0" collapsed="false">
      <c r="E1013" s="25"/>
      <c r="M1013" s="26" t="str">
        <f aca="false">IF($A1013="","",$L1013*$U1013/100)</f>
        <v/>
      </c>
      <c r="W1013" s="26" t="str">
        <f aca="false">IF($A1013="","",U1013*AB1013/100)</f>
        <v/>
      </c>
      <c r="X1013" s="26" t="str">
        <f aca="false">IF($A1013="","",U1013-W1013)</f>
        <v/>
      </c>
      <c r="Y1013" s="26" t="str">
        <f aca="false">IF($A1013="","",U1013-W1013-M1013)</f>
        <v/>
      </c>
      <c r="AB1013" s="27" t="str">
        <f aca="false">IF($A1013="","",IF($AK1013=1,'كشف المطالبة'!$D$5,'كشف المطالبة'!$D$6)*100)</f>
        <v/>
      </c>
      <c r="AK1013" s="28" t="str">
        <f aca="false">IF($A1013="","",IF(OR($Q1013=TRUE(),$Q1013="TRUE"),1,0))</f>
        <v/>
      </c>
      <c r="AL1013" s="28" t="str">
        <f aca="false">IF($N1013="","",IF(MATCH($N1013,$N$2:$N$3001,0)=ROWS($N$2:$N1013),$N1013,""))</f>
        <v/>
      </c>
    </row>
    <row r="1014" customFormat="false" ht="15" hidden="false" customHeight="false" outlineLevel="0" collapsed="false">
      <c r="E1014" s="25"/>
      <c r="M1014" s="26" t="str">
        <f aca="false">IF($A1014="","",$L1014*$U1014/100)</f>
        <v/>
      </c>
      <c r="W1014" s="26" t="str">
        <f aca="false">IF($A1014="","",U1014*AB1014/100)</f>
        <v/>
      </c>
      <c r="X1014" s="26" t="str">
        <f aca="false">IF($A1014="","",U1014-W1014)</f>
        <v/>
      </c>
      <c r="Y1014" s="26" t="str">
        <f aca="false">IF($A1014="","",U1014-W1014-M1014)</f>
        <v/>
      </c>
      <c r="AB1014" s="27" t="str">
        <f aca="false">IF($A1014="","",IF($AK1014=1,'كشف المطالبة'!$D$5,'كشف المطالبة'!$D$6)*100)</f>
        <v/>
      </c>
      <c r="AK1014" s="28" t="str">
        <f aca="false">IF($A1014="","",IF(OR($Q1014=TRUE(),$Q1014="TRUE"),1,0))</f>
        <v/>
      </c>
      <c r="AL1014" s="28" t="str">
        <f aca="false">IF($N1014="","",IF(MATCH($N1014,$N$2:$N$3001,0)=ROWS($N$2:$N1014),$N1014,""))</f>
        <v/>
      </c>
    </row>
    <row r="1015" customFormat="false" ht="15" hidden="false" customHeight="false" outlineLevel="0" collapsed="false">
      <c r="E1015" s="25"/>
      <c r="M1015" s="26" t="str">
        <f aca="false">IF($A1015="","",$L1015*$U1015/100)</f>
        <v/>
      </c>
      <c r="W1015" s="26" t="str">
        <f aca="false">IF($A1015="","",U1015*AB1015/100)</f>
        <v/>
      </c>
      <c r="X1015" s="26" t="str">
        <f aca="false">IF($A1015="","",U1015-W1015)</f>
        <v/>
      </c>
      <c r="Y1015" s="26" t="str">
        <f aca="false">IF($A1015="","",U1015-W1015-M1015)</f>
        <v/>
      </c>
      <c r="AB1015" s="27" t="str">
        <f aca="false">IF($A1015="","",IF($AK1015=1,'كشف المطالبة'!$D$5,'كشف المطالبة'!$D$6)*100)</f>
        <v/>
      </c>
      <c r="AK1015" s="28" t="str">
        <f aca="false">IF($A1015="","",IF(OR($Q1015=TRUE(),$Q1015="TRUE"),1,0))</f>
        <v/>
      </c>
      <c r="AL1015" s="28" t="str">
        <f aca="false">IF($N1015="","",IF(MATCH($N1015,$N$2:$N$3001,0)=ROWS($N$2:$N1015),$N1015,""))</f>
        <v/>
      </c>
    </row>
    <row r="1016" customFormat="false" ht="15" hidden="false" customHeight="false" outlineLevel="0" collapsed="false">
      <c r="E1016" s="25"/>
      <c r="M1016" s="26" t="str">
        <f aca="false">IF($A1016="","",$L1016*$U1016/100)</f>
        <v/>
      </c>
      <c r="W1016" s="26" t="str">
        <f aca="false">IF($A1016="","",U1016*AB1016/100)</f>
        <v/>
      </c>
      <c r="X1016" s="26" t="str">
        <f aca="false">IF($A1016="","",U1016-W1016)</f>
        <v/>
      </c>
      <c r="Y1016" s="26" t="str">
        <f aca="false">IF($A1016="","",U1016-W1016-M1016)</f>
        <v/>
      </c>
      <c r="AB1016" s="27" t="str">
        <f aca="false">IF($A1016="","",IF($AK1016=1,'كشف المطالبة'!$D$5,'كشف المطالبة'!$D$6)*100)</f>
        <v/>
      </c>
      <c r="AK1016" s="28" t="str">
        <f aca="false">IF($A1016="","",IF(OR($Q1016=TRUE(),$Q1016="TRUE"),1,0))</f>
        <v/>
      </c>
      <c r="AL1016" s="28" t="str">
        <f aca="false">IF($N1016="","",IF(MATCH($N1016,$N$2:$N$3001,0)=ROWS($N$2:$N1016),$N1016,""))</f>
        <v/>
      </c>
    </row>
    <row r="1017" customFormat="false" ht="15" hidden="false" customHeight="false" outlineLevel="0" collapsed="false">
      <c r="E1017" s="25"/>
      <c r="M1017" s="26" t="str">
        <f aca="false">IF($A1017="","",$L1017*$U1017/100)</f>
        <v/>
      </c>
      <c r="W1017" s="26" t="str">
        <f aca="false">IF($A1017="","",U1017*AB1017/100)</f>
        <v/>
      </c>
      <c r="X1017" s="26" t="str">
        <f aca="false">IF($A1017="","",U1017-W1017)</f>
        <v/>
      </c>
      <c r="Y1017" s="26" t="str">
        <f aca="false">IF($A1017="","",U1017-W1017-M1017)</f>
        <v/>
      </c>
      <c r="AB1017" s="27" t="str">
        <f aca="false">IF($A1017="","",IF($AK1017=1,'كشف المطالبة'!$D$5,'كشف المطالبة'!$D$6)*100)</f>
        <v/>
      </c>
      <c r="AK1017" s="28" t="str">
        <f aca="false">IF($A1017="","",IF(OR($Q1017=TRUE(),$Q1017="TRUE"),1,0))</f>
        <v/>
      </c>
      <c r="AL1017" s="28" t="str">
        <f aca="false">IF($N1017="","",IF(MATCH($N1017,$N$2:$N$3001,0)=ROWS($N$2:$N1017),$N1017,""))</f>
        <v/>
      </c>
    </row>
    <row r="1018" customFormat="false" ht="15" hidden="false" customHeight="false" outlineLevel="0" collapsed="false">
      <c r="E1018" s="25"/>
      <c r="M1018" s="26" t="str">
        <f aca="false">IF($A1018="","",$L1018*$U1018/100)</f>
        <v/>
      </c>
      <c r="W1018" s="26" t="str">
        <f aca="false">IF($A1018="","",U1018*AB1018/100)</f>
        <v/>
      </c>
      <c r="X1018" s="26" t="str">
        <f aca="false">IF($A1018="","",U1018-W1018)</f>
        <v/>
      </c>
      <c r="Y1018" s="26" t="str">
        <f aca="false">IF($A1018="","",U1018-W1018-M1018)</f>
        <v/>
      </c>
      <c r="AB1018" s="27" t="str">
        <f aca="false">IF($A1018="","",IF($AK1018=1,'كشف المطالبة'!$D$5,'كشف المطالبة'!$D$6)*100)</f>
        <v/>
      </c>
      <c r="AK1018" s="28" t="str">
        <f aca="false">IF($A1018="","",IF(OR($Q1018=TRUE(),$Q1018="TRUE"),1,0))</f>
        <v/>
      </c>
      <c r="AL1018" s="28" t="str">
        <f aca="false">IF($N1018="","",IF(MATCH($N1018,$N$2:$N$3001,0)=ROWS($N$2:$N1018),$N1018,""))</f>
        <v/>
      </c>
    </row>
    <row r="1019" customFormat="false" ht="15" hidden="false" customHeight="false" outlineLevel="0" collapsed="false">
      <c r="E1019" s="25"/>
      <c r="M1019" s="26" t="str">
        <f aca="false">IF($A1019="","",$L1019*$U1019/100)</f>
        <v/>
      </c>
      <c r="W1019" s="26" t="str">
        <f aca="false">IF($A1019="","",U1019*AB1019/100)</f>
        <v/>
      </c>
      <c r="X1019" s="26" t="str">
        <f aca="false">IF($A1019="","",U1019-W1019)</f>
        <v/>
      </c>
      <c r="Y1019" s="26" t="str">
        <f aca="false">IF($A1019="","",U1019-W1019-M1019)</f>
        <v/>
      </c>
      <c r="AB1019" s="27" t="str">
        <f aca="false">IF($A1019="","",IF($AK1019=1,'كشف المطالبة'!$D$5,'كشف المطالبة'!$D$6)*100)</f>
        <v/>
      </c>
      <c r="AK1019" s="28" t="str">
        <f aca="false">IF($A1019="","",IF(OR($Q1019=TRUE(),$Q1019="TRUE"),1,0))</f>
        <v/>
      </c>
      <c r="AL1019" s="28" t="str">
        <f aca="false">IF($N1019="","",IF(MATCH($N1019,$N$2:$N$3001,0)=ROWS($N$2:$N1019),$N1019,""))</f>
        <v/>
      </c>
    </row>
    <row r="1020" customFormat="false" ht="15" hidden="false" customHeight="false" outlineLevel="0" collapsed="false">
      <c r="E1020" s="25"/>
      <c r="M1020" s="26" t="str">
        <f aca="false">IF($A1020="","",$L1020*$U1020/100)</f>
        <v/>
      </c>
      <c r="W1020" s="26" t="str">
        <f aca="false">IF($A1020="","",U1020*AB1020/100)</f>
        <v/>
      </c>
      <c r="X1020" s="26" t="str">
        <f aca="false">IF($A1020="","",U1020-W1020)</f>
        <v/>
      </c>
      <c r="Y1020" s="26" t="str">
        <f aca="false">IF($A1020="","",U1020-W1020-M1020)</f>
        <v/>
      </c>
      <c r="AB1020" s="27" t="str">
        <f aca="false">IF($A1020="","",IF($AK1020=1,'كشف المطالبة'!$D$5,'كشف المطالبة'!$D$6)*100)</f>
        <v/>
      </c>
      <c r="AK1020" s="28" t="str">
        <f aca="false">IF($A1020="","",IF(OR($Q1020=TRUE(),$Q1020="TRUE"),1,0))</f>
        <v/>
      </c>
      <c r="AL1020" s="28" t="str">
        <f aca="false">IF($N1020="","",IF(MATCH($N1020,$N$2:$N$3001,0)=ROWS($N$2:$N1020),$N1020,""))</f>
        <v/>
      </c>
    </row>
    <row r="1021" customFormat="false" ht="15" hidden="false" customHeight="false" outlineLevel="0" collapsed="false">
      <c r="E1021" s="25"/>
      <c r="M1021" s="26" t="str">
        <f aca="false">IF($A1021="","",$L1021*$U1021/100)</f>
        <v/>
      </c>
      <c r="W1021" s="26" t="str">
        <f aca="false">IF($A1021="","",U1021*AB1021/100)</f>
        <v/>
      </c>
      <c r="X1021" s="26" t="str">
        <f aca="false">IF($A1021="","",U1021-W1021)</f>
        <v/>
      </c>
      <c r="Y1021" s="26" t="str">
        <f aca="false">IF($A1021="","",U1021-W1021-M1021)</f>
        <v/>
      </c>
      <c r="AB1021" s="27" t="str">
        <f aca="false">IF($A1021="","",IF($AK1021=1,'كشف المطالبة'!$D$5,'كشف المطالبة'!$D$6)*100)</f>
        <v/>
      </c>
      <c r="AK1021" s="28" t="str">
        <f aca="false">IF($A1021="","",IF(OR($Q1021=TRUE(),$Q1021="TRUE"),1,0))</f>
        <v/>
      </c>
      <c r="AL1021" s="28" t="str">
        <f aca="false">IF($N1021="","",IF(MATCH($N1021,$N$2:$N$3001,0)=ROWS($N$2:$N1021),$N1021,""))</f>
        <v/>
      </c>
    </row>
    <row r="1022" customFormat="false" ht="15" hidden="false" customHeight="false" outlineLevel="0" collapsed="false">
      <c r="E1022" s="25"/>
      <c r="M1022" s="26" t="str">
        <f aca="false">IF($A1022="","",$L1022*$U1022/100)</f>
        <v/>
      </c>
      <c r="W1022" s="26" t="str">
        <f aca="false">IF($A1022="","",U1022*AB1022/100)</f>
        <v/>
      </c>
      <c r="X1022" s="26" t="str">
        <f aca="false">IF($A1022="","",U1022-W1022)</f>
        <v/>
      </c>
      <c r="Y1022" s="26" t="str">
        <f aca="false">IF($A1022="","",U1022-W1022-M1022)</f>
        <v/>
      </c>
      <c r="AB1022" s="27" t="str">
        <f aca="false">IF($A1022="","",IF($AK1022=1,'كشف المطالبة'!$D$5,'كشف المطالبة'!$D$6)*100)</f>
        <v/>
      </c>
      <c r="AK1022" s="28" t="str">
        <f aca="false">IF($A1022="","",IF(OR($Q1022=TRUE(),$Q1022="TRUE"),1,0))</f>
        <v/>
      </c>
      <c r="AL1022" s="28" t="str">
        <f aca="false">IF($N1022="","",IF(MATCH($N1022,$N$2:$N$3001,0)=ROWS($N$2:$N1022),$N1022,""))</f>
        <v/>
      </c>
    </row>
    <row r="1023" customFormat="false" ht="15" hidden="false" customHeight="false" outlineLevel="0" collapsed="false">
      <c r="E1023" s="25"/>
      <c r="M1023" s="26" t="str">
        <f aca="false">IF($A1023="","",$L1023*$U1023/100)</f>
        <v/>
      </c>
      <c r="W1023" s="26" t="str">
        <f aca="false">IF($A1023="","",U1023*AB1023/100)</f>
        <v/>
      </c>
      <c r="X1023" s="26" t="str">
        <f aca="false">IF($A1023="","",U1023-W1023)</f>
        <v/>
      </c>
      <c r="Y1023" s="26" t="str">
        <f aca="false">IF($A1023="","",U1023-W1023-M1023)</f>
        <v/>
      </c>
      <c r="AB1023" s="27" t="str">
        <f aca="false">IF($A1023="","",IF($AK1023=1,'كشف المطالبة'!$D$5,'كشف المطالبة'!$D$6)*100)</f>
        <v/>
      </c>
      <c r="AK1023" s="28" t="str">
        <f aca="false">IF($A1023="","",IF(OR($Q1023=TRUE(),$Q1023="TRUE"),1,0))</f>
        <v/>
      </c>
      <c r="AL1023" s="28" t="str">
        <f aca="false">IF($N1023="","",IF(MATCH($N1023,$N$2:$N$3001,0)=ROWS($N$2:$N1023),$N1023,""))</f>
        <v/>
      </c>
    </row>
    <row r="1024" customFormat="false" ht="15" hidden="false" customHeight="false" outlineLevel="0" collapsed="false">
      <c r="E1024" s="25"/>
      <c r="M1024" s="26" t="str">
        <f aca="false">IF($A1024="","",$L1024*$U1024/100)</f>
        <v/>
      </c>
      <c r="W1024" s="26" t="str">
        <f aca="false">IF($A1024="","",U1024*AB1024/100)</f>
        <v/>
      </c>
      <c r="X1024" s="26" t="str">
        <f aca="false">IF($A1024="","",U1024-W1024)</f>
        <v/>
      </c>
      <c r="Y1024" s="26" t="str">
        <f aca="false">IF($A1024="","",U1024-W1024-M1024)</f>
        <v/>
      </c>
      <c r="AB1024" s="27" t="str">
        <f aca="false">IF($A1024="","",IF($AK1024=1,'كشف المطالبة'!$D$5,'كشف المطالبة'!$D$6)*100)</f>
        <v/>
      </c>
      <c r="AK1024" s="28" t="str">
        <f aca="false">IF($A1024="","",IF(OR($Q1024=TRUE(),$Q1024="TRUE"),1,0))</f>
        <v/>
      </c>
      <c r="AL1024" s="28" t="str">
        <f aca="false">IF($N1024="","",IF(MATCH($N1024,$N$2:$N$3001,0)=ROWS($N$2:$N1024),$N1024,""))</f>
        <v/>
      </c>
    </row>
    <row r="1025" customFormat="false" ht="15" hidden="false" customHeight="false" outlineLevel="0" collapsed="false">
      <c r="E1025" s="25"/>
      <c r="M1025" s="26" t="str">
        <f aca="false">IF($A1025="","",$L1025*$U1025/100)</f>
        <v/>
      </c>
      <c r="W1025" s="26" t="str">
        <f aca="false">IF($A1025="","",U1025*AB1025/100)</f>
        <v/>
      </c>
      <c r="X1025" s="26" t="str">
        <f aca="false">IF($A1025="","",U1025-W1025)</f>
        <v/>
      </c>
      <c r="Y1025" s="26" t="str">
        <f aca="false">IF($A1025="","",U1025-W1025-M1025)</f>
        <v/>
      </c>
      <c r="AB1025" s="27" t="str">
        <f aca="false">IF($A1025="","",IF($AK1025=1,'كشف المطالبة'!$D$5,'كشف المطالبة'!$D$6)*100)</f>
        <v/>
      </c>
      <c r="AK1025" s="28" t="str">
        <f aca="false">IF($A1025="","",IF(OR($Q1025=TRUE(),$Q1025="TRUE"),1,0))</f>
        <v/>
      </c>
      <c r="AL1025" s="28" t="str">
        <f aca="false">IF($N1025="","",IF(MATCH($N1025,$N$2:$N$3001,0)=ROWS($N$2:$N1025),$N1025,""))</f>
        <v/>
      </c>
    </row>
    <row r="1026" customFormat="false" ht="15" hidden="false" customHeight="false" outlineLevel="0" collapsed="false">
      <c r="E1026" s="25"/>
      <c r="M1026" s="26" t="str">
        <f aca="false">IF($A1026="","",$L1026*$U1026/100)</f>
        <v/>
      </c>
      <c r="W1026" s="26" t="str">
        <f aca="false">IF($A1026="","",U1026*AB1026/100)</f>
        <v/>
      </c>
      <c r="X1026" s="26" t="str">
        <f aca="false">IF($A1026="","",U1026-W1026)</f>
        <v/>
      </c>
      <c r="Y1026" s="26" t="str">
        <f aca="false">IF($A1026="","",U1026-W1026-M1026)</f>
        <v/>
      </c>
      <c r="AB1026" s="27" t="str">
        <f aca="false">IF($A1026="","",IF($AK1026=1,'كشف المطالبة'!$D$5,'كشف المطالبة'!$D$6)*100)</f>
        <v/>
      </c>
      <c r="AK1026" s="28" t="str">
        <f aca="false">IF($A1026="","",IF(OR($Q1026=TRUE(),$Q1026="TRUE"),1,0))</f>
        <v/>
      </c>
      <c r="AL1026" s="28" t="str">
        <f aca="false">IF($N1026="","",IF(MATCH($N1026,$N$2:$N$3001,0)=ROWS($N$2:$N1026),$N1026,""))</f>
        <v/>
      </c>
    </row>
    <row r="1027" customFormat="false" ht="15" hidden="false" customHeight="false" outlineLevel="0" collapsed="false">
      <c r="E1027" s="25"/>
      <c r="M1027" s="26" t="str">
        <f aca="false">IF($A1027="","",$L1027*$U1027/100)</f>
        <v/>
      </c>
      <c r="W1027" s="26" t="str">
        <f aca="false">IF($A1027="","",U1027*AB1027/100)</f>
        <v/>
      </c>
      <c r="X1027" s="26" t="str">
        <f aca="false">IF($A1027="","",U1027-W1027)</f>
        <v/>
      </c>
      <c r="Y1027" s="26" t="str">
        <f aca="false">IF($A1027="","",U1027-W1027-M1027)</f>
        <v/>
      </c>
      <c r="AB1027" s="27" t="str">
        <f aca="false">IF($A1027="","",IF($AK1027=1,'كشف المطالبة'!$D$5,'كشف المطالبة'!$D$6)*100)</f>
        <v/>
      </c>
      <c r="AK1027" s="28" t="str">
        <f aca="false">IF($A1027="","",IF(OR($Q1027=TRUE(),$Q1027="TRUE"),1,0))</f>
        <v/>
      </c>
      <c r="AL1027" s="28" t="str">
        <f aca="false">IF($N1027="","",IF(MATCH($N1027,$N$2:$N$3001,0)=ROWS($N$2:$N1027),$N1027,""))</f>
        <v/>
      </c>
    </row>
    <row r="1028" customFormat="false" ht="15" hidden="false" customHeight="false" outlineLevel="0" collapsed="false">
      <c r="E1028" s="25"/>
      <c r="M1028" s="26" t="str">
        <f aca="false">IF($A1028="","",$L1028*$U1028/100)</f>
        <v/>
      </c>
      <c r="W1028" s="26" t="str">
        <f aca="false">IF($A1028="","",U1028*AB1028/100)</f>
        <v/>
      </c>
      <c r="X1028" s="26" t="str">
        <f aca="false">IF($A1028="","",U1028-W1028)</f>
        <v/>
      </c>
      <c r="Y1028" s="26" t="str">
        <f aca="false">IF($A1028="","",U1028-W1028-M1028)</f>
        <v/>
      </c>
      <c r="AB1028" s="27" t="str">
        <f aca="false">IF($A1028="","",IF($AK1028=1,'كشف المطالبة'!$D$5,'كشف المطالبة'!$D$6)*100)</f>
        <v/>
      </c>
      <c r="AK1028" s="28" t="str">
        <f aca="false">IF($A1028="","",IF(OR($Q1028=TRUE(),$Q1028="TRUE"),1,0))</f>
        <v/>
      </c>
      <c r="AL1028" s="28" t="str">
        <f aca="false">IF($N1028="","",IF(MATCH($N1028,$N$2:$N$3001,0)=ROWS($N$2:$N1028),$N1028,""))</f>
        <v/>
      </c>
    </row>
    <row r="1029" customFormat="false" ht="15" hidden="false" customHeight="false" outlineLevel="0" collapsed="false">
      <c r="E1029" s="25"/>
      <c r="M1029" s="26" t="str">
        <f aca="false">IF($A1029="","",$L1029*$U1029/100)</f>
        <v/>
      </c>
      <c r="W1029" s="26" t="str">
        <f aca="false">IF($A1029="","",U1029*AB1029/100)</f>
        <v/>
      </c>
      <c r="X1029" s="26" t="str">
        <f aca="false">IF($A1029="","",U1029-W1029)</f>
        <v/>
      </c>
      <c r="Y1029" s="26" t="str">
        <f aca="false">IF($A1029="","",U1029-W1029-M1029)</f>
        <v/>
      </c>
      <c r="AB1029" s="27" t="str">
        <f aca="false">IF($A1029="","",IF($AK1029=1,'كشف المطالبة'!$D$5,'كشف المطالبة'!$D$6)*100)</f>
        <v/>
      </c>
      <c r="AK1029" s="28" t="str">
        <f aca="false">IF($A1029="","",IF(OR($Q1029=TRUE(),$Q1029="TRUE"),1,0))</f>
        <v/>
      </c>
      <c r="AL1029" s="28" t="str">
        <f aca="false">IF($N1029="","",IF(MATCH($N1029,$N$2:$N$3001,0)=ROWS($N$2:$N1029),$N1029,""))</f>
        <v/>
      </c>
    </row>
    <row r="1030" customFormat="false" ht="15" hidden="false" customHeight="false" outlineLevel="0" collapsed="false">
      <c r="E1030" s="25"/>
      <c r="M1030" s="26" t="str">
        <f aca="false">IF($A1030="","",$L1030*$U1030/100)</f>
        <v/>
      </c>
      <c r="W1030" s="26" t="str">
        <f aca="false">IF($A1030="","",U1030*AB1030/100)</f>
        <v/>
      </c>
      <c r="X1030" s="26" t="str">
        <f aca="false">IF($A1030="","",U1030-W1030)</f>
        <v/>
      </c>
      <c r="Y1030" s="26" t="str">
        <f aca="false">IF($A1030="","",U1030-W1030-M1030)</f>
        <v/>
      </c>
      <c r="AB1030" s="27" t="str">
        <f aca="false">IF($A1030="","",IF($AK1030=1,'كشف المطالبة'!$D$5,'كشف المطالبة'!$D$6)*100)</f>
        <v/>
      </c>
      <c r="AK1030" s="28" t="str">
        <f aca="false">IF($A1030="","",IF(OR($Q1030=TRUE(),$Q1030="TRUE"),1,0))</f>
        <v/>
      </c>
      <c r="AL1030" s="28" t="str">
        <f aca="false">IF($N1030="","",IF(MATCH($N1030,$N$2:$N$3001,0)=ROWS($N$2:$N1030),$N1030,""))</f>
        <v/>
      </c>
    </row>
    <row r="1031" customFormat="false" ht="15" hidden="false" customHeight="false" outlineLevel="0" collapsed="false">
      <c r="E1031" s="25"/>
      <c r="M1031" s="26" t="str">
        <f aca="false">IF($A1031="","",$L1031*$U1031/100)</f>
        <v/>
      </c>
      <c r="W1031" s="26" t="str">
        <f aca="false">IF($A1031="","",U1031*AB1031/100)</f>
        <v/>
      </c>
      <c r="X1031" s="26" t="str">
        <f aca="false">IF($A1031="","",U1031-W1031)</f>
        <v/>
      </c>
      <c r="Y1031" s="26" t="str">
        <f aca="false">IF($A1031="","",U1031-W1031-M1031)</f>
        <v/>
      </c>
      <c r="AB1031" s="27" t="str">
        <f aca="false">IF($A1031="","",IF($AK1031=1,'كشف المطالبة'!$D$5,'كشف المطالبة'!$D$6)*100)</f>
        <v/>
      </c>
      <c r="AK1031" s="28" t="str">
        <f aca="false">IF($A1031="","",IF(OR($Q1031=TRUE(),$Q1031="TRUE"),1,0))</f>
        <v/>
      </c>
      <c r="AL1031" s="28" t="str">
        <f aca="false">IF($N1031="","",IF(MATCH($N1031,$N$2:$N$3001,0)=ROWS($N$2:$N1031),$N1031,""))</f>
        <v/>
      </c>
    </row>
    <row r="1032" customFormat="false" ht="15" hidden="false" customHeight="false" outlineLevel="0" collapsed="false">
      <c r="E1032" s="25"/>
      <c r="M1032" s="26" t="str">
        <f aca="false">IF($A1032="","",$L1032*$U1032/100)</f>
        <v/>
      </c>
      <c r="W1032" s="26" t="str">
        <f aca="false">IF($A1032="","",U1032*AB1032/100)</f>
        <v/>
      </c>
      <c r="X1032" s="26" t="str">
        <f aca="false">IF($A1032="","",U1032-W1032)</f>
        <v/>
      </c>
      <c r="Y1032" s="26" t="str">
        <f aca="false">IF($A1032="","",U1032-W1032-M1032)</f>
        <v/>
      </c>
      <c r="AB1032" s="27" t="str">
        <f aca="false">IF($A1032="","",IF($AK1032=1,'كشف المطالبة'!$D$5,'كشف المطالبة'!$D$6)*100)</f>
        <v/>
      </c>
      <c r="AK1032" s="28" t="str">
        <f aca="false">IF($A1032="","",IF(OR($Q1032=TRUE(),$Q1032="TRUE"),1,0))</f>
        <v/>
      </c>
      <c r="AL1032" s="28" t="str">
        <f aca="false">IF($N1032="","",IF(MATCH($N1032,$N$2:$N$3001,0)=ROWS($N$2:$N1032),$N1032,""))</f>
        <v/>
      </c>
    </row>
    <row r="1033" customFormat="false" ht="15" hidden="false" customHeight="false" outlineLevel="0" collapsed="false">
      <c r="E1033" s="25"/>
      <c r="M1033" s="26" t="str">
        <f aca="false">IF($A1033="","",$L1033*$U1033/100)</f>
        <v/>
      </c>
      <c r="W1033" s="26" t="str">
        <f aca="false">IF($A1033="","",U1033*AB1033/100)</f>
        <v/>
      </c>
      <c r="X1033" s="26" t="str">
        <f aca="false">IF($A1033="","",U1033-W1033)</f>
        <v/>
      </c>
      <c r="Y1033" s="26" t="str">
        <f aca="false">IF($A1033="","",U1033-W1033-M1033)</f>
        <v/>
      </c>
      <c r="AB1033" s="27" t="str">
        <f aca="false">IF($A1033="","",IF($AK1033=1,'كشف المطالبة'!$D$5,'كشف المطالبة'!$D$6)*100)</f>
        <v/>
      </c>
      <c r="AK1033" s="28" t="str">
        <f aca="false">IF($A1033="","",IF(OR($Q1033=TRUE(),$Q1033="TRUE"),1,0))</f>
        <v/>
      </c>
      <c r="AL1033" s="28" t="str">
        <f aca="false">IF($N1033="","",IF(MATCH($N1033,$N$2:$N$3001,0)=ROWS($N$2:$N1033),$N1033,""))</f>
        <v/>
      </c>
    </row>
    <row r="1034" customFormat="false" ht="15" hidden="false" customHeight="false" outlineLevel="0" collapsed="false">
      <c r="E1034" s="25"/>
      <c r="M1034" s="26" t="str">
        <f aca="false">IF($A1034="","",$L1034*$U1034/100)</f>
        <v/>
      </c>
      <c r="W1034" s="26" t="str">
        <f aca="false">IF($A1034="","",U1034*AB1034/100)</f>
        <v/>
      </c>
      <c r="X1034" s="26" t="str">
        <f aca="false">IF($A1034="","",U1034-W1034)</f>
        <v/>
      </c>
      <c r="Y1034" s="26" t="str">
        <f aca="false">IF($A1034="","",U1034-W1034-M1034)</f>
        <v/>
      </c>
      <c r="AB1034" s="27" t="str">
        <f aca="false">IF($A1034="","",IF($AK1034=1,'كشف المطالبة'!$D$5,'كشف المطالبة'!$D$6)*100)</f>
        <v/>
      </c>
      <c r="AK1034" s="28" t="str">
        <f aca="false">IF($A1034="","",IF(OR($Q1034=TRUE(),$Q1034="TRUE"),1,0))</f>
        <v/>
      </c>
      <c r="AL1034" s="28" t="str">
        <f aca="false">IF($N1034="","",IF(MATCH($N1034,$N$2:$N$3001,0)=ROWS($N$2:$N1034),$N1034,""))</f>
        <v/>
      </c>
    </row>
    <row r="1035" customFormat="false" ht="15" hidden="false" customHeight="false" outlineLevel="0" collapsed="false">
      <c r="E1035" s="25"/>
      <c r="M1035" s="26" t="str">
        <f aca="false">IF($A1035="","",$L1035*$U1035/100)</f>
        <v/>
      </c>
      <c r="W1035" s="26" t="str">
        <f aca="false">IF($A1035="","",U1035*AB1035/100)</f>
        <v/>
      </c>
      <c r="X1035" s="26" t="str">
        <f aca="false">IF($A1035="","",U1035-W1035)</f>
        <v/>
      </c>
      <c r="Y1035" s="26" t="str">
        <f aca="false">IF($A1035="","",U1035-W1035-M1035)</f>
        <v/>
      </c>
      <c r="AB1035" s="27" t="str">
        <f aca="false">IF($A1035="","",IF($AK1035=1,'كشف المطالبة'!$D$5,'كشف المطالبة'!$D$6)*100)</f>
        <v/>
      </c>
      <c r="AK1035" s="28" t="str">
        <f aca="false">IF($A1035="","",IF(OR($Q1035=TRUE(),$Q1035="TRUE"),1,0))</f>
        <v/>
      </c>
      <c r="AL1035" s="28" t="str">
        <f aca="false">IF($N1035="","",IF(MATCH($N1035,$N$2:$N$3001,0)=ROWS($N$2:$N1035),$N1035,""))</f>
        <v/>
      </c>
    </row>
    <row r="1036" customFormat="false" ht="15" hidden="false" customHeight="false" outlineLevel="0" collapsed="false">
      <c r="E1036" s="25"/>
      <c r="M1036" s="26" t="str">
        <f aca="false">IF($A1036="","",$L1036*$U1036/100)</f>
        <v/>
      </c>
      <c r="W1036" s="26" t="str">
        <f aca="false">IF($A1036="","",U1036*AB1036/100)</f>
        <v/>
      </c>
      <c r="X1036" s="26" t="str">
        <f aca="false">IF($A1036="","",U1036-W1036)</f>
        <v/>
      </c>
      <c r="Y1036" s="26" t="str">
        <f aca="false">IF($A1036="","",U1036-W1036-M1036)</f>
        <v/>
      </c>
      <c r="AB1036" s="27" t="str">
        <f aca="false">IF($A1036="","",IF($AK1036=1,'كشف المطالبة'!$D$5,'كشف المطالبة'!$D$6)*100)</f>
        <v/>
      </c>
      <c r="AK1036" s="28" t="str">
        <f aca="false">IF($A1036="","",IF(OR($Q1036=TRUE(),$Q1036="TRUE"),1,0))</f>
        <v/>
      </c>
      <c r="AL1036" s="28" t="str">
        <f aca="false">IF($N1036="","",IF(MATCH($N1036,$N$2:$N$3001,0)=ROWS($N$2:$N1036),$N1036,""))</f>
        <v/>
      </c>
    </row>
    <row r="1037" customFormat="false" ht="15" hidden="false" customHeight="false" outlineLevel="0" collapsed="false">
      <c r="E1037" s="25"/>
      <c r="M1037" s="26" t="str">
        <f aca="false">IF($A1037="","",$L1037*$U1037/100)</f>
        <v/>
      </c>
      <c r="W1037" s="26" t="str">
        <f aca="false">IF($A1037="","",U1037*AB1037/100)</f>
        <v/>
      </c>
      <c r="X1037" s="26" t="str">
        <f aca="false">IF($A1037="","",U1037-W1037)</f>
        <v/>
      </c>
      <c r="Y1037" s="26" t="str">
        <f aca="false">IF($A1037="","",U1037-W1037-M1037)</f>
        <v/>
      </c>
      <c r="AB1037" s="27" t="str">
        <f aca="false">IF($A1037="","",IF($AK1037=1,'كشف المطالبة'!$D$5,'كشف المطالبة'!$D$6)*100)</f>
        <v/>
      </c>
      <c r="AK1037" s="28" t="str">
        <f aca="false">IF($A1037="","",IF(OR($Q1037=TRUE(),$Q1037="TRUE"),1,0))</f>
        <v/>
      </c>
      <c r="AL1037" s="28" t="str">
        <f aca="false">IF($N1037="","",IF(MATCH($N1037,$N$2:$N$3001,0)=ROWS($N$2:$N1037),$N1037,""))</f>
        <v/>
      </c>
    </row>
    <row r="1038" customFormat="false" ht="15" hidden="false" customHeight="false" outlineLevel="0" collapsed="false">
      <c r="E1038" s="25"/>
      <c r="M1038" s="26" t="str">
        <f aca="false">IF($A1038="","",$L1038*$U1038/100)</f>
        <v/>
      </c>
      <c r="W1038" s="26" t="str">
        <f aca="false">IF($A1038="","",U1038*AB1038/100)</f>
        <v/>
      </c>
      <c r="X1038" s="26" t="str">
        <f aca="false">IF($A1038="","",U1038-W1038)</f>
        <v/>
      </c>
      <c r="Y1038" s="26" t="str">
        <f aca="false">IF($A1038="","",U1038-W1038-M1038)</f>
        <v/>
      </c>
      <c r="AB1038" s="27" t="str">
        <f aca="false">IF($A1038="","",IF($AK1038=1,'كشف المطالبة'!$D$5,'كشف المطالبة'!$D$6)*100)</f>
        <v/>
      </c>
      <c r="AK1038" s="28" t="str">
        <f aca="false">IF($A1038="","",IF(OR($Q1038=TRUE(),$Q1038="TRUE"),1,0))</f>
        <v/>
      </c>
      <c r="AL1038" s="28" t="str">
        <f aca="false">IF($N1038="","",IF(MATCH($N1038,$N$2:$N$3001,0)=ROWS($N$2:$N1038),$N1038,""))</f>
        <v/>
      </c>
    </row>
    <row r="1039" customFormat="false" ht="15" hidden="false" customHeight="false" outlineLevel="0" collapsed="false">
      <c r="E1039" s="25"/>
      <c r="M1039" s="26" t="str">
        <f aca="false">IF($A1039="","",$L1039*$U1039/100)</f>
        <v/>
      </c>
      <c r="W1039" s="26" t="str">
        <f aca="false">IF($A1039="","",U1039*AB1039/100)</f>
        <v/>
      </c>
      <c r="X1039" s="26" t="str">
        <f aca="false">IF($A1039="","",U1039-W1039)</f>
        <v/>
      </c>
      <c r="Y1039" s="26" t="str">
        <f aca="false">IF($A1039="","",U1039-W1039-M1039)</f>
        <v/>
      </c>
      <c r="AB1039" s="27" t="str">
        <f aca="false">IF($A1039="","",IF($AK1039=1,'كشف المطالبة'!$D$5,'كشف المطالبة'!$D$6)*100)</f>
        <v/>
      </c>
      <c r="AK1039" s="28" t="str">
        <f aca="false">IF($A1039="","",IF(OR($Q1039=TRUE(),$Q1039="TRUE"),1,0))</f>
        <v/>
      </c>
      <c r="AL1039" s="28" t="str">
        <f aca="false">IF($N1039="","",IF(MATCH($N1039,$N$2:$N$3001,0)=ROWS($N$2:$N1039),$N1039,""))</f>
        <v/>
      </c>
    </row>
    <row r="1040" customFormat="false" ht="15" hidden="false" customHeight="false" outlineLevel="0" collapsed="false">
      <c r="E1040" s="25"/>
      <c r="M1040" s="26" t="str">
        <f aca="false">IF($A1040="","",$L1040*$U1040/100)</f>
        <v/>
      </c>
      <c r="W1040" s="26" t="str">
        <f aca="false">IF($A1040="","",U1040*AB1040/100)</f>
        <v/>
      </c>
      <c r="X1040" s="26" t="str">
        <f aca="false">IF($A1040="","",U1040-W1040)</f>
        <v/>
      </c>
      <c r="Y1040" s="26" t="str">
        <f aca="false">IF($A1040="","",U1040-W1040-M1040)</f>
        <v/>
      </c>
      <c r="AB1040" s="27" t="str">
        <f aca="false">IF($A1040="","",IF($AK1040=1,'كشف المطالبة'!$D$5,'كشف المطالبة'!$D$6)*100)</f>
        <v/>
      </c>
      <c r="AK1040" s="28" t="str">
        <f aca="false">IF($A1040="","",IF(OR($Q1040=TRUE(),$Q1040="TRUE"),1,0))</f>
        <v/>
      </c>
      <c r="AL1040" s="28" t="str">
        <f aca="false">IF($N1040="","",IF(MATCH($N1040,$N$2:$N$3001,0)=ROWS($N$2:$N1040),$N1040,""))</f>
        <v/>
      </c>
    </row>
    <row r="1041" customFormat="false" ht="15" hidden="false" customHeight="false" outlineLevel="0" collapsed="false">
      <c r="E1041" s="25"/>
      <c r="M1041" s="26" t="str">
        <f aca="false">IF($A1041="","",$L1041*$U1041/100)</f>
        <v/>
      </c>
      <c r="W1041" s="26" t="str">
        <f aca="false">IF($A1041="","",U1041*AB1041/100)</f>
        <v/>
      </c>
      <c r="X1041" s="26" t="str">
        <f aca="false">IF($A1041="","",U1041-W1041)</f>
        <v/>
      </c>
      <c r="Y1041" s="26" t="str">
        <f aca="false">IF($A1041="","",U1041-W1041-M1041)</f>
        <v/>
      </c>
      <c r="AB1041" s="27" t="str">
        <f aca="false">IF($A1041="","",IF($AK1041=1,'كشف المطالبة'!$D$5,'كشف المطالبة'!$D$6)*100)</f>
        <v/>
      </c>
      <c r="AK1041" s="28" t="str">
        <f aca="false">IF($A1041="","",IF(OR($Q1041=TRUE(),$Q1041="TRUE"),1,0))</f>
        <v/>
      </c>
      <c r="AL1041" s="28" t="str">
        <f aca="false">IF($N1041="","",IF(MATCH($N1041,$N$2:$N$3001,0)=ROWS($N$2:$N1041),$N1041,""))</f>
        <v/>
      </c>
    </row>
    <row r="1042" customFormat="false" ht="15" hidden="false" customHeight="false" outlineLevel="0" collapsed="false">
      <c r="E1042" s="25"/>
      <c r="M1042" s="26" t="str">
        <f aca="false">IF($A1042="","",$L1042*$U1042/100)</f>
        <v/>
      </c>
      <c r="W1042" s="26" t="str">
        <f aca="false">IF($A1042="","",U1042*AB1042/100)</f>
        <v/>
      </c>
      <c r="X1042" s="26" t="str">
        <f aca="false">IF($A1042="","",U1042-W1042)</f>
        <v/>
      </c>
      <c r="Y1042" s="26" t="str">
        <f aca="false">IF($A1042="","",U1042-W1042-M1042)</f>
        <v/>
      </c>
      <c r="AB1042" s="27" t="str">
        <f aca="false">IF($A1042="","",IF($AK1042=1,'كشف المطالبة'!$D$5,'كشف المطالبة'!$D$6)*100)</f>
        <v/>
      </c>
      <c r="AK1042" s="28" t="str">
        <f aca="false">IF($A1042="","",IF(OR($Q1042=TRUE(),$Q1042="TRUE"),1,0))</f>
        <v/>
      </c>
      <c r="AL1042" s="28" t="str">
        <f aca="false">IF($N1042="","",IF(MATCH($N1042,$N$2:$N$3001,0)=ROWS($N$2:$N1042),$N1042,""))</f>
        <v/>
      </c>
    </row>
    <row r="1043" customFormat="false" ht="15" hidden="false" customHeight="false" outlineLevel="0" collapsed="false">
      <c r="E1043" s="25"/>
      <c r="M1043" s="26" t="str">
        <f aca="false">IF($A1043="","",$L1043*$U1043/100)</f>
        <v/>
      </c>
      <c r="W1043" s="26" t="str">
        <f aca="false">IF($A1043="","",U1043*AB1043/100)</f>
        <v/>
      </c>
      <c r="X1043" s="26" t="str">
        <f aca="false">IF($A1043="","",U1043-W1043)</f>
        <v/>
      </c>
      <c r="Y1043" s="26" t="str">
        <f aca="false">IF($A1043="","",U1043-W1043-M1043)</f>
        <v/>
      </c>
      <c r="AB1043" s="27" t="str">
        <f aca="false">IF($A1043="","",IF($AK1043=1,'كشف المطالبة'!$D$5,'كشف المطالبة'!$D$6)*100)</f>
        <v/>
      </c>
      <c r="AK1043" s="28" t="str">
        <f aca="false">IF($A1043="","",IF(OR($Q1043=TRUE(),$Q1043="TRUE"),1,0))</f>
        <v/>
      </c>
      <c r="AL1043" s="28" t="str">
        <f aca="false">IF($N1043="","",IF(MATCH($N1043,$N$2:$N$3001,0)=ROWS($N$2:$N1043),$N1043,""))</f>
        <v/>
      </c>
    </row>
    <row r="1044" customFormat="false" ht="15" hidden="false" customHeight="false" outlineLevel="0" collapsed="false">
      <c r="E1044" s="25"/>
      <c r="M1044" s="26" t="str">
        <f aca="false">IF($A1044="","",$L1044*$U1044/100)</f>
        <v/>
      </c>
      <c r="W1044" s="26" t="str">
        <f aca="false">IF($A1044="","",U1044*AB1044/100)</f>
        <v/>
      </c>
      <c r="X1044" s="26" t="str">
        <f aca="false">IF($A1044="","",U1044-W1044)</f>
        <v/>
      </c>
      <c r="Y1044" s="26" t="str">
        <f aca="false">IF($A1044="","",U1044-W1044-M1044)</f>
        <v/>
      </c>
      <c r="AB1044" s="27" t="str">
        <f aca="false">IF($A1044="","",IF($AK1044=1,'كشف المطالبة'!$D$5,'كشف المطالبة'!$D$6)*100)</f>
        <v/>
      </c>
      <c r="AK1044" s="28" t="str">
        <f aca="false">IF($A1044="","",IF(OR($Q1044=TRUE(),$Q1044="TRUE"),1,0))</f>
        <v/>
      </c>
      <c r="AL1044" s="28" t="str">
        <f aca="false">IF($N1044="","",IF(MATCH($N1044,$N$2:$N$3001,0)=ROWS($N$2:$N1044),$N1044,""))</f>
        <v/>
      </c>
    </row>
    <row r="1045" customFormat="false" ht="15" hidden="false" customHeight="false" outlineLevel="0" collapsed="false">
      <c r="E1045" s="25"/>
      <c r="M1045" s="26" t="str">
        <f aca="false">IF($A1045="","",$L1045*$U1045/100)</f>
        <v/>
      </c>
      <c r="W1045" s="26" t="str">
        <f aca="false">IF($A1045="","",U1045*AB1045/100)</f>
        <v/>
      </c>
      <c r="X1045" s="26" t="str">
        <f aca="false">IF($A1045="","",U1045-W1045)</f>
        <v/>
      </c>
      <c r="Y1045" s="26" t="str">
        <f aca="false">IF($A1045="","",U1045-W1045-M1045)</f>
        <v/>
      </c>
      <c r="AB1045" s="27" t="str">
        <f aca="false">IF($A1045="","",IF($AK1045=1,'كشف المطالبة'!$D$5,'كشف المطالبة'!$D$6)*100)</f>
        <v/>
      </c>
      <c r="AK1045" s="28" t="str">
        <f aca="false">IF($A1045="","",IF(OR($Q1045=TRUE(),$Q1045="TRUE"),1,0))</f>
        <v/>
      </c>
      <c r="AL1045" s="28" t="str">
        <f aca="false">IF($N1045="","",IF(MATCH($N1045,$N$2:$N$3001,0)=ROWS($N$2:$N1045),$N1045,""))</f>
        <v/>
      </c>
    </row>
    <row r="1046" customFormat="false" ht="15" hidden="false" customHeight="false" outlineLevel="0" collapsed="false">
      <c r="E1046" s="25"/>
      <c r="M1046" s="26" t="str">
        <f aca="false">IF($A1046="","",$L1046*$U1046/100)</f>
        <v/>
      </c>
      <c r="W1046" s="26" t="str">
        <f aca="false">IF($A1046="","",U1046*AB1046/100)</f>
        <v/>
      </c>
      <c r="X1046" s="26" t="str">
        <f aca="false">IF($A1046="","",U1046-W1046)</f>
        <v/>
      </c>
      <c r="Y1046" s="26" t="str">
        <f aca="false">IF($A1046="","",U1046-W1046-M1046)</f>
        <v/>
      </c>
      <c r="AB1046" s="27" t="str">
        <f aca="false">IF($A1046="","",IF($AK1046=1,'كشف المطالبة'!$D$5,'كشف المطالبة'!$D$6)*100)</f>
        <v/>
      </c>
      <c r="AK1046" s="28" t="str">
        <f aca="false">IF($A1046="","",IF(OR($Q1046=TRUE(),$Q1046="TRUE"),1,0))</f>
        <v/>
      </c>
      <c r="AL1046" s="28" t="str">
        <f aca="false">IF($N1046="","",IF(MATCH($N1046,$N$2:$N$3001,0)=ROWS($N$2:$N1046),$N1046,""))</f>
        <v/>
      </c>
    </row>
    <row r="1047" customFormat="false" ht="15" hidden="false" customHeight="false" outlineLevel="0" collapsed="false">
      <c r="E1047" s="25"/>
      <c r="M1047" s="26" t="str">
        <f aca="false">IF($A1047="","",$L1047*$U1047/100)</f>
        <v/>
      </c>
      <c r="W1047" s="26" t="str">
        <f aca="false">IF($A1047="","",U1047*AB1047/100)</f>
        <v/>
      </c>
      <c r="X1047" s="26" t="str">
        <f aca="false">IF($A1047="","",U1047-W1047)</f>
        <v/>
      </c>
      <c r="Y1047" s="26" t="str">
        <f aca="false">IF($A1047="","",U1047-W1047-M1047)</f>
        <v/>
      </c>
      <c r="AB1047" s="27" t="str">
        <f aca="false">IF($A1047="","",IF($AK1047=1,'كشف المطالبة'!$D$5,'كشف المطالبة'!$D$6)*100)</f>
        <v/>
      </c>
      <c r="AK1047" s="28" t="str">
        <f aca="false">IF($A1047="","",IF(OR($Q1047=TRUE(),$Q1047="TRUE"),1,0))</f>
        <v/>
      </c>
      <c r="AL1047" s="28" t="str">
        <f aca="false">IF($N1047="","",IF(MATCH($N1047,$N$2:$N$3001,0)=ROWS($N$2:$N1047),$N1047,""))</f>
        <v/>
      </c>
    </row>
    <row r="1048" customFormat="false" ht="15" hidden="false" customHeight="false" outlineLevel="0" collapsed="false">
      <c r="E1048" s="25"/>
      <c r="M1048" s="26" t="str">
        <f aca="false">IF($A1048="","",$L1048*$U1048/100)</f>
        <v/>
      </c>
      <c r="W1048" s="26" t="str">
        <f aca="false">IF($A1048="","",U1048*AB1048/100)</f>
        <v/>
      </c>
      <c r="X1048" s="26" t="str">
        <f aca="false">IF($A1048="","",U1048-W1048)</f>
        <v/>
      </c>
      <c r="Y1048" s="26" t="str">
        <f aca="false">IF($A1048="","",U1048-W1048-M1048)</f>
        <v/>
      </c>
      <c r="AB1048" s="27" t="str">
        <f aca="false">IF($A1048="","",IF($AK1048=1,'كشف المطالبة'!$D$5,'كشف المطالبة'!$D$6)*100)</f>
        <v/>
      </c>
      <c r="AK1048" s="28" t="str">
        <f aca="false">IF($A1048="","",IF(OR($Q1048=TRUE(),$Q1048="TRUE"),1,0))</f>
        <v/>
      </c>
      <c r="AL1048" s="28" t="str">
        <f aca="false">IF($N1048="","",IF(MATCH($N1048,$N$2:$N$3001,0)=ROWS($N$2:$N1048),$N1048,""))</f>
        <v/>
      </c>
    </row>
    <row r="1049" customFormat="false" ht="15" hidden="false" customHeight="false" outlineLevel="0" collapsed="false">
      <c r="E1049" s="25"/>
      <c r="M1049" s="26" t="str">
        <f aca="false">IF($A1049="","",$L1049*$U1049/100)</f>
        <v/>
      </c>
      <c r="W1049" s="26" t="str">
        <f aca="false">IF($A1049="","",U1049*AB1049/100)</f>
        <v/>
      </c>
      <c r="X1049" s="26" t="str">
        <f aca="false">IF($A1049="","",U1049-W1049)</f>
        <v/>
      </c>
      <c r="Y1049" s="26" t="str">
        <f aca="false">IF($A1049="","",U1049-W1049-M1049)</f>
        <v/>
      </c>
      <c r="AB1049" s="27" t="str">
        <f aca="false">IF($A1049="","",IF($AK1049=1,'كشف المطالبة'!$D$5,'كشف المطالبة'!$D$6)*100)</f>
        <v/>
      </c>
      <c r="AK1049" s="28" t="str">
        <f aca="false">IF($A1049="","",IF(OR($Q1049=TRUE(),$Q1049="TRUE"),1,0))</f>
        <v/>
      </c>
      <c r="AL1049" s="28" t="str">
        <f aca="false">IF($N1049="","",IF(MATCH($N1049,$N$2:$N$3001,0)=ROWS($N$2:$N1049),$N1049,""))</f>
        <v/>
      </c>
    </row>
    <row r="1050" customFormat="false" ht="15" hidden="false" customHeight="false" outlineLevel="0" collapsed="false">
      <c r="E1050" s="25"/>
      <c r="M1050" s="26" t="str">
        <f aca="false">IF($A1050="","",$L1050*$U1050/100)</f>
        <v/>
      </c>
      <c r="W1050" s="26" t="str">
        <f aca="false">IF($A1050="","",U1050*AB1050/100)</f>
        <v/>
      </c>
      <c r="X1050" s="26" t="str">
        <f aca="false">IF($A1050="","",U1050-W1050)</f>
        <v/>
      </c>
      <c r="Y1050" s="26" t="str">
        <f aca="false">IF($A1050="","",U1050-W1050-M1050)</f>
        <v/>
      </c>
      <c r="AB1050" s="27" t="str">
        <f aca="false">IF($A1050="","",IF($AK1050=1,'كشف المطالبة'!$D$5,'كشف المطالبة'!$D$6)*100)</f>
        <v/>
      </c>
      <c r="AK1050" s="28" t="str">
        <f aca="false">IF($A1050="","",IF(OR($Q1050=TRUE(),$Q1050="TRUE"),1,0))</f>
        <v/>
      </c>
      <c r="AL1050" s="28" t="str">
        <f aca="false">IF($N1050="","",IF(MATCH($N1050,$N$2:$N$3001,0)=ROWS($N$2:$N1050),$N1050,""))</f>
        <v/>
      </c>
    </row>
    <row r="1051" customFormat="false" ht="15" hidden="false" customHeight="false" outlineLevel="0" collapsed="false">
      <c r="E1051" s="25"/>
      <c r="M1051" s="26" t="str">
        <f aca="false">IF($A1051="","",$L1051*$U1051/100)</f>
        <v/>
      </c>
      <c r="W1051" s="26" t="str">
        <f aca="false">IF($A1051="","",U1051*AB1051/100)</f>
        <v/>
      </c>
      <c r="X1051" s="26" t="str">
        <f aca="false">IF($A1051="","",U1051-W1051)</f>
        <v/>
      </c>
      <c r="Y1051" s="26" t="str">
        <f aca="false">IF($A1051="","",U1051-W1051-M1051)</f>
        <v/>
      </c>
      <c r="AB1051" s="27" t="str">
        <f aca="false">IF($A1051="","",IF($AK1051=1,'كشف المطالبة'!$D$5,'كشف المطالبة'!$D$6)*100)</f>
        <v/>
      </c>
      <c r="AK1051" s="28" t="str">
        <f aca="false">IF($A1051="","",IF(OR($Q1051=TRUE(),$Q1051="TRUE"),1,0))</f>
        <v/>
      </c>
      <c r="AL1051" s="28" t="str">
        <f aca="false">IF($N1051="","",IF(MATCH($N1051,$N$2:$N$3001,0)=ROWS($N$2:$N1051),$N1051,""))</f>
        <v/>
      </c>
    </row>
    <row r="1052" customFormat="false" ht="15" hidden="false" customHeight="false" outlineLevel="0" collapsed="false">
      <c r="E1052" s="25"/>
      <c r="M1052" s="26" t="str">
        <f aca="false">IF($A1052="","",$L1052*$U1052/100)</f>
        <v/>
      </c>
      <c r="W1052" s="26" t="str">
        <f aca="false">IF($A1052="","",U1052*AB1052/100)</f>
        <v/>
      </c>
      <c r="X1052" s="26" t="str">
        <f aca="false">IF($A1052="","",U1052-W1052)</f>
        <v/>
      </c>
      <c r="Y1052" s="26" t="str">
        <f aca="false">IF($A1052="","",U1052-W1052-M1052)</f>
        <v/>
      </c>
      <c r="AB1052" s="27" t="str">
        <f aca="false">IF($A1052="","",IF($AK1052=1,'كشف المطالبة'!$D$5,'كشف المطالبة'!$D$6)*100)</f>
        <v/>
      </c>
      <c r="AK1052" s="28" t="str">
        <f aca="false">IF($A1052="","",IF(OR($Q1052=TRUE(),$Q1052="TRUE"),1,0))</f>
        <v/>
      </c>
      <c r="AL1052" s="28" t="str">
        <f aca="false">IF($N1052="","",IF(MATCH($N1052,$N$2:$N$3001,0)=ROWS($N$2:$N1052),$N1052,""))</f>
        <v/>
      </c>
    </row>
    <row r="1053" customFormat="false" ht="15" hidden="false" customHeight="false" outlineLevel="0" collapsed="false">
      <c r="E1053" s="25"/>
      <c r="M1053" s="26" t="str">
        <f aca="false">IF($A1053="","",$L1053*$U1053/100)</f>
        <v/>
      </c>
      <c r="W1053" s="26" t="str">
        <f aca="false">IF($A1053="","",U1053*AB1053/100)</f>
        <v/>
      </c>
      <c r="X1053" s="26" t="str">
        <f aca="false">IF($A1053="","",U1053-W1053)</f>
        <v/>
      </c>
      <c r="Y1053" s="26" t="str">
        <f aca="false">IF($A1053="","",U1053-W1053-M1053)</f>
        <v/>
      </c>
      <c r="AB1053" s="27" t="str">
        <f aca="false">IF($A1053="","",IF($AK1053=1,'كشف المطالبة'!$D$5,'كشف المطالبة'!$D$6)*100)</f>
        <v/>
      </c>
      <c r="AK1053" s="28" t="str">
        <f aca="false">IF($A1053="","",IF(OR($Q1053=TRUE(),$Q1053="TRUE"),1,0))</f>
        <v/>
      </c>
      <c r="AL1053" s="28" t="str">
        <f aca="false">IF($N1053="","",IF(MATCH($N1053,$N$2:$N$3001,0)=ROWS($N$2:$N1053),$N1053,""))</f>
        <v/>
      </c>
    </row>
    <row r="1054" customFormat="false" ht="15" hidden="false" customHeight="false" outlineLevel="0" collapsed="false">
      <c r="E1054" s="25"/>
      <c r="M1054" s="26" t="str">
        <f aca="false">IF($A1054="","",$L1054*$U1054/100)</f>
        <v/>
      </c>
      <c r="W1054" s="26" t="str">
        <f aca="false">IF($A1054="","",U1054*AB1054/100)</f>
        <v/>
      </c>
      <c r="X1054" s="26" t="str">
        <f aca="false">IF($A1054="","",U1054-W1054)</f>
        <v/>
      </c>
      <c r="Y1054" s="26" t="str">
        <f aca="false">IF($A1054="","",U1054-W1054-M1054)</f>
        <v/>
      </c>
      <c r="AB1054" s="27" t="str">
        <f aca="false">IF($A1054="","",IF($AK1054=1,'كشف المطالبة'!$D$5,'كشف المطالبة'!$D$6)*100)</f>
        <v/>
      </c>
      <c r="AK1054" s="28" t="str">
        <f aca="false">IF($A1054="","",IF(OR($Q1054=TRUE(),$Q1054="TRUE"),1,0))</f>
        <v/>
      </c>
      <c r="AL1054" s="28" t="str">
        <f aca="false">IF($N1054="","",IF(MATCH($N1054,$N$2:$N$3001,0)=ROWS($N$2:$N1054),$N1054,""))</f>
        <v/>
      </c>
    </row>
    <row r="1055" customFormat="false" ht="15" hidden="false" customHeight="false" outlineLevel="0" collapsed="false">
      <c r="E1055" s="25"/>
      <c r="M1055" s="26" t="str">
        <f aca="false">IF($A1055="","",$L1055*$U1055/100)</f>
        <v/>
      </c>
      <c r="W1055" s="26" t="str">
        <f aca="false">IF($A1055="","",U1055*AB1055/100)</f>
        <v/>
      </c>
      <c r="X1055" s="26" t="str">
        <f aca="false">IF($A1055="","",U1055-W1055)</f>
        <v/>
      </c>
      <c r="Y1055" s="26" t="str">
        <f aca="false">IF($A1055="","",U1055-W1055-M1055)</f>
        <v/>
      </c>
      <c r="AB1055" s="27" t="str">
        <f aca="false">IF($A1055="","",IF($AK1055=1,'كشف المطالبة'!$D$5,'كشف المطالبة'!$D$6)*100)</f>
        <v/>
      </c>
      <c r="AK1055" s="28" t="str">
        <f aca="false">IF($A1055="","",IF(OR($Q1055=TRUE(),$Q1055="TRUE"),1,0))</f>
        <v/>
      </c>
      <c r="AL1055" s="28" t="str">
        <f aca="false">IF($N1055="","",IF(MATCH($N1055,$N$2:$N$3001,0)=ROWS($N$2:$N1055),$N1055,""))</f>
        <v/>
      </c>
    </row>
    <row r="1056" customFormat="false" ht="15" hidden="false" customHeight="false" outlineLevel="0" collapsed="false">
      <c r="E1056" s="25"/>
      <c r="M1056" s="26" t="str">
        <f aca="false">IF($A1056="","",$L1056*$U1056/100)</f>
        <v/>
      </c>
      <c r="W1056" s="26" t="str">
        <f aca="false">IF($A1056="","",U1056*AB1056/100)</f>
        <v/>
      </c>
      <c r="X1056" s="26" t="str">
        <f aca="false">IF($A1056="","",U1056-W1056)</f>
        <v/>
      </c>
      <c r="Y1056" s="26" t="str">
        <f aca="false">IF($A1056="","",U1056-W1056-M1056)</f>
        <v/>
      </c>
      <c r="AB1056" s="27" t="str">
        <f aca="false">IF($A1056="","",IF($AK1056=1,'كشف المطالبة'!$D$5,'كشف المطالبة'!$D$6)*100)</f>
        <v/>
      </c>
      <c r="AK1056" s="28" t="str">
        <f aca="false">IF($A1056="","",IF(OR($Q1056=TRUE(),$Q1056="TRUE"),1,0))</f>
        <v/>
      </c>
      <c r="AL1056" s="28" t="str">
        <f aca="false">IF($N1056="","",IF(MATCH($N1056,$N$2:$N$3001,0)=ROWS($N$2:$N1056),$N1056,""))</f>
        <v/>
      </c>
    </row>
    <row r="1057" customFormat="false" ht="15" hidden="false" customHeight="false" outlineLevel="0" collapsed="false">
      <c r="E1057" s="25"/>
      <c r="M1057" s="26" t="str">
        <f aca="false">IF($A1057="","",$L1057*$U1057/100)</f>
        <v/>
      </c>
      <c r="W1057" s="26" t="str">
        <f aca="false">IF($A1057="","",U1057*AB1057/100)</f>
        <v/>
      </c>
      <c r="X1057" s="26" t="str">
        <f aca="false">IF($A1057="","",U1057-W1057)</f>
        <v/>
      </c>
      <c r="Y1057" s="26" t="str">
        <f aca="false">IF($A1057="","",U1057-W1057-M1057)</f>
        <v/>
      </c>
      <c r="AB1057" s="27" t="str">
        <f aca="false">IF($A1057="","",IF($AK1057=1,'كشف المطالبة'!$D$5,'كشف المطالبة'!$D$6)*100)</f>
        <v/>
      </c>
      <c r="AK1057" s="28" t="str">
        <f aca="false">IF($A1057="","",IF(OR($Q1057=TRUE(),$Q1057="TRUE"),1,0))</f>
        <v/>
      </c>
      <c r="AL1057" s="28" t="str">
        <f aca="false">IF($N1057="","",IF(MATCH($N1057,$N$2:$N$3001,0)=ROWS($N$2:$N1057),$N1057,""))</f>
        <v/>
      </c>
    </row>
    <row r="1058" customFormat="false" ht="15" hidden="false" customHeight="false" outlineLevel="0" collapsed="false">
      <c r="E1058" s="25"/>
      <c r="M1058" s="26" t="str">
        <f aca="false">IF($A1058="","",$L1058*$U1058/100)</f>
        <v/>
      </c>
      <c r="W1058" s="26" t="str">
        <f aca="false">IF($A1058="","",U1058*AB1058/100)</f>
        <v/>
      </c>
      <c r="X1058" s="26" t="str">
        <f aca="false">IF($A1058="","",U1058-W1058)</f>
        <v/>
      </c>
      <c r="Y1058" s="26" t="str">
        <f aca="false">IF($A1058="","",U1058-W1058-M1058)</f>
        <v/>
      </c>
      <c r="AB1058" s="27" t="str">
        <f aca="false">IF($A1058="","",IF($AK1058=1,'كشف المطالبة'!$D$5,'كشف المطالبة'!$D$6)*100)</f>
        <v/>
      </c>
      <c r="AK1058" s="28" t="str">
        <f aca="false">IF($A1058="","",IF(OR($Q1058=TRUE(),$Q1058="TRUE"),1,0))</f>
        <v/>
      </c>
      <c r="AL1058" s="28" t="str">
        <f aca="false">IF($N1058="","",IF(MATCH($N1058,$N$2:$N$3001,0)=ROWS($N$2:$N1058),$N1058,""))</f>
        <v/>
      </c>
    </row>
    <row r="1059" customFormat="false" ht="15" hidden="false" customHeight="false" outlineLevel="0" collapsed="false">
      <c r="E1059" s="25"/>
      <c r="M1059" s="26" t="str">
        <f aca="false">IF($A1059="","",$L1059*$U1059/100)</f>
        <v/>
      </c>
      <c r="W1059" s="26" t="str">
        <f aca="false">IF($A1059="","",U1059*AB1059/100)</f>
        <v/>
      </c>
      <c r="X1059" s="26" t="str">
        <f aca="false">IF($A1059="","",U1059-W1059)</f>
        <v/>
      </c>
      <c r="Y1059" s="26" t="str">
        <f aca="false">IF($A1059="","",U1059-W1059-M1059)</f>
        <v/>
      </c>
      <c r="AB1059" s="27" t="str">
        <f aca="false">IF($A1059="","",IF($AK1059=1,'كشف المطالبة'!$D$5,'كشف المطالبة'!$D$6)*100)</f>
        <v/>
      </c>
      <c r="AK1059" s="28" t="str">
        <f aca="false">IF($A1059="","",IF(OR($Q1059=TRUE(),$Q1059="TRUE"),1,0))</f>
        <v/>
      </c>
      <c r="AL1059" s="28" t="str">
        <f aca="false">IF($N1059="","",IF(MATCH($N1059,$N$2:$N$3001,0)=ROWS($N$2:$N1059),$N1059,""))</f>
        <v/>
      </c>
    </row>
    <row r="1060" customFormat="false" ht="15" hidden="false" customHeight="false" outlineLevel="0" collapsed="false">
      <c r="E1060" s="25"/>
      <c r="M1060" s="26" t="str">
        <f aca="false">IF($A1060="","",$L1060*$U1060/100)</f>
        <v/>
      </c>
      <c r="W1060" s="26" t="str">
        <f aca="false">IF($A1060="","",U1060*AB1060/100)</f>
        <v/>
      </c>
      <c r="X1060" s="26" t="str">
        <f aca="false">IF($A1060="","",U1060-W1060)</f>
        <v/>
      </c>
      <c r="Y1060" s="26" t="str">
        <f aca="false">IF($A1060="","",U1060-W1060-M1060)</f>
        <v/>
      </c>
      <c r="AB1060" s="27" t="str">
        <f aca="false">IF($A1060="","",IF($AK1060=1,'كشف المطالبة'!$D$5,'كشف المطالبة'!$D$6)*100)</f>
        <v/>
      </c>
      <c r="AK1060" s="28" t="str">
        <f aca="false">IF($A1060="","",IF(OR($Q1060=TRUE(),$Q1060="TRUE"),1,0))</f>
        <v/>
      </c>
      <c r="AL1060" s="28" t="str">
        <f aca="false">IF($N1060="","",IF(MATCH($N1060,$N$2:$N$3001,0)=ROWS($N$2:$N1060),$N1060,""))</f>
        <v/>
      </c>
    </row>
    <row r="1061" customFormat="false" ht="15" hidden="false" customHeight="false" outlineLevel="0" collapsed="false">
      <c r="E1061" s="25"/>
      <c r="M1061" s="26" t="str">
        <f aca="false">IF($A1061="","",$L1061*$U1061/100)</f>
        <v/>
      </c>
      <c r="W1061" s="26" t="str">
        <f aca="false">IF($A1061="","",U1061*AB1061/100)</f>
        <v/>
      </c>
      <c r="X1061" s="26" t="str">
        <f aca="false">IF($A1061="","",U1061-W1061)</f>
        <v/>
      </c>
      <c r="Y1061" s="26" t="str">
        <f aca="false">IF($A1061="","",U1061-W1061-M1061)</f>
        <v/>
      </c>
      <c r="AB1061" s="27" t="str">
        <f aca="false">IF($A1061="","",IF($AK1061=1,'كشف المطالبة'!$D$5,'كشف المطالبة'!$D$6)*100)</f>
        <v/>
      </c>
      <c r="AK1061" s="28" t="str">
        <f aca="false">IF($A1061="","",IF(OR($Q1061=TRUE(),$Q1061="TRUE"),1,0))</f>
        <v/>
      </c>
      <c r="AL1061" s="28" t="str">
        <f aca="false">IF($N1061="","",IF(MATCH($N1061,$N$2:$N$3001,0)=ROWS($N$2:$N1061),$N1061,""))</f>
        <v/>
      </c>
    </row>
    <row r="1062" customFormat="false" ht="15" hidden="false" customHeight="false" outlineLevel="0" collapsed="false">
      <c r="E1062" s="25"/>
      <c r="M1062" s="26" t="str">
        <f aca="false">IF($A1062="","",$L1062*$U1062/100)</f>
        <v/>
      </c>
      <c r="W1062" s="26" t="str">
        <f aca="false">IF($A1062="","",U1062*AB1062/100)</f>
        <v/>
      </c>
      <c r="X1062" s="26" t="str">
        <f aca="false">IF($A1062="","",U1062-W1062)</f>
        <v/>
      </c>
      <c r="Y1062" s="26" t="str">
        <f aca="false">IF($A1062="","",U1062-W1062-M1062)</f>
        <v/>
      </c>
      <c r="AB1062" s="27" t="str">
        <f aca="false">IF($A1062="","",IF($AK1062=1,'كشف المطالبة'!$D$5,'كشف المطالبة'!$D$6)*100)</f>
        <v/>
      </c>
      <c r="AK1062" s="28" t="str">
        <f aca="false">IF($A1062="","",IF(OR($Q1062=TRUE(),$Q1062="TRUE"),1,0))</f>
        <v/>
      </c>
      <c r="AL1062" s="28" t="str">
        <f aca="false">IF($N1062="","",IF(MATCH($N1062,$N$2:$N$3001,0)=ROWS($N$2:$N1062),$N1062,""))</f>
        <v/>
      </c>
    </row>
    <row r="1063" customFormat="false" ht="15" hidden="false" customHeight="false" outlineLevel="0" collapsed="false">
      <c r="E1063" s="25"/>
      <c r="M1063" s="26" t="str">
        <f aca="false">IF($A1063="","",$L1063*$U1063/100)</f>
        <v/>
      </c>
      <c r="W1063" s="26" t="str">
        <f aca="false">IF($A1063="","",U1063*AB1063/100)</f>
        <v/>
      </c>
      <c r="X1063" s="26" t="str">
        <f aca="false">IF($A1063="","",U1063-W1063)</f>
        <v/>
      </c>
      <c r="Y1063" s="26" t="str">
        <f aca="false">IF($A1063="","",U1063-W1063-M1063)</f>
        <v/>
      </c>
      <c r="AB1063" s="27" t="str">
        <f aca="false">IF($A1063="","",IF($AK1063=1,'كشف المطالبة'!$D$5,'كشف المطالبة'!$D$6)*100)</f>
        <v/>
      </c>
      <c r="AK1063" s="28" t="str">
        <f aca="false">IF($A1063="","",IF(OR($Q1063=TRUE(),$Q1063="TRUE"),1,0))</f>
        <v/>
      </c>
      <c r="AL1063" s="28" t="str">
        <f aca="false">IF($N1063="","",IF(MATCH($N1063,$N$2:$N$3001,0)=ROWS($N$2:$N1063),$N1063,""))</f>
        <v/>
      </c>
    </row>
    <row r="1064" customFormat="false" ht="15" hidden="false" customHeight="false" outlineLevel="0" collapsed="false">
      <c r="E1064" s="25"/>
      <c r="M1064" s="26" t="str">
        <f aca="false">IF($A1064="","",$L1064*$U1064/100)</f>
        <v/>
      </c>
      <c r="W1064" s="26" t="str">
        <f aca="false">IF($A1064="","",U1064*AB1064/100)</f>
        <v/>
      </c>
      <c r="X1064" s="26" t="str">
        <f aca="false">IF($A1064="","",U1064-W1064)</f>
        <v/>
      </c>
      <c r="Y1064" s="26" t="str">
        <f aca="false">IF($A1064="","",U1064-W1064-M1064)</f>
        <v/>
      </c>
      <c r="AB1064" s="27" t="str">
        <f aca="false">IF($A1064="","",IF($AK1064=1,'كشف المطالبة'!$D$5,'كشف المطالبة'!$D$6)*100)</f>
        <v/>
      </c>
      <c r="AK1064" s="28" t="str">
        <f aca="false">IF($A1064="","",IF(OR($Q1064=TRUE(),$Q1064="TRUE"),1,0))</f>
        <v/>
      </c>
      <c r="AL1064" s="28" t="str">
        <f aca="false">IF($N1064="","",IF(MATCH($N1064,$N$2:$N$3001,0)=ROWS($N$2:$N1064),$N1064,""))</f>
        <v/>
      </c>
    </row>
    <row r="1065" customFormat="false" ht="15" hidden="false" customHeight="false" outlineLevel="0" collapsed="false">
      <c r="E1065" s="25"/>
      <c r="M1065" s="26" t="str">
        <f aca="false">IF($A1065="","",$L1065*$U1065/100)</f>
        <v/>
      </c>
      <c r="W1065" s="26" t="str">
        <f aca="false">IF($A1065="","",U1065*AB1065/100)</f>
        <v/>
      </c>
      <c r="X1065" s="26" t="str">
        <f aca="false">IF($A1065="","",U1065-W1065)</f>
        <v/>
      </c>
      <c r="Y1065" s="26" t="str">
        <f aca="false">IF($A1065="","",U1065-W1065-M1065)</f>
        <v/>
      </c>
      <c r="AB1065" s="27" t="str">
        <f aca="false">IF($A1065="","",IF($AK1065=1,'كشف المطالبة'!$D$5,'كشف المطالبة'!$D$6)*100)</f>
        <v/>
      </c>
      <c r="AK1065" s="28" t="str">
        <f aca="false">IF($A1065="","",IF(OR($Q1065=TRUE(),$Q1065="TRUE"),1,0))</f>
        <v/>
      </c>
      <c r="AL1065" s="28" t="str">
        <f aca="false">IF($N1065="","",IF(MATCH($N1065,$N$2:$N$3001,0)=ROWS($N$2:$N1065),$N1065,""))</f>
        <v/>
      </c>
    </row>
    <row r="1066" customFormat="false" ht="15" hidden="false" customHeight="false" outlineLevel="0" collapsed="false">
      <c r="E1066" s="25"/>
      <c r="M1066" s="26" t="str">
        <f aca="false">IF($A1066="","",$L1066*$U1066/100)</f>
        <v/>
      </c>
      <c r="W1066" s="26" t="str">
        <f aca="false">IF($A1066="","",U1066*AB1066/100)</f>
        <v/>
      </c>
      <c r="X1066" s="26" t="str">
        <f aca="false">IF($A1066="","",U1066-W1066)</f>
        <v/>
      </c>
      <c r="Y1066" s="26" t="str">
        <f aca="false">IF($A1066="","",U1066-W1066-M1066)</f>
        <v/>
      </c>
      <c r="AB1066" s="27" t="str">
        <f aca="false">IF($A1066="","",IF($AK1066=1,'كشف المطالبة'!$D$5,'كشف المطالبة'!$D$6)*100)</f>
        <v/>
      </c>
      <c r="AK1066" s="28" t="str">
        <f aca="false">IF($A1066="","",IF(OR($Q1066=TRUE(),$Q1066="TRUE"),1,0))</f>
        <v/>
      </c>
      <c r="AL1066" s="28" t="str">
        <f aca="false">IF($N1066="","",IF(MATCH($N1066,$N$2:$N$3001,0)=ROWS($N$2:$N1066),$N1066,""))</f>
        <v/>
      </c>
    </row>
    <row r="1067" customFormat="false" ht="15" hidden="false" customHeight="false" outlineLevel="0" collapsed="false">
      <c r="E1067" s="25"/>
      <c r="M1067" s="26" t="str">
        <f aca="false">IF($A1067="","",$L1067*$U1067/100)</f>
        <v/>
      </c>
      <c r="W1067" s="26" t="str">
        <f aca="false">IF($A1067="","",U1067*AB1067/100)</f>
        <v/>
      </c>
      <c r="X1067" s="26" t="str">
        <f aca="false">IF($A1067="","",U1067-W1067)</f>
        <v/>
      </c>
      <c r="Y1067" s="26" t="str">
        <f aca="false">IF($A1067="","",U1067-W1067-M1067)</f>
        <v/>
      </c>
      <c r="AB1067" s="27" t="str">
        <f aca="false">IF($A1067="","",IF($AK1067=1,'كشف المطالبة'!$D$5,'كشف المطالبة'!$D$6)*100)</f>
        <v/>
      </c>
      <c r="AK1067" s="28" t="str">
        <f aca="false">IF($A1067="","",IF(OR($Q1067=TRUE(),$Q1067="TRUE"),1,0))</f>
        <v/>
      </c>
      <c r="AL1067" s="28" t="str">
        <f aca="false">IF($N1067="","",IF(MATCH($N1067,$N$2:$N$3001,0)=ROWS($N$2:$N1067),$N1067,""))</f>
        <v/>
      </c>
    </row>
    <row r="1068" customFormat="false" ht="15" hidden="false" customHeight="false" outlineLevel="0" collapsed="false">
      <c r="E1068" s="25"/>
      <c r="M1068" s="26" t="str">
        <f aca="false">IF($A1068="","",$L1068*$U1068/100)</f>
        <v/>
      </c>
      <c r="W1068" s="26" t="str">
        <f aca="false">IF($A1068="","",U1068*AB1068/100)</f>
        <v/>
      </c>
      <c r="X1068" s="26" t="str">
        <f aca="false">IF($A1068="","",U1068-W1068)</f>
        <v/>
      </c>
      <c r="Y1068" s="26" t="str">
        <f aca="false">IF($A1068="","",U1068-W1068-M1068)</f>
        <v/>
      </c>
      <c r="AB1068" s="27" t="str">
        <f aca="false">IF($A1068="","",IF($AK1068=1,'كشف المطالبة'!$D$5,'كشف المطالبة'!$D$6)*100)</f>
        <v/>
      </c>
      <c r="AK1068" s="28" t="str">
        <f aca="false">IF($A1068="","",IF(OR($Q1068=TRUE(),$Q1068="TRUE"),1,0))</f>
        <v/>
      </c>
      <c r="AL1068" s="28" t="str">
        <f aca="false">IF($N1068="","",IF(MATCH($N1068,$N$2:$N$3001,0)=ROWS($N$2:$N1068),$N1068,""))</f>
        <v/>
      </c>
    </row>
    <row r="1069" customFormat="false" ht="15" hidden="false" customHeight="false" outlineLevel="0" collapsed="false">
      <c r="E1069" s="25"/>
      <c r="M1069" s="26" t="str">
        <f aca="false">IF($A1069="","",$L1069*$U1069/100)</f>
        <v/>
      </c>
      <c r="W1069" s="26" t="str">
        <f aca="false">IF($A1069="","",U1069*AB1069/100)</f>
        <v/>
      </c>
      <c r="X1069" s="26" t="str">
        <f aca="false">IF($A1069="","",U1069-W1069)</f>
        <v/>
      </c>
      <c r="Y1069" s="26" t="str">
        <f aca="false">IF($A1069="","",U1069-W1069-M1069)</f>
        <v/>
      </c>
      <c r="AB1069" s="27" t="str">
        <f aca="false">IF($A1069="","",IF($AK1069=1,'كشف المطالبة'!$D$5,'كشف المطالبة'!$D$6)*100)</f>
        <v/>
      </c>
      <c r="AK1069" s="28" t="str">
        <f aca="false">IF($A1069="","",IF(OR($Q1069=TRUE(),$Q1069="TRUE"),1,0))</f>
        <v/>
      </c>
      <c r="AL1069" s="28" t="str">
        <f aca="false">IF($N1069="","",IF(MATCH($N1069,$N$2:$N$3001,0)=ROWS($N$2:$N1069),$N1069,""))</f>
        <v/>
      </c>
    </row>
    <row r="1070" customFormat="false" ht="15" hidden="false" customHeight="false" outlineLevel="0" collapsed="false">
      <c r="E1070" s="25"/>
      <c r="M1070" s="26" t="str">
        <f aca="false">IF($A1070="","",$L1070*$U1070/100)</f>
        <v/>
      </c>
      <c r="W1070" s="26" t="str">
        <f aca="false">IF($A1070="","",U1070*AB1070/100)</f>
        <v/>
      </c>
      <c r="X1070" s="26" t="str">
        <f aca="false">IF($A1070="","",U1070-W1070)</f>
        <v/>
      </c>
      <c r="Y1070" s="26" t="str">
        <f aca="false">IF($A1070="","",U1070-W1070-M1070)</f>
        <v/>
      </c>
      <c r="AB1070" s="27" t="str">
        <f aca="false">IF($A1070="","",IF($AK1070=1,'كشف المطالبة'!$D$5,'كشف المطالبة'!$D$6)*100)</f>
        <v/>
      </c>
      <c r="AK1070" s="28" t="str">
        <f aca="false">IF($A1070="","",IF(OR($Q1070=TRUE(),$Q1070="TRUE"),1,0))</f>
        <v/>
      </c>
      <c r="AL1070" s="28" t="str">
        <f aca="false">IF($N1070="","",IF(MATCH($N1070,$N$2:$N$3001,0)=ROWS($N$2:$N1070),$N1070,""))</f>
        <v/>
      </c>
    </row>
    <row r="1071" customFormat="false" ht="15" hidden="false" customHeight="false" outlineLevel="0" collapsed="false">
      <c r="E1071" s="25"/>
      <c r="M1071" s="26" t="str">
        <f aca="false">IF($A1071="","",$L1071*$U1071/100)</f>
        <v/>
      </c>
      <c r="W1071" s="26" t="str">
        <f aca="false">IF($A1071="","",U1071*AB1071/100)</f>
        <v/>
      </c>
      <c r="X1071" s="26" t="str">
        <f aca="false">IF($A1071="","",U1071-W1071)</f>
        <v/>
      </c>
      <c r="Y1071" s="26" t="str">
        <f aca="false">IF($A1071="","",U1071-W1071-M1071)</f>
        <v/>
      </c>
      <c r="AB1071" s="27" t="str">
        <f aca="false">IF($A1071="","",IF($AK1071=1,'كشف المطالبة'!$D$5,'كشف المطالبة'!$D$6)*100)</f>
        <v/>
      </c>
      <c r="AK1071" s="28" t="str">
        <f aca="false">IF($A1071="","",IF(OR($Q1071=TRUE(),$Q1071="TRUE"),1,0))</f>
        <v/>
      </c>
      <c r="AL1071" s="28" t="str">
        <f aca="false">IF($N1071="","",IF(MATCH($N1071,$N$2:$N$3001,0)=ROWS($N$2:$N1071),$N1071,""))</f>
        <v/>
      </c>
    </row>
    <row r="1072" customFormat="false" ht="15" hidden="false" customHeight="false" outlineLevel="0" collapsed="false">
      <c r="E1072" s="25"/>
      <c r="M1072" s="26" t="str">
        <f aca="false">IF($A1072="","",$L1072*$U1072/100)</f>
        <v/>
      </c>
      <c r="W1072" s="26" t="str">
        <f aca="false">IF($A1072="","",U1072*AB1072/100)</f>
        <v/>
      </c>
      <c r="X1072" s="26" t="str">
        <f aca="false">IF($A1072="","",U1072-W1072)</f>
        <v/>
      </c>
      <c r="Y1072" s="26" t="str">
        <f aca="false">IF($A1072="","",U1072-W1072-M1072)</f>
        <v/>
      </c>
      <c r="AB1072" s="27" t="str">
        <f aca="false">IF($A1072="","",IF($AK1072=1,'كشف المطالبة'!$D$5,'كشف المطالبة'!$D$6)*100)</f>
        <v/>
      </c>
      <c r="AK1072" s="28" t="str">
        <f aca="false">IF($A1072="","",IF(OR($Q1072=TRUE(),$Q1072="TRUE"),1,0))</f>
        <v/>
      </c>
      <c r="AL1072" s="28" t="str">
        <f aca="false">IF($N1072="","",IF(MATCH($N1072,$N$2:$N$3001,0)=ROWS($N$2:$N1072),$N1072,""))</f>
        <v/>
      </c>
    </row>
    <row r="1073" customFormat="false" ht="15" hidden="false" customHeight="false" outlineLevel="0" collapsed="false">
      <c r="E1073" s="25"/>
      <c r="M1073" s="26" t="str">
        <f aca="false">IF($A1073="","",$L1073*$U1073/100)</f>
        <v/>
      </c>
      <c r="W1073" s="26" t="str">
        <f aca="false">IF($A1073="","",U1073*AB1073/100)</f>
        <v/>
      </c>
      <c r="X1073" s="26" t="str">
        <f aca="false">IF($A1073="","",U1073-W1073)</f>
        <v/>
      </c>
      <c r="Y1073" s="26" t="str">
        <f aca="false">IF($A1073="","",U1073-W1073-M1073)</f>
        <v/>
      </c>
      <c r="AB1073" s="27" t="str">
        <f aca="false">IF($A1073="","",IF($AK1073=1,'كشف المطالبة'!$D$5,'كشف المطالبة'!$D$6)*100)</f>
        <v/>
      </c>
      <c r="AK1073" s="28" t="str">
        <f aca="false">IF($A1073="","",IF(OR($Q1073=TRUE(),$Q1073="TRUE"),1,0))</f>
        <v/>
      </c>
      <c r="AL1073" s="28" t="str">
        <f aca="false">IF($N1073="","",IF(MATCH($N1073,$N$2:$N$3001,0)=ROWS($N$2:$N1073),$N1073,""))</f>
        <v/>
      </c>
    </row>
    <row r="1074" customFormat="false" ht="15" hidden="false" customHeight="false" outlineLevel="0" collapsed="false">
      <c r="E1074" s="25"/>
      <c r="M1074" s="26" t="str">
        <f aca="false">IF($A1074="","",$L1074*$U1074/100)</f>
        <v/>
      </c>
      <c r="W1074" s="26" t="str">
        <f aca="false">IF($A1074="","",U1074*AB1074/100)</f>
        <v/>
      </c>
      <c r="X1074" s="26" t="str">
        <f aca="false">IF($A1074="","",U1074-W1074)</f>
        <v/>
      </c>
      <c r="Y1074" s="26" t="str">
        <f aca="false">IF($A1074="","",U1074-W1074-M1074)</f>
        <v/>
      </c>
      <c r="AB1074" s="27" t="str">
        <f aca="false">IF($A1074="","",IF($AK1074=1,'كشف المطالبة'!$D$5,'كشف المطالبة'!$D$6)*100)</f>
        <v/>
      </c>
      <c r="AK1074" s="28" t="str">
        <f aca="false">IF($A1074="","",IF(OR($Q1074=TRUE(),$Q1074="TRUE"),1,0))</f>
        <v/>
      </c>
      <c r="AL1074" s="28" t="str">
        <f aca="false">IF($N1074="","",IF(MATCH($N1074,$N$2:$N$3001,0)=ROWS($N$2:$N1074),$N1074,""))</f>
        <v/>
      </c>
    </row>
    <row r="1075" customFormat="false" ht="15" hidden="false" customHeight="false" outlineLevel="0" collapsed="false">
      <c r="E1075" s="25"/>
      <c r="M1075" s="26" t="str">
        <f aca="false">IF($A1075="","",$L1075*$U1075/100)</f>
        <v/>
      </c>
      <c r="W1075" s="26" t="str">
        <f aca="false">IF($A1075="","",U1075*AB1075/100)</f>
        <v/>
      </c>
      <c r="X1075" s="26" t="str">
        <f aca="false">IF($A1075="","",U1075-W1075)</f>
        <v/>
      </c>
      <c r="Y1075" s="26" t="str">
        <f aca="false">IF($A1075="","",U1075-W1075-M1075)</f>
        <v/>
      </c>
      <c r="AB1075" s="27" t="str">
        <f aca="false">IF($A1075="","",IF($AK1075=1,'كشف المطالبة'!$D$5,'كشف المطالبة'!$D$6)*100)</f>
        <v/>
      </c>
      <c r="AK1075" s="28" t="str">
        <f aca="false">IF($A1075="","",IF(OR($Q1075=TRUE(),$Q1075="TRUE"),1,0))</f>
        <v/>
      </c>
      <c r="AL1075" s="28" t="str">
        <f aca="false">IF($N1075="","",IF(MATCH($N1075,$N$2:$N$3001,0)=ROWS($N$2:$N1075),$N1075,""))</f>
        <v/>
      </c>
    </row>
    <row r="1076" customFormat="false" ht="15" hidden="false" customHeight="false" outlineLevel="0" collapsed="false">
      <c r="E1076" s="25"/>
      <c r="M1076" s="26" t="str">
        <f aca="false">IF($A1076="","",$L1076*$U1076/100)</f>
        <v/>
      </c>
      <c r="W1076" s="26" t="str">
        <f aca="false">IF($A1076="","",U1076*AB1076/100)</f>
        <v/>
      </c>
      <c r="X1076" s="26" t="str">
        <f aca="false">IF($A1076="","",U1076-W1076)</f>
        <v/>
      </c>
      <c r="Y1076" s="26" t="str">
        <f aca="false">IF($A1076="","",U1076-W1076-M1076)</f>
        <v/>
      </c>
      <c r="AB1076" s="27" t="str">
        <f aca="false">IF($A1076="","",IF($AK1076=1,'كشف المطالبة'!$D$5,'كشف المطالبة'!$D$6)*100)</f>
        <v/>
      </c>
      <c r="AK1076" s="28" t="str">
        <f aca="false">IF($A1076="","",IF(OR($Q1076=TRUE(),$Q1076="TRUE"),1,0))</f>
        <v/>
      </c>
      <c r="AL1076" s="28" t="str">
        <f aca="false">IF($N1076="","",IF(MATCH($N1076,$N$2:$N$3001,0)=ROWS($N$2:$N1076),$N1076,""))</f>
        <v/>
      </c>
    </row>
    <row r="1077" customFormat="false" ht="15" hidden="false" customHeight="false" outlineLevel="0" collapsed="false">
      <c r="E1077" s="25"/>
      <c r="M1077" s="26" t="str">
        <f aca="false">IF($A1077="","",$L1077*$U1077/100)</f>
        <v/>
      </c>
      <c r="W1077" s="26" t="str">
        <f aca="false">IF($A1077="","",U1077*AB1077/100)</f>
        <v/>
      </c>
      <c r="X1077" s="26" t="str">
        <f aca="false">IF($A1077="","",U1077-W1077)</f>
        <v/>
      </c>
      <c r="Y1077" s="26" t="str">
        <f aca="false">IF($A1077="","",U1077-W1077-M1077)</f>
        <v/>
      </c>
      <c r="AB1077" s="27" t="str">
        <f aca="false">IF($A1077="","",IF($AK1077=1,'كشف المطالبة'!$D$5,'كشف المطالبة'!$D$6)*100)</f>
        <v/>
      </c>
      <c r="AK1077" s="28" t="str">
        <f aca="false">IF($A1077="","",IF(OR($Q1077=TRUE(),$Q1077="TRUE"),1,0))</f>
        <v/>
      </c>
      <c r="AL1077" s="28" t="str">
        <f aca="false">IF($N1077="","",IF(MATCH($N1077,$N$2:$N$3001,0)=ROWS($N$2:$N1077),$N1077,""))</f>
        <v/>
      </c>
    </row>
    <row r="1078" customFormat="false" ht="15" hidden="false" customHeight="false" outlineLevel="0" collapsed="false">
      <c r="E1078" s="25"/>
      <c r="M1078" s="26" t="str">
        <f aca="false">IF($A1078="","",$L1078*$U1078/100)</f>
        <v/>
      </c>
      <c r="W1078" s="26" t="str">
        <f aca="false">IF($A1078="","",U1078*AB1078/100)</f>
        <v/>
      </c>
      <c r="X1078" s="26" t="str">
        <f aca="false">IF($A1078="","",U1078-W1078)</f>
        <v/>
      </c>
      <c r="Y1078" s="26" t="str">
        <f aca="false">IF($A1078="","",U1078-W1078-M1078)</f>
        <v/>
      </c>
      <c r="AB1078" s="27" t="str">
        <f aca="false">IF($A1078="","",IF($AK1078=1,'كشف المطالبة'!$D$5,'كشف المطالبة'!$D$6)*100)</f>
        <v/>
      </c>
      <c r="AK1078" s="28" t="str">
        <f aca="false">IF($A1078="","",IF(OR($Q1078=TRUE(),$Q1078="TRUE"),1,0))</f>
        <v/>
      </c>
      <c r="AL1078" s="28" t="str">
        <f aca="false">IF($N1078="","",IF(MATCH($N1078,$N$2:$N$3001,0)=ROWS($N$2:$N1078),$N1078,""))</f>
        <v/>
      </c>
    </row>
    <row r="1079" customFormat="false" ht="15" hidden="false" customHeight="false" outlineLevel="0" collapsed="false">
      <c r="E1079" s="25"/>
      <c r="M1079" s="26" t="str">
        <f aca="false">IF($A1079="","",$L1079*$U1079/100)</f>
        <v/>
      </c>
      <c r="W1079" s="26" t="str">
        <f aca="false">IF($A1079="","",U1079*AB1079/100)</f>
        <v/>
      </c>
      <c r="X1079" s="26" t="str">
        <f aca="false">IF($A1079="","",U1079-W1079)</f>
        <v/>
      </c>
      <c r="Y1079" s="26" t="str">
        <f aca="false">IF($A1079="","",U1079-W1079-M1079)</f>
        <v/>
      </c>
      <c r="AB1079" s="27" t="str">
        <f aca="false">IF($A1079="","",IF($AK1079=1,'كشف المطالبة'!$D$5,'كشف المطالبة'!$D$6)*100)</f>
        <v/>
      </c>
      <c r="AK1079" s="28" t="str">
        <f aca="false">IF($A1079="","",IF(OR($Q1079=TRUE(),$Q1079="TRUE"),1,0))</f>
        <v/>
      </c>
      <c r="AL1079" s="28" t="str">
        <f aca="false">IF($N1079="","",IF(MATCH($N1079,$N$2:$N$3001,0)=ROWS($N$2:$N1079),$N1079,""))</f>
        <v/>
      </c>
    </row>
    <row r="1080" customFormat="false" ht="15" hidden="false" customHeight="false" outlineLevel="0" collapsed="false">
      <c r="E1080" s="25"/>
      <c r="M1080" s="26" t="str">
        <f aca="false">IF($A1080="","",$L1080*$U1080/100)</f>
        <v/>
      </c>
      <c r="W1080" s="26" t="str">
        <f aca="false">IF($A1080="","",U1080*AB1080/100)</f>
        <v/>
      </c>
      <c r="X1080" s="26" t="str">
        <f aca="false">IF($A1080="","",U1080-W1080)</f>
        <v/>
      </c>
      <c r="Y1080" s="26" t="str">
        <f aca="false">IF($A1080="","",U1080-W1080-M1080)</f>
        <v/>
      </c>
      <c r="AB1080" s="27" t="str">
        <f aca="false">IF($A1080="","",IF($AK1080=1,'كشف المطالبة'!$D$5,'كشف المطالبة'!$D$6)*100)</f>
        <v/>
      </c>
      <c r="AK1080" s="28" t="str">
        <f aca="false">IF($A1080="","",IF(OR($Q1080=TRUE(),$Q1080="TRUE"),1,0))</f>
        <v/>
      </c>
      <c r="AL1080" s="28" t="str">
        <f aca="false">IF($N1080="","",IF(MATCH($N1080,$N$2:$N$3001,0)=ROWS($N$2:$N1080),$N1080,""))</f>
        <v/>
      </c>
    </row>
    <row r="1081" customFormat="false" ht="15" hidden="false" customHeight="false" outlineLevel="0" collapsed="false">
      <c r="E1081" s="25"/>
      <c r="M1081" s="26" t="str">
        <f aca="false">IF($A1081="","",$L1081*$U1081/100)</f>
        <v/>
      </c>
      <c r="W1081" s="26" t="str">
        <f aca="false">IF($A1081="","",U1081*AB1081/100)</f>
        <v/>
      </c>
      <c r="X1081" s="26" t="str">
        <f aca="false">IF($A1081="","",U1081-W1081)</f>
        <v/>
      </c>
      <c r="Y1081" s="26" t="str">
        <f aca="false">IF($A1081="","",U1081-W1081-M1081)</f>
        <v/>
      </c>
      <c r="AB1081" s="27" t="str">
        <f aca="false">IF($A1081="","",IF($AK1081=1,'كشف المطالبة'!$D$5,'كشف المطالبة'!$D$6)*100)</f>
        <v/>
      </c>
      <c r="AK1081" s="28" t="str">
        <f aca="false">IF($A1081="","",IF(OR($Q1081=TRUE(),$Q1081="TRUE"),1,0))</f>
        <v/>
      </c>
      <c r="AL1081" s="28" t="str">
        <f aca="false">IF($N1081="","",IF(MATCH($N1081,$N$2:$N$3001,0)=ROWS($N$2:$N1081),$N1081,""))</f>
        <v/>
      </c>
    </row>
    <row r="1082" customFormat="false" ht="15" hidden="false" customHeight="false" outlineLevel="0" collapsed="false">
      <c r="E1082" s="25"/>
      <c r="M1082" s="26" t="str">
        <f aca="false">IF($A1082="","",$L1082*$U1082/100)</f>
        <v/>
      </c>
      <c r="W1082" s="26" t="str">
        <f aca="false">IF($A1082="","",U1082*AB1082/100)</f>
        <v/>
      </c>
      <c r="X1082" s="26" t="str">
        <f aca="false">IF($A1082="","",U1082-W1082)</f>
        <v/>
      </c>
      <c r="Y1082" s="26" t="str">
        <f aca="false">IF($A1082="","",U1082-W1082-M1082)</f>
        <v/>
      </c>
      <c r="AB1082" s="27" t="str">
        <f aca="false">IF($A1082="","",IF($AK1082=1,'كشف المطالبة'!$D$5,'كشف المطالبة'!$D$6)*100)</f>
        <v/>
      </c>
      <c r="AK1082" s="28" t="str">
        <f aca="false">IF($A1082="","",IF(OR($Q1082=TRUE(),$Q1082="TRUE"),1,0))</f>
        <v/>
      </c>
      <c r="AL1082" s="28" t="str">
        <f aca="false">IF($N1082="","",IF(MATCH($N1082,$N$2:$N$3001,0)=ROWS($N$2:$N1082),$N1082,""))</f>
        <v/>
      </c>
    </row>
    <row r="1083" customFormat="false" ht="15" hidden="false" customHeight="false" outlineLevel="0" collapsed="false">
      <c r="E1083" s="25"/>
      <c r="M1083" s="26" t="str">
        <f aca="false">IF($A1083="","",$L1083*$U1083/100)</f>
        <v/>
      </c>
      <c r="W1083" s="26" t="str">
        <f aca="false">IF($A1083="","",U1083*AB1083/100)</f>
        <v/>
      </c>
      <c r="X1083" s="26" t="str">
        <f aca="false">IF($A1083="","",U1083-W1083)</f>
        <v/>
      </c>
      <c r="Y1083" s="26" t="str">
        <f aca="false">IF($A1083="","",U1083-W1083-M1083)</f>
        <v/>
      </c>
      <c r="AB1083" s="27" t="str">
        <f aca="false">IF($A1083="","",IF($AK1083=1,'كشف المطالبة'!$D$5,'كشف المطالبة'!$D$6)*100)</f>
        <v/>
      </c>
      <c r="AK1083" s="28" t="str">
        <f aca="false">IF($A1083="","",IF(OR($Q1083=TRUE(),$Q1083="TRUE"),1,0))</f>
        <v/>
      </c>
      <c r="AL1083" s="28" t="str">
        <f aca="false">IF($N1083="","",IF(MATCH($N1083,$N$2:$N$3001,0)=ROWS($N$2:$N1083),$N1083,""))</f>
        <v/>
      </c>
    </row>
    <row r="1084" customFormat="false" ht="15" hidden="false" customHeight="false" outlineLevel="0" collapsed="false">
      <c r="E1084" s="25"/>
      <c r="M1084" s="26" t="str">
        <f aca="false">IF($A1084="","",$L1084*$U1084/100)</f>
        <v/>
      </c>
      <c r="W1084" s="26" t="str">
        <f aca="false">IF($A1084="","",U1084*AB1084/100)</f>
        <v/>
      </c>
      <c r="X1084" s="26" t="str">
        <f aca="false">IF($A1084="","",U1084-W1084)</f>
        <v/>
      </c>
      <c r="Y1084" s="26" t="str">
        <f aca="false">IF($A1084="","",U1084-W1084-M1084)</f>
        <v/>
      </c>
      <c r="AB1084" s="27" t="str">
        <f aca="false">IF($A1084="","",IF($AK1084=1,'كشف المطالبة'!$D$5,'كشف المطالبة'!$D$6)*100)</f>
        <v/>
      </c>
      <c r="AK1084" s="28" t="str">
        <f aca="false">IF($A1084="","",IF(OR($Q1084=TRUE(),$Q1084="TRUE"),1,0))</f>
        <v/>
      </c>
      <c r="AL1084" s="28" t="str">
        <f aca="false">IF($N1084="","",IF(MATCH($N1084,$N$2:$N$3001,0)=ROWS($N$2:$N1084),$N1084,""))</f>
        <v/>
      </c>
    </row>
    <row r="1085" customFormat="false" ht="15" hidden="false" customHeight="false" outlineLevel="0" collapsed="false">
      <c r="E1085" s="25"/>
      <c r="M1085" s="26" t="str">
        <f aca="false">IF($A1085="","",$L1085*$U1085/100)</f>
        <v/>
      </c>
      <c r="W1085" s="26" t="str">
        <f aca="false">IF($A1085="","",U1085*AB1085/100)</f>
        <v/>
      </c>
      <c r="X1085" s="26" t="str">
        <f aca="false">IF($A1085="","",U1085-W1085)</f>
        <v/>
      </c>
      <c r="Y1085" s="26" t="str">
        <f aca="false">IF($A1085="","",U1085-W1085-M1085)</f>
        <v/>
      </c>
      <c r="AB1085" s="27" t="str">
        <f aca="false">IF($A1085="","",IF($AK1085=1,'كشف المطالبة'!$D$5,'كشف المطالبة'!$D$6)*100)</f>
        <v/>
      </c>
      <c r="AK1085" s="28" t="str">
        <f aca="false">IF($A1085="","",IF(OR($Q1085=TRUE(),$Q1085="TRUE"),1,0))</f>
        <v/>
      </c>
      <c r="AL1085" s="28" t="str">
        <f aca="false">IF($N1085="","",IF(MATCH($N1085,$N$2:$N$3001,0)=ROWS($N$2:$N1085),$N1085,""))</f>
        <v/>
      </c>
    </row>
    <row r="1086" customFormat="false" ht="15" hidden="false" customHeight="false" outlineLevel="0" collapsed="false">
      <c r="E1086" s="25"/>
      <c r="M1086" s="26" t="str">
        <f aca="false">IF($A1086="","",$L1086*$U1086/100)</f>
        <v/>
      </c>
      <c r="W1086" s="26" t="str">
        <f aca="false">IF($A1086="","",U1086*AB1086/100)</f>
        <v/>
      </c>
      <c r="X1086" s="26" t="str">
        <f aca="false">IF($A1086="","",U1086-W1086)</f>
        <v/>
      </c>
      <c r="Y1086" s="26" t="str">
        <f aca="false">IF($A1086="","",U1086-W1086-M1086)</f>
        <v/>
      </c>
      <c r="AB1086" s="27" t="str">
        <f aca="false">IF($A1086="","",IF($AK1086=1,'كشف المطالبة'!$D$5,'كشف المطالبة'!$D$6)*100)</f>
        <v/>
      </c>
      <c r="AK1086" s="28" t="str">
        <f aca="false">IF($A1086="","",IF(OR($Q1086=TRUE(),$Q1086="TRUE"),1,0))</f>
        <v/>
      </c>
      <c r="AL1086" s="28" t="str">
        <f aca="false">IF($N1086="","",IF(MATCH($N1086,$N$2:$N$3001,0)=ROWS($N$2:$N1086),$N1086,""))</f>
        <v/>
      </c>
    </row>
    <row r="1087" customFormat="false" ht="15" hidden="false" customHeight="false" outlineLevel="0" collapsed="false">
      <c r="E1087" s="25"/>
      <c r="M1087" s="26" t="str">
        <f aca="false">IF($A1087="","",$L1087*$U1087/100)</f>
        <v/>
      </c>
      <c r="W1087" s="26" t="str">
        <f aca="false">IF($A1087="","",U1087*AB1087/100)</f>
        <v/>
      </c>
      <c r="X1087" s="26" t="str">
        <f aca="false">IF($A1087="","",U1087-W1087)</f>
        <v/>
      </c>
      <c r="Y1087" s="26" t="str">
        <f aca="false">IF($A1087="","",U1087-W1087-M1087)</f>
        <v/>
      </c>
      <c r="AB1087" s="27" t="str">
        <f aca="false">IF($A1087="","",IF($AK1087=1,'كشف المطالبة'!$D$5,'كشف المطالبة'!$D$6)*100)</f>
        <v/>
      </c>
      <c r="AK1087" s="28" t="str">
        <f aca="false">IF($A1087="","",IF(OR($Q1087=TRUE(),$Q1087="TRUE"),1,0))</f>
        <v/>
      </c>
      <c r="AL1087" s="28" t="str">
        <f aca="false">IF($N1087="","",IF(MATCH($N1087,$N$2:$N$3001,0)=ROWS($N$2:$N1087),$N1087,""))</f>
        <v/>
      </c>
    </row>
    <row r="1088" customFormat="false" ht="15" hidden="false" customHeight="false" outlineLevel="0" collapsed="false">
      <c r="E1088" s="25"/>
      <c r="M1088" s="26" t="str">
        <f aca="false">IF($A1088="","",$L1088*$U1088/100)</f>
        <v/>
      </c>
      <c r="W1088" s="26" t="str">
        <f aca="false">IF($A1088="","",U1088*AB1088/100)</f>
        <v/>
      </c>
      <c r="X1088" s="26" t="str">
        <f aca="false">IF($A1088="","",U1088-W1088)</f>
        <v/>
      </c>
      <c r="Y1088" s="26" t="str">
        <f aca="false">IF($A1088="","",U1088-W1088-M1088)</f>
        <v/>
      </c>
      <c r="AB1088" s="27" t="str">
        <f aca="false">IF($A1088="","",IF($AK1088=1,'كشف المطالبة'!$D$5,'كشف المطالبة'!$D$6)*100)</f>
        <v/>
      </c>
      <c r="AK1088" s="28" t="str">
        <f aca="false">IF($A1088="","",IF(OR($Q1088=TRUE(),$Q1088="TRUE"),1,0))</f>
        <v/>
      </c>
      <c r="AL1088" s="28" t="str">
        <f aca="false">IF($N1088="","",IF(MATCH($N1088,$N$2:$N$3001,0)=ROWS($N$2:$N1088),$N1088,""))</f>
        <v/>
      </c>
    </row>
    <row r="1089" customFormat="false" ht="15" hidden="false" customHeight="false" outlineLevel="0" collapsed="false">
      <c r="E1089" s="25"/>
      <c r="M1089" s="26" t="str">
        <f aca="false">IF($A1089="","",$L1089*$U1089/100)</f>
        <v/>
      </c>
      <c r="W1089" s="26" t="str">
        <f aca="false">IF($A1089="","",U1089*AB1089/100)</f>
        <v/>
      </c>
      <c r="X1089" s="26" t="str">
        <f aca="false">IF($A1089="","",U1089-W1089)</f>
        <v/>
      </c>
      <c r="Y1089" s="26" t="str">
        <f aca="false">IF($A1089="","",U1089-W1089-M1089)</f>
        <v/>
      </c>
      <c r="AB1089" s="27" t="str">
        <f aca="false">IF($A1089="","",IF($AK1089=1,'كشف المطالبة'!$D$5,'كشف المطالبة'!$D$6)*100)</f>
        <v/>
      </c>
      <c r="AK1089" s="28" t="str">
        <f aca="false">IF($A1089="","",IF(OR($Q1089=TRUE(),$Q1089="TRUE"),1,0))</f>
        <v/>
      </c>
      <c r="AL1089" s="28" t="str">
        <f aca="false">IF($N1089="","",IF(MATCH($N1089,$N$2:$N$3001,0)=ROWS($N$2:$N1089),$N1089,""))</f>
        <v/>
      </c>
    </row>
    <row r="1090" customFormat="false" ht="15" hidden="false" customHeight="false" outlineLevel="0" collapsed="false">
      <c r="E1090" s="25"/>
      <c r="M1090" s="26" t="str">
        <f aca="false">IF($A1090="","",$L1090*$U1090/100)</f>
        <v/>
      </c>
      <c r="W1090" s="26" t="str">
        <f aca="false">IF($A1090="","",U1090*AB1090/100)</f>
        <v/>
      </c>
      <c r="X1090" s="26" t="str">
        <f aca="false">IF($A1090="","",U1090-W1090)</f>
        <v/>
      </c>
      <c r="Y1090" s="26" t="str">
        <f aca="false">IF($A1090="","",U1090-W1090-M1090)</f>
        <v/>
      </c>
      <c r="AB1090" s="27" t="str">
        <f aca="false">IF($A1090="","",IF($AK1090=1,'كشف المطالبة'!$D$5,'كشف المطالبة'!$D$6)*100)</f>
        <v/>
      </c>
      <c r="AK1090" s="28" t="str">
        <f aca="false">IF($A1090="","",IF(OR($Q1090=TRUE(),$Q1090="TRUE"),1,0))</f>
        <v/>
      </c>
      <c r="AL1090" s="28" t="str">
        <f aca="false">IF($N1090="","",IF(MATCH($N1090,$N$2:$N$3001,0)=ROWS($N$2:$N1090),$N1090,""))</f>
        <v/>
      </c>
    </row>
    <row r="1091" customFormat="false" ht="15" hidden="false" customHeight="false" outlineLevel="0" collapsed="false">
      <c r="E1091" s="25"/>
      <c r="M1091" s="26" t="str">
        <f aca="false">IF($A1091="","",$L1091*$U1091/100)</f>
        <v/>
      </c>
      <c r="W1091" s="26" t="str">
        <f aca="false">IF($A1091="","",U1091*AB1091/100)</f>
        <v/>
      </c>
      <c r="X1091" s="26" t="str">
        <f aca="false">IF($A1091="","",U1091-W1091)</f>
        <v/>
      </c>
      <c r="Y1091" s="26" t="str">
        <f aca="false">IF($A1091="","",U1091-W1091-M1091)</f>
        <v/>
      </c>
      <c r="AB1091" s="27" t="str">
        <f aca="false">IF($A1091="","",IF($AK1091=1,'كشف المطالبة'!$D$5,'كشف المطالبة'!$D$6)*100)</f>
        <v/>
      </c>
      <c r="AK1091" s="28" t="str">
        <f aca="false">IF($A1091="","",IF(OR($Q1091=TRUE(),$Q1091="TRUE"),1,0))</f>
        <v/>
      </c>
      <c r="AL1091" s="28" t="str">
        <f aca="false">IF($N1091="","",IF(MATCH($N1091,$N$2:$N$3001,0)=ROWS($N$2:$N1091),$N1091,""))</f>
        <v/>
      </c>
    </row>
    <row r="1092" customFormat="false" ht="15" hidden="false" customHeight="false" outlineLevel="0" collapsed="false">
      <c r="E1092" s="25"/>
      <c r="M1092" s="26" t="str">
        <f aca="false">IF($A1092="","",$L1092*$U1092/100)</f>
        <v/>
      </c>
      <c r="W1092" s="26" t="str">
        <f aca="false">IF($A1092="","",U1092*AB1092/100)</f>
        <v/>
      </c>
      <c r="X1092" s="26" t="str">
        <f aca="false">IF($A1092="","",U1092-W1092)</f>
        <v/>
      </c>
      <c r="Y1092" s="26" t="str">
        <f aca="false">IF($A1092="","",U1092-W1092-M1092)</f>
        <v/>
      </c>
      <c r="AB1092" s="27" t="str">
        <f aca="false">IF($A1092="","",IF($AK1092=1,'كشف المطالبة'!$D$5,'كشف المطالبة'!$D$6)*100)</f>
        <v/>
      </c>
      <c r="AK1092" s="28" t="str">
        <f aca="false">IF($A1092="","",IF(OR($Q1092=TRUE(),$Q1092="TRUE"),1,0))</f>
        <v/>
      </c>
      <c r="AL1092" s="28" t="str">
        <f aca="false">IF($N1092="","",IF(MATCH($N1092,$N$2:$N$3001,0)=ROWS($N$2:$N1092),$N1092,""))</f>
        <v/>
      </c>
    </row>
    <row r="1093" customFormat="false" ht="15" hidden="false" customHeight="false" outlineLevel="0" collapsed="false">
      <c r="E1093" s="25"/>
      <c r="M1093" s="26" t="str">
        <f aca="false">IF($A1093="","",$L1093*$U1093/100)</f>
        <v/>
      </c>
      <c r="W1093" s="26" t="str">
        <f aca="false">IF($A1093="","",U1093*AB1093/100)</f>
        <v/>
      </c>
      <c r="X1093" s="26" t="str">
        <f aca="false">IF($A1093="","",U1093-W1093)</f>
        <v/>
      </c>
      <c r="Y1093" s="26" t="str">
        <f aca="false">IF($A1093="","",U1093-W1093-M1093)</f>
        <v/>
      </c>
      <c r="AB1093" s="27" t="str">
        <f aca="false">IF($A1093="","",IF($AK1093=1,'كشف المطالبة'!$D$5,'كشف المطالبة'!$D$6)*100)</f>
        <v/>
      </c>
      <c r="AK1093" s="28" t="str">
        <f aca="false">IF($A1093="","",IF(OR($Q1093=TRUE(),$Q1093="TRUE"),1,0))</f>
        <v/>
      </c>
      <c r="AL1093" s="28" t="str">
        <f aca="false">IF($N1093="","",IF(MATCH($N1093,$N$2:$N$3001,0)=ROWS($N$2:$N1093),$N1093,""))</f>
        <v/>
      </c>
    </row>
    <row r="1094" customFormat="false" ht="15" hidden="false" customHeight="false" outlineLevel="0" collapsed="false">
      <c r="E1094" s="25"/>
      <c r="M1094" s="26" t="str">
        <f aca="false">IF($A1094="","",$L1094*$U1094/100)</f>
        <v/>
      </c>
      <c r="W1094" s="26" t="str">
        <f aca="false">IF($A1094="","",U1094*AB1094/100)</f>
        <v/>
      </c>
      <c r="X1094" s="26" t="str">
        <f aca="false">IF($A1094="","",U1094-W1094)</f>
        <v/>
      </c>
      <c r="Y1094" s="26" t="str">
        <f aca="false">IF($A1094="","",U1094-W1094-M1094)</f>
        <v/>
      </c>
      <c r="AB1094" s="27" t="str">
        <f aca="false">IF($A1094="","",IF($AK1094=1,'كشف المطالبة'!$D$5,'كشف المطالبة'!$D$6)*100)</f>
        <v/>
      </c>
      <c r="AK1094" s="28" t="str">
        <f aca="false">IF($A1094="","",IF(OR($Q1094=TRUE(),$Q1094="TRUE"),1,0))</f>
        <v/>
      </c>
      <c r="AL1094" s="28" t="str">
        <f aca="false">IF($N1094="","",IF(MATCH($N1094,$N$2:$N$3001,0)=ROWS($N$2:$N1094),$N1094,""))</f>
        <v/>
      </c>
    </row>
    <row r="1095" customFormat="false" ht="15" hidden="false" customHeight="false" outlineLevel="0" collapsed="false">
      <c r="E1095" s="25"/>
      <c r="M1095" s="26" t="str">
        <f aca="false">IF($A1095="","",$L1095*$U1095/100)</f>
        <v/>
      </c>
      <c r="W1095" s="26" t="str">
        <f aca="false">IF($A1095="","",U1095*AB1095/100)</f>
        <v/>
      </c>
      <c r="X1095" s="26" t="str">
        <f aca="false">IF($A1095="","",U1095-W1095)</f>
        <v/>
      </c>
      <c r="Y1095" s="26" t="str">
        <f aca="false">IF($A1095="","",U1095-W1095-M1095)</f>
        <v/>
      </c>
      <c r="AB1095" s="27" t="str">
        <f aca="false">IF($A1095="","",IF($AK1095=1,'كشف المطالبة'!$D$5,'كشف المطالبة'!$D$6)*100)</f>
        <v/>
      </c>
      <c r="AK1095" s="28" t="str">
        <f aca="false">IF($A1095="","",IF(OR($Q1095=TRUE(),$Q1095="TRUE"),1,0))</f>
        <v/>
      </c>
      <c r="AL1095" s="28" t="str">
        <f aca="false">IF($N1095="","",IF(MATCH($N1095,$N$2:$N$3001,0)=ROWS($N$2:$N1095),$N1095,""))</f>
        <v/>
      </c>
    </row>
    <row r="1096" customFormat="false" ht="15" hidden="false" customHeight="false" outlineLevel="0" collapsed="false">
      <c r="E1096" s="25"/>
      <c r="M1096" s="26" t="str">
        <f aca="false">IF($A1096="","",$L1096*$U1096/100)</f>
        <v/>
      </c>
      <c r="W1096" s="26" t="str">
        <f aca="false">IF($A1096="","",U1096*AB1096/100)</f>
        <v/>
      </c>
      <c r="X1096" s="26" t="str">
        <f aca="false">IF($A1096="","",U1096-W1096)</f>
        <v/>
      </c>
      <c r="Y1096" s="26" t="str">
        <f aca="false">IF($A1096="","",U1096-W1096-M1096)</f>
        <v/>
      </c>
      <c r="AB1096" s="27" t="str">
        <f aca="false">IF($A1096="","",IF($AK1096=1,'كشف المطالبة'!$D$5,'كشف المطالبة'!$D$6)*100)</f>
        <v/>
      </c>
      <c r="AK1096" s="28" t="str">
        <f aca="false">IF($A1096="","",IF(OR($Q1096=TRUE(),$Q1096="TRUE"),1,0))</f>
        <v/>
      </c>
      <c r="AL1096" s="28" t="str">
        <f aca="false">IF($N1096="","",IF(MATCH($N1096,$N$2:$N$3001,0)=ROWS($N$2:$N1096),$N1096,""))</f>
        <v/>
      </c>
    </row>
    <row r="1097" customFormat="false" ht="15" hidden="false" customHeight="false" outlineLevel="0" collapsed="false">
      <c r="E1097" s="25"/>
      <c r="M1097" s="26" t="str">
        <f aca="false">IF($A1097="","",$L1097*$U1097/100)</f>
        <v/>
      </c>
      <c r="W1097" s="26" t="str">
        <f aca="false">IF($A1097="","",U1097*AB1097/100)</f>
        <v/>
      </c>
      <c r="X1097" s="26" t="str">
        <f aca="false">IF($A1097="","",U1097-W1097)</f>
        <v/>
      </c>
      <c r="Y1097" s="26" t="str">
        <f aca="false">IF($A1097="","",U1097-W1097-M1097)</f>
        <v/>
      </c>
      <c r="AB1097" s="27" t="str">
        <f aca="false">IF($A1097="","",IF($AK1097=1,'كشف المطالبة'!$D$5,'كشف المطالبة'!$D$6)*100)</f>
        <v/>
      </c>
      <c r="AK1097" s="28" t="str">
        <f aca="false">IF($A1097="","",IF(OR($Q1097=TRUE(),$Q1097="TRUE"),1,0))</f>
        <v/>
      </c>
      <c r="AL1097" s="28" t="str">
        <f aca="false">IF($N1097="","",IF(MATCH($N1097,$N$2:$N$3001,0)=ROWS($N$2:$N1097),$N1097,""))</f>
        <v/>
      </c>
    </row>
    <row r="1098" customFormat="false" ht="15" hidden="false" customHeight="false" outlineLevel="0" collapsed="false">
      <c r="E1098" s="25"/>
      <c r="M1098" s="26" t="str">
        <f aca="false">IF($A1098="","",$L1098*$U1098/100)</f>
        <v/>
      </c>
      <c r="W1098" s="26" t="str">
        <f aca="false">IF($A1098="","",U1098*AB1098/100)</f>
        <v/>
      </c>
      <c r="X1098" s="26" t="str">
        <f aca="false">IF($A1098="","",U1098-W1098)</f>
        <v/>
      </c>
      <c r="Y1098" s="26" t="str">
        <f aca="false">IF($A1098="","",U1098-W1098-M1098)</f>
        <v/>
      </c>
      <c r="AB1098" s="27" t="str">
        <f aca="false">IF($A1098="","",IF($AK1098=1,'كشف المطالبة'!$D$5,'كشف المطالبة'!$D$6)*100)</f>
        <v/>
      </c>
      <c r="AK1098" s="28" t="str">
        <f aca="false">IF($A1098="","",IF(OR($Q1098=TRUE(),$Q1098="TRUE"),1,0))</f>
        <v/>
      </c>
      <c r="AL1098" s="28" t="str">
        <f aca="false">IF($N1098="","",IF(MATCH($N1098,$N$2:$N$3001,0)=ROWS($N$2:$N1098),$N1098,""))</f>
        <v/>
      </c>
    </row>
    <row r="1099" customFormat="false" ht="15" hidden="false" customHeight="false" outlineLevel="0" collapsed="false">
      <c r="E1099" s="25"/>
      <c r="M1099" s="26" t="str">
        <f aca="false">IF($A1099="","",$L1099*$U1099/100)</f>
        <v/>
      </c>
      <c r="W1099" s="26" t="str">
        <f aca="false">IF($A1099="","",U1099*AB1099/100)</f>
        <v/>
      </c>
      <c r="X1099" s="26" t="str">
        <f aca="false">IF($A1099="","",U1099-W1099)</f>
        <v/>
      </c>
      <c r="Y1099" s="26" t="str">
        <f aca="false">IF($A1099="","",U1099-W1099-M1099)</f>
        <v/>
      </c>
      <c r="AB1099" s="27" t="str">
        <f aca="false">IF($A1099="","",IF($AK1099=1,'كشف المطالبة'!$D$5,'كشف المطالبة'!$D$6)*100)</f>
        <v/>
      </c>
      <c r="AK1099" s="28" t="str">
        <f aca="false">IF($A1099="","",IF(OR($Q1099=TRUE(),$Q1099="TRUE"),1,0))</f>
        <v/>
      </c>
      <c r="AL1099" s="28" t="str">
        <f aca="false">IF($N1099="","",IF(MATCH($N1099,$N$2:$N$3001,0)=ROWS($N$2:$N1099),$N1099,""))</f>
        <v/>
      </c>
    </row>
    <row r="1100" customFormat="false" ht="15" hidden="false" customHeight="false" outlineLevel="0" collapsed="false">
      <c r="E1100" s="25"/>
      <c r="M1100" s="26" t="str">
        <f aca="false">IF($A1100="","",$L1100*$U1100/100)</f>
        <v/>
      </c>
      <c r="W1100" s="26" t="str">
        <f aca="false">IF($A1100="","",U1100*AB1100/100)</f>
        <v/>
      </c>
      <c r="X1100" s="26" t="str">
        <f aca="false">IF($A1100="","",U1100-W1100)</f>
        <v/>
      </c>
      <c r="Y1100" s="26" t="str">
        <f aca="false">IF($A1100="","",U1100-W1100-M1100)</f>
        <v/>
      </c>
      <c r="AB1100" s="27" t="str">
        <f aca="false">IF($A1100="","",IF($AK1100=1,'كشف المطالبة'!$D$5,'كشف المطالبة'!$D$6)*100)</f>
        <v/>
      </c>
      <c r="AK1100" s="28" t="str">
        <f aca="false">IF($A1100="","",IF(OR($Q1100=TRUE(),$Q1100="TRUE"),1,0))</f>
        <v/>
      </c>
      <c r="AL1100" s="28" t="str">
        <f aca="false">IF($N1100="","",IF(MATCH($N1100,$N$2:$N$3001,0)=ROWS($N$2:$N1100),$N1100,""))</f>
        <v/>
      </c>
    </row>
    <row r="1101" customFormat="false" ht="15" hidden="false" customHeight="false" outlineLevel="0" collapsed="false">
      <c r="E1101" s="25"/>
      <c r="M1101" s="26" t="str">
        <f aca="false">IF($A1101="","",$L1101*$U1101/100)</f>
        <v/>
      </c>
      <c r="W1101" s="26" t="str">
        <f aca="false">IF($A1101="","",U1101*AB1101/100)</f>
        <v/>
      </c>
      <c r="X1101" s="26" t="str">
        <f aca="false">IF($A1101="","",U1101-W1101)</f>
        <v/>
      </c>
      <c r="Y1101" s="26" t="str">
        <f aca="false">IF($A1101="","",U1101-W1101-M1101)</f>
        <v/>
      </c>
      <c r="AB1101" s="27" t="str">
        <f aca="false">IF($A1101="","",IF($AK1101=1,'كشف المطالبة'!$D$5,'كشف المطالبة'!$D$6)*100)</f>
        <v/>
      </c>
      <c r="AK1101" s="28" t="str">
        <f aca="false">IF($A1101="","",IF(OR($Q1101=TRUE(),$Q1101="TRUE"),1,0))</f>
        <v/>
      </c>
      <c r="AL1101" s="28" t="str">
        <f aca="false">IF($N1101="","",IF(MATCH($N1101,$N$2:$N$3001,0)=ROWS($N$2:$N1101),$N1101,""))</f>
        <v/>
      </c>
    </row>
    <row r="1102" customFormat="false" ht="15" hidden="false" customHeight="false" outlineLevel="0" collapsed="false">
      <c r="E1102" s="25"/>
      <c r="M1102" s="26" t="str">
        <f aca="false">IF($A1102="","",$L1102*$U1102/100)</f>
        <v/>
      </c>
      <c r="W1102" s="26" t="str">
        <f aca="false">IF($A1102="","",U1102*AB1102/100)</f>
        <v/>
      </c>
      <c r="X1102" s="26" t="str">
        <f aca="false">IF($A1102="","",U1102-W1102)</f>
        <v/>
      </c>
      <c r="Y1102" s="26" t="str">
        <f aca="false">IF($A1102="","",U1102-W1102-M1102)</f>
        <v/>
      </c>
      <c r="AB1102" s="27" t="str">
        <f aca="false">IF($A1102="","",IF($AK1102=1,'كشف المطالبة'!$D$5,'كشف المطالبة'!$D$6)*100)</f>
        <v/>
      </c>
      <c r="AK1102" s="28" t="str">
        <f aca="false">IF($A1102="","",IF(OR($Q1102=TRUE(),$Q1102="TRUE"),1,0))</f>
        <v/>
      </c>
      <c r="AL1102" s="28" t="str">
        <f aca="false">IF($N1102="","",IF(MATCH($N1102,$N$2:$N$3001,0)=ROWS($N$2:$N1102),$N1102,""))</f>
        <v/>
      </c>
    </row>
    <row r="1103" customFormat="false" ht="15" hidden="false" customHeight="false" outlineLevel="0" collapsed="false">
      <c r="E1103" s="25"/>
      <c r="M1103" s="26" t="str">
        <f aca="false">IF($A1103="","",$L1103*$U1103/100)</f>
        <v/>
      </c>
      <c r="W1103" s="26" t="str">
        <f aca="false">IF($A1103="","",U1103*AB1103/100)</f>
        <v/>
      </c>
      <c r="X1103" s="26" t="str">
        <f aca="false">IF($A1103="","",U1103-W1103)</f>
        <v/>
      </c>
      <c r="Y1103" s="26" t="str">
        <f aca="false">IF($A1103="","",U1103-W1103-M1103)</f>
        <v/>
      </c>
      <c r="AB1103" s="27" t="str">
        <f aca="false">IF($A1103="","",IF($AK1103=1,'كشف المطالبة'!$D$5,'كشف المطالبة'!$D$6)*100)</f>
        <v/>
      </c>
      <c r="AK1103" s="28" t="str">
        <f aca="false">IF($A1103="","",IF(OR($Q1103=TRUE(),$Q1103="TRUE"),1,0))</f>
        <v/>
      </c>
      <c r="AL1103" s="28" t="str">
        <f aca="false">IF($N1103="","",IF(MATCH($N1103,$N$2:$N$3001,0)=ROWS($N$2:$N1103),$N1103,""))</f>
        <v/>
      </c>
    </row>
    <row r="1104" customFormat="false" ht="15" hidden="false" customHeight="false" outlineLevel="0" collapsed="false">
      <c r="E1104" s="25"/>
      <c r="M1104" s="26" t="str">
        <f aca="false">IF($A1104="","",$L1104*$U1104/100)</f>
        <v/>
      </c>
      <c r="W1104" s="26" t="str">
        <f aca="false">IF($A1104="","",U1104*AB1104/100)</f>
        <v/>
      </c>
      <c r="X1104" s="26" t="str">
        <f aca="false">IF($A1104="","",U1104-W1104)</f>
        <v/>
      </c>
      <c r="Y1104" s="26" t="str">
        <f aca="false">IF($A1104="","",U1104-W1104-M1104)</f>
        <v/>
      </c>
      <c r="AB1104" s="27" t="str">
        <f aca="false">IF($A1104="","",IF($AK1104=1,'كشف المطالبة'!$D$5,'كشف المطالبة'!$D$6)*100)</f>
        <v/>
      </c>
      <c r="AK1104" s="28" t="str">
        <f aca="false">IF($A1104="","",IF(OR($Q1104=TRUE(),$Q1104="TRUE"),1,0))</f>
        <v/>
      </c>
      <c r="AL1104" s="28" t="str">
        <f aca="false">IF($N1104="","",IF(MATCH($N1104,$N$2:$N$3001,0)=ROWS($N$2:$N1104),$N1104,""))</f>
        <v/>
      </c>
    </row>
    <row r="1105" customFormat="false" ht="15" hidden="false" customHeight="false" outlineLevel="0" collapsed="false">
      <c r="E1105" s="25"/>
      <c r="M1105" s="26" t="str">
        <f aca="false">IF($A1105="","",$L1105*$U1105/100)</f>
        <v/>
      </c>
      <c r="W1105" s="26" t="str">
        <f aca="false">IF($A1105="","",U1105*AB1105/100)</f>
        <v/>
      </c>
      <c r="X1105" s="26" t="str">
        <f aca="false">IF($A1105="","",U1105-W1105)</f>
        <v/>
      </c>
      <c r="Y1105" s="26" t="str">
        <f aca="false">IF($A1105="","",U1105-W1105-M1105)</f>
        <v/>
      </c>
      <c r="AB1105" s="27" t="str">
        <f aca="false">IF($A1105="","",IF($AK1105=1,'كشف المطالبة'!$D$5,'كشف المطالبة'!$D$6)*100)</f>
        <v/>
      </c>
      <c r="AK1105" s="28" t="str">
        <f aca="false">IF($A1105="","",IF(OR($Q1105=TRUE(),$Q1105="TRUE"),1,0))</f>
        <v/>
      </c>
      <c r="AL1105" s="28" t="str">
        <f aca="false">IF($N1105="","",IF(MATCH($N1105,$N$2:$N$3001,0)=ROWS($N$2:$N1105),$N1105,""))</f>
        <v/>
      </c>
    </row>
    <row r="1106" customFormat="false" ht="15" hidden="false" customHeight="false" outlineLevel="0" collapsed="false">
      <c r="E1106" s="25"/>
      <c r="M1106" s="26" t="str">
        <f aca="false">IF($A1106="","",$L1106*$U1106/100)</f>
        <v/>
      </c>
      <c r="W1106" s="26" t="str">
        <f aca="false">IF($A1106="","",U1106*AB1106/100)</f>
        <v/>
      </c>
      <c r="X1106" s="26" t="str">
        <f aca="false">IF($A1106="","",U1106-W1106)</f>
        <v/>
      </c>
      <c r="Y1106" s="26" t="str">
        <f aca="false">IF($A1106="","",U1106-W1106-M1106)</f>
        <v/>
      </c>
      <c r="AB1106" s="27" t="str">
        <f aca="false">IF($A1106="","",IF($AK1106=1,'كشف المطالبة'!$D$5,'كشف المطالبة'!$D$6)*100)</f>
        <v/>
      </c>
      <c r="AK1106" s="28" t="str">
        <f aca="false">IF($A1106="","",IF(OR($Q1106=TRUE(),$Q1106="TRUE"),1,0))</f>
        <v/>
      </c>
      <c r="AL1106" s="28" t="str">
        <f aca="false">IF($N1106="","",IF(MATCH($N1106,$N$2:$N$3001,0)=ROWS($N$2:$N1106),$N1106,""))</f>
        <v/>
      </c>
    </row>
    <row r="1107" customFormat="false" ht="15" hidden="false" customHeight="false" outlineLevel="0" collapsed="false">
      <c r="E1107" s="25"/>
      <c r="M1107" s="26" t="str">
        <f aca="false">IF($A1107="","",$L1107*$U1107/100)</f>
        <v/>
      </c>
      <c r="W1107" s="26" t="str">
        <f aca="false">IF($A1107="","",U1107*AB1107/100)</f>
        <v/>
      </c>
      <c r="X1107" s="26" t="str">
        <f aca="false">IF($A1107="","",U1107-W1107)</f>
        <v/>
      </c>
      <c r="Y1107" s="26" t="str">
        <f aca="false">IF($A1107="","",U1107-W1107-M1107)</f>
        <v/>
      </c>
      <c r="AB1107" s="27" t="str">
        <f aca="false">IF($A1107="","",IF($AK1107=1,'كشف المطالبة'!$D$5,'كشف المطالبة'!$D$6)*100)</f>
        <v/>
      </c>
      <c r="AK1107" s="28" t="str">
        <f aca="false">IF($A1107="","",IF(OR($Q1107=TRUE(),$Q1107="TRUE"),1,0))</f>
        <v/>
      </c>
      <c r="AL1107" s="28" t="str">
        <f aca="false">IF($N1107="","",IF(MATCH($N1107,$N$2:$N$3001,0)=ROWS($N$2:$N1107),$N1107,""))</f>
        <v/>
      </c>
    </row>
    <row r="1108" customFormat="false" ht="15" hidden="false" customHeight="false" outlineLevel="0" collapsed="false">
      <c r="E1108" s="25"/>
      <c r="M1108" s="26" t="str">
        <f aca="false">IF($A1108="","",$L1108*$U1108/100)</f>
        <v/>
      </c>
      <c r="W1108" s="26" t="str">
        <f aca="false">IF($A1108="","",U1108*AB1108/100)</f>
        <v/>
      </c>
      <c r="X1108" s="26" t="str">
        <f aca="false">IF($A1108="","",U1108-W1108)</f>
        <v/>
      </c>
      <c r="Y1108" s="26" t="str">
        <f aca="false">IF($A1108="","",U1108-W1108-M1108)</f>
        <v/>
      </c>
      <c r="AB1108" s="27" t="str">
        <f aca="false">IF($A1108="","",IF($AK1108=1,'كشف المطالبة'!$D$5,'كشف المطالبة'!$D$6)*100)</f>
        <v/>
      </c>
      <c r="AK1108" s="28" t="str">
        <f aca="false">IF($A1108="","",IF(OR($Q1108=TRUE(),$Q1108="TRUE"),1,0))</f>
        <v/>
      </c>
      <c r="AL1108" s="28" t="str">
        <f aca="false">IF($N1108="","",IF(MATCH($N1108,$N$2:$N$3001,0)=ROWS($N$2:$N1108),$N1108,""))</f>
        <v/>
      </c>
    </row>
    <row r="1109" customFormat="false" ht="15" hidden="false" customHeight="false" outlineLevel="0" collapsed="false">
      <c r="E1109" s="25"/>
      <c r="M1109" s="26" t="str">
        <f aca="false">IF($A1109="","",$L1109*$U1109/100)</f>
        <v/>
      </c>
      <c r="W1109" s="26" t="str">
        <f aca="false">IF($A1109="","",U1109*AB1109/100)</f>
        <v/>
      </c>
      <c r="X1109" s="26" t="str">
        <f aca="false">IF($A1109="","",U1109-W1109)</f>
        <v/>
      </c>
      <c r="Y1109" s="26" t="str">
        <f aca="false">IF($A1109="","",U1109-W1109-M1109)</f>
        <v/>
      </c>
      <c r="AB1109" s="27" t="str">
        <f aca="false">IF($A1109="","",IF($AK1109=1,'كشف المطالبة'!$D$5,'كشف المطالبة'!$D$6)*100)</f>
        <v/>
      </c>
      <c r="AK1109" s="28" t="str">
        <f aca="false">IF($A1109="","",IF(OR($Q1109=TRUE(),$Q1109="TRUE"),1,0))</f>
        <v/>
      </c>
      <c r="AL1109" s="28" t="str">
        <f aca="false">IF($N1109="","",IF(MATCH($N1109,$N$2:$N$3001,0)=ROWS($N$2:$N1109),$N1109,""))</f>
        <v/>
      </c>
    </row>
    <row r="1110" customFormat="false" ht="15" hidden="false" customHeight="false" outlineLevel="0" collapsed="false">
      <c r="E1110" s="25"/>
      <c r="M1110" s="26" t="str">
        <f aca="false">IF($A1110="","",$L1110*$U1110/100)</f>
        <v/>
      </c>
      <c r="W1110" s="26" t="str">
        <f aca="false">IF($A1110="","",U1110*AB1110/100)</f>
        <v/>
      </c>
      <c r="X1110" s="26" t="str">
        <f aca="false">IF($A1110="","",U1110-W1110)</f>
        <v/>
      </c>
      <c r="Y1110" s="26" t="str">
        <f aca="false">IF($A1110="","",U1110-W1110-M1110)</f>
        <v/>
      </c>
      <c r="AB1110" s="27" t="str">
        <f aca="false">IF($A1110="","",IF($AK1110=1,'كشف المطالبة'!$D$5,'كشف المطالبة'!$D$6)*100)</f>
        <v/>
      </c>
      <c r="AK1110" s="28" t="str">
        <f aca="false">IF($A1110="","",IF(OR($Q1110=TRUE(),$Q1110="TRUE"),1,0))</f>
        <v/>
      </c>
      <c r="AL1110" s="28" t="str">
        <f aca="false">IF($N1110="","",IF(MATCH($N1110,$N$2:$N$3001,0)=ROWS($N$2:$N1110),$N1110,""))</f>
        <v/>
      </c>
    </row>
    <row r="1111" customFormat="false" ht="15" hidden="false" customHeight="false" outlineLevel="0" collapsed="false">
      <c r="E1111" s="25"/>
      <c r="M1111" s="26" t="str">
        <f aca="false">IF($A1111="","",$L1111*$U1111/100)</f>
        <v/>
      </c>
      <c r="W1111" s="26" t="str">
        <f aca="false">IF($A1111="","",U1111*AB1111/100)</f>
        <v/>
      </c>
      <c r="X1111" s="26" t="str">
        <f aca="false">IF($A1111="","",U1111-W1111)</f>
        <v/>
      </c>
      <c r="Y1111" s="26" t="str">
        <f aca="false">IF($A1111="","",U1111-W1111-M1111)</f>
        <v/>
      </c>
      <c r="AB1111" s="27" t="str">
        <f aca="false">IF($A1111="","",IF($AK1111=1,'كشف المطالبة'!$D$5,'كشف المطالبة'!$D$6)*100)</f>
        <v/>
      </c>
      <c r="AK1111" s="28" t="str">
        <f aca="false">IF($A1111="","",IF(OR($Q1111=TRUE(),$Q1111="TRUE"),1,0))</f>
        <v/>
      </c>
      <c r="AL1111" s="28" t="str">
        <f aca="false">IF($N1111="","",IF(MATCH($N1111,$N$2:$N$3001,0)=ROWS($N$2:$N1111),$N1111,""))</f>
        <v/>
      </c>
    </row>
    <row r="1112" customFormat="false" ht="15" hidden="false" customHeight="false" outlineLevel="0" collapsed="false">
      <c r="E1112" s="25"/>
      <c r="M1112" s="26" t="str">
        <f aca="false">IF($A1112="","",$L1112*$U1112/100)</f>
        <v/>
      </c>
      <c r="W1112" s="26" t="str">
        <f aca="false">IF($A1112="","",U1112*AB1112/100)</f>
        <v/>
      </c>
      <c r="X1112" s="26" t="str">
        <f aca="false">IF($A1112="","",U1112-W1112)</f>
        <v/>
      </c>
      <c r="Y1112" s="26" t="str">
        <f aca="false">IF($A1112="","",U1112-W1112-M1112)</f>
        <v/>
      </c>
      <c r="AB1112" s="27" t="str">
        <f aca="false">IF($A1112="","",IF($AK1112=1,'كشف المطالبة'!$D$5,'كشف المطالبة'!$D$6)*100)</f>
        <v/>
      </c>
      <c r="AK1112" s="28" t="str">
        <f aca="false">IF($A1112="","",IF(OR($Q1112=TRUE(),$Q1112="TRUE"),1,0))</f>
        <v/>
      </c>
      <c r="AL1112" s="28" t="str">
        <f aca="false">IF($N1112="","",IF(MATCH($N1112,$N$2:$N$3001,0)=ROWS($N$2:$N1112),$N1112,""))</f>
        <v/>
      </c>
    </row>
    <row r="1113" customFormat="false" ht="15" hidden="false" customHeight="false" outlineLevel="0" collapsed="false">
      <c r="E1113" s="25"/>
      <c r="M1113" s="26" t="str">
        <f aca="false">IF($A1113="","",$L1113*$U1113/100)</f>
        <v/>
      </c>
      <c r="W1113" s="26" t="str">
        <f aca="false">IF($A1113="","",U1113*AB1113/100)</f>
        <v/>
      </c>
      <c r="X1113" s="26" t="str">
        <f aca="false">IF($A1113="","",U1113-W1113)</f>
        <v/>
      </c>
      <c r="Y1113" s="26" t="str">
        <f aca="false">IF($A1113="","",U1113-W1113-M1113)</f>
        <v/>
      </c>
      <c r="AB1113" s="27" t="str">
        <f aca="false">IF($A1113="","",IF($AK1113=1,'كشف المطالبة'!$D$5,'كشف المطالبة'!$D$6)*100)</f>
        <v/>
      </c>
      <c r="AK1113" s="28" t="str">
        <f aca="false">IF($A1113="","",IF(OR($Q1113=TRUE(),$Q1113="TRUE"),1,0))</f>
        <v/>
      </c>
      <c r="AL1113" s="28" t="str">
        <f aca="false">IF($N1113="","",IF(MATCH($N1113,$N$2:$N$3001,0)=ROWS($N$2:$N1113),$N1113,""))</f>
        <v/>
      </c>
    </row>
    <row r="1114" customFormat="false" ht="15" hidden="false" customHeight="false" outlineLevel="0" collapsed="false">
      <c r="E1114" s="25"/>
      <c r="M1114" s="26" t="str">
        <f aca="false">IF($A1114="","",$L1114*$U1114/100)</f>
        <v/>
      </c>
      <c r="W1114" s="26" t="str">
        <f aca="false">IF($A1114="","",U1114*AB1114/100)</f>
        <v/>
      </c>
      <c r="X1114" s="26" t="str">
        <f aca="false">IF($A1114="","",U1114-W1114)</f>
        <v/>
      </c>
      <c r="Y1114" s="26" t="str">
        <f aca="false">IF($A1114="","",U1114-W1114-M1114)</f>
        <v/>
      </c>
      <c r="AB1114" s="27" t="str">
        <f aca="false">IF($A1114="","",IF($AK1114=1,'كشف المطالبة'!$D$5,'كشف المطالبة'!$D$6)*100)</f>
        <v/>
      </c>
      <c r="AK1114" s="28" t="str">
        <f aca="false">IF($A1114="","",IF(OR($Q1114=TRUE(),$Q1114="TRUE"),1,0))</f>
        <v/>
      </c>
      <c r="AL1114" s="28" t="str">
        <f aca="false">IF($N1114="","",IF(MATCH($N1114,$N$2:$N$3001,0)=ROWS($N$2:$N1114),$N1114,""))</f>
        <v/>
      </c>
    </row>
    <row r="1115" customFormat="false" ht="15" hidden="false" customHeight="false" outlineLevel="0" collapsed="false">
      <c r="E1115" s="25"/>
      <c r="M1115" s="26" t="str">
        <f aca="false">IF($A1115="","",$L1115*$U1115/100)</f>
        <v/>
      </c>
      <c r="W1115" s="26" t="str">
        <f aca="false">IF($A1115="","",U1115*AB1115/100)</f>
        <v/>
      </c>
      <c r="X1115" s="26" t="str">
        <f aca="false">IF($A1115="","",U1115-W1115)</f>
        <v/>
      </c>
      <c r="Y1115" s="26" t="str">
        <f aca="false">IF($A1115="","",U1115-W1115-M1115)</f>
        <v/>
      </c>
      <c r="AB1115" s="27" t="str">
        <f aca="false">IF($A1115="","",IF($AK1115=1,'كشف المطالبة'!$D$5,'كشف المطالبة'!$D$6)*100)</f>
        <v/>
      </c>
      <c r="AK1115" s="28" t="str">
        <f aca="false">IF($A1115="","",IF(OR($Q1115=TRUE(),$Q1115="TRUE"),1,0))</f>
        <v/>
      </c>
      <c r="AL1115" s="28" t="str">
        <f aca="false">IF($N1115="","",IF(MATCH($N1115,$N$2:$N$3001,0)=ROWS($N$2:$N1115),$N1115,""))</f>
        <v/>
      </c>
    </row>
    <row r="1116" customFormat="false" ht="15" hidden="false" customHeight="false" outlineLevel="0" collapsed="false">
      <c r="E1116" s="25"/>
      <c r="M1116" s="26" t="str">
        <f aca="false">IF($A1116="","",$L1116*$U1116/100)</f>
        <v/>
      </c>
      <c r="W1116" s="26" t="str">
        <f aca="false">IF($A1116="","",U1116*AB1116/100)</f>
        <v/>
      </c>
      <c r="X1116" s="26" t="str">
        <f aca="false">IF($A1116="","",U1116-W1116)</f>
        <v/>
      </c>
      <c r="Y1116" s="26" t="str">
        <f aca="false">IF($A1116="","",U1116-W1116-M1116)</f>
        <v/>
      </c>
      <c r="AB1116" s="27" t="str">
        <f aca="false">IF($A1116="","",IF($AK1116=1,'كشف المطالبة'!$D$5,'كشف المطالبة'!$D$6)*100)</f>
        <v/>
      </c>
      <c r="AK1116" s="28" t="str">
        <f aca="false">IF($A1116="","",IF(OR($Q1116=TRUE(),$Q1116="TRUE"),1,0))</f>
        <v/>
      </c>
      <c r="AL1116" s="28" t="str">
        <f aca="false">IF($N1116="","",IF(MATCH($N1116,$N$2:$N$3001,0)=ROWS($N$2:$N1116),$N1116,""))</f>
        <v/>
      </c>
    </row>
    <row r="1117" customFormat="false" ht="15" hidden="false" customHeight="false" outlineLevel="0" collapsed="false">
      <c r="E1117" s="25"/>
      <c r="M1117" s="26" t="str">
        <f aca="false">IF($A1117="","",$L1117*$U1117/100)</f>
        <v/>
      </c>
      <c r="W1117" s="26" t="str">
        <f aca="false">IF($A1117="","",U1117*AB1117/100)</f>
        <v/>
      </c>
      <c r="X1117" s="26" t="str">
        <f aca="false">IF($A1117="","",U1117-W1117)</f>
        <v/>
      </c>
      <c r="Y1117" s="26" t="str">
        <f aca="false">IF($A1117="","",U1117-W1117-M1117)</f>
        <v/>
      </c>
      <c r="AB1117" s="27" t="str">
        <f aca="false">IF($A1117="","",IF($AK1117=1,'كشف المطالبة'!$D$5,'كشف المطالبة'!$D$6)*100)</f>
        <v/>
      </c>
      <c r="AK1117" s="28" t="str">
        <f aca="false">IF($A1117="","",IF(OR($Q1117=TRUE(),$Q1117="TRUE"),1,0))</f>
        <v/>
      </c>
      <c r="AL1117" s="28" t="str">
        <f aca="false">IF($N1117="","",IF(MATCH($N1117,$N$2:$N$3001,0)=ROWS($N$2:$N1117),$N1117,""))</f>
        <v/>
      </c>
    </row>
    <row r="1118" customFormat="false" ht="15" hidden="false" customHeight="false" outlineLevel="0" collapsed="false">
      <c r="E1118" s="25"/>
      <c r="M1118" s="26" t="str">
        <f aca="false">IF($A1118="","",$L1118*$U1118/100)</f>
        <v/>
      </c>
      <c r="W1118" s="26" t="str">
        <f aca="false">IF($A1118="","",U1118*AB1118/100)</f>
        <v/>
      </c>
      <c r="X1118" s="26" t="str">
        <f aca="false">IF($A1118="","",U1118-W1118)</f>
        <v/>
      </c>
      <c r="Y1118" s="26" t="str">
        <f aca="false">IF($A1118="","",U1118-W1118-M1118)</f>
        <v/>
      </c>
      <c r="AB1118" s="27" t="str">
        <f aca="false">IF($A1118="","",IF($AK1118=1,'كشف المطالبة'!$D$5,'كشف المطالبة'!$D$6)*100)</f>
        <v/>
      </c>
      <c r="AK1118" s="28" t="str">
        <f aca="false">IF($A1118="","",IF(OR($Q1118=TRUE(),$Q1118="TRUE"),1,0))</f>
        <v/>
      </c>
      <c r="AL1118" s="28" t="str">
        <f aca="false">IF($N1118="","",IF(MATCH($N1118,$N$2:$N$3001,0)=ROWS($N$2:$N1118),$N1118,""))</f>
        <v/>
      </c>
    </row>
    <row r="1119" customFormat="false" ht="15" hidden="false" customHeight="false" outlineLevel="0" collapsed="false">
      <c r="E1119" s="25"/>
      <c r="M1119" s="26" t="str">
        <f aca="false">IF($A1119="","",$L1119*$U1119/100)</f>
        <v/>
      </c>
      <c r="W1119" s="26" t="str">
        <f aca="false">IF($A1119="","",U1119*AB1119/100)</f>
        <v/>
      </c>
      <c r="X1119" s="26" t="str">
        <f aca="false">IF($A1119="","",U1119-W1119)</f>
        <v/>
      </c>
      <c r="Y1119" s="26" t="str">
        <f aca="false">IF($A1119="","",U1119-W1119-M1119)</f>
        <v/>
      </c>
      <c r="AB1119" s="27" t="str">
        <f aca="false">IF($A1119="","",IF($AK1119=1,'كشف المطالبة'!$D$5,'كشف المطالبة'!$D$6)*100)</f>
        <v/>
      </c>
      <c r="AK1119" s="28" t="str">
        <f aca="false">IF($A1119="","",IF(OR($Q1119=TRUE(),$Q1119="TRUE"),1,0))</f>
        <v/>
      </c>
      <c r="AL1119" s="28" t="str">
        <f aca="false">IF($N1119="","",IF(MATCH($N1119,$N$2:$N$3001,0)=ROWS($N$2:$N1119),$N1119,""))</f>
        <v/>
      </c>
    </row>
    <row r="1120" customFormat="false" ht="15" hidden="false" customHeight="false" outlineLevel="0" collapsed="false">
      <c r="E1120" s="25"/>
      <c r="M1120" s="26" t="str">
        <f aca="false">IF($A1120="","",$L1120*$U1120/100)</f>
        <v/>
      </c>
      <c r="W1120" s="26" t="str">
        <f aca="false">IF($A1120="","",U1120*AB1120/100)</f>
        <v/>
      </c>
      <c r="X1120" s="26" t="str">
        <f aca="false">IF($A1120="","",U1120-W1120)</f>
        <v/>
      </c>
      <c r="Y1120" s="26" t="str">
        <f aca="false">IF($A1120="","",U1120-W1120-M1120)</f>
        <v/>
      </c>
      <c r="AB1120" s="27" t="str">
        <f aca="false">IF($A1120="","",IF($AK1120=1,'كشف المطالبة'!$D$5,'كشف المطالبة'!$D$6)*100)</f>
        <v/>
      </c>
      <c r="AK1120" s="28" t="str">
        <f aca="false">IF($A1120="","",IF(OR($Q1120=TRUE(),$Q1120="TRUE"),1,0))</f>
        <v/>
      </c>
      <c r="AL1120" s="28" t="str">
        <f aca="false">IF($N1120="","",IF(MATCH($N1120,$N$2:$N$3001,0)=ROWS($N$2:$N1120),$N1120,""))</f>
        <v/>
      </c>
    </row>
    <row r="1121" customFormat="false" ht="15" hidden="false" customHeight="false" outlineLevel="0" collapsed="false">
      <c r="E1121" s="25"/>
      <c r="M1121" s="26" t="str">
        <f aca="false">IF($A1121="","",$L1121*$U1121/100)</f>
        <v/>
      </c>
      <c r="W1121" s="26" t="str">
        <f aca="false">IF($A1121="","",U1121*AB1121/100)</f>
        <v/>
      </c>
      <c r="X1121" s="26" t="str">
        <f aca="false">IF($A1121="","",U1121-W1121)</f>
        <v/>
      </c>
      <c r="Y1121" s="26" t="str">
        <f aca="false">IF($A1121="","",U1121-W1121-M1121)</f>
        <v/>
      </c>
      <c r="AB1121" s="27" t="str">
        <f aca="false">IF($A1121="","",IF($AK1121=1,'كشف المطالبة'!$D$5,'كشف المطالبة'!$D$6)*100)</f>
        <v/>
      </c>
      <c r="AK1121" s="28" t="str">
        <f aca="false">IF($A1121="","",IF(OR($Q1121=TRUE(),$Q1121="TRUE"),1,0))</f>
        <v/>
      </c>
      <c r="AL1121" s="28" t="str">
        <f aca="false">IF($N1121="","",IF(MATCH($N1121,$N$2:$N$3001,0)=ROWS($N$2:$N1121),$N1121,""))</f>
        <v/>
      </c>
    </row>
    <row r="1122" customFormat="false" ht="15" hidden="false" customHeight="false" outlineLevel="0" collapsed="false">
      <c r="E1122" s="25"/>
      <c r="M1122" s="26" t="str">
        <f aca="false">IF($A1122="","",$L1122*$U1122/100)</f>
        <v/>
      </c>
      <c r="W1122" s="26" t="str">
        <f aca="false">IF($A1122="","",U1122*AB1122/100)</f>
        <v/>
      </c>
      <c r="X1122" s="26" t="str">
        <f aca="false">IF($A1122="","",U1122-W1122)</f>
        <v/>
      </c>
      <c r="Y1122" s="26" t="str">
        <f aca="false">IF($A1122="","",U1122-W1122-M1122)</f>
        <v/>
      </c>
      <c r="AB1122" s="27" t="str">
        <f aca="false">IF($A1122="","",IF($AK1122=1,'كشف المطالبة'!$D$5,'كشف المطالبة'!$D$6)*100)</f>
        <v/>
      </c>
      <c r="AK1122" s="28" t="str">
        <f aca="false">IF($A1122="","",IF(OR($Q1122=TRUE(),$Q1122="TRUE"),1,0))</f>
        <v/>
      </c>
      <c r="AL1122" s="28" t="str">
        <f aca="false">IF($N1122="","",IF(MATCH($N1122,$N$2:$N$3001,0)=ROWS($N$2:$N1122),$N1122,""))</f>
        <v/>
      </c>
    </row>
    <row r="1123" customFormat="false" ht="15" hidden="false" customHeight="false" outlineLevel="0" collapsed="false">
      <c r="E1123" s="25"/>
      <c r="M1123" s="26" t="str">
        <f aca="false">IF($A1123="","",$L1123*$U1123/100)</f>
        <v/>
      </c>
      <c r="W1123" s="26" t="str">
        <f aca="false">IF($A1123="","",U1123*AB1123/100)</f>
        <v/>
      </c>
      <c r="X1123" s="26" t="str">
        <f aca="false">IF($A1123="","",U1123-W1123)</f>
        <v/>
      </c>
      <c r="Y1123" s="26" t="str">
        <f aca="false">IF($A1123="","",U1123-W1123-M1123)</f>
        <v/>
      </c>
      <c r="AB1123" s="27" t="str">
        <f aca="false">IF($A1123="","",IF($AK1123=1,'كشف المطالبة'!$D$5,'كشف المطالبة'!$D$6)*100)</f>
        <v/>
      </c>
      <c r="AK1123" s="28" t="str">
        <f aca="false">IF($A1123="","",IF(OR($Q1123=TRUE(),$Q1123="TRUE"),1,0))</f>
        <v/>
      </c>
      <c r="AL1123" s="28" t="str">
        <f aca="false">IF($N1123="","",IF(MATCH($N1123,$N$2:$N$3001,0)=ROWS($N$2:$N1123),$N1123,""))</f>
        <v/>
      </c>
    </row>
    <row r="1124" customFormat="false" ht="15" hidden="false" customHeight="false" outlineLevel="0" collapsed="false">
      <c r="E1124" s="25"/>
      <c r="M1124" s="26" t="str">
        <f aca="false">IF($A1124="","",$L1124*$U1124/100)</f>
        <v/>
      </c>
      <c r="W1124" s="26" t="str">
        <f aca="false">IF($A1124="","",U1124*AB1124/100)</f>
        <v/>
      </c>
      <c r="X1124" s="26" t="str">
        <f aca="false">IF($A1124="","",U1124-W1124)</f>
        <v/>
      </c>
      <c r="Y1124" s="26" t="str">
        <f aca="false">IF($A1124="","",U1124-W1124-M1124)</f>
        <v/>
      </c>
      <c r="AB1124" s="27" t="str">
        <f aca="false">IF($A1124="","",IF($AK1124=1,'كشف المطالبة'!$D$5,'كشف المطالبة'!$D$6)*100)</f>
        <v/>
      </c>
      <c r="AK1124" s="28" t="str">
        <f aca="false">IF($A1124="","",IF(OR($Q1124=TRUE(),$Q1124="TRUE"),1,0))</f>
        <v/>
      </c>
      <c r="AL1124" s="28" t="str">
        <f aca="false">IF($N1124="","",IF(MATCH($N1124,$N$2:$N$3001,0)=ROWS($N$2:$N1124),$N1124,""))</f>
        <v/>
      </c>
    </row>
    <row r="1125" customFormat="false" ht="15" hidden="false" customHeight="false" outlineLevel="0" collapsed="false">
      <c r="E1125" s="25"/>
      <c r="M1125" s="26" t="str">
        <f aca="false">IF($A1125="","",$L1125*$U1125/100)</f>
        <v/>
      </c>
      <c r="W1125" s="26" t="str">
        <f aca="false">IF($A1125="","",U1125*AB1125/100)</f>
        <v/>
      </c>
      <c r="X1125" s="26" t="str">
        <f aca="false">IF($A1125="","",U1125-W1125)</f>
        <v/>
      </c>
      <c r="Y1125" s="26" t="str">
        <f aca="false">IF($A1125="","",U1125-W1125-M1125)</f>
        <v/>
      </c>
      <c r="AB1125" s="27" t="str">
        <f aca="false">IF($A1125="","",IF($AK1125=1,'كشف المطالبة'!$D$5,'كشف المطالبة'!$D$6)*100)</f>
        <v/>
      </c>
      <c r="AK1125" s="28" t="str">
        <f aca="false">IF($A1125="","",IF(OR($Q1125=TRUE(),$Q1125="TRUE"),1,0))</f>
        <v/>
      </c>
      <c r="AL1125" s="28" t="str">
        <f aca="false">IF($N1125="","",IF(MATCH($N1125,$N$2:$N$3001,0)=ROWS($N$2:$N1125),$N1125,""))</f>
        <v/>
      </c>
    </row>
    <row r="1126" customFormat="false" ht="15" hidden="false" customHeight="false" outlineLevel="0" collapsed="false">
      <c r="E1126" s="25"/>
      <c r="M1126" s="26" t="str">
        <f aca="false">IF($A1126="","",$L1126*$U1126/100)</f>
        <v/>
      </c>
      <c r="W1126" s="26" t="str">
        <f aca="false">IF($A1126="","",U1126*AB1126/100)</f>
        <v/>
      </c>
      <c r="X1126" s="26" t="str">
        <f aca="false">IF($A1126="","",U1126-W1126)</f>
        <v/>
      </c>
      <c r="Y1126" s="26" t="str">
        <f aca="false">IF($A1126="","",U1126-W1126-M1126)</f>
        <v/>
      </c>
      <c r="AB1126" s="27" t="str">
        <f aca="false">IF($A1126="","",IF($AK1126=1,'كشف المطالبة'!$D$5,'كشف المطالبة'!$D$6)*100)</f>
        <v/>
      </c>
      <c r="AK1126" s="28" t="str">
        <f aca="false">IF($A1126="","",IF(OR($Q1126=TRUE(),$Q1126="TRUE"),1,0))</f>
        <v/>
      </c>
      <c r="AL1126" s="28" t="str">
        <f aca="false">IF($N1126="","",IF(MATCH($N1126,$N$2:$N$3001,0)=ROWS($N$2:$N1126),$N1126,""))</f>
        <v/>
      </c>
    </row>
    <row r="1127" customFormat="false" ht="15" hidden="false" customHeight="false" outlineLevel="0" collapsed="false">
      <c r="E1127" s="25"/>
      <c r="M1127" s="26" t="str">
        <f aca="false">IF($A1127="","",$L1127*$U1127/100)</f>
        <v/>
      </c>
      <c r="W1127" s="26" t="str">
        <f aca="false">IF($A1127="","",U1127*AB1127/100)</f>
        <v/>
      </c>
      <c r="X1127" s="26" t="str">
        <f aca="false">IF($A1127="","",U1127-W1127)</f>
        <v/>
      </c>
      <c r="Y1127" s="26" t="str">
        <f aca="false">IF($A1127="","",U1127-W1127-M1127)</f>
        <v/>
      </c>
      <c r="AB1127" s="27" t="str">
        <f aca="false">IF($A1127="","",IF($AK1127=1,'كشف المطالبة'!$D$5,'كشف المطالبة'!$D$6)*100)</f>
        <v/>
      </c>
      <c r="AK1127" s="28" t="str">
        <f aca="false">IF($A1127="","",IF(OR($Q1127=TRUE(),$Q1127="TRUE"),1,0))</f>
        <v/>
      </c>
      <c r="AL1127" s="28" t="str">
        <f aca="false">IF($N1127="","",IF(MATCH($N1127,$N$2:$N$3001,0)=ROWS($N$2:$N1127),$N1127,""))</f>
        <v/>
      </c>
    </row>
    <row r="1128" customFormat="false" ht="15" hidden="false" customHeight="false" outlineLevel="0" collapsed="false">
      <c r="E1128" s="25"/>
      <c r="M1128" s="26" t="str">
        <f aca="false">IF($A1128="","",$L1128*$U1128/100)</f>
        <v/>
      </c>
      <c r="W1128" s="26" t="str">
        <f aca="false">IF($A1128="","",U1128*AB1128/100)</f>
        <v/>
      </c>
      <c r="X1128" s="26" t="str">
        <f aca="false">IF($A1128="","",U1128-W1128)</f>
        <v/>
      </c>
      <c r="Y1128" s="26" t="str">
        <f aca="false">IF($A1128="","",U1128-W1128-M1128)</f>
        <v/>
      </c>
      <c r="AB1128" s="27" t="str">
        <f aca="false">IF($A1128="","",IF($AK1128=1,'كشف المطالبة'!$D$5,'كشف المطالبة'!$D$6)*100)</f>
        <v/>
      </c>
      <c r="AK1128" s="28" t="str">
        <f aca="false">IF($A1128="","",IF(OR($Q1128=TRUE(),$Q1128="TRUE"),1,0))</f>
        <v/>
      </c>
      <c r="AL1128" s="28" t="str">
        <f aca="false">IF($N1128="","",IF(MATCH($N1128,$N$2:$N$3001,0)=ROWS($N$2:$N1128),$N1128,""))</f>
        <v/>
      </c>
    </row>
    <row r="1129" customFormat="false" ht="15" hidden="false" customHeight="false" outlineLevel="0" collapsed="false">
      <c r="E1129" s="25"/>
      <c r="M1129" s="26" t="str">
        <f aca="false">IF($A1129="","",$L1129*$U1129/100)</f>
        <v/>
      </c>
      <c r="W1129" s="26" t="str">
        <f aca="false">IF($A1129="","",U1129*AB1129/100)</f>
        <v/>
      </c>
      <c r="X1129" s="26" t="str">
        <f aca="false">IF($A1129="","",U1129-W1129)</f>
        <v/>
      </c>
      <c r="Y1129" s="26" t="str">
        <f aca="false">IF($A1129="","",U1129-W1129-M1129)</f>
        <v/>
      </c>
      <c r="AB1129" s="27" t="str">
        <f aca="false">IF($A1129="","",IF($AK1129=1,'كشف المطالبة'!$D$5,'كشف المطالبة'!$D$6)*100)</f>
        <v/>
      </c>
      <c r="AK1129" s="28" t="str">
        <f aca="false">IF($A1129="","",IF(OR($Q1129=TRUE(),$Q1129="TRUE"),1,0))</f>
        <v/>
      </c>
      <c r="AL1129" s="28" t="str">
        <f aca="false">IF($N1129="","",IF(MATCH($N1129,$N$2:$N$3001,0)=ROWS($N$2:$N1129),$N1129,""))</f>
        <v/>
      </c>
    </row>
    <row r="1130" customFormat="false" ht="15" hidden="false" customHeight="false" outlineLevel="0" collapsed="false">
      <c r="E1130" s="25"/>
      <c r="M1130" s="26" t="str">
        <f aca="false">IF($A1130="","",$L1130*$U1130/100)</f>
        <v/>
      </c>
      <c r="W1130" s="26" t="str">
        <f aca="false">IF($A1130="","",U1130*AB1130/100)</f>
        <v/>
      </c>
      <c r="X1130" s="26" t="str">
        <f aca="false">IF($A1130="","",U1130-W1130)</f>
        <v/>
      </c>
      <c r="Y1130" s="26" t="str">
        <f aca="false">IF($A1130="","",U1130-W1130-M1130)</f>
        <v/>
      </c>
      <c r="AB1130" s="27" t="str">
        <f aca="false">IF($A1130="","",IF($AK1130=1,'كشف المطالبة'!$D$5,'كشف المطالبة'!$D$6)*100)</f>
        <v/>
      </c>
      <c r="AK1130" s="28" t="str">
        <f aca="false">IF($A1130="","",IF(OR($Q1130=TRUE(),$Q1130="TRUE"),1,0))</f>
        <v/>
      </c>
      <c r="AL1130" s="28" t="str">
        <f aca="false">IF($N1130="","",IF(MATCH($N1130,$N$2:$N$3001,0)=ROWS($N$2:$N1130),$N1130,""))</f>
        <v/>
      </c>
    </row>
    <row r="1131" customFormat="false" ht="15" hidden="false" customHeight="false" outlineLevel="0" collapsed="false">
      <c r="E1131" s="25"/>
      <c r="M1131" s="26" t="str">
        <f aca="false">IF($A1131="","",$L1131*$U1131/100)</f>
        <v/>
      </c>
      <c r="W1131" s="26" t="str">
        <f aca="false">IF($A1131="","",U1131*AB1131/100)</f>
        <v/>
      </c>
      <c r="X1131" s="26" t="str">
        <f aca="false">IF($A1131="","",U1131-W1131)</f>
        <v/>
      </c>
      <c r="Y1131" s="26" t="str">
        <f aca="false">IF($A1131="","",U1131-W1131-M1131)</f>
        <v/>
      </c>
      <c r="AB1131" s="27" t="str">
        <f aca="false">IF($A1131="","",IF($AK1131=1,'كشف المطالبة'!$D$5,'كشف المطالبة'!$D$6)*100)</f>
        <v/>
      </c>
      <c r="AK1131" s="28" t="str">
        <f aca="false">IF($A1131="","",IF(OR($Q1131=TRUE(),$Q1131="TRUE"),1,0))</f>
        <v/>
      </c>
      <c r="AL1131" s="28" t="str">
        <f aca="false">IF($N1131="","",IF(MATCH($N1131,$N$2:$N$3001,0)=ROWS($N$2:$N1131),$N1131,""))</f>
        <v/>
      </c>
    </row>
    <row r="1132" customFormat="false" ht="15" hidden="false" customHeight="false" outlineLevel="0" collapsed="false">
      <c r="E1132" s="25"/>
      <c r="M1132" s="26" t="str">
        <f aca="false">IF($A1132="","",$L1132*$U1132/100)</f>
        <v/>
      </c>
      <c r="W1132" s="26" t="str">
        <f aca="false">IF($A1132="","",U1132*AB1132/100)</f>
        <v/>
      </c>
      <c r="X1132" s="26" t="str">
        <f aca="false">IF($A1132="","",U1132-W1132)</f>
        <v/>
      </c>
      <c r="Y1132" s="26" t="str">
        <f aca="false">IF($A1132="","",U1132-W1132-M1132)</f>
        <v/>
      </c>
      <c r="AB1132" s="27" t="str">
        <f aca="false">IF($A1132="","",IF($AK1132=1,'كشف المطالبة'!$D$5,'كشف المطالبة'!$D$6)*100)</f>
        <v/>
      </c>
      <c r="AK1132" s="28" t="str">
        <f aca="false">IF($A1132="","",IF(OR($Q1132=TRUE(),$Q1132="TRUE"),1,0))</f>
        <v/>
      </c>
      <c r="AL1132" s="28" t="str">
        <f aca="false">IF($N1132="","",IF(MATCH($N1132,$N$2:$N$3001,0)=ROWS($N$2:$N1132),$N1132,""))</f>
        <v/>
      </c>
    </row>
    <row r="1133" customFormat="false" ht="15" hidden="false" customHeight="false" outlineLevel="0" collapsed="false">
      <c r="E1133" s="25"/>
      <c r="M1133" s="26" t="str">
        <f aca="false">IF($A1133="","",$L1133*$U1133/100)</f>
        <v/>
      </c>
      <c r="W1133" s="26" t="str">
        <f aca="false">IF($A1133="","",U1133*AB1133/100)</f>
        <v/>
      </c>
      <c r="X1133" s="26" t="str">
        <f aca="false">IF($A1133="","",U1133-W1133)</f>
        <v/>
      </c>
      <c r="Y1133" s="26" t="str">
        <f aca="false">IF($A1133="","",U1133-W1133-M1133)</f>
        <v/>
      </c>
      <c r="AB1133" s="27" t="str">
        <f aca="false">IF($A1133="","",IF($AK1133=1,'كشف المطالبة'!$D$5,'كشف المطالبة'!$D$6)*100)</f>
        <v/>
      </c>
      <c r="AK1133" s="28" t="str">
        <f aca="false">IF($A1133="","",IF(OR($Q1133=TRUE(),$Q1133="TRUE"),1,0))</f>
        <v/>
      </c>
      <c r="AL1133" s="28" t="str">
        <f aca="false">IF($N1133="","",IF(MATCH($N1133,$N$2:$N$3001,0)=ROWS($N$2:$N1133),$N1133,""))</f>
        <v/>
      </c>
    </row>
    <row r="1134" customFormat="false" ht="15" hidden="false" customHeight="false" outlineLevel="0" collapsed="false">
      <c r="E1134" s="25"/>
      <c r="M1134" s="26" t="str">
        <f aca="false">IF($A1134="","",$L1134*$U1134/100)</f>
        <v/>
      </c>
      <c r="W1134" s="26" t="str">
        <f aca="false">IF($A1134="","",U1134*AB1134/100)</f>
        <v/>
      </c>
      <c r="X1134" s="26" t="str">
        <f aca="false">IF($A1134="","",U1134-W1134)</f>
        <v/>
      </c>
      <c r="Y1134" s="26" t="str">
        <f aca="false">IF($A1134="","",U1134-W1134-M1134)</f>
        <v/>
      </c>
      <c r="AB1134" s="27" t="str">
        <f aca="false">IF($A1134="","",IF($AK1134=1,'كشف المطالبة'!$D$5,'كشف المطالبة'!$D$6)*100)</f>
        <v/>
      </c>
      <c r="AK1134" s="28" t="str">
        <f aca="false">IF($A1134="","",IF(OR($Q1134=TRUE(),$Q1134="TRUE"),1,0))</f>
        <v/>
      </c>
      <c r="AL1134" s="28" t="str">
        <f aca="false">IF($N1134="","",IF(MATCH($N1134,$N$2:$N$3001,0)=ROWS($N$2:$N1134),$N1134,""))</f>
        <v/>
      </c>
    </row>
    <row r="1135" customFormat="false" ht="15" hidden="false" customHeight="false" outlineLevel="0" collapsed="false">
      <c r="E1135" s="25"/>
      <c r="M1135" s="26" t="str">
        <f aca="false">IF($A1135="","",$L1135*$U1135/100)</f>
        <v/>
      </c>
      <c r="W1135" s="26" t="str">
        <f aca="false">IF($A1135="","",U1135*AB1135/100)</f>
        <v/>
      </c>
      <c r="X1135" s="26" t="str">
        <f aca="false">IF($A1135="","",U1135-W1135)</f>
        <v/>
      </c>
      <c r="Y1135" s="26" t="str">
        <f aca="false">IF($A1135="","",U1135-W1135-M1135)</f>
        <v/>
      </c>
      <c r="AB1135" s="27" t="str">
        <f aca="false">IF($A1135="","",IF($AK1135=1,'كشف المطالبة'!$D$5,'كشف المطالبة'!$D$6)*100)</f>
        <v/>
      </c>
      <c r="AK1135" s="28" t="str">
        <f aca="false">IF($A1135="","",IF(OR($Q1135=TRUE(),$Q1135="TRUE"),1,0))</f>
        <v/>
      </c>
      <c r="AL1135" s="28" t="str">
        <f aca="false">IF($N1135="","",IF(MATCH($N1135,$N$2:$N$3001,0)=ROWS($N$2:$N1135),$N1135,""))</f>
        <v/>
      </c>
    </row>
    <row r="1136" customFormat="false" ht="15" hidden="false" customHeight="false" outlineLevel="0" collapsed="false">
      <c r="E1136" s="25"/>
      <c r="M1136" s="26" t="str">
        <f aca="false">IF($A1136="","",$L1136*$U1136/100)</f>
        <v/>
      </c>
      <c r="W1136" s="26" t="str">
        <f aca="false">IF($A1136="","",U1136*AB1136/100)</f>
        <v/>
      </c>
      <c r="X1136" s="26" t="str">
        <f aca="false">IF($A1136="","",U1136-W1136)</f>
        <v/>
      </c>
      <c r="Y1136" s="26" t="str">
        <f aca="false">IF($A1136="","",U1136-W1136-M1136)</f>
        <v/>
      </c>
      <c r="AB1136" s="27" t="str">
        <f aca="false">IF($A1136="","",IF($AK1136=1,'كشف المطالبة'!$D$5,'كشف المطالبة'!$D$6)*100)</f>
        <v/>
      </c>
      <c r="AK1136" s="28" t="str">
        <f aca="false">IF($A1136="","",IF(OR($Q1136=TRUE(),$Q1136="TRUE"),1,0))</f>
        <v/>
      </c>
      <c r="AL1136" s="28" t="str">
        <f aca="false">IF($N1136="","",IF(MATCH($N1136,$N$2:$N$3001,0)=ROWS($N$2:$N1136),$N1136,""))</f>
        <v/>
      </c>
    </row>
    <row r="1137" customFormat="false" ht="15" hidden="false" customHeight="false" outlineLevel="0" collapsed="false">
      <c r="E1137" s="25"/>
      <c r="M1137" s="26" t="str">
        <f aca="false">IF($A1137="","",$L1137*$U1137/100)</f>
        <v/>
      </c>
      <c r="W1137" s="26" t="str">
        <f aca="false">IF($A1137="","",U1137*AB1137/100)</f>
        <v/>
      </c>
      <c r="X1137" s="26" t="str">
        <f aca="false">IF($A1137="","",U1137-W1137)</f>
        <v/>
      </c>
      <c r="Y1137" s="26" t="str">
        <f aca="false">IF($A1137="","",U1137-W1137-M1137)</f>
        <v/>
      </c>
      <c r="AB1137" s="27" t="str">
        <f aca="false">IF($A1137="","",IF($AK1137=1,'كشف المطالبة'!$D$5,'كشف المطالبة'!$D$6)*100)</f>
        <v/>
      </c>
      <c r="AK1137" s="28" t="str">
        <f aca="false">IF($A1137="","",IF(OR($Q1137=TRUE(),$Q1137="TRUE"),1,0))</f>
        <v/>
      </c>
      <c r="AL1137" s="28" t="str">
        <f aca="false">IF($N1137="","",IF(MATCH($N1137,$N$2:$N$3001,0)=ROWS($N$2:$N1137),$N1137,""))</f>
        <v/>
      </c>
    </row>
    <row r="1138" customFormat="false" ht="15" hidden="false" customHeight="false" outlineLevel="0" collapsed="false">
      <c r="E1138" s="25"/>
      <c r="M1138" s="26" t="str">
        <f aca="false">IF($A1138="","",$L1138*$U1138/100)</f>
        <v/>
      </c>
      <c r="W1138" s="26" t="str">
        <f aca="false">IF($A1138="","",U1138*AB1138/100)</f>
        <v/>
      </c>
      <c r="X1138" s="26" t="str">
        <f aca="false">IF($A1138="","",U1138-W1138)</f>
        <v/>
      </c>
      <c r="Y1138" s="26" t="str">
        <f aca="false">IF($A1138="","",U1138-W1138-M1138)</f>
        <v/>
      </c>
      <c r="AB1138" s="27" t="str">
        <f aca="false">IF($A1138="","",IF($AK1138=1,'كشف المطالبة'!$D$5,'كشف المطالبة'!$D$6)*100)</f>
        <v/>
      </c>
      <c r="AK1138" s="28" t="str">
        <f aca="false">IF($A1138="","",IF(OR($Q1138=TRUE(),$Q1138="TRUE"),1,0))</f>
        <v/>
      </c>
      <c r="AL1138" s="28" t="str">
        <f aca="false">IF($N1138="","",IF(MATCH($N1138,$N$2:$N$3001,0)=ROWS($N$2:$N1138),$N1138,""))</f>
        <v/>
      </c>
    </row>
    <row r="1139" customFormat="false" ht="15" hidden="false" customHeight="false" outlineLevel="0" collapsed="false">
      <c r="E1139" s="25"/>
      <c r="M1139" s="26" t="str">
        <f aca="false">IF($A1139="","",$L1139*$U1139/100)</f>
        <v/>
      </c>
      <c r="W1139" s="26" t="str">
        <f aca="false">IF($A1139="","",U1139*AB1139/100)</f>
        <v/>
      </c>
      <c r="X1139" s="26" t="str">
        <f aca="false">IF($A1139="","",U1139-W1139)</f>
        <v/>
      </c>
      <c r="Y1139" s="26" t="str">
        <f aca="false">IF($A1139="","",U1139-W1139-M1139)</f>
        <v/>
      </c>
      <c r="AB1139" s="27" t="str">
        <f aca="false">IF($A1139="","",IF($AK1139=1,'كشف المطالبة'!$D$5,'كشف المطالبة'!$D$6)*100)</f>
        <v/>
      </c>
      <c r="AK1139" s="28" t="str">
        <f aca="false">IF($A1139="","",IF(OR($Q1139=TRUE(),$Q1139="TRUE"),1,0))</f>
        <v/>
      </c>
      <c r="AL1139" s="28" t="str">
        <f aca="false">IF($N1139="","",IF(MATCH($N1139,$N$2:$N$3001,0)=ROWS($N$2:$N1139),$N1139,""))</f>
        <v/>
      </c>
    </row>
    <row r="1140" customFormat="false" ht="15" hidden="false" customHeight="false" outlineLevel="0" collapsed="false">
      <c r="E1140" s="25"/>
      <c r="M1140" s="26" t="str">
        <f aca="false">IF($A1140="","",$L1140*$U1140/100)</f>
        <v/>
      </c>
      <c r="W1140" s="26" t="str">
        <f aca="false">IF($A1140="","",U1140*AB1140/100)</f>
        <v/>
      </c>
      <c r="X1140" s="26" t="str">
        <f aca="false">IF($A1140="","",U1140-W1140)</f>
        <v/>
      </c>
      <c r="Y1140" s="26" t="str">
        <f aca="false">IF($A1140="","",U1140-W1140-M1140)</f>
        <v/>
      </c>
      <c r="AB1140" s="27" t="str">
        <f aca="false">IF($A1140="","",IF($AK1140=1,'كشف المطالبة'!$D$5,'كشف المطالبة'!$D$6)*100)</f>
        <v/>
      </c>
      <c r="AK1140" s="28" t="str">
        <f aca="false">IF($A1140="","",IF(OR($Q1140=TRUE(),$Q1140="TRUE"),1,0))</f>
        <v/>
      </c>
      <c r="AL1140" s="28" t="str">
        <f aca="false">IF($N1140="","",IF(MATCH($N1140,$N$2:$N$3001,0)=ROWS($N$2:$N1140),$N1140,""))</f>
        <v/>
      </c>
    </row>
    <row r="1141" customFormat="false" ht="15" hidden="false" customHeight="false" outlineLevel="0" collapsed="false">
      <c r="E1141" s="25"/>
      <c r="M1141" s="26" t="str">
        <f aca="false">IF($A1141="","",$L1141*$U1141/100)</f>
        <v/>
      </c>
      <c r="W1141" s="26" t="str">
        <f aca="false">IF($A1141="","",U1141*AB1141/100)</f>
        <v/>
      </c>
      <c r="X1141" s="26" t="str">
        <f aca="false">IF($A1141="","",U1141-W1141)</f>
        <v/>
      </c>
      <c r="Y1141" s="26" t="str">
        <f aca="false">IF($A1141="","",U1141-W1141-M1141)</f>
        <v/>
      </c>
      <c r="AB1141" s="27" t="str">
        <f aca="false">IF($A1141="","",IF($AK1141=1,'كشف المطالبة'!$D$5,'كشف المطالبة'!$D$6)*100)</f>
        <v/>
      </c>
      <c r="AK1141" s="28" t="str">
        <f aca="false">IF($A1141="","",IF(OR($Q1141=TRUE(),$Q1141="TRUE"),1,0))</f>
        <v/>
      </c>
      <c r="AL1141" s="28" t="str">
        <f aca="false">IF($N1141="","",IF(MATCH($N1141,$N$2:$N$3001,0)=ROWS($N$2:$N1141),$N1141,""))</f>
        <v/>
      </c>
    </row>
    <row r="1142" customFormat="false" ht="15" hidden="false" customHeight="false" outlineLevel="0" collapsed="false">
      <c r="E1142" s="25"/>
      <c r="M1142" s="26" t="str">
        <f aca="false">IF($A1142="","",$L1142*$U1142/100)</f>
        <v/>
      </c>
      <c r="W1142" s="26" t="str">
        <f aca="false">IF($A1142="","",U1142*AB1142/100)</f>
        <v/>
      </c>
      <c r="X1142" s="26" t="str">
        <f aca="false">IF($A1142="","",U1142-W1142)</f>
        <v/>
      </c>
      <c r="Y1142" s="26" t="str">
        <f aca="false">IF($A1142="","",U1142-W1142-M1142)</f>
        <v/>
      </c>
      <c r="AB1142" s="27" t="str">
        <f aca="false">IF($A1142="","",IF($AK1142=1,'كشف المطالبة'!$D$5,'كشف المطالبة'!$D$6)*100)</f>
        <v/>
      </c>
      <c r="AK1142" s="28" t="str">
        <f aca="false">IF($A1142="","",IF(OR($Q1142=TRUE(),$Q1142="TRUE"),1,0))</f>
        <v/>
      </c>
      <c r="AL1142" s="28" t="str">
        <f aca="false">IF($N1142="","",IF(MATCH($N1142,$N$2:$N$3001,0)=ROWS($N$2:$N1142),$N1142,""))</f>
        <v/>
      </c>
    </row>
    <row r="1143" customFormat="false" ht="15" hidden="false" customHeight="false" outlineLevel="0" collapsed="false">
      <c r="E1143" s="25"/>
      <c r="M1143" s="26" t="str">
        <f aca="false">IF($A1143="","",$L1143*$U1143/100)</f>
        <v/>
      </c>
      <c r="W1143" s="26" t="str">
        <f aca="false">IF($A1143="","",U1143*AB1143/100)</f>
        <v/>
      </c>
      <c r="X1143" s="26" t="str">
        <f aca="false">IF($A1143="","",U1143-W1143)</f>
        <v/>
      </c>
      <c r="Y1143" s="26" t="str">
        <f aca="false">IF($A1143="","",U1143-W1143-M1143)</f>
        <v/>
      </c>
      <c r="AB1143" s="27" t="str">
        <f aca="false">IF($A1143="","",IF($AK1143=1,'كشف المطالبة'!$D$5,'كشف المطالبة'!$D$6)*100)</f>
        <v/>
      </c>
      <c r="AK1143" s="28" t="str">
        <f aca="false">IF($A1143="","",IF(OR($Q1143=TRUE(),$Q1143="TRUE"),1,0))</f>
        <v/>
      </c>
      <c r="AL1143" s="28" t="str">
        <f aca="false">IF($N1143="","",IF(MATCH($N1143,$N$2:$N$3001,0)=ROWS($N$2:$N1143),$N1143,""))</f>
        <v/>
      </c>
    </row>
    <row r="1144" customFormat="false" ht="15" hidden="false" customHeight="false" outlineLevel="0" collapsed="false">
      <c r="E1144" s="25"/>
      <c r="M1144" s="26" t="str">
        <f aca="false">IF($A1144="","",$L1144*$U1144/100)</f>
        <v/>
      </c>
      <c r="W1144" s="26" t="str">
        <f aca="false">IF($A1144="","",U1144*AB1144/100)</f>
        <v/>
      </c>
      <c r="X1144" s="26" t="str">
        <f aca="false">IF($A1144="","",U1144-W1144)</f>
        <v/>
      </c>
      <c r="Y1144" s="26" t="str">
        <f aca="false">IF($A1144="","",U1144-W1144-M1144)</f>
        <v/>
      </c>
      <c r="AB1144" s="27" t="str">
        <f aca="false">IF($A1144="","",IF($AK1144=1,'كشف المطالبة'!$D$5,'كشف المطالبة'!$D$6)*100)</f>
        <v/>
      </c>
      <c r="AK1144" s="28" t="str">
        <f aca="false">IF($A1144="","",IF(OR($Q1144=TRUE(),$Q1144="TRUE"),1,0))</f>
        <v/>
      </c>
      <c r="AL1144" s="28" t="str">
        <f aca="false">IF($N1144="","",IF(MATCH($N1144,$N$2:$N$3001,0)=ROWS($N$2:$N1144),$N1144,""))</f>
        <v/>
      </c>
    </row>
    <row r="1145" customFormat="false" ht="15" hidden="false" customHeight="false" outlineLevel="0" collapsed="false">
      <c r="E1145" s="25"/>
      <c r="M1145" s="26" t="str">
        <f aca="false">IF($A1145="","",$L1145*$U1145/100)</f>
        <v/>
      </c>
      <c r="W1145" s="26" t="str">
        <f aca="false">IF($A1145="","",U1145*AB1145/100)</f>
        <v/>
      </c>
      <c r="X1145" s="26" t="str">
        <f aca="false">IF($A1145="","",U1145-W1145)</f>
        <v/>
      </c>
      <c r="Y1145" s="26" t="str">
        <f aca="false">IF($A1145="","",U1145-W1145-M1145)</f>
        <v/>
      </c>
      <c r="AB1145" s="27" t="str">
        <f aca="false">IF($A1145="","",IF($AK1145=1,'كشف المطالبة'!$D$5,'كشف المطالبة'!$D$6)*100)</f>
        <v/>
      </c>
      <c r="AK1145" s="28" t="str">
        <f aca="false">IF($A1145="","",IF(OR($Q1145=TRUE(),$Q1145="TRUE"),1,0))</f>
        <v/>
      </c>
      <c r="AL1145" s="28" t="str">
        <f aca="false">IF($N1145="","",IF(MATCH($N1145,$N$2:$N$3001,0)=ROWS($N$2:$N1145),$N1145,""))</f>
        <v/>
      </c>
    </row>
    <row r="1146" customFormat="false" ht="15" hidden="false" customHeight="false" outlineLevel="0" collapsed="false">
      <c r="E1146" s="25"/>
      <c r="M1146" s="26" t="str">
        <f aca="false">IF($A1146="","",$L1146*$U1146/100)</f>
        <v/>
      </c>
      <c r="W1146" s="26" t="str">
        <f aca="false">IF($A1146="","",U1146*AB1146/100)</f>
        <v/>
      </c>
      <c r="X1146" s="26" t="str">
        <f aca="false">IF($A1146="","",U1146-W1146)</f>
        <v/>
      </c>
      <c r="Y1146" s="26" t="str">
        <f aca="false">IF($A1146="","",U1146-W1146-M1146)</f>
        <v/>
      </c>
      <c r="AB1146" s="27" t="str">
        <f aca="false">IF($A1146="","",IF($AK1146=1,'كشف المطالبة'!$D$5,'كشف المطالبة'!$D$6)*100)</f>
        <v/>
      </c>
      <c r="AK1146" s="28" t="str">
        <f aca="false">IF($A1146="","",IF(OR($Q1146=TRUE(),$Q1146="TRUE"),1,0))</f>
        <v/>
      </c>
      <c r="AL1146" s="28" t="str">
        <f aca="false">IF($N1146="","",IF(MATCH($N1146,$N$2:$N$3001,0)=ROWS($N$2:$N1146),$N1146,""))</f>
        <v/>
      </c>
    </row>
    <row r="1147" customFormat="false" ht="15" hidden="false" customHeight="false" outlineLevel="0" collapsed="false">
      <c r="E1147" s="25"/>
      <c r="M1147" s="26" t="str">
        <f aca="false">IF($A1147="","",$L1147*$U1147/100)</f>
        <v/>
      </c>
      <c r="W1147" s="26" t="str">
        <f aca="false">IF($A1147="","",U1147*AB1147/100)</f>
        <v/>
      </c>
      <c r="X1147" s="26" t="str">
        <f aca="false">IF($A1147="","",U1147-W1147)</f>
        <v/>
      </c>
      <c r="Y1147" s="26" t="str">
        <f aca="false">IF($A1147="","",U1147-W1147-M1147)</f>
        <v/>
      </c>
      <c r="AB1147" s="27" t="str">
        <f aca="false">IF($A1147="","",IF($AK1147=1,'كشف المطالبة'!$D$5,'كشف المطالبة'!$D$6)*100)</f>
        <v/>
      </c>
      <c r="AK1147" s="28" t="str">
        <f aca="false">IF($A1147="","",IF(OR($Q1147=TRUE(),$Q1147="TRUE"),1,0))</f>
        <v/>
      </c>
      <c r="AL1147" s="28" t="str">
        <f aca="false">IF($N1147="","",IF(MATCH($N1147,$N$2:$N$3001,0)=ROWS($N$2:$N1147),$N1147,""))</f>
        <v/>
      </c>
    </row>
    <row r="1148" customFormat="false" ht="15" hidden="false" customHeight="false" outlineLevel="0" collapsed="false">
      <c r="E1148" s="25"/>
      <c r="M1148" s="26" t="str">
        <f aca="false">IF($A1148="","",$L1148*$U1148/100)</f>
        <v/>
      </c>
      <c r="W1148" s="26" t="str">
        <f aca="false">IF($A1148="","",U1148*AB1148/100)</f>
        <v/>
      </c>
      <c r="X1148" s="26" t="str">
        <f aca="false">IF($A1148="","",U1148-W1148)</f>
        <v/>
      </c>
      <c r="Y1148" s="26" t="str">
        <f aca="false">IF($A1148="","",U1148-W1148-M1148)</f>
        <v/>
      </c>
      <c r="AB1148" s="27" t="str">
        <f aca="false">IF($A1148="","",IF($AK1148=1,'كشف المطالبة'!$D$5,'كشف المطالبة'!$D$6)*100)</f>
        <v/>
      </c>
      <c r="AK1148" s="28" t="str">
        <f aca="false">IF($A1148="","",IF(OR($Q1148=TRUE(),$Q1148="TRUE"),1,0))</f>
        <v/>
      </c>
      <c r="AL1148" s="28" t="str">
        <f aca="false">IF($N1148="","",IF(MATCH($N1148,$N$2:$N$3001,0)=ROWS($N$2:$N1148),$N1148,""))</f>
        <v/>
      </c>
    </row>
    <row r="1149" customFormat="false" ht="15" hidden="false" customHeight="false" outlineLevel="0" collapsed="false">
      <c r="E1149" s="25"/>
      <c r="M1149" s="26" t="str">
        <f aca="false">IF($A1149="","",$L1149*$U1149/100)</f>
        <v/>
      </c>
      <c r="W1149" s="26" t="str">
        <f aca="false">IF($A1149="","",U1149*AB1149/100)</f>
        <v/>
      </c>
      <c r="X1149" s="26" t="str">
        <f aca="false">IF($A1149="","",U1149-W1149)</f>
        <v/>
      </c>
      <c r="Y1149" s="26" t="str">
        <f aca="false">IF($A1149="","",U1149-W1149-M1149)</f>
        <v/>
      </c>
      <c r="AB1149" s="27" t="str">
        <f aca="false">IF($A1149="","",IF($AK1149=1,'كشف المطالبة'!$D$5,'كشف المطالبة'!$D$6)*100)</f>
        <v/>
      </c>
      <c r="AK1149" s="28" t="str">
        <f aca="false">IF($A1149="","",IF(OR($Q1149=TRUE(),$Q1149="TRUE"),1,0))</f>
        <v/>
      </c>
      <c r="AL1149" s="28" t="str">
        <f aca="false">IF($N1149="","",IF(MATCH($N1149,$N$2:$N$3001,0)=ROWS($N$2:$N1149),$N1149,""))</f>
        <v/>
      </c>
    </row>
    <row r="1150" customFormat="false" ht="15" hidden="false" customHeight="false" outlineLevel="0" collapsed="false">
      <c r="E1150" s="25"/>
      <c r="M1150" s="26" t="str">
        <f aca="false">IF($A1150="","",$L1150*$U1150/100)</f>
        <v/>
      </c>
      <c r="W1150" s="26" t="str">
        <f aca="false">IF($A1150="","",U1150*AB1150/100)</f>
        <v/>
      </c>
      <c r="X1150" s="26" t="str">
        <f aca="false">IF($A1150="","",U1150-W1150)</f>
        <v/>
      </c>
      <c r="Y1150" s="26" t="str">
        <f aca="false">IF($A1150="","",U1150-W1150-M1150)</f>
        <v/>
      </c>
      <c r="AB1150" s="27" t="str">
        <f aca="false">IF($A1150="","",IF($AK1150=1,'كشف المطالبة'!$D$5,'كشف المطالبة'!$D$6)*100)</f>
        <v/>
      </c>
      <c r="AK1150" s="28" t="str">
        <f aca="false">IF($A1150="","",IF(OR($Q1150=TRUE(),$Q1150="TRUE"),1,0))</f>
        <v/>
      </c>
      <c r="AL1150" s="28" t="str">
        <f aca="false">IF($N1150="","",IF(MATCH($N1150,$N$2:$N$3001,0)=ROWS($N$2:$N1150),$N1150,""))</f>
        <v/>
      </c>
    </row>
    <row r="1151" customFormat="false" ht="15" hidden="false" customHeight="false" outlineLevel="0" collapsed="false">
      <c r="E1151" s="25"/>
      <c r="M1151" s="26" t="str">
        <f aca="false">IF($A1151="","",$L1151*$U1151/100)</f>
        <v/>
      </c>
      <c r="W1151" s="26" t="str">
        <f aca="false">IF($A1151="","",U1151*AB1151/100)</f>
        <v/>
      </c>
      <c r="X1151" s="26" t="str">
        <f aca="false">IF($A1151="","",U1151-W1151)</f>
        <v/>
      </c>
      <c r="Y1151" s="26" t="str">
        <f aca="false">IF($A1151="","",U1151-W1151-M1151)</f>
        <v/>
      </c>
      <c r="AB1151" s="27" t="str">
        <f aca="false">IF($A1151="","",IF($AK1151=1,'كشف المطالبة'!$D$5,'كشف المطالبة'!$D$6)*100)</f>
        <v/>
      </c>
      <c r="AK1151" s="28" t="str">
        <f aca="false">IF($A1151="","",IF(OR($Q1151=TRUE(),$Q1151="TRUE"),1,0))</f>
        <v/>
      </c>
      <c r="AL1151" s="28" t="str">
        <f aca="false">IF($N1151="","",IF(MATCH($N1151,$N$2:$N$3001,0)=ROWS($N$2:$N1151),$N1151,""))</f>
        <v/>
      </c>
    </row>
    <row r="1152" customFormat="false" ht="15" hidden="false" customHeight="false" outlineLevel="0" collapsed="false">
      <c r="E1152" s="25"/>
      <c r="M1152" s="26" t="str">
        <f aca="false">IF($A1152="","",$L1152*$U1152/100)</f>
        <v/>
      </c>
      <c r="W1152" s="26" t="str">
        <f aca="false">IF($A1152="","",U1152*AB1152/100)</f>
        <v/>
      </c>
      <c r="X1152" s="26" t="str">
        <f aca="false">IF($A1152="","",U1152-W1152)</f>
        <v/>
      </c>
      <c r="Y1152" s="26" t="str">
        <f aca="false">IF($A1152="","",U1152-W1152-M1152)</f>
        <v/>
      </c>
      <c r="AB1152" s="27" t="str">
        <f aca="false">IF($A1152="","",IF($AK1152=1,'كشف المطالبة'!$D$5,'كشف المطالبة'!$D$6)*100)</f>
        <v/>
      </c>
      <c r="AK1152" s="28" t="str">
        <f aca="false">IF($A1152="","",IF(OR($Q1152=TRUE(),$Q1152="TRUE"),1,0))</f>
        <v/>
      </c>
      <c r="AL1152" s="28" t="str">
        <f aca="false">IF($N1152="","",IF(MATCH($N1152,$N$2:$N$3001,0)=ROWS($N$2:$N1152),$N1152,""))</f>
        <v/>
      </c>
    </row>
    <row r="1153" customFormat="false" ht="15" hidden="false" customHeight="false" outlineLevel="0" collapsed="false">
      <c r="E1153" s="25"/>
      <c r="M1153" s="26" t="str">
        <f aca="false">IF($A1153="","",$L1153*$U1153/100)</f>
        <v/>
      </c>
      <c r="W1153" s="26" t="str">
        <f aca="false">IF($A1153="","",U1153*AB1153/100)</f>
        <v/>
      </c>
      <c r="X1153" s="26" t="str">
        <f aca="false">IF($A1153="","",U1153-W1153)</f>
        <v/>
      </c>
      <c r="Y1153" s="26" t="str">
        <f aca="false">IF($A1153="","",U1153-W1153-M1153)</f>
        <v/>
      </c>
      <c r="AB1153" s="27" t="str">
        <f aca="false">IF($A1153="","",IF($AK1153=1,'كشف المطالبة'!$D$5,'كشف المطالبة'!$D$6)*100)</f>
        <v/>
      </c>
      <c r="AK1153" s="28" t="str">
        <f aca="false">IF($A1153="","",IF(OR($Q1153=TRUE(),$Q1153="TRUE"),1,0))</f>
        <v/>
      </c>
      <c r="AL1153" s="28" t="str">
        <f aca="false">IF($N1153="","",IF(MATCH($N1153,$N$2:$N$3001,0)=ROWS($N$2:$N1153),$N1153,""))</f>
        <v/>
      </c>
    </row>
    <row r="1154" customFormat="false" ht="15" hidden="false" customHeight="false" outlineLevel="0" collapsed="false">
      <c r="E1154" s="25"/>
      <c r="M1154" s="26" t="str">
        <f aca="false">IF($A1154="","",$L1154*$U1154/100)</f>
        <v/>
      </c>
      <c r="W1154" s="26" t="str">
        <f aca="false">IF($A1154="","",U1154*AB1154/100)</f>
        <v/>
      </c>
      <c r="X1154" s="26" t="str">
        <f aca="false">IF($A1154="","",U1154-W1154)</f>
        <v/>
      </c>
      <c r="Y1154" s="26" t="str">
        <f aca="false">IF($A1154="","",U1154-W1154-M1154)</f>
        <v/>
      </c>
      <c r="AB1154" s="27" t="str">
        <f aca="false">IF($A1154="","",IF($AK1154=1,'كشف المطالبة'!$D$5,'كشف المطالبة'!$D$6)*100)</f>
        <v/>
      </c>
      <c r="AK1154" s="28" t="str">
        <f aca="false">IF($A1154="","",IF(OR($Q1154=TRUE(),$Q1154="TRUE"),1,0))</f>
        <v/>
      </c>
      <c r="AL1154" s="28" t="str">
        <f aca="false">IF($N1154="","",IF(MATCH($N1154,$N$2:$N$3001,0)=ROWS($N$2:$N1154),$N1154,""))</f>
        <v/>
      </c>
    </row>
    <row r="1155" customFormat="false" ht="15" hidden="false" customHeight="false" outlineLevel="0" collapsed="false">
      <c r="E1155" s="25"/>
      <c r="M1155" s="26" t="str">
        <f aca="false">IF($A1155="","",$L1155*$U1155/100)</f>
        <v/>
      </c>
      <c r="W1155" s="26" t="str">
        <f aca="false">IF($A1155="","",U1155*AB1155/100)</f>
        <v/>
      </c>
      <c r="X1155" s="26" t="str">
        <f aca="false">IF($A1155="","",U1155-W1155)</f>
        <v/>
      </c>
      <c r="Y1155" s="26" t="str">
        <f aca="false">IF($A1155="","",U1155-W1155-M1155)</f>
        <v/>
      </c>
      <c r="AB1155" s="27" t="str">
        <f aca="false">IF($A1155="","",IF($AK1155=1,'كشف المطالبة'!$D$5,'كشف المطالبة'!$D$6)*100)</f>
        <v/>
      </c>
      <c r="AK1155" s="28" t="str">
        <f aca="false">IF($A1155="","",IF(OR($Q1155=TRUE(),$Q1155="TRUE"),1,0))</f>
        <v/>
      </c>
      <c r="AL1155" s="28" t="str">
        <f aca="false">IF($N1155="","",IF(MATCH($N1155,$N$2:$N$3001,0)=ROWS($N$2:$N1155),$N1155,""))</f>
        <v/>
      </c>
    </row>
    <row r="1156" customFormat="false" ht="15" hidden="false" customHeight="false" outlineLevel="0" collapsed="false">
      <c r="E1156" s="25"/>
      <c r="M1156" s="26" t="str">
        <f aca="false">IF($A1156="","",$L1156*$U1156/100)</f>
        <v/>
      </c>
      <c r="W1156" s="26" t="str">
        <f aca="false">IF($A1156="","",U1156*AB1156/100)</f>
        <v/>
      </c>
      <c r="X1156" s="26" t="str">
        <f aca="false">IF($A1156="","",U1156-W1156)</f>
        <v/>
      </c>
      <c r="Y1156" s="26" t="str">
        <f aca="false">IF($A1156="","",U1156-W1156-M1156)</f>
        <v/>
      </c>
      <c r="AB1156" s="27" t="str">
        <f aca="false">IF($A1156="","",IF($AK1156=1,'كشف المطالبة'!$D$5,'كشف المطالبة'!$D$6)*100)</f>
        <v/>
      </c>
      <c r="AK1156" s="28" t="str">
        <f aca="false">IF($A1156="","",IF(OR($Q1156=TRUE(),$Q1156="TRUE"),1,0))</f>
        <v/>
      </c>
      <c r="AL1156" s="28" t="str">
        <f aca="false">IF($N1156="","",IF(MATCH($N1156,$N$2:$N$3001,0)=ROWS($N$2:$N1156),$N1156,""))</f>
        <v/>
      </c>
    </row>
    <row r="1157" customFormat="false" ht="15" hidden="false" customHeight="false" outlineLevel="0" collapsed="false">
      <c r="E1157" s="25"/>
      <c r="M1157" s="26" t="str">
        <f aca="false">IF($A1157="","",$L1157*$U1157/100)</f>
        <v/>
      </c>
      <c r="W1157" s="26" t="str">
        <f aca="false">IF($A1157="","",U1157*AB1157/100)</f>
        <v/>
      </c>
      <c r="X1157" s="26" t="str">
        <f aca="false">IF($A1157="","",U1157-W1157)</f>
        <v/>
      </c>
      <c r="Y1157" s="26" t="str">
        <f aca="false">IF($A1157="","",U1157-W1157-M1157)</f>
        <v/>
      </c>
      <c r="AB1157" s="27" t="str">
        <f aca="false">IF($A1157="","",IF($AK1157=1,'كشف المطالبة'!$D$5,'كشف المطالبة'!$D$6)*100)</f>
        <v/>
      </c>
      <c r="AK1157" s="28" t="str">
        <f aca="false">IF($A1157="","",IF(OR($Q1157=TRUE(),$Q1157="TRUE"),1,0))</f>
        <v/>
      </c>
      <c r="AL1157" s="28" t="str">
        <f aca="false">IF($N1157="","",IF(MATCH($N1157,$N$2:$N$3001,0)=ROWS($N$2:$N1157),$N1157,""))</f>
        <v/>
      </c>
    </row>
    <row r="1158" customFormat="false" ht="15" hidden="false" customHeight="false" outlineLevel="0" collapsed="false">
      <c r="E1158" s="25"/>
      <c r="M1158" s="26" t="str">
        <f aca="false">IF($A1158="","",$L1158*$U1158/100)</f>
        <v/>
      </c>
      <c r="W1158" s="26" t="str">
        <f aca="false">IF($A1158="","",U1158*AB1158/100)</f>
        <v/>
      </c>
      <c r="X1158" s="26" t="str">
        <f aca="false">IF($A1158="","",U1158-W1158)</f>
        <v/>
      </c>
      <c r="Y1158" s="26" t="str">
        <f aca="false">IF($A1158="","",U1158-W1158-M1158)</f>
        <v/>
      </c>
      <c r="AB1158" s="27" t="str">
        <f aca="false">IF($A1158="","",IF($AK1158=1,'كشف المطالبة'!$D$5,'كشف المطالبة'!$D$6)*100)</f>
        <v/>
      </c>
      <c r="AK1158" s="28" t="str">
        <f aca="false">IF($A1158="","",IF(OR($Q1158=TRUE(),$Q1158="TRUE"),1,0))</f>
        <v/>
      </c>
      <c r="AL1158" s="28" t="str">
        <f aca="false">IF($N1158="","",IF(MATCH($N1158,$N$2:$N$3001,0)=ROWS($N$2:$N1158),$N1158,""))</f>
        <v/>
      </c>
    </row>
    <row r="1159" customFormat="false" ht="15" hidden="false" customHeight="false" outlineLevel="0" collapsed="false">
      <c r="E1159" s="25"/>
      <c r="M1159" s="26" t="str">
        <f aca="false">IF($A1159="","",$L1159*$U1159/100)</f>
        <v/>
      </c>
      <c r="W1159" s="26" t="str">
        <f aca="false">IF($A1159="","",U1159*AB1159/100)</f>
        <v/>
      </c>
      <c r="X1159" s="26" t="str">
        <f aca="false">IF($A1159="","",U1159-W1159)</f>
        <v/>
      </c>
      <c r="Y1159" s="26" t="str">
        <f aca="false">IF($A1159="","",U1159-W1159-M1159)</f>
        <v/>
      </c>
      <c r="AB1159" s="27" t="str">
        <f aca="false">IF($A1159="","",IF($AK1159=1,'كشف المطالبة'!$D$5,'كشف المطالبة'!$D$6)*100)</f>
        <v/>
      </c>
      <c r="AK1159" s="28" t="str">
        <f aca="false">IF($A1159="","",IF(OR($Q1159=TRUE(),$Q1159="TRUE"),1,0))</f>
        <v/>
      </c>
      <c r="AL1159" s="28" t="str">
        <f aca="false">IF($N1159="","",IF(MATCH($N1159,$N$2:$N$3001,0)=ROWS($N$2:$N1159),$N1159,""))</f>
        <v/>
      </c>
    </row>
    <row r="1160" customFormat="false" ht="15" hidden="false" customHeight="false" outlineLevel="0" collapsed="false">
      <c r="E1160" s="25"/>
      <c r="M1160" s="26" t="str">
        <f aca="false">IF($A1160="","",$L1160*$U1160/100)</f>
        <v/>
      </c>
      <c r="W1160" s="26" t="str">
        <f aca="false">IF($A1160="","",U1160*AB1160/100)</f>
        <v/>
      </c>
      <c r="X1160" s="26" t="str">
        <f aca="false">IF($A1160="","",U1160-W1160)</f>
        <v/>
      </c>
      <c r="Y1160" s="26" t="str">
        <f aca="false">IF($A1160="","",U1160-W1160-M1160)</f>
        <v/>
      </c>
      <c r="AB1160" s="27" t="str">
        <f aca="false">IF($A1160="","",IF($AK1160=1,'كشف المطالبة'!$D$5,'كشف المطالبة'!$D$6)*100)</f>
        <v/>
      </c>
      <c r="AK1160" s="28" t="str">
        <f aca="false">IF($A1160="","",IF(OR($Q1160=TRUE(),$Q1160="TRUE"),1,0))</f>
        <v/>
      </c>
      <c r="AL1160" s="28" t="str">
        <f aca="false">IF($N1160="","",IF(MATCH($N1160,$N$2:$N$3001,0)=ROWS($N$2:$N1160),$N1160,""))</f>
        <v/>
      </c>
    </row>
    <row r="1161" customFormat="false" ht="15" hidden="false" customHeight="false" outlineLevel="0" collapsed="false">
      <c r="E1161" s="25"/>
      <c r="M1161" s="26" t="str">
        <f aca="false">IF($A1161="","",$L1161*$U1161/100)</f>
        <v/>
      </c>
      <c r="W1161" s="26" t="str">
        <f aca="false">IF($A1161="","",U1161*AB1161/100)</f>
        <v/>
      </c>
      <c r="X1161" s="26" t="str">
        <f aca="false">IF($A1161="","",U1161-W1161)</f>
        <v/>
      </c>
      <c r="Y1161" s="26" t="str">
        <f aca="false">IF($A1161="","",U1161-W1161-M1161)</f>
        <v/>
      </c>
      <c r="AB1161" s="27" t="str">
        <f aca="false">IF($A1161="","",IF($AK1161=1,'كشف المطالبة'!$D$5,'كشف المطالبة'!$D$6)*100)</f>
        <v/>
      </c>
      <c r="AK1161" s="28" t="str">
        <f aca="false">IF($A1161="","",IF(OR($Q1161=TRUE(),$Q1161="TRUE"),1,0))</f>
        <v/>
      </c>
      <c r="AL1161" s="28" t="str">
        <f aca="false">IF($N1161="","",IF(MATCH($N1161,$N$2:$N$3001,0)=ROWS($N$2:$N1161),$N1161,""))</f>
        <v/>
      </c>
    </row>
    <row r="1162" customFormat="false" ht="15" hidden="false" customHeight="false" outlineLevel="0" collapsed="false">
      <c r="E1162" s="25"/>
      <c r="M1162" s="26" t="str">
        <f aca="false">IF($A1162="","",$L1162*$U1162/100)</f>
        <v/>
      </c>
      <c r="W1162" s="26" t="str">
        <f aca="false">IF($A1162="","",U1162*AB1162/100)</f>
        <v/>
      </c>
      <c r="X1162" s="26" t="str">
        <f aca="false">IF($A1162="","",U1162-W1162)</f>
        <v/>
      </c>
      <c r="Y1162" s="26" t="str">
        <f aca="false">IF($A1162="","",U1162-W1162-M1162)</f>
        <v/>
      </c>
      <c r="AB1162" s="27" t="str">
        <f aca="false">IF($A1162="","",IF($AK1162=1,'كشف المطالبة'!$D$5,'كشف المطالبة'!$D$6)*100)</f>
        <v/>
      </c>
      <c r="AK1162" s="28" t="str">
        <f aca="false">IF($A1162="","",IF(OR($Q1162=TRUE(),$Q1162="TRUE"),1,0))</f>
        <v/>
      </c>
      <c r="AL1162" s="28" t="str">
        <f aca="false">IF($N1162="","",IF(MATCH($N1162,$N$2:$N$3001,0)=ROWS($N$2:$N1162),$N1162,""))</f>
        <v/>
      </c>
    </row>
    <row r="1163" customFormat="false" ht="15" hidden="false" customHeight="false" outlineLevel="0" collapsed="false">
      <c r="E1163" s="25"/>
      <c r="M1163" s="26" t="str">
        <f aca="false">IF($A1163="","",$L1163*$U1163/100)</f>
        <v/>
      </c>
      <c r="W1163" s="26" t="str">
        <f aca="false">IF($A1163="","",U1163*AB1163/100)</f>
        <v/>
      </c>
      <c r="X1163" s="26" t="str">
        <f aca="false">IF($A1163="","",U1163-W1163)</f>
        <v/>
      </c>
      <c r="Y1163" s="26" t="str">
        <f aca="false">IF($A1163="","",U1163-W1163-M1163)</f>
        <v/>
      </c>
      <c r="AB1163" s="27" t="str">
        <f aca="false">IF($A1163="","",IF($AK1163=1,'كشف المطالبة'!$D$5,'كشف المطالبة'!$D$6)*100)</f>
        <v/>
      </c>
      <c r="AK1163" s="28" t="str">
        <f aca="false">IF($A1163="","",IF(OR($Q1163=TRUE(),$Q1163="TRUE"),1,0))</f>
        <v/>
      </c>
      <c r="AL1163" s="28" t="str">
        <f aca="false">IF($N1163="","",IF(MATCH($N1163,$N$2:$N$3001,0)=ROWS($N$2:$N1163),$N1163,""))</f>
        <v/>
      </c>
    </row>
    <row r="1164" customFormat="false" ht="15" hidden="false" customHeight="false" outlineLevel="0" collapsed="false">
      <c r="E1164" s="25"/>
      <c r="M1164" s="26" t="str">
        <f aca="false">IF($A1164="","",$L1164*$U1164/100)</f>
        <v/>
      </c>
      <c r="W1164" s="26" t="str">
        <f aca="false">IF($A1164="","",U1164*AB1164/100)</f>
        <v/>
      </c>
      <c r="X1164" s="26" t="str">
        <f aca="false">IF($A1164="","",U1164-W1164)</f>
        <v/>
      </c>
      <c r="Y1164" s="26" t="str">
        <f aca="false">IF($A1164="","",U1164-W1164-M1164)</f>
        <v/>
      </c>
      <c r="AB1164" s="27" t="str">
        <f aca="false">IF($A1164="","",IF($AK1164=1,'كشف المطالبة'!$D$5,'كشف المطالبة'!$D$6)*100)</f>
        <v/>
      </c>
      <c r="AK1164" s="28" t="str">
        <f aca="false">IF($A1164="","",IF(OR($Q1164=TRUE(),$Q1164="TRUE"),1,0))</f>
        <v/>
      </c>
      <c r="AL1164" s="28" t="str">
        <f aca="false">IF($N1164="","",IF(MATCH($N1164,$N$2:$N$3001,0)=ROWS($N$2:$N1164),$N1164,""))</f>
        <v/>
      </c>
    </row>
    <row r="1165" customFormat="false" ht="15" hidden="false" customHeight="false" outlineLevel="0" collapsed="false">
      <c r="E1165" s="25"/>
      <c r="M1165" s="26" t="str">
        <f aca="false">IF($A1165="","",$L1165*$U1165/100)</f>
        <v/>
      </c>
      <c r="W1165" s="26" t="str">
        <f aca="false">IF($A1165="","",U1165*AB1165/100)</f>
        <v/>
      </c>
      <c r="X1165" s="26" t="str">
        <f aca="false">IF($A1165="","",U1165-W1165)</f>
        <v/>
      </c>
      <c r="Y1165" s="26" t="str">
        <f aca="false">IF($A1165="","",U1165-W1165-M1165)</f>
        <v/>
      </c>
      <c r="AB1165" s="27" t="str">
        <f aca="false">IF($A1165="","",IF($AK1165=1,'كشف المطالبة'!$D$5,'كشف المطالبة'!$D$6)*100)</f>
        <v/>
      </c>
      <c r="AK1165" s="28" t="str">
        <f aca="false">IF($A1165="","",IF(OR($Q1165=TRUE(),$Q1165="TRUE"),1,0))</f>
        <v/>
      </c>
      <c r="AL1165" s="28" t="str">
        <f aca="false">IF($N1165="","",IF(MATCH($N1165,$N$2:$N$3001,0)=ROWS($N$2:$N1165),$N1165,""))</f>
        <v/>
      </c>
    </row>
    <row r="1166" customFormat="false" ht="15" hidden="false" customHeight="false" outlineLevel="0" collapsed="false">
      <c r="E1166" s="25"/>
      <c r="M1166" s="26" t="str">
        <f aca="false">IF($A1166="","",$L1166*$U1166/100)</f>
        <v/>
      </c>
      <c r="W1166" s="26" t="str">
        <f aca="false">IF($A1166="","",U1166*AB1166/100)</f>
        <v/>
      </c>
      <c r="X1166" s="26" t="str">
        <f aca="false">IF($A1166="","",U1166-W1166)</f>
        <v/>
      </c>
      <c r="Y1166" s="26" t="str">
        <f aca="false">IF($A1166="","",U1166-W1166-M1166)</f>
        <v/>
      </c>
      <c r="AB1166" s="27" t="str">
        <f aca="false">IF($A1166="","",IF($AK1166=1,'كشف المطالبة'!$D$5,'كشف المطالبة'!$D$6)*100)</f>
        <v/>
      </c>
      <c r="AK1166" s="28" t="str">
        <f aca="false">IF($A1166="","",IF(OR($Q1166=TRUE(),$Q1166="TRUE"),1,0))</f>
        <v/>
      </c>
      <c r="AL1166" s="28" t="str">
        <f aca="false">IF($N1166="","",IF(MATCH($N1166,$N$2:$N$3001,0)=ROWS($N$2:$N1166),$N1166,""))</f>
        <v/>
      </c>
    </row>
    <row r="1167" customFormat="false" ht="15" hidden="false" customHeight="false" outlineLevel="0" collapsed="false">
      <c r="E1167" s="25"/>
      <c r="M1167" s="26" t="str">
        <f aca="false">IF($A1167="","",$L1167*$U1167/100)</f>
        <v/>
      </c>
      <c r="W1167" s="26" t="str">
        <f aca="false">IF($A1167="","",U1167*AB1167/100)</f>
        <v/>
      </c>
      <c r="X1167" s="26" t="str">
        <f aca="false">IF($A1167="","",U1167-W1167)</f>
        <v/>
      </c>
      <c r="Y1167" s="26" t="str">
        <f aca="false">IF($A1167="","",U1167-W1167-M1167)</f>
        <v/>
      </c>
      <c r="AB1167" s="27" t="str">
        <f aca="false">IF($A1167="","",IF($AK1167=1,'كشف المطالبة'!$D$5,'كشف المطالبة'!$D$6)*100)</f>
        <v/>
      </c>
      <c r="AK1167" s="28" t="str">
        <f aca="false">IF($A1167="","",IF(OR($Q1167=TRUE(),$Q1167="TRUE"),1,0))</f>
        <v/>
      </c>
      <c r="AL1167" s="28" t="str">
        <f aca="false">IF($N1167="","",IF(MATCH($N1167,$N$2:$N$3001,0)=ROWS($N$2:$N1167),$N1167,""))</f>
        <v/>
      </c>
    </row>
    <row r="1168" customFormat="false" ht="15" hidden="false" customHeight="false" outlineLevel="0" collapsed="false">
      <c r="E1168" s="25"/>
      <c r="M1168" s="26" t="str">
        <f aca="false">IF($A1168="","",$L1168*$U1168/100)</f>
        <v/>
      </c>
      <c r="W1168" s="26" t="str">
        <f aca="false">IF($A1168="","",U1168*AB1168/100)</f>
        <v/>
      </c>
      <c r="X1168" s="26" t="str">
        <f aca="false">IF($A1168="","",U1168-W1168)</f>
        <v/>
      </c>
      <c r="Y1168" s="26" t="str">
        <f aca="false">IF($A1168="","",U1168-W1168-M1168)</f>
        <v/>
      </c>
      <c r="AB1168" s="27" t="str">
        <f aca="false">IF($A1168="","",IF($AK1168=1,'كشف المطالبة'!$D$5,'كشف المطالبة'!$D$6)*100)</f>
        <v/>
      </c>
      <c r="AK1168" s="28" t="str">
        <f aca="false">IF($A1168="","",IF(OR($Q1168=TRUE(),$Q1168="TRUE"),1,0))</f>
        <v/>
      </c>
      <c r="AL1168" s="28" t="str">
        <f aca="false">IF($N1168="","",IF(MATCH($N1168,$N$2:$N$3001,0)=ROWS($N$2:$N1168),$N1168,""))</f>
        <v/>
      </c>
    </row>
    <row r="1169" customFormat="false" ht="15" hidden="false" customHeight="false" outlineLevel="0" collapsed="false">
      <c r="E1169" s="25"/>
      <c r="M1169" s="26" t="str">
        <f aca="false">IF($A1169="","",$L1169*$U1169/100)</f>
        <v/>
      </c>
      <c r="W1169" s="26" t="str">
        <f aca="false">IF($A1169="","",U1169*AB1169/100)</f>
        <v/>
      </c>
      <c r="X1169" s="26" t="str">
        <f aca="false">IF($A1169="","",U1169-W1169)</f>
        <v/>
      </c>
      <c r="Y1169" s="26" t="str">
        <f aca="false">IF($A1169="","",U1169-W1169-M1169)</f>
        <v/>
      </c>
      <c r="AB1169" s="27" t="str">
        <f aca="false">IF($A1169="","",IF($AK1169=1,'كشف المطالبة'!$D$5,'كشف المطالبة'!$D$6)*100)</f>
        <v/>
      </c>
      <c r="AK1169" s="28" t="str">
        <f aca="false">IF($A1169="","",IF(OR($Q1169=TRUE(),$Q1169="TRUE"),1,0))</f>
        <v/>
      </c>
      <c r="AL1169" s="28" t="str">
        <f aca="false">IF($N1169="","",IF(MATCH($N1169,$N$2:$N$3001,0)=ROWS($N$2:$N1169),$N1169,""))</f>
        <v/>
      </c>
    </row>
    <row r="1170" customFormat="false" ht="15" hidden="false" customHeight="false" outlineLevel="0" collapsed="false">
      <c r="E1170" s="25"/>
      <c r="M1170" s="26" t="str">
        <f aca="false">IF($A1170="","",$L1170*$U1170/100)</f>
        <v/>
      </c>
      <c r="W1170" s="26" t="str">
        <f aca="false">IF($A1170="","",U1170*AB1170/100)</f>
        <v/>
      </c>
      <c r="X1170" s="26" t="str">
        <f aca="false">IF($A1170="","",U1170-W1170)</f>
        <v/>
      </c>
      <c r="Y1170" s="26" t="str">
        <f aca="false">IF($A1170="","",U1170-W1170-M1170)</f>
        <v/>
      </c>
      <c r="AB1170" s="27" t="str">
        <f aca="false">IF($A1170="","",IF($AK1170=1,'كشف المطالبة'!$D$5,'كشف المطالبة'!$D$6)*100)</f>
        <v/>
      </c>
      <c r="AK1170" s="28" t="str">
        <f aca="false">IF($A1170="","",IF(OR($Q1170=TRUE(),$Q1170="TRUE"),1,0))</f>
        <v/>
      </c>
      <c r="AL1170" s="28" t="str">
        <f aca="false">IF($N1170="","",IF(MATCH($N1170,$N$2:$N$3001,0)=ROWS($N$2:$N1170),$N1170,""))</f>
        <v/>
      </c>
    </row>
    <row r="1171" customFormat="false" ht="15" hidden="false" customHeight="false" outlineLevel="0" collapsed="false">
      <c r="E1171" s="25"/>
      <c r="M1171" s="26" t="str">
        <f aca="false">IF($A1171="","",$L1171*$U1171/100)</f>
        <v/>
      </c>
      <c r="W1171" s="26" t="str">
        <f aca="false">IF($A1171="","",U1171*AB1171/100)</f>
        <v/>
      </c>
      <c r="X1171" s="26" t="str">
        <f aca="false">IF($A1171="","",U1171-W1171)</f>
        <v/>
      </c>
      <c r="Y1171" s="26" t="str">
        <f aca="false">IF($A1171="","",U1171-W1171-M1171)</f>
        <v/>
      </c>
      <c r="AB1171" s="27" t="str">
        <f aca="false">IF($A1171="","",IF($AK1171=1,'كشف المطالبة'!$D$5,'كشف المطالبة'!$D$6)*100)</f>
        <v/>
      </c>
      <c r="AK1171" s="28" t="str">
        <f aca="false">IF($A1171="","",IF(OR($Q1171=TRUE(),$Q1171="TRUE"),1,0))</f>
        <v/>
      </c>
      <c r="AL1171" s="28" t="str">
        <f aca="false">IF($N1171="","",IF(MATCH($N1171,$N$2:$N$3001,0)=ROWS($N$2:$N1171),$N1171,""))</f>
        <v/>
      </c>
    </row>
    <row r="1172" customFormat="false" ht="15" hidden="false" customHeight="false" outlineLevel="0" collapsed="false">
      <c r="E1172" s="25"/>
      <c r="M1172" s="26" t="str">
        <f aca="false">IF($A1172="","",$L1172*$U1172/100)</f>
        <v/>
      </c>
      <c r="W1172" s="26" t="str">
        <f aca="false">IF($A1172="","",U1172*AB1172/100)</f>
        <v/>
      </c>
      <c r="X1172" s="26" t="str">
        <f aca="false">IF($A1172="","",U1172-W1172)</f>
        <v/>
      </c>
      <c r="Y1172" s="26" t="str">
        <f aca="false">IF($A1172="","",U1172-W1172-M1172)</f>
        <v/>
      </c>
      <c r="AB1172" s="27" t="str">
        <f aca="false">IF($A1172="","",IF($AK1172=1,'كشف المطالبة'!$D$5,'كشف المطالبة'!$D$6)*100)</f>
        <v/>
      </c>
      <c r="AK1172" s="28" t="str">
        <f aca="false">IF($A1172="","",IF(OR($Q1172=TRUE(),$Q1172="TRUE"),1,0))</f>
        <v/>
      </c>
      <c r="AL1172" s="28" t="str">
        <f aca="false">IF($N1172="","",IF(MATCH($N1172,$N$2:$N$3001,0)=ROWS($N$2:$N1172),$N1172,""))</f>
        <v/>
      </c>
    </row>
    <row r="1173" customFormat="false" ht="15" hidden="false" customHeight="false" outlineLevel="0" collapsed="false">
      <c r="E1173" s="25"/>
      <c r="M1173" s="26" t="str">
        <f aca="false">IF($A1173="","",$L1173*$U1173/100)</f>
        <v/>
      </c>
      <c r="W1173" s="26" t="str">
        <f aca="false">IF($A1173="","",U1173*AB1173/100)</f>
        <v/>
      </c>
      <c r="X1173" s="26" t="str">
        <f aca="false">IF($A1173="","",U1173-W1173)</f>
        <v/>
      </c>
      <c r="Y1173" s="26" t="str">
        <f aca="false">IF($A1173="","",U1173-W1173-M1173)</f>
        <v/>
      </c>
      <c r="AB1173" s="27" t="str">
        <f aca="false">IF($A1173="","",IF($AK1173=1,'كشف المطالبة'!$D$5,'كشف المطالبة'!$D$6)*100)</f>
        <v/>
      </c>
      <c r="AK1173" s="28" t="str">
        <f aca="false">IF($A1173="","",IF(OR($Q1173=TRUE(),$Q1173="TRUE"),1,0))</f>
        <v/>
      </c>
      <c r="AL1173" s="28" t="str">
        <f aca="false">IF($N1173="","",IF(MATCH($N1173,$N$2:$N$3001,0)=ROWS($N$2:$N1173),$N1173,""))</f>
        <v/>
      </c>
    </row>
    <row r="1174" customFormat="false" ht="15" hidden="false" customHeight="false" outlineLevel="0" collapsed="false">
      <c r="E1174" s="25"/>
      <c r="M1174" s="26" t="str">
        <f aca="false">IF($A1174="","",$L1174*$U1174/100)</f>
        <v/>
      </c>
      <c r="W1174" s="26" t="str">
        <f aca="false">IF($A1174="","",U1174*AB1174/100)</f>
        <v/>
      </c>
      <c r="X1174" s="26" t="str">
        <f aca="false">IF($A1174="","",U1174-W1174)</f>
        <v/>
      </c>
      <c r="Y1174" s="26" t="str">
        <f aca="false">IF($A1174="","",U1174-W1174-M1174)</f>
        <v/>
      </c>
      <c r="AB1174" s="27" t="str">
        <f aca="false">IF($A1174="","",IF($AK1174=1,'كشف المطالبة'!$D$5,'كشف المطالبة'!$D$6)*100)</f>
        <v/>
      </c>
      <c r="AK1174" s="28" t="str">
        <f aca="false">IF($A1174="","",IF(OR($Q1174=TRUE(),$Q1174="TRUE"),1,0))</f>
        <v/>
      </c>
      <c r="AL1174" s="28" t="str">
        <f aca="false">IF($N1174="","",IF(MATCH($N1174,$N$2:$N$3001,0)=ROWS($N$2:$N1174),$N1174,""))</f>
        <v/>
      </c>
    </row>
    <row r="1175" customFormat="false" ht="15" hidden="false" customHeight="false" outlineLevel="0" collapsed="false">
      <c r="E1175" s="25"/>
      <c r="M1175" s="26" t="str">
        <f aca="false">IF($A1175="","",$L1175*$U1175/100)</f>
        <v/>
      </c>
      <c r="W1175" s="26" t="str">
        <f aca="false">IF($A1175="","",U1175*AB1175/100)</f>
        <v/>
      </c>
      <c r="X1175" s="26" t="str">
        <f aca="false">IF($A1175="","",U1175-W1175)</f>
        <v/>
      </c>
      <c r="Y1175" s="26" t="str">
        <f aca="false">IF($A1175="","",U1175-W1175-M1175)</f>
        <v/>
      </c>
      <c r="AB1175" s="27" t="str">
        <f aca="false">IF($A1175="","",IF($AK1175=1,'كشف المطالبة'!$D$5,'كشف المطالبة'!$D$6)*100)</f>
        <v/>
      </c>
      <c r="AK1175" s="28" t="str">
        <f aca="false">IF($A1175="","",IF(OR($Q1175=TRUE(),$Q1175="TRUE"),1,0))</f>
        <v/>
      </c>
      <c r="AL1175" s="28" t="str">
        <f aca="false">IF($N1175="","",IF(MATCH($N1175,$N$2:$N$3001,0)=ROWS($N$2:$N1175),$N1175,""))</f>
        <v/>
      </c>
    </row>
    <row r="1176" customFormat="false" ht="15" hidden="false" customHeight="false" outlineLevel="0" collapsed="false">
      <c r="E1176" s="25"/>
      <c r="M1176" s="26" t="str">
        <f aca="false">IF($A1176="","",$L1176*$U1176/100)</f>
        <v/>
      </c>
      <c r="W1176" s="26" t="str">
        <f aca="false">IF($A1176="","",U1176*AB1176/100)</f>
        <v/>
      </c>
      <c r="X1176" s="26" t="str">
        <f aca="false">IF($A1176="","",U1176-W1176)</f>
        <v/>
      </c>
      <c r="Y1176" s="26" t="str">
        <f aca="false">IF($A1176="","",U1176-W1176-M1176)</f>
        <v/>
      </c>
      <c r="AB1176" s="27" t="str">
        <f aca="false">IF($A1176="","",IF($AK1176=1,'كشف المطالبة'!$D$5,'كشف المطالبة'!$D$6)*100)</f>
        <v/>
      </c>
      <c r="AK1176" s="28" t="str">
        <f aca="false">IF($A1176="","",IF(OR($Q1176=TRUE(),$Q1176="TRUE"),1,0))</f>
        <v/>
      </c>
      <c r="AL1176" s="28" t="str">
        <f aca="false">IF($N1176="","",IF(MATCH($N1176,$N$2:$N$3001,0)=ROWS($N$2:$N1176),$N1176,""))</f>
        <v/>
      </c>
    </row>
    <row r="1177" customFormat="false" ht="15" hidden="false" customHeight="false" outlineLevel="0" collapsed="false">
      <c r="E1177" s="25"/>
      <c r="M1177" s="26" t="str">
        <f aca="false">IF($A1177="","",$L1177*$U1177/100)</f>
        <v/>
      </c>
      <c r="W1177" s="26" t="str">
        <f aca="false">IF($A1177="","",U1177*AB1177/100)</f>
        <v/>
      </c>
      <c r="X1177" s="26" t="str">
        <f aca="false">IF($A1177="","",U1177-W1177)</f>
        <v/>
      </c>
      <c r="Y1177" s="26" t="str">
        <f aca="false">IF($A1177="","",U1177-W1177-M1177)</f>
        <v/>
      </c>
      <c r="AB1177" s="27" t="str">
        <f aca="false">IF($A1177="","",IF($AK1177=1,'كشف المطالبة'!$D$5,'كشف المطالبة'!$D$6)*100)</f>
        <v/>
      </c>
      <c r="AK1177" s="28" t="str">
        <f aca="false">IF($A1177="","",IF(OR($Q1177=TRUE(),$Q1177="TRUE"),1,0))</f>
        <v/>
      </c>
      <c r="AL1177" s="28" t="str">
        <f aca="false">IF($N1177="","",IF(MATCH($N1177,$N$2:$N$3001,0)=ROWS($N$2:$N1177),$N1177,""))</f>
        <v/>
      </c>
    </row>
    <row r="1178" customFormat="false" ht="15" hidden="false" customHeight="false" outlineLevel="0" collapsed="false">
      <c r="E1178" s="25"/>
      <c r="M1178" s="26" t="str">
        <f aca="false">IF($A1178="","",$L1178*$U1178/100)</f>
        <v/>
      </c>
      <c r="W1178" s="26" t="str">
        <f aca="false">IF($A1178="","",U1178*AB1178/100)</f>
        <v/>
      </c>
      <c r="X1178" s="26" t="str">
        <f aca="false">IF($A1178="","",U1178-W1178)</f>
        <v/>
      </c>
      <c r="Y1178" s="26" t="str">
        <f aca="false">IF($A1178="","",U1178-W1178-M1178)</f>
        <v/>
      </c>
      <c r="AB1178" s="27" t="str">
        <f aca="false">IF($A1178="","",IF($AK1178=1,'كشف المطالبة'!$D$5,'كشف المطالبة'!$D$6)*100)</f>
        <v/>
      </c>
      <c r="AK1178" s="28" t="str">
        <f aca="false">IF($A1178="","",IF(OR($Q1178=TRUE(),$Q1178="TRUE"),1,0))</f>
        <v/>
      </c>
      <c r="AL1178" s="28" t="str">
        <f aca="false">IF($N1178="","",IF(MATCH($N1178,$N$2:$N$3001,0)=ROWS($N$2:$N1178),$N1178,""))</f>
        <v/>
      </c>
    </row>
    <row r="1179" customFormat="false" ht="15" hidden="false" customHeight="false" outlineLevel="0" collapsed="false">
      <c r="E1179" s="25"/>
      <c r="M1179" s="26" t="str">
        <f aca="false">IF($A1179="","",$L1179*$U1179/100)</f>
        <v/>
      </c>
      <c r="W1179" s="26" t="str">
        <f aca="false">IF($A1179="","",U1179*AB1179/100)</f>
        <v/>
      </c>
      <c r="X1179" s="26" t="str">
        <f aca="false">IF($A1179="","",U1179-W1179)</f>
        <v/>
      </c>
      <c r="Y1179" s="26" t="str">
        <f aca="false">IF($A1179="","",U1179-W1179-M1179)</f>
        <v/>
      </c>
      <c r="AB1179" s="27" t="str">
        <f aca="false">IF($A1179="","",IF($AK1179=1,'كشف المطالبة'!$D$5,'كشف المطالبة'!$D$6)*100)</f>
        <v/>
      </c>
      <c r="AK1179" s="28" t="str">
        <f aca="false">IF($A1179="","",IF(OR($Q1179=TRUE(),$Q1179="TRUE"),1,0))</f>
        <v/>
      </c>
      <c r="AL1179" s="28" t="str">
        <f aca="false">IF($N1179="","",IF(MATCH($N1179,$N$2:$N$3001,0)=ROWS($N$2:$N1179),$N1179,""))</f>
        <v/>
      </c>
    </row>
    <row r="1180" customFormat="false" ht="15" hidden="false" customHeight="false" outlineLevel="0" collapsed="false">
      <c r="E1180" s="25"/>
      <c r="M1180" s="26" t="str">
        <f aca="false">IF($A1180="","",$L1180*$U1180/100)</f>
        <v/>
      </c>
      <c r="W1180" s="26" t="str">
        <f aca="false">IF($A1180="","",U1180*AB1180/100)</f>
        <v/>
      </c>
      <c r="X1180" s="26" t="str">
        <f aca="false">IF($A1180="","",U1180-W1180)</f>
        <v/>
      </c>
      <c r="Y1180" s="26" t="str">
        <f aca="false">IF($A1180="","",U1180-W1180-M1180)</f>
        <v/>
      </c>
      <c r="AB1180" s="27" t="str">
        <f aca="false">IF($A1180="","",IF($AK1180=1,'كشف المطالبة'!$D$5,'كشف المطالبة'!$D$6)*100)</f>
        <v/>
      </c>
      <c r="AK1180" s="28" t="str">
        <f aca="false">IF($A1180="","",IF(OR($Q1180=TRUE(),$Q1180="TRUE"),1,0))</f>
        <v/>
      </c>
      <c r="AL1180" s="28" t="str">
        <f aca="false">IF($N1180="","",IF(MATCH($N1180,$N$2:$N$3001,0)=ROWS($N$2:$N1180),$N1180,""))</f>
        <v/>
      </c>
    </row>
    <row r="1181" customFormat="false" ht="15" hidden="false" customHeight="false" outlineLevel="0" collapsed="false">
      <c r="E1181" s="25"/>
      <c r="M1181" s="26" t="str">
        <f aca="false">IF($A1181="","",$L1181*$U1181/100)</f>
        <v/>
      </c>
      <c r="W1181" s="26" t="str">
        <f aca="false">IF($A1181="","",U1181*AB1181/100)</f>
        <v/>
      </c>
      <c r="X1181" s="26" t="str">
        <f aca="false">IF($A1181="","",U1181-W1181)</f>
        <v/>
      </c>
      <c r="Y1181" s="26" t="str">
        <f aca="false">IF($A1181="","",U1181-W1181-M1181)</f>
        <v/>
      </c>
      <c r="AB1181" s="27" t="str">
        <f aca="false">IF($A1181="","",IF($AK1181=1,'كشف المطالبة'!$D$5,'كشف المطالبة'!$D$6)*100)</f>
        <v/>
      </c>
      <c r="AK1181" s="28" t="str">
        <f aca="false">IF($A1181="","",IF(OR($Q1181=TRUE(),$Q1181="TRUE"),1,0))</f>
        <v/>
      </c>
      <c r="AL1181" s="28" t="str">
        <f aca="false">IF($N1181="","",IF(MATCH($N1181,$N$2:$N$3001,0)=ROWS($N$2:$N1181),$N1181,""))</f>
        <v/>
      </c>
    </row>
    <row r="1182" customFormat="false" ht="15" hidden="false" customHeight="false" outlineLevel="0" collapsed="false">
      <c r="E1182" s="25"/>
      <c r="M1182" s="26" t="str">
        <f aca="false">IF($A1182="","",$L1182*$U1182/100)</f>
        <v/>
      </c>
      <c r="W1182" s="26" t="str">
        <f aca="false">IF($A1182="","",U1182*AB1182/100)</f>
        <v/>
      </c>
      <c r="X1182" s="26" t="str">
        <f aca="false">IF($A1182="","",U1182-W1182)</f>
        <v/>
      </c>
      <c r="Y1182" s="26" t="str">
        <f aca="false">IF($A1182="","",U1182-W1182-M1182)</f>
        <v/>
      </c>
      <c r="AB1182" s="27" t="str">
        <f aca="false">IF($A1182="","",IF($AK1182=1,'كشف المطالبة'!$D$5,'كشف المطالبة'!$D$6)*100)</f>
        <v/>
      </c>
      <c r="AK1182" s="28" t="str">
        <f aca="false">IF($A1182="","",IF(OR($Q1182=TRUE(),$Q1182="TRUE"),1,0))</f>
        <v/>
      </c>
      <c r="AL1182" s="28" t="str">
        <f aca="false">IF($N1182="","",IF(MATCH($N1182,$N$2:$N$3001,0)=ROWS($N$2:$N1182),$N1182,""))</f>
        <v/>
      </c>
    </row>
    <row r="1183" customFormat="false" ht="15" hidden="false" customHeight="false" outlineLevel="0" collapsed="false">
      <c r="E1183" s="25"/>
      <c r="M1183" s="26" t="str">
        <f aca="false">IF($A1183="","",$L1183*$U1183/100)</f>
        <v/>
      </c>
      <c r="W1183" s="26" t="str">
        <f aca="false">IF($A1183="","",U1183*AB1183/100)</f>
        <v/>
      </c>
      <c r="X1183" s="26" t="str">
        <f aca="false">IF($A1183="","",U1183-W1183)</f>
        <v/>
      </c>
      <c r="Y1183" s="26" t="str">
        <f aca="false">IF($A1183="","",U1183-W1183-M1183)</f>
        <v/>
      </c>
      <c r="AB1183" s="27" t="str">
        <f aca="false">IF($A1183="","",IF($AK1183=1,'كشف المطالبة'!$D$5,'كشف المطالبة'!$D$6)*100)</f>
        <v/>
      </c>
      <c r="AK1183" s="28" t="str">
        <f aca="false">IF($A1183="","",IF(OR($Q1183=TRUE(),$Q1183="TRUE"),1,0))</f>
        <v/>
      </c>
      <c r="AL1183" s="28" t="str">
        <f aca="false">IF($N1183="","",IF(MATCH($N1183,$N$2:$N$3001,0)=ROWS($N$2:$N1183),$N1183,""))</f>
        <v/>
      </c>
    </row>
    <row r="1184" customFormat="false" ht="15" hidden="false" customHeight="false" outlineLevel="0" collapsed="false">
      <c r="E1184" s="25"/>
      <c r="M1184" s="26" t="str">
        <f aca="false">IF($A1184="","",$L1184*$U1184/100)</f>
        <v/>
      </c>
      <c r="W1184" s="26" t="str">
        <f aca="false">IF($A1184="","",U1184*AB1184/100)</f>
        <v/>
      </c>
      <c r="X1184" s="26" t="str">
        <f aca="false">IF($A1184="","",U1184-W1184)</f>
        <v/>
      </c>
      <c r="Y1184" s="26" t="str">
        <f aca="false">IF($A1184="","",U1184-W1184-M1184)</f>
        <v/>
      </c>
      <c r="AB1184" s="27" t="str">
        <f aca="false">IF($A1184="","",IF($AK1184=1,'كشف المطالبة'!$D$5,'كشف المطالبة'!$D$6)*100)</f>
        <v/>
      </c>
      <c r="AK1184" s="28" t="str">
        <f aca="false">IF($A1184="","",IF(OR($Q1184=TRUE(),$Q1184="TRUE"),1,0))</f>
        <v/>
      </c>
      <c r="AL1184" s="28" t="str">
        <f aca="false">IF($N1184="","",IF(MATCH($N1184,$N$2:$N$3001,0)=ROWS($N$2:$N1184),$N1184,""))</f>
        <v/>
      </c>
    </row>
    <row r="1185" customFormat="false" ht="15" hidden="false" customHeight="false" outlineLevel="0" collapsed="false">
      <c r="E1185" s="25"/>
      <c r="M1185" s="26" t="str">
        <f aca="false">IF($A1185="","",$L1185*$U1185/100)</f>
        <v/>
      </c>
      <c r="W1185" s="26" t="str">
        <f aca="false">IF($A1185="","",U1185*AB1185/100)</f>
        <v/>
      </c>
      <c r="X1185" s="26" t="str">
        <f aca="false">IF($A1185="","",U1185-W1185)</f>
        <v/>
      </c>
      <c r="Y1185" s="26" t="str">
        <f aca="false">IF($A1185="","",U1185-W1185-M1185)</f>
        <v/>
      </c>
      <c r="AB1185" s="27" t="str">
        <f aca="false">IF($A1185="","",IF($AK1185=1,'كشف المطالبة'!$D$5,'كشف المطالبة'!$D$6)*100)</f>
        <v/>
      </c>
      <c r="AK1185" s="28" t="str">
        <f aca="false">IF($A1185="","",IF(OR($Q1185=TRUE(),$Q1185="TRUE"),1,0))</f>
        <v/>
      </c>
      <c r="AL1185" s="28" t="str">
        <f aca="false">IF($N1185="","",IF(MATCH($N1185,$N$2:$N$3001,0)=ROWS($N$2:$N1185),$N1185,""))</f>
        <v/>
      </c>
    </row>
    <row r="1186" customFormat="false" ht="15" hidden="false" customHeight="false" outlineLevel="0" collapsed="false">
      <c r="E1186" s="25"/>
      <c r="M1186" s="26" t="str">
        <f aca="false">IF($A1186="","",$L1186*$U1186/100)</f>
        <v/>
      </c>
      <c r="W1186" s="26" t="str">
        <f aca="false">IF($A1186="","",U1186*AB1186/100)</f>
        <v/>
      </c>
      <c r="X1186" s="26" t="str">
        <f aca="false">IF($A1186="","",U1186-W1186)</f>
        <v/>
      </c>
      <c r="Y1186" s="26" t="str">
        <f aca="false">IF($A1186="","",U1186-W1186-M1186)</f>
        <v/>
      </c>
      <c r="AB1186" s="27" t="str">
        <f aca="false">IF($A1186="","",IF($AK1186=1,'كشف المطالبة'!$D$5,'كشف المطالبة'!$D$6)*100)</f>
        <v/>
      </c>
      <c r="AK1186" s="28" t="str">
        <f aca="false">IF($A1186="","",IF(OR($Q1186=TRUE(),$Q1186="TRUE"),1,0))</f>
        <v/>
      </c>
      <c r="AL1186" s="28" t="str">
        <f aca="false">IF($N1186="","",IF(MATCH($N1186,$N$2:$N$3001,0)=ROWS($N$2:$N1186),$N1186,""))</f>
        <v/>
      </c>
    </row>
    <row r="1187" customFormat="false" ht="15" hidden="false" customHeight="false" outlineLevel="0" collapsed="false">
      <c r="E1187" s="25"/>
      <c r="M1187" s="26" t="str">
        <f aca="false">IF($A1187="","",$L1187*$U1187/100)</f>
        <v/>
      </c>
      <c r="W1187" s="26" t="str">
        <f aca="false">IF($A1187="","",U1187*AB1187/100)</f>
        <v/>
      </c>
      <c r="X1187" s="26" t="str">
        <f aca="false">IF($A1187="","",U1187-W1187)</f>
        <v/>
      </c>
      <c r="Y1187" s="26" t="str">
        <f aca="false">IF($A1187="","",U1187-W1187-M1187)</f>
        <v/>
      </c>
      <c r="AB1187" s="27" t="str">
        <f aca="false">IF($A1187="","",IF($AK1187=1,'كشف المطالبة'!$D$5,'كشف المطالبة'!$D$6)*100)</f>
        <v/>
      </c>
      <c r="AK1187" s="28" t="str">
        <f aca="false">IF($A1187="","",IF(OR($Q1187=TRUE(),$Q1187="TRUE"),1,0))</f>
        <v/>
      </c>
      <c r="AL1187" s="28" t="str">
        <f aca="false">IF($N1187="","",IF(MATCH($N1187,$N$2:$N$3001,0)=ROWS($N$2:$N1187),$N1187,""))</f>
        <v/>
      </c>
    </row>
    <row r="1188" customFormat="false" ht="15" hidden="false" customHeight="false" outlineLevel="0" collapsed="false">
      <c r="E1188" s="25"/>
      <c r="M1188" s="26" t="str">
        <f aca="false">IF($A1188="","",$L1188*$U1188/100)</f>
        <v/>
      </c>
      <c r="W1188" s="26" t="str">
        <f aca="false">IF($A1188="","",U1188*AB1188/100)</f>
        <v/>
      </c>
      <c r="X1188" s="26" t="str">
        <f aca="false">IF($A1188="","",U1188-W1188)</f>
        <v/>
      </c>
      <c r="Y1188" s="26" t="str">
        <f aca="false">IF($A1188="","",U1188-W1188-M1188)</f>
        <v/>
      </c>
      <c r="AB1188" s="27" t="str">
        <f aca="false">IF($A1188="","",IF($AK1188=1,'كشف المطالبة'!$D$5,'كشف المطالبة'!$D$6)*100)</f>
        <v/>
      </c>
      <c r="AK1188" s="28" t="str">
        <f aca="false">IF($A1188="","",IF(OR($Q1188=TRUE(),$Q1188="TRUE"),1,0))</f>
        <v/>
      </c>
      <c r="AL1188" s="28" t="str">
        <f aca="false">IF($N1188="","",IF(MATCH($N1188,$N$2:$N$3001,0)=ROWS($N$2:$N1188),$N1188,""))</f>
        <v/>
      </c>
    </row>
    <row r="1189" customFormat="false" ht="15" hidden="false" customHeight="false" outlineLevel="0" collapsed="false">
      <c r="E1189" s="25"/>
      <c r="M1189" s="26" t="str">
        <f aca="false">IF($A1189="","",$L1189*$U1189/100)</f>
        <v/>
      </c>
      <c r="W1189" s="26" t="str">
        <f aca="false">IF($A1189="","",U1189*AB1189/100)</f>
        <v/>
      </c>
      <c r="X1189" s="26" t="str">
        <f aca="false">IF($A1189="","",U1189-W1189)</f>
        <v/>
      </c>
      <c r="Y1189" s="26" t="str">
        <f aca="false">IF($A1189="","",U1189-W1189-M1189)</f>
        <v/>
      </c>
      <c r="AB1189" s="27" t="str">
        <f aca="false">IF($A1189="","",IF($AK1189=1,'كشف المطالبة'!$D$5,'كشف المطالبة'!$D$6)*100)</f>
        <v/>
      </c>
      <c r="AK1189" s="28" t="str">
        <f aca="false">IF($A1189="","",IF(OR($Q1189=TRUE(),$Q1189="TRUE"),1,0))</f>
        <v/>
      </c>
      <c r="AL1189" s="28" t="str">
        <f aca="false">IF($N1189="","",IF(MATCH($N1189,$N$2:$N$3001,0)=ROWS($N$2:$N1189),$N1189,""))</f>
        <v/>
      </c>
    </row>
    <row r="1190" customFormat="false" ht="15" hidden="false" customHeight="false" outlineLevel="0" collapsed="false">
      <c r="E1190" s="25"/>
      <c r="M1190" s="26" t="str">
        <f aca="false">IF($A1190="","",$L1190*$U1190/100)</f>
        <v/>
      </c>
      <c r="W1190" s="26" t="str">
        <f aca="false">IF($A1190="","",U1190*AB1190/100)</f>
        <v/>
      </c>
      <c r="X1190" s="26" t="str">
        <f aca="false">IF($A1190="","",U1190-W1190)</f>
        <v/>
      </c>
      <c r="Y1190" s="26" t="str">
        <f aca="false">IF($A1190="","",U1190-W1190-M1190)</f>
        <v/>
      </c>
      <c r="AB1190" s="27" t="str">
        <f aca="false">IF($A1190="","",IF($AK1190=1,'كشف المطالبة'!$D$5,'كشف المطالبة'!$D$6)*100)</f>
        <v/>
      </c>
      <c r="AK1190" s="28" t="str">
        <f aca="false">IF($A1190="","",IF(OR($Q1190=TRUE(),$Q1190="TRUE"),1,0))</f>
        <v/>
      </c>
      <c r="AL1190" s="28" t="str">
        <f aca="false">IF($N1190="","",IF(MATCH($N1190,$N$2:$N$3001,0)=ROWS($N$2:$N1190),$N1190,""))</f>
        <v/>
      </c>
    </row>
    <row r="1191" customFormat="false" ht="15" hidden="false" customHeight="false" outlineLevel="0" collapsed="false">
      <c r="E1191" s="25"/>
      <c r="M1191" s="26" t="str">
        <f aca="false">IF($A1191="","",$L1191*$U1191/100)</f>
        <v/>
      </c>
      <c r="W1191" s="26" t="str">
        <f aca="false">IF($A1191="","",U1191*AB1191/100)</f>
        <v/>
      </c>
      <c r="X1191" s="26" t="str">
        <f aca="false">IF($A1191="","",U1191-W1191)</f>
        <v/>
      </c>
      <c r="Y1191" s="26" t="str">
        <f aca="false">IF($A1191="","",U1191-W1191-M1191)</f>
        <v/>
      </c>
      <c r="AB1191" s="27" t="str">
        <f aca="false">IF($A1191="","",IF($AK1191=1,'كشف المطالبة'!$D$5,'كشف المطالبة'!$D$6)*100)</f>
        <v/>
      </c>
      <c r="AK1191" s="28" t="str">
        <f aca="false">IF($A1191="","",IF(OR($Q1191=TRUE(),$Q1191="TRUE"),1,0))</f>
        <v/>
      </c>
      <c r="AL1191" s="28" t="str">
        <f aca="false">IF($N1191="","",IF(MATCH($N1191,$N$2:$N$3001,0)=ROWS($N$2:$N1191),$N1191,""))</f>
        <v/>
      </c>
    </row>
    <row r="1192" customFormat="false" ht="15" hidden="false" customHeight="false" outlineLevel="0" collapsed="false">
      <c r="E1192" s="25"/>
      <c r="M1192" s="26" t="str">
        <f aca="false">IF($A1192="","",$L1192*$U1192/100)</f>
        <v/>
      </c>
      <c r="W1192" s="26" t="str">
        <f aca="false">IF($A1192="","",U1192*AB1192/100)</f>
        <v/>
      </c>
      <c r="X1192" s="26" t="str">
        <f aca="false">IF($A1192="","",U1192-W1192)</f>
        <v/>
      </c>
      <c r="Y1192" s="26" t="str">
        <f aca="false">IF($A1192="","",U1192-W1192-M1192)</f>
        <v/>
      </c>
      <c r="AB1192" s="27" t="str">
        <f aca="false">IF($A1192="","",IF($AK1192=1,'كشف المطالبة'!$D$5,'كشف المطالبة'!$D$6)*100)</f>
        <v/>
      </c>
      <c r="AK1192" s="28" t="str">
        <f aca="false">IF($A1192="","",IF(OR($Q1192=TRUE(),$Q1192="TRUE"),1,0))</f>
        <v/>
      </c>
      <c r="AL1192" s="28" t="str">
        <f aca="false">IF($N1192="","",IF(MATCH($N1192,$N$2:$N$3001,0)=ROWS($N$2:$N1192),$N1192,""))</f>
        <v/>
      </c>
    </row>
    <row r="1193" customFormat="false" ht="15" hidden="false" customHeight="false" outlineLevel="0" collapsed="false">
      <c r="E1193" s="25"/>
      <c r="M1193" s="26" t="str">
        <f aca="false">IF($A1193="","",$L1193*$U1193/100)</f>
        <v/>
      </c>
      <c r="W1193" s="26" t="str">
        <f aca="false">IF($A1193="","",U1193*AB1193/100)</f>
        <v/>
      </c>
      <c r="X1193" s="26" t="str">
        <f aca="false">IF($A1193="","",U1193-W1193)</f>
        <v/>
      </c>
      <c r="Y1193" s="26" t="str">
        <f aca="false">IF($A1193="","",U1193-W1193-M1193)</f>
        <v/>
      </c>
      <c r="AB1193" s="27" t="str">
        <f aca="false">IF($A1193="","",IF($AK1193=1,'كشف المطالبة'!$D$5,'كشف المطالبة'!$D$6)*100)</f>
        <v/>
      </c>
      <c r="AK1193" s="28" t="str">
        <f aca="false">IF($A1193="","",IF(OR($Q1193=TRUE(),$Q1193="TRUE"),1,0))</f>
        <v/>
      </c>
      <c r="AL1193" s="28" t="str">
        <f aca="false">IF($N1193="","",IF(MATCH($N1193,$N$2:$N$3001,0)=ROWS($N$2:$N1193),$N1193,""))</f>
        <v/>
      </c>
    </row>
    <row r="1194" customFormat="false" ht="15" hidden="false" customHeight="false" outlineLevel="0" collapsed="false">
      <c r="E1194" s="25"/>
      <c r="M1194" s="26" t="str">
        <f aca="false">IF($A1194="","",$L1194*$U1194/100)</f>
        <v/>
      </c>
      <c r="W1194" s="26" t="str">
        <f aca="false">IF($A1194="","",U1194*AB1194/100)</f>
        <v/>
      </c>
      <c r="X1194" s="26" t="str">
        <f aca="false">IF($A1194="","",U1194-W1194)</f>
        <v/>
      </c>
      <c r="Y1194" s="26" t="str">
        <f aca="false">IF($A1194="","",U1194-W1194-M1194)</f>
        <v/>
      </c>
      <c r="AB1194" s="27" t="str">
        <f aca="false">IF($A1194="","",IF($AK1194=1,'كشف المطالبة'!$D$5,'كشف المطالبة'!$D$6)*100)</f>
        <v/>
      </c>
      <c r="AK1194" s="28" t="str">
        <f aca="false">IF($A1194="","",IF(OR($Q1194=TRUE(),$Q1194="TRUE"),1,0))</f>
        <v/>
      </c>
      <c r="AL1194" s="28" t="str">
        <f aca="false">IF($N1194="","",IF(MATCH($N1194,$N$2:$N$3001,0)=ROWS($N$2:$N1194),$N1194,""))</f>
        <v/>
      </c>
    </row>
    <row r="1195" customFormat="false" ht="15" hidden="false" customHeight="false" outlineLevel="0" collapsed="false">
      <c r="E1195" s="25"/>
      <c r="M1195" s="26" t="str">
        <f aca="false">IF($A1195="","",$L1195*$U1195/100)</f>
        <v/>
      </c>
      <c r="W1195" s="26" t="str">
        <f aca="false">IF($A1195="","",U1195*AB1195/100)</f>
        <v/>
      </c>
      <c r="X1195" s="26" t="str">
        <f aca="false">IF($A1195="","",U1195-W1195)</f>
        <v/>
      </c>
      <c r="Y1195" s="26" t="str">
        <f aca="false">IF($A1195="","",U1195-W1195-M1195)</f>
        <v/>
      </c>
      <c r="AB1195" s="27" t="str">
        <f aca="false">IF($A1195="","",IF($AK1195=1,'كشف المطالبة'!$D$5,'كشف المطالبة'!$D$6)*100)</f>
        <v/>
      </c>
      <c r="AK1195" s="28" t="str">
        <f aca="false">IF($A1195="","",IF(OR($Q1195=TRUE(),$Q1195="TRUE"),1,0))</f>
        <v/>
      </c>
      <c r="AL1195" s="28" t="str">
        <f aca="false">IF($N1195="","",IF(MATCH($N1195,$N$2:$N$3001,0)=ROWS($N$2:$N1195),$N1195,""))</f>
        <v/>
      </c>
    </row>
    <row r="1196" customFormat="false" ht="15" hidden="false" customHeight="false" outlineLevel="0" collapsed="false">
      <c r="E1196" s="25"/>
      <c r="M1196" s="26" t="str">
        <f aca="false">IF($A1196="","",$L1196*$U1196/100)</f>
        <v/>
      </c>
      <c r="W1196" s="26" t="str">
        <f aca="false">IF($A1196="","",U1196*AB1196/100)</f>
        <v/>
      </c>
      <c r="X1196" s="26" t="str">
        <f aca="false">IF($A1196="","",U1196-W1196)</f>
        <v/>
      </c>
      <c r="Y1196" s="26" t="str">
        <f aca="false">IF($A1196="","",U1196-W1196-M1196)</f>
        <v/>
      </c>
      <c r="AB1196" s="27" t="str">
        <f aca="false">IF($A1196="","",IF($AK1196=1,'كشف المطالبة'!$D$5,'كشف المطالبة'!$D$6)*100)</f>
        <v/>
      </c>
      <c r="AK1196" s="28" t="str">
        <f aca="false">IF($A1196="","",IF(OR($Q1196=TRUE(),$Q1196="TRUE"),1,0))</f>
        <v/>
      </c>
      <c r="AL1196" s="28" t="str">
        <f aca="false">IF($N1196="","",IF(MATCH($N1196,$N$2:$N$3001,0)=ROWS($N$2:$N1196),$N1196,""))</f>
        <v/>
      </c>
    </row>
    <row r="1197" customFormat="false" ht="15" hidden="false" customHeight="false" outlineLevel="0" collapsed="false">
      <c r="E1197" s="25"/>
      <c r="M1197" s="26" t="str">
        <f aca="false">IF($A1197="","",$L1197*$U1197/100)</f>
        <v/>
      </c>
      <c r="W1197" s="26" t="str">
        <f aca="false">IF($A1197="","",U1197*AB1197/100)</f>
        <v/>
      </c>
      <c r="X1197" s="26" t="str">
        <f aca="false">IF($A1197="","",U1197-W1197)</f>
        <v/>
      </c>
      <c r="Y1197" s="26" t="str">
        <f aca="false">IF($A1197="","",U1197-W1197-M1197)</f>
        <v/>
      </c>
      <c r="AB1197" s="27" t="str">
        <f aca="false">IF($A1197="","",IF($AK1197=1,'كشف المطالبة'!$D$5,'كشف المطالبة'!$D$6)*100)</f>
        <v/>
      </c>
      <c r="AK1197" s="28" t="str">
        <f aca="false">IF($A1197="","",IF(OR($Q1197=TRUE(),$Q1197="TRUE"),1,0))</f>
        <v/>
      </c>
      <c r="AL1197" s="28" t="str">
        <f aca="false">IF($N1197="","",IF(MATCH($N1197,$N$2:$N$3001,0)=ROWS($N$2:$N1197),$N1197,""))</f>
        <v/>
      </c>
    </row>
    <row r="1198" customFormat="false" ht="15" hidden="false" customHeight="false" outlineLevel="0" collapsed="false">
      <c r="E1198" s="25"/>
      <c r="M1198" s="26" t="str">
        <f aca="false">IF($A1198="","",$L1198*$U1198/100)</f>
        <v/>
      </c>
      <c r="W1198" s="26" t="str">
        <f aca="false">IF($A1198="","",U1198*AB1198/100)</f>
        <v/>
      </c>
      <c r="X1198" s="26" t="str">
        <f aca="false">IF($A1198="","",U1198-W1198)</f>
        <v/>
      </c>
      <c r="Y1198" s="26" t="str">
        <f aca="false">IF($A1198="","",U1198-W1198-M1198)</f>
        <v/>
      </c>
      <c r="AB1198" s="27" t="str">
        <f aca="false">IF($A1198="","",IF($AK1198=1,'كشف المطالبة'!$D$5,'كشف المطالبة'!$D$6)*100)</f>
        <v/>
      </c>
      <c r="AK1198" s="28" t="str">
        <f aca="false">IF($A1198="","",IF(OR($Q1198=TRUE(),$Q1198="TRUE"),1,0))</f>
        <v/>
      </c>
      <c r="AL1198" s="28" t="str">
        <f aca="false">IF($N1198="","",IF(MATCH($N1198,$N$2:$N$3001,0)=ROWS($N$2:$N1198),$N1198,""))</f>
        <v/>
      </c>
    </row>
    <row r="1199" customFormat="false" ht="15" hidden="false" customHeight="false" outlineLevel="0" collapsed="false">
      <c r="E1199" s="25"/>
      <c r="M1199" s="26" t="str">
        <f aca="false">IF($A1199="","",$L1199*$U1199/100)</f>
        <v/>
      </c>
      <c r="W1199" s="26" t="str">
        <f aca="false">IF($A1199="","",U1199*AB1199/100)</f>
        <v/>
      </c>
      <c r="X1199" s="26" t="str">
        <f aca="false">IF($A1199="","",U1199-W1199)</f>
        <v/>
      </c>
      <c r="Y1199" s="26" t="str">
        <f aca="false">IF($A1199="","",U1199-W1199-M1199)</f>
        <v/>
      </c>
      <c r="AB1199" s="27" t="str">
        <f aca="false">IF($A1199="","",IF($AK1199=1,'كشف المطالبة'!$D$5,'كشف المطالبة'!$D$6)*100)</f>
        <v/>
      </c>
      <c r="AK1199" s="28" t="str">
        <f aca="false">IF($A1199="","",IF(OR($Q1199=TRUE(),$Q1199="TRUE"),1,0))</f>
        <v/>
      </c>
      <c r="AL1199" s="28" t="str">
        <f aca="false">IF($N1199="","",IF(MATCH($N1199,$N$2:$N$3001,0)=ROWS($N$2:$N1199),$N1199,""))</f>
        <v/>
      </c>
    </row>
    <row r="1200" customFormat="false" ht="15" hidden="false" customHeight="false" outlineLevel="0" collapsed="false">
      <c r="E1200" s="25"/>
      <c r="M1200" s="26" t="str">
        <f aca="false">IF($A1200="","",$L1200*$U1200/100)</f>
        <v/>
      </c>
      <c r="W1200" s="26" t="str">
        <f aca="false">IF($A1200="","",U1200*AB1200/100)</f>
        <v/>
      </c>
      <c r="X1200" s="26" t="str">
        <f aca="false">IF($A1200="","",U1200-W1200)</f>
        <v/>
      </c>
      <c r="Y1200" s="26" t="str">
        <f aca="false">IF($A1200="","",U1200-W1200-M1200)</f>
        <v/>
      </c>
      <c r="AB1200" s="27" t="str">
        <f aca="false">IF($A1200="","",IF($AK1200=1,'كشف المطالبة'!$D$5,'كشف المطالبة'!$D$6)*100)</f>
        <v/>
      </c>
      <c r="AK1200" s="28" t="str">
        <f aca="false">IF($A1200="","",IF(OR($Q1200=TRUE(),$Q1200="TRUE"),1,0))</f>
        <v/>
      </c>
      <c r="AL1200" s="28" t="str">
        <f aca="false">IF($N1200="","",IF(MATCH($N1200,$N$2:$N$3001,0)=ROWS($N$2:$N1200),$N1200,""))</f>
        <v/>
      </c>
    </row>
    <row r="1201" customFormat="false" ht="15" hidden="false" customHeight="false" outlineLevel="0" collapsed="false">
      <c r="E1201" s="25"/>
      <c r="M1201" s="26" t="str">
        <f aca="false">IF($A1201="","",$L1201*$U1201/100)</f>
        <v/>
      </c>
      <c r="W1201" s="26" t="str">
        <f aca="false">IF($A1201="","",U1201*AB1201/100)</f>
        <v/>
      </c>
      <c r="X1201" s="26" t="str">
        <f aca="false">IF($A1201="","",U1201-W1201)</f>
        <v/>
      </c>
      <c r="Y1201" s="26" t="str">
        <f aca="false">IF($A1201="","",U1201-W1201-M1201)</f>
        <v/>
      </c>
      <c r="AB1201" s="27" t="str">
        <f aca="false">IF($A1201="","",IF($AK1201=1,'كشف المطالبة'!$D$5,'كشف المطالبة'!$D$6)*100)</f>
        <v/>
      </c>
      <c r="AK1201" s="28" t="str">
        <f aca="false">IF($A1201="","",IF(OR($Q1201=TRUE(),$Q1201="TRUE"),1,0))</f>
        <v/>
      </c>
      <c r="AL1201" s="28" t="str">
        <f aca="false">IF($N1201="","",IF(MATCH($N1201,$N$2:$N$3001,0)=ROWS($N$2:$N1201),$N1201,""))</f>
        <v/>
      </c>
    </row>
    <row r="1202" customFormat="false" ht="15" hidden="false" customHeight="false" outlineLevel="0" collapsed="false">
      <c r="E1202" s="25"/>
      <c r="M1202" s="26" t="str">
        <f aca="false">IF($A1202="","",$L1202*$U1202/100)</f>
        <v/>
      </c>
      <c r="W1202" s="26" t="str">
        <f aca="false">IF($A1202="","",U1202*AB1202/100)</f>
        <v/>
      </c>
      <c r="X1202" s="26" t="str">
        <f aca="false">IF($A1202="","",U1202-W1202)</f>
        <v/>
      </c>
      <c r="Y1202" s="26" t="str">
        <f aca="false">IF($A1202="","",U1202-W1202-M1202)</f>
        <v/>
      </c>
      <c r="AB1202" s="27" t="str">
        <f aca="false">IF($A1202="","",IF($AK1202=1,'كشف المطالبة'!$D$5,'كشف المطالبة'!$D$6)*100)</f>
        <v/>
      </c>
      <c r="AK1202" s="28" t="str">
        <f aca="false">IF($A1202="","",IF(OR($Q1202=TRUE(),$Q1202="TRUE"),1,0))</f>
        <v/>
      </c>
      <c r="AL1202" s="28" t="str">
        <f aca="false">IF($N1202="","",IF(MATCH($N1202,$N$2:$N$3001,0)=ROWS($N$2:$N1202),$N1202,""))</f>
        <v/>
      </c>
    </row>
    <row r="1203" customFormat="false" ht="15" hidden="false" customHeight="false" outlineLevel="0" collapsed="false">
      <c r="E1203" s="25"/>
      <c r="M1203" s="26" t="str">
        <f aca="false">IF($A1203="","",$L1203*$U1203/100)</f>
        <v/>
      </c>
      <c r="W1203" s="26" t="str">
        <f aca="false">IF($A1203="","",U1203*AB1203/100)</f>
        <v/>
      </c>
      <c r="X1203" s="26" t="str">
        <f aca="false">IF($A1203="","",U1203-W1203)</f>
        <v/>
      </c>
      <c r="Y1203" s="26" t="str">
        <f aca="false">IF($A1203="","",U1203-W1203-M1203)</f>
        <v/>
      </c>
      <c r="AB1203" s="27" t="str">
        <f aca="false">IF($A1203="","",IF($AK1203=1,'كشف المطالبة'!$D$5,'كشف المطالبة'!$D$6)*100)</f>
        <v/>
      </c>
      <c r="AK1203" s="28" t="str">
        <f aca="false">IF($A1203="","",IF(OR($Q1203=TRUE(),$Q1203="TRUE"),1,0))</f>
        <v/>
      </c>
      <c r="AL1203" s="28" t="str">
        <f aca="false">IF($N1203="","",IF(MATCH($N1203,$N$2:$N$3001,0)=ROWS($N$2:$N1203),$N1203,""))</f>
        <v/>
      </c>
    </row>
    <row r="1204" customFormat="false" ht="15" hidden="false" customHeight="false" outlineLevel="0" collapsed="false">
      <c r="E1204" s="25"/>
      <c r="M1204" s="26" t="str">
        <f aca="false">IF($A1204="","",$L1204*$U1204/100)</f>
        <v/>
      </c>
      <c r="W1204" s="26" t="str">
        <f aca="false">IF($A1204="","",U1204*AB1204/100)</f>
        <v/>
      </c>
      <c r="X1204" s="26" t="str">
        <f aca="false">IF($A1204="","",U1204-W1204)</f>
        <v/>
      </c>
      <c r="Y1204" s="26" t="str">
        <f aca="false">IF($A1204="","",U1204-W1204-M1204)</f>
        <v/>
      </c>
      <c r="AB1204" s="27" t="str">
        <f aca="false">IF($A1204="","",IF($AK1204=1,'كشف المطالبة'!$D$5,'كشف المطالبة'!$D$6)*100)</f>
        <v/>
      </c>
      <c r="AK1204" s="28" t="str">
        <f aca="false">IF($A1204="","",IF(OR($Q1204=TRUE(),$Q1204="TRUE"),1,0))</f>
        <v/>
      </c>
      <c r="AL1204" s="28" t="str">
        <f aca="false">IF($N1204="","",IF(MATCH($N1204,$N$2:$N$3001,0)=ROWS($N$2:$N1204),$N1204,""))</f>
        <v/>
      </c>
    </row>
    <row r="1205" customFormat="false" ht="15" hidden="false" customHeight="false" outlineLevel="0" collapsed="false">
      <c r="E1205" s="25"/>
      <c r="M1205" s="26" t="str">
        <f aca="false">IF($A1205="","",$L1205*$U1205/100)</f>
        <v/>
      </c>
      <c r="W1205" s="26" t="str">
        <f aca="false">IF($A1205="","",U1205*AB1205/100)</f>
        <v/>
      </c>
      <c r="X1205" s="26" t="str">
        <f aca="false">IF($A1205="","",U1205-W1205)</f>
        <v/>
      </c>
      <c r="Y1205" s="26" t="str">
        <f aca="false">IF($A1205="","",U1205-W1205-M1205)</f>
        <v/>
      </c>
      <c r="AB1205" s="27" t="str">
        <f aca="false">IF($A1205="","",IF($AK1205=1,'كشف المطالبة'!$D$5,'كشف المطالبة'!$D$6)*100)</f>
        <v/>
      </c>
      <c r="AK1205" s="28" t="str">
        <f aca="false">IF($A1205="","",IF(OR($Q1205=TRUE(),$Q1205="TRUE"),1,0))</f>
        <v/>
      </c>
      <c r="AL1205" s="28" t="str">
        <f aca="false">IF($N1205="","",IF(MATCH($N1205,$N$2:$N$3001,0)=ROWS($N$2:$N1205),$N1205,""))</f>
        <v/>
      </c>
    </row>
    <row r="1206" customFormat="false" ht="15" hidden="false" customHeight="false" outlineLevel="0" collapsed="false">
      <c r="E1206" s="25"/>
      <c r="M1206" s="26" t="str">
        <f aca="false">IF($A1206="","",$L1206*$U1206/100)</f>
        <v/>
      </c>
      <c r="W1206" s="26" t="str">
        <f aca="false">IF($A1206="","",U1206*AB1206/100)</f>
        <v/>
      </c>
      <c r="X1206" s="26" t="str">
        <f aca="false">IF($A1206="","",U1206-W1206)</f>
        <v/>
      </c>
      <c r="Y1206" s="26" t="str">
        <f aca="false">IF($A1206="","",U1206-W1206-M1206)</f>
        <v/>
      </c>
      <c r="AB1206" s="27" t="str">
        <f aca="false">IF($A1206="","",IF($AK1206=1,'كشف المطالبة'!$D$5,'كشف المطالبة'!$D$6)*100)</f>
        <v/>
      </c>
      <c r="AK1206" s="28" t="str">
        <f aca="false">IF($A1206="","",IF(OR($Q1206=TRUE(),$Q1206="TRUE"),1,0))</f>
        <v/>
      </c>
      <c r="AL1206" s="28" t="str">
        <f aca="false">IF($N1206="","",IF(MATCH($N1206,$N$2:$N$3001,0)=ROWS($N$2:$N1206),$N1206,""))</f>
        <v/>
      </c>
    </row>
    <row r="1207" customFormat="false" ht="15" hidden="false" customHeight="false" outlineLevel="0" collapsed="false">
      <c r="E1207" s="25"/>
      <c r="M1207" s="26" t="str">
        <f aca="false">IF($A1207="","",$L1207*$U1207/100)</f>
        <v/>
      </c>
      <c r="W1207" s="26" t="str">
        <f aca="false">IF($A1207="","",U1207*AB1207/100)</f>
        <v/>
      </c>
      <c r="X1207" s="26" t="str">
        <f aca="false">IF($A1207="","",U1207-W1207)</f>
        <v/>
      </c>
      <c r="Y1207" s="26" t="str">
        <f aca="false">IF($A1207="","",U1207-W1207-M1207)</f>
        <v/>
      </c>
      <c r="AB1207" s="27" t="str">
        <f aca="false">IF($A1207="","",IF($AK1207=1,'كشف المطالبة'!$D$5,'كشف المطالبة'!$D$6)*100)</f>
        <v/>
      </c>
      <c r="AK1207" s="28" t="str">
        <f aca="false">IF($A1207="","",IF(OR($Q1207=TRUE(),$Q1207="TRUE"),1,0))</f>
        <v/>
      </c>
      <c r="AL1207" s="28" t="str">
        <f aca="false">IF($N1207="","",IF(MATCH($N1207,$N$2:$N$3001,0)=ROWS($N$2:$N1207),$N1207,""))</f>
        <v/>
      </c>
    </row>
    <row r="1208" customFormat="false" ht="15" hidden="false" customHeight="false" outlineLevel="0" collapsed="false">
      <c r="E1208" s="25"/>
      <c r="M1208" s="26" t="str">
        <f aca="false">IF($A1208="","",$L1208*$U1208/100)</f>
        <v/>
      </c>
      <c r="W1208" s="26" t="str">
        <f aca="false">IF($A1208="","",U1208*AB1208/100)</f>
        <v/>
      </c>
      <c r="X1208" s="26" t="str">
        <f aca="false">IF($A1208="","",U1208-W1208)</f>
        <v/>
      </c>
      <c r="Y1208" s="26" t="str">
        <f aca="false">IF($A1208="","",U1208-W1208-M1208)</f>
        <v/>
      </c>
      <c r="AB1208" s="27" t="str">
        <f aca="false">IF($A1208="","",IF($AK1208=1,'كشف المطالبة'!$D$5,'كشف المطالبة'!$D$6)*100)</f>
        <v/>
      </c>
      <c r="AK1208" s="28" t="str">
        <f aca="false">IF($A1208="","",IF(OR($Q1208=TRUE(),$Q1208="TRUE"),1,0))</f>
        <v/>
      </c>
      <c r="AL1208" s="28" t="str">
        <f aca="false">IF($N1208="","",IF(MATCH($N1208,$N$2:$N$3001,0)=ROWS($N$2:$N1208),$N1208,""))</f>
        <v/>
      </c>
    </row>
    <row r="1209" customFormat="false" ht="15" hidden="false" customHeight="false" outlineLevel="0" collapsed="false">
      <c r="E1209" s="25"/>
      <c r="M1209" s="26" t="str">
        <f aca="false">IF($A1209="","",$L1209*$U1209/100)</f>
        <v/>
      </c>
      <c r="W1209" s="26" t="str">
        <f aca="false">IF($A1209="","",U1209*AB1209/100)</f>
        <v/>
      </c>
      <c r="X1209" s="26" t="str">
        <f aca="false">IF($A1209="","",U1209-W1209)</f>
        <v/>
      </c>
      <c r="Y1209" s="26" t="str">
        <f aca="false">IF($A1209="","",U1209-W1209-M1209)</f>
        <v/>
      </c>
      <c r="AB1209" s="27" t="str">
        <f aca="false">IF($A1209="","",IF($AK1209=1,'كشف المطالبة'!$D$5,'كشف المطالبة'!$D$6)*100)</f>
        <v/>
      </c>
      <c r="AK1209" s="28" t="str">
        <f aca="false">IF($A1209="","",IF(OR($Q1209=TRUE(),$Q1209="TRUE"),1,0))</f>
        <v/>
      </c>
      <c r="AL1209" s="28" t="str">
        <f aca="false">IF($N1209="","",IF(MATCH($N1209,$N$2:$N$3001,0)=ROWS($N$2:$N1209),$N1209,""))</f>
        <v/>
      </c>
    </row>
    <row r="1210" customFormat="false" ht="15" hidden="false" customHeight="false" outlineLevel="0" collapsed="false">
      <c r="E1210" s="25"/>
      <c r="M1210" s="26" t="str">
        <f aca="false">IF($A1210="","",$L1210*$U1210/100)</f>
        <v/>
      </c>
      <c r="W1210" s="26" t="str">
        <f aca="false">IF($A1210="","",U1210*AB1210/100)</f>
        <v/>
      </c>
      <c r="X1210" s="26" t="str">
        <f aca="false">IF($A1210="","",U1210-W1210)</f>
        <v/>
      </c>
      <c r="Y1210" s="26" t="str">
        <f aca="false">IF($A1210="","",U1210-W1210-M1210)</f>
        <v/>
      </c>
      <c r="AB1210" s="27" t="str">
        <f aca="false">IF($A1210="","",IF($AK1210=1,'كشف المطالبة'!$D$5,'كشف المطالبة'!$D$6)*100)</f>
        <v/>
      </c>
      <c r="AK1210" s="28" t="str">
        <f aca="false">IF($A1210="","",IF(OR($Q1210=TRUE(),$Q1210="TRUE"),1,0))</f>
        <v/>
      </c>
      <c r="AL1210" s="28" t="str">
        <f aca="false">IF($N1210="","",IF(MATCH($N1210,$N$2:$N$3001,0)=ROWS($N$2:$N1210),$N1210,""))</f>
        <v/>
      </c>
    </row>
    <row r="1211" customFormat="false" ht="15" hidden="false" customHeight="false" outlineLevel="0" collapsed="false">
      <c r="E1211" s="25"/>
      <c r="M1211" s="26" t="str">
        <f aca="false">IF($A1211="","",$L1211*$U1211/100)</f>
        <v/>
      </c>
      <c r="W1211" s="26" t="str">
        <f aca="false">IF($A1211="","",U1211*AB1211/100)</f>
        <v/>
      </c>
      <c r="X1211" s="26" t="str">
        <f aca="false">IF($A1211="","",U1211-W1211)</f>
        <v/>
      </c>
      <c r="Y1211" s="26" t="str">
        <f aca="false">IF($A1211="","",U1211-W1211-M1211)</f>
        <v/>
      </c>
      <c r="AB1211" s="27" t="str">
        <f aca="false">IF($A1211="","",IF($AK1211=1,'كشف المطالبة'!$D$5,'كشف المطالبة'!$D$6)*100)</f>
        <v/>
      </c>
      <c r="AK1211" s="28" t="str">
        <f aca="false">IF($A1211="","",IF(OR($Q1211=TRUE(),$Q1211="TRUE"),1,0))</f>
        <v/>
      </c>
      <c r="AL1211" s="28" t="str">
        <f aca="false">IF($N1211="","",IF(MATCH($N1211,$N$2:$N$3001,0)=ROWS($N$2:$N1211),$N1211,""))</f>
        <v/>
      </c>
    </row>
    <row r="1212" customFormat="false" ht="15" hidden="false" customHeight="false" outlineLevel="0" collapsed="false">
      <c r="E1212" s="25"/>
      <c r="M1212" s="26" t="str">
        <f aca="false">IF($A1212="","",$L1212*$U1212/100)</f>
        <v/>
      </c>
      <c r="W1212" s="26" t="str">
        <f aca="false">IF($A1212="","",U1212*AB1212/100)</f>
        <v/>
      </c>
      <c r="X1212" s="26" t="str">
        <f aca="false">IF($A1212="","",U1212-W1212)</f>
        <v/>
      </c>
      <c r="Y1212" s="26" t="str">
        <f aca="false">IF($A1212="","",U1212-W1212-M1212)</f>
        <v/>
      </c>
      <c r="AB1212" s="27" t="str">
        <f aca="false">IF($A1212="","",IF($AK1212=1,'كشف المطالبة'!$D$5,'كشف المطالبة'!$D$6)*100)</f>
        <v/>
      </c>
      <c r="AK1212" s="28" t="str">
        <f aca="false">IF($A1212="","",IF(OR($Q1212=TRUE(),$Q1212="TRUE"),1,0))</f>
        <v/>
      </c>
      <c r="AL1212" s="28" t="str">
        <f aca="false">IF($N1212="","",IF(MATCH($N1212,$N$2:$N$3001,0)=ROWS($N$2:$N1212),$N1212,""))</f>
        <v/>
      </c>
    </row>
    <row r="1213" customFormat="false" ht="15" hidden="false" customHeight="false" outlineLevel="0" collapsed="false">
      <c r="E1213" s="25"/>
      <c r="M1213" s="26" t="str">
        <f aca="false">IF($A1213="","",$L1213*$U1213/100)</f>
        <v/>
      </c>
      <c r="W1213" s="26" t="str">
        <f aca="false">IF($A1213="","",U1213*AB1213/100)</f>
        <v/>
      </c>
      <c r="X1213" s="26" t="str">
        <f aca="false">IF($A1213="","",U1213-W1213)</f>
        <v/>
      </c>
      <c r="Y1213" s="26" t="str">
        <f aca="false">IF($A1213="","",U1213-W1213-M1213)</f>
        <v/>
      </c>
      <c r="AB1213" s="27" t="str">
        <f aca="false">IF($A1213="","",IF($AK1213=1,'كشف المطالبة'!$D$5,'كشف المطالبة'!$D$6)*100)</f>
        <v/>
      </c>
      <c r="AK1213" s="28" t="str">
        <f aca="false">IF($A1213="","",IF(OR($Q1213=TRUE(),$Q1213="TRUE"),1,0))</f>
        <v/>
      </c>
      <c r="AL1213" s="28" t="str">
        <f aca="false">IF($N1213="","",IF(MATCH($N1213,$N$2:$N$3001,0)=ROWS($N$2:$N1213),$N1213,""))</f>
        <v/>
      </c>
    </row>
    <row r="1214" customFormat="false" ht="15" hidden="false" customHeight="false" outlineLevel="0" collapsed="false">
      <c r="E1214" s="25"/>
      <c r="M1214" s="26" t="str">
        <f aca="false">IF($A1214="","",$L1214*$U1214/100)</f>
        <v/>
      </c>
      <c r="W1214" s="26" t="str">
        <f aca="false">IF($A1214="","",U1214*AB1214/100)</f>
        <v/>
      </c>
      <c r="X1214" s="26" t="str">
        <f aca="false">IF($A1214="","",U1214-W1214)</f>
        <v/>
      </c>
      <c r="Y1214" s="26" t="str">
        <f aca="false">IF($A1214="","",U1214-W1214-M1214)</f>
        <v/>
      </c>
      <c r="AB1214" s="27" t="str">
        <f aca="false">IF($A1214="","",IF($AK1214=1,'كشف المطالبة'!$D$5,'كشف المطالبة'!$D$6)*100)</f>
        <v/>
      </c>
      <c r="AK1214" s="28" t="str">
        <f aca="false">IF($A1214="","",IF(OR($Q1214=TRUE(),$Q1214="TRUE"),1,0))</f>
        <v/>
      </c>
      <c r="AL1214" s="28" t="str">
        <f aca="false">IF($N1214="","",IF(MATCH($N1214,$N$2:$N$3001,0)=ROWS($N$2:$N1214),$N1214,""))</f>
        <v/>
      </c>
    </row>
    <row r="1215" customFormat="false" ht="15" hidden="false" customHeight="false" outlineLevel="0" collapsed="false">
      <c r="E1215" s="25"/>
      <c r="M1215" s="26" t="str">
        <f aca="false">IF($A1215="","",$L1215*$U1215/100)</f>
        <v/>
      </c>
      <c r="W1215" s="26" t="str">
        <f aca="false">IF($A1215="","",U1215*AB1215/100)</f>
        <v/>
      </c>
      <c r="X1215" s="26" t="str">
        <f aca="false">IF($A1215="","",U1215-W1215)</f>
        <v/>
      </c>
      <c r="Y1215" s="26" t="str">
        <f aca="false">IF($A1215="","",U1215-W1215-M1215)</f>
        <v/>
      </c>
      <c r="AB1215" s="27" t="str">
        <f aca="false">IF($A1215="","",IF($AK1215=1,'كشف المطالبة'!$D$5,'كشف المطالبة'!$D$6)*100)</f>
        <v/>
      </c>
      <c r="AK1215" s="28" t="str">
        <f aca="false">IF($A1215="","",IF(OR($Q1215=TRUE(),$Q1215="TRUE"),1,0))</f>
        <v/>
      </c>
      <c r="AL1215" s="28" t="str">
        <f aca="false">IF($N1215="","",IF(MATCH($N1215,$N$2:$N$3001,0)=ROWS($N$2:$N1215),$N1215,""))</f>
        <v/>
      </c>
    </row>
    <row r="1216" customFormat="false" ht="15" hidden="false" customHeight="false" outlineLevel="0" collapsed="false">
      <c r="E1216" s="25"/>
      <c r="M1216" s="26" t="str">
        <f aca="false">IF($A1216="","",$L1216*$U1216/100)</f>
        <v/>
      </c>
      <c r="W1216" s="26" t="str">
        <f aca="false">IF($A1216="","",U1216*AB1216/100)</f>
        <v/>
      </c>
      <c r="X1216" s="26" t="str">
        <f aca="false">IF($A1216="","",U1216-W1216)</f>
        <v/>
      </c>
      <c r="Y1216" s="26" t="str">
        <f aca="false">IF($A1216="","",U1216-W1216-M1216)</f>
        <v/>
      </c>
      <c r="AB1216" s="27" t="str">
        <f aca="false">IF($A1216="","",IF($AK1216=1,'كشف المطالبة'!$D$5,'كشف المطالبة'!$D$6)*100)</f>
        <v/>
      </c>
      <c r="AK1216" s="28" t="str">
        <f aca="false">IF($A1216="","",IF(OR($Q1216=TRUE(),$Q1216="TRUE"),1,0))</f>
        <v/>
      </c>
      <c r="AL1216" s="28" t="str">
        <f aca="false">IF($N1216="","",IF(MATCH($N1216,$N$2:$N$3001,0)=ROWS($N$2:$N1216),$N1216,""))</f>
        <v/>
      </c>
    </row>
    <row r="1217" customFormat="false" ht="15" hidden="false" customHeight="false" outlineLevel="0" collapsed="false">
      <c r="E1217" s="25"/>
      <c r="M1217" s="26" t="str">
        <f aca="false">IF($A1217="","",$L1217*$U1217/100)</f>
        <v/>
      </c>
      <c r="W1217" s="26" t="str">
        <f aca="false">IF($A1217="","",U1217*AB1217/100)</f>
        <v/>
      </c>
      <c r="X1217" s="26" t="str">
        <f aca="false">IF($A1217="","",U1217-W1217)</f>
        <v/>
      </c>
      <c r="Y1217" s="26" t="str">
        <f aca="false">IF($A1217="","",U1217-W1217-M1217)</f>
        <v/>
      </c>
      <c r="AB1217" s="27" t="str">
        <f aca="false">IF($A1217="","",IF($AK1217=1,'كشف المطالبة'!$D$5,'كشف المطالبة'!$D$6)*100)</f>
        <v/>
      </c>
      <c r="AK1217" s="28" t="str">
        <f aca="false">IF($A1217="","",IF(OR($Q1217=TRUE(),$Q1217="TRUE"),1,0))</f>
        <v/>
      </c>
      <c r="AL1217" s="28" t="str">
        <f aca="false">IF($N1217="","",IF(MATCH($N1217,$N$2:$N$3001,0)=ROWS($N$2:$N1217),$N1217,""))</f>
        <v/>
      </c>
    </row>
    <row r="1218" customFormat="false" ht="15" hidden="false" customHeight="false" outlineLevel="0" collapsed="false">
      <c r="E1218" s="25"/>
      <c r="M1218" s="26" t="str">
        <f aca="false">IF($A1218="","",$L1218*$U1218/100)</f>
        <v/>
      </c>
      <c r="W1218" s="26" t="str">
        <f aca="false">IF($A1218="","",U1218*AB1218/100)</f>
        <v/>
      </c>
      <c r="X1218" s="26" t="str">
        <f aca="false">IF($A1218="","",U1218-W1218)</f>
        <v/>
      </c>
      <c r="Y1218" s="26" t="str">
        <f aca="false">IF($A1218="","",U1218-W1218-M1218)</f>
        <v/>
      </c>
      <c r="AB1218" s="27" t="str">
        <f aca="false">IF($A1218="","",IF($AK1218=1,'كشف المطالبة'!$D$5,'كشف المطالبة'!$D$6)*100)</f>
        <v/>
      </c>
      <c r="AK1218" s="28" t="str">
        <f aca="false">IF($A1218="","",IF(OR($Q1218=TRUE(),$Q1218="TRUE"),1,0))</f>
        <v/>
      </c>
      <c r="AL1218" s="28" t="str">
        <f aca="false">IF($N1218="","",IF(MATCH($N1218,$N$2:$N$3001,0)=ROWS($N$2:$N1218),$N1218,""))</f>
        <v/>
      </c>
    </row>
    <row r="1219" customFormat="false" ht="15" hidden="false" customHeight="false" outlineLevel="0" collapsed="false">
      <c r="E1219" s="25"/>
      <c r="M1219" s="26" t="str">
        <f aca="false">IF($A1219="","",$L1219*$U1219/100)</f>
        <v/>
      </c>
      <c r="W1219" s="26" t="str">
        <f aca="false">IF($A1219="","",U1219*AB1219/100)</f>
        <v/>
      </c>
      <c r="X1219" s="26" t="str">
        <f aca="false">IF($A1219="","",U1219-W1219)</f>
        <v/>
      </c>
      <c r="Y1219" s="26" t="str">
        <f aca="false">IF($A1219="","",U1219-W1219-M1219)</f>
        <v/>
      </c>
      <c r="AB1219" s="27" t="str">
        <f aca="false">IF($A1219="","",IF($AK1219=1,'كشف المطالبة'!$D$5,'كشف المطالبة'!$D$6)*100)</f>
        <v/>
      </c>
      <c r="AK1219" s="28" t="str">
        <f aca="false">IF($A1219="","",IF(OR($Q1219=TRUE(),$Q1219="TRUE"),1,0))</f>
        <v/>
      </c>
      <c r="AL1219" s="28" t="str">
        <f aca="false">IF($N1219="","",IF(MATCH($N1219,$N$2:$N$3001,0)=ROWS($N$2:$N1219),$N1219,""))</f>
        <v/>
      </c>
    </row>
    <row r="1220" customFormat="false" ht="15" hidden="false" customHeight="false" outlineLevel="0" collapsed="false">
      <c r="E1220" s="25"/>
      <c r="M1220" s="26" t="str">
        <f aca="false">IF($A1220="","",$L1220*$U1220/100)</f>
        <v/>
      </c>
      <c r="W1220" s="26" t="str">
        <f aca="false">IF($A1220="","",U1220*AB1220/100)</f>
        <v/>
      </c>
      <c r="X1220" s="26" t="str">
        <f aca="false">IF($A1220="","",U1220-W1220)</f>
        <v/>
      </c>
      <c r="Y1220" s="26" t="str">
        <f aca="false">IF($A1220="","",U1220-W1220-M1220)</f>
        <v/>
      </c>
      <c r="AB1220" s="27" t="str">
        <f aca="false">IF($A1220="","",IF($AK1220=1,'كشف المطالبة'!$D$5,'كشف المطالبة'!$D$6)*100)</f>
        <v/>
      </c>
      <c r="AK1220" s="28" t="str">
        <f aca="false">IF($A1220="","",IF(OR($Q1220=TRUE(),$Q1220="TRUE"),1,0))</f>
        <v/>
      </c>
      <c r="AL1220" s="28" t="str">
        <f aca="false">IF($N1220="","",IF(MATCH($N1220,$N$2:$N$3001,0)=ROWS($N$2:$N1220),$N1220,""))</f>
        <v/>
      </c>
    </row>
    <row r="1221" customFormat="false" ht="15" hidden="false" customHeight="false" outlineLevel="0" collapsed="false">
      <c r="E1221" s="25"/>
      <c r="M1221" s="26" t="str">
        <f aca="false">IF($A1221="","",$L1221*$U1221/100)</f>
        <v/>
      </c>
      <c r="W1221" s="26" t="str">
        <f aca="false">IF($A1221="","",U1221*AB1221/100)</f>
        <v/>
      </c>
      <c r="X1221" s="26" t="str">
        <f aca="false">IF($A1221="","",U1221-W1221)</f>
        <v/>
      </c>
      <c r="Y1221" s="26" t="str">
        <f aca="false">IF($A1221="","",U1221-W1221-M1221)</f>
        <v/>
      </c>
      <c r="AB1221" s="27" t="str">
        <f aca="false">IF($A1221="","",IF($AK1221=1,'كشف المطالبة'!$D$5,'كشف المطالبة'!$D$6)*100)</f>
        <v/>
      </c>
      <c r="AK1221" s="28" t="str">
        <f aca="false">IF($A1221="","",IF(OR($Q1221=TRUE(),$Q1221="TRUE"),1,0))</f>
        <v/>
      </c>
      <c r="AL1221" s="28" t="str">
        <f aca="false">IF($N1221="","",IF(MATCH($N1221,$N$2:$N$3001,0)=ROWS($N$2:$N1221),$N1221,""))</f>
        <v/>
      </c>
    </row>
    <row r="1222" customFormat="false" ht="15" hidden="false" customHeight="false" outlineLevel="0" collapsed="false">
      <c r="E1222" s="25"/>
      <c r="M1222" s="26" t="str">
        <f aca="false">IF($A1222="","",$L1222*$U1222/100)</f>
        <v/>
      </c>
      <c r="W1222" s="26" t="str">
        <f aca="false">IF($A1222="","",U1222*AB1222/100)</f>
        <v/>
      </c>
      <c r="X1222" s="26" t="str">
        <f aca="false">IF($A1222="","",U1222-W1222)</f>
        <v/>
      </c>
      <c r="Y1222" s="26" t="str">
        <f aca="false">IF($A1222="","",U1222-W1222-M1222)</f>
        <v/>
      </c>
      <c r="AB1222" s="27" t="str">
        <f aca="false">IF($A1222="","",IF($AK1222=1,'كشف المطالبة'!$D$5,'كشف المطالبة'!$D$6)*100)</f>
        <v/>
      </c>
      <c r="AK1222" s="28" t="str">
        <f aca="false">IF($A1222="","",IF(OR($Q1222=TRUE(),$Q1222="TRUE"),1,0))</f>
        <v/>
      </c>
      <c r="AL1222" s="28" t="str">
        <f aca="false">IF($N1222="","",IF(MATCH($N1222,$N$2:$N$3001,0)=ROWS($N$2:$N1222),$N1222,""))</f>
        <v/>
      </c>
    </row>
    <row r="1223" customFormat="false" ht="15" hidden="false" customHeight="false" outlineLevel="0" collapsed="false">
      <c r="E1223" s="25"/>
      <c r="M1223" s="26" t="str">
        <f aca="false">IF($A1223="","",$L1223*$U1223/100)</f>
        <v/>
      </c>
      <c r="W1223" s="26" t="str">
        <f aca="false">IF($A1223="","",U1223*AB1223/100)</f>
        <v/>
      </c>
      <c r="X1223" s="26" t="str">
        <f aca="false">IF($A1223="","",U1223-W1223)</f>
        <v/>
      </c>
      <c r="Y1223" s="26" t="str">
        <f aca="false">IF($A1223="","",U1223-W1223-M1223)</f>
        <v/>
      </c>
      <c r="AB1223" s="27" t="str">
        <f aca="false">IF($A1223="","",IF($AK1223=1,'كشف المطالبة'!$D$5,'كشف المطالبة'!$D$6)*100)</f>
        <v/>
      </c>
      <c r="AK1223" s="28" t="str">
        <f aca="false">IF($A1223="","",IF(OR($Q1223=TRUE(),$Q1223="TRUE"),1,0))</f>
        <v/>
      </c>
      <c r="AL1223" s="28" t="str">
        <f aca="false">IF($N1223="","",IF(MATCH($N1223,$N$2:$N$3001,0)=ROWS($N$2:$N1223),$N1223,""))</f>
        <v/>
      </c>
    </row>
    <row r="1224" customFormat="false" ht="15" hidden="false" customHeight="false" outlineLevel="0" collapsed="false">
      <c r="E1224" s="25"/>
      <c r="M1224" s="26" t="str">
        <f aca="false">IF($A1224="","",$L1224*$U1224/100)</f>
        <v/>
      </c>
      <c r="W1224" s="26" t="str">
        <f aca="false">IF($A1224="","",U1224*AB1224/100)</f>
        <v/>
      </c>
      <c r="X1224" s="26" t="str">
        <f aca="false">IF($A1224="","",U1224-W1224)</f>
        <v/>
      </c>
      <c r="Y1224" s="26" t="str">
        <f aca="false">IF($A1224="","",U1224-W1224-M1224)</f>
        <v/>
      </c>
      <c r="AB1224" s="27" t="str">
        <f aca="false">IF($A1224="","",IF($AK1224=1,'كشف المطالبة'!$D$5,'كشف المطالبة'!$D$6)*100)</f>
        <v/>
      </c>
      <c r="AK1224" s="28" t="str">
        <f aca="false">IF($A1224="","",IF(OR($Q1224=TRUE(),$Q1224="TRUE"),1,0))</f>
        <v/>
      </c>
      <c r="AL1224" s="28" t="str">
        <f aca="false">IF($N1224="","",IF(MATCH($N1224,$N$2:$N$3001,0)=ROWS($N$2:$N1224),$N1224,""))</f>
        <v/>
      </c>
    </row>
    <row r="1225" customFormat="false" ht="15" hidden="false" customHeight="false" outlineLevel="0" collapsed="false">
      <c r="E1225" s="25"/>
      <c r="M1225" s="26" t="str">
        <f aca="false">IF($A1225="","",$L1225*$U1225/100)</f>
        <v/>
      </c>
      <c r="W1225" s="26" t="str">
        <f aca="false">IF($A1225="","",U1225*AB1225/100)</f>
        <v/>
      </c>
      <c r="X1225" s="26" t="str">
        <f aca="false">IF($A1225="","",U1225-W1225)</f>
        <v/>
      </c>
      <c r="Y1225" s="26" t="str">
        <f aca="false">IF($A1225="","",U1225-W1225-M1225)</f>
        <v/>
      </c>
      <c r="AB1225" s="27" t="str">
        <f aca="false">IF($A1225="","",IF($AK1225=1,'كشف المطالبة'!$D$5,'كشف المطالبة'!$D$6)*100)</f>
        <v/>
      </c>
      <c r="AK1225" s="28" t="str">
        <f aca="false">IF($A1225="","",IF(OR($Q1225=TRUE(),$Q1225="TRUE"),1,0))</f>
        <v/>
      </c>
      <c r="AL1225" s="28" t="str">
        <f aca="false">IF($N1225="","",IF(MATCH($N1225,$N$2:$N$3001,0)=ROWS($N$2:$N1225),$N1225,""))</f>
        <v/>
      </c>
    </row>
    <row r="1226" customFormat="false" ht="15" hidden="false" customHeight="false" outlineLevel="0" collapsed="false">
      <c r="E1226" s="25"/>
      <c r="M1226" s="26" t="str">
        <f aca="false">IF($A1226="","",$L1226*$U1226/100)</f>
        <v/>
      </c>
      <c r="W1226" s="26" t="str">
        <f aca="false">IF($A1226="","",U1226*AB1226/100)</f>
        <v/>
      </c>
      <c r="X1226" s="26" t="str">
        <f aca="false">IF($A1226="","",U1226-W1226)</f>
        <v/>
      </c>
      <c r="Y1226" s="26" t="str">
        <f aca="false">IF($A1226="","",U1226-W1226-M1226)</f>
        <v/>
      </c>
      <c r="AB1226" s="27" t="str">
        <f aca="false">IF($A1226="","",IF($AK1226=1,'كشف المطالبة'!$D$5,'كشف المطالبة'!$D$6)*100)</f>
        <v/>
      </c>
      <c r="AK1226" s="28" t="str">
        <f aca="false">IF($A1226="","",IF(OR($Q1226=TRUE(),$Q1226="TRUE"),1,0))</f>
        <v/>
      </c>
      <c r="AL1226" s="28" t="str">
        <f aca="false">IF($N1226="","",IF(MATCH($N1226,$N$2:$N$3001,0)=ROWS($N$2:$N1226),$N1226,""))</f>
        <v/>
      </c>
    </row>
    <row r="1227" customFormat="false" ht="15" hidden="false" customHeight="false" outlineLevel="0" collapsed="false">
      <c r="E1227" s="25"/>
      <c r="M1227" s="26" t="str">
        <f aca="false">IF($A1227="","",$L1227*$U1227/100)</f>
        <v/>
      </c>
      <c r="W1227" s="26" t="str">
        <f aca="false">IF($A1227="","",U1227*AB1227/100)</f>
        <v/>
      </c>
      <c r="X1227" s="26" t="str">
        <f aca="false">IF($A1227="","",U1227-W1227)</f>
        <v/>
      </c>
      <c r="Y1227" s="26" t="str">
        <f aca="false">IF($A1227="","",U1227-W1227-M1227)</f>
        <v/>
      </c>
      <c r="AB1227" s="27" t="str">
        <f aca="false">IF($A1227="","",IF($AK1227=1,'كشف المطالبة'!$D$5,'كشف المطالبة'!$D$6)*100)</f>
        <v/>
      </c>
      <c r="AK1227" s="28" t="str">
        <f aca="false">IF($A1227="","",IF(OR($Q1227=TRUE(),$Q1227="TRUE"),1,0))</f>
        <v/>
      </c>
      <c r="AL1227" s="28" t="str">
        <f aca="false">IF($N1227="","",IF(MATCH($N1227,$N$2:$N$3001,0)=ROWS($N$2:$N1227),$N1227,""))</f>
        <v/>
      </c>
    </row>
    <row r="1228" customFormat="false" ht="15" hidden="false" customHeight="false" outlineLevel="0" collapsed="false">
      <c r="E1228" s="25"/>
      <c r="M1228" s="26" t="str">
        <f aca="false">IF($A1228="","",$L1228*$U1228/100)</f>
        <v/>
      </c>
      <c r="W1228" s="26" t="str">
        <f aca="false">IF($A1228="","",U1228*AB1228/100)</f>
        <v/>
      </c>
      <c r="X1228" s="26" t="str">
        <f aca="false">IF($A1228="","",U1228-W1228)</f>
        <v/>
      </c>
      <c r="Y1228" s="26" t="str">
        <f aca="false">IF($A1228="","",U1228-W1228-M1228)</f>
        <v/>
      </c>
      <c r="AB1228" s="27" t="str">
        <f aca="false">IF($A1228="","",IF($AK1228=1,'كشف المطالبة'!$D$5,'كشف المطالبة'!$D$6)*100)</f>
        <v/>
      </c>
      <c r="AK1228" s="28" t="str">
        <f aca="false">IF($A1228="","",IF(OR($Q1228=TRUE(),$Q1228="TRUE"),1,0))</f>
        <v/>
      </c>
      <c r="AL1228" s="28" t="str">
        <f aca="false">IF($N1228="","",IF(MATCH($N1228,$N$2:$N$3001,0)=ROWS($N$2:$N1228),$N1228,""))</f>
        <v/>
      </c>
    </row>
    <row r="1229" customFormat="false" ht="15" hidden="false" customHeight="false" outlineLevel="0" collapsed="false">
      <c r="E1229" s="25"/>
      <c r="M1229" s="26" t="str">
        <f aca="false">IF($A1229="","",$L1229*$U1229/100)</f>
        <v/>
      </c>
      <c r="W1229" s="26" t="str">
        <f aca="false">IF($A1229="","",U1229*AB1229/100)</f>
        <v/>
      </c>
      <c r="X1229" s="26" t="str">
        <f aca="false">IF($A1229="","",U1229-W1229)</f>
        <v/>
      </c>
      <c r="Y1229" s="26" t="str">
        <f aca="false">IF($A1229="","",U1229-W1229-M1229)</f>
        <v/>
      </c>
      <c r="AB1229" s="27" t="str">
        <f aca="false">IF($A1229="","",IF($AK1229=1,'كشف المطالبة'!$D$5,'كشف المطالبة'!$D$6)*100)</f>
        <v/>
      </c>
      <c r="AK1229" s="28" t="str">
        <f aca="false">IF($A1229="","",IF(OR($Q1229=TRUE(),$Q1229="TRUE"),1,0))</f>
        <v/>
      </c>
      <c r="AL1229" s="28" t="str">
        <f aca="false">IF($N1229="","",IF(MATCH($N1229,$N$2:$N$3001,0)=ROWS($N$2:$N1229),$N1229,""))</f>
        <v/>
      </c>
    </row>
    <row r="1230" customFormat="false" ht="15" hidden="false" customHeight="false" outlineLevel="0" collapsed="false">
      <c r="E1230" s="25"/>
      <c r="M1230" s="26" t="str">
        <f aca="false">IF($A1230="","",$L1230*$U1230/100)</f>
        <v/>
      </c>
      <c r="W1230" s="26" t="str">
        <f aca="false">IF($A1230="","",U1230*AB1230/100)</f>
        <v/>
      </c>
      <c r="X1230" s="26" t="str">
        <f aca="false">IF($A1230="","",U1230-W1230)</f>
        <v/>
      </c>
      <c r="Y1230" s="26" t="str">
        <f aca="false">IF($A1230="","",U1230-W1230-M1230)</f>
        <v/>
      </c>
      <c r="AB1230" s="27" t="str">
        <f aca="false">IF($A1230="","",IF($AK1230=1,'كشف المطالبة'!$D$5,'كشف المطالبة'!$D$6)*100)</f>
        <v/>
      </c>
      <c r="AK1230" s="28" t="str">
        <f aca="false">IF($A1230="","",IF(OR($Q1230=TRUE(),$Q1230="TRUE"),1,0))</f>
        <v/>
      </c>
      <c r="AL1230" s="28" t="str">
        <f aca="false">IF($N1230="","",IF(MATCH($N1230,$N$2:$N$3001,0)=ROWS($N$2:$N1230),$N1230,""))</f>
        <v/>
      </c>
    </row>
    <row r="1231" customFormat="false" ht="15" hidden="false" customHeight="false" outlineLevel="0" collapsed="false">
      <c r="E1231" s="25"/>
      <c r="M1231" s="26" t="str">
        <f aca="false">IF($A1231="","",$L1231*$U1231/100)</f>
        <v/>
      </c>
      <c r="W1231" s="26" t="str">
        <f aca="false">IF($A1231="","",U1231*AB1231/100)</f>
        <v/>
      </c>
      <c r="X1231" s="26" t="str">
        <f aca="false">IF($A1231="","",U1231-W1231)</f>
        <v/>
      </c>
      <c r="Y1231" s="26" t="str">
        <f aca="false">IF($A1231="","",U1231-W1231-M1231)</f>
        <v/>
      </c>
      <c r="AB1231" s="27" t="str">
        <f aca="false">IF($A1231="","",IF($AK1231=1,'كشف المطالبة'!$D$5,'كشف المطالبة'!$D$6)*100)</f>
        <v/>
      </c>
      <c r="AK1231" s="28" t="str">
        <f aca="false">IF($A1231="","",IF(OR($Q1231=TRUE(),$Q1231="TRUE"),1,0))</f>
        <v/>
      </c>
      <c r="AL1231" s="28" t="str">
        <f aca="false">IF($N1231="","",IF(MATCH($N1231,$N$2:$N$3001,0)=ROWS($N$2:$N1231),$N1231,""))</f>
        <v/>
      </c>
    </row>
    <row r="1232" customFormat="false" ht="15" hidden="false" customHeight="false" outlineLevel="0" collapsed="false">
      <c r="E1232" s="25"/>
      <c r="M1232" s="26" t="str">
        <f aca="false">IF($A1232="","",$L1232*$U1232/100)</f>
        <v/>
      </c>
      <c r="W1232" s="26" t="str">
        <f aca="false">IF($A1232="","",U1232*AB1232/100)</f>
        <v/>
      </c>
      <c r="X1232" s="26" t="str">
        <f aca="false">IF($A1232="","",U1232-W1232)</f>
        <v/>
      </c>
      <c r="Y1232" s="26" t="str">
        <f aca="false">IF($A1232="","",U1232-W1232-M1232)</f>
        <v/>
      </c>
      <c r="AB1232" s="27" t="str">
        <f aca="false">IF($A1232="","",IF($AK1232=1,'كشف المطالبة'!$D$5,'كشف المطالبة'!$D$6)*100)</f>
        <v/>
      </c>
      <c r="AK1232" s="28" t="str">
        <f aca="false">IF($A1232="","",IF(OR($Q1232=TRUE(),$Q1232="TRUE"),1,0))</f>
        <v/>
      </c>
      <c r="AL1232" s="28" t="str">
        <f aca="false">IF($N1232="","",IF(MATCH($N1232,$N$2:$N$3001,0)=ROWS($N$2:$N1232),$N1232,""))</f>
        <v/>
      </c>
    </row>
    <row r="1233" customFormat="false" ht="15" hidden="false" customHeight="false" outlineLevel="0" collapsed="false">
      <c r="E1233" s="25"/>
      <c r="M1233" s="26" t="str">
        <f aca="false">IF($A1233="","",$L1233*$U1233/100)</f>
        <v/>
      </c>
      <c r="W1233" s="26" t="str">
        <f aca="false">IF($A1233="","",U1233*AB1233/100)</f>
        <v/>
      </c>
      <c r="X1233" s="26" t="str">
        <f aca="false">IF($A1233="","",U1233-W1233)</f>
        <v/>
      </c>
      <c r="Y1233" s="26" t="str">
        <f aca="false">IF($A1233="","",U1233-W1233-M1233)</f>
        <v/>
      </c>
      <c r="AB1233" s="27" t="str">
        <f aca="false">IF($A1233="","",IF($AK1233=1,'كشف المطالبة'!$D$5,'كشف المطالبة'!$D$6)*100)</f>
        <v/>
      </c>
      <c r="AK1233" s="28" t="str">
        <f aca="false">IF($A1233="","",IF(OR($Q1233=TRUE(),$Q1233="TRUE"),1,0))</f>
        <v/>
      </c>
      <c r="AL1233" s="28" t="str">
        <f aca="false">IF($N1233="","",IF(MATCH($N1233,$N$2:$N$3001,0)=ROWS($N$2:$N1233),$N1233,""))</f>
        <v/>
      </c>
    </row>
    <row r="1234" customFormat="false" ht="15" hidden="false" customHeight="false" outlineLevel="0" collapsed="false">
      <c r="E1234" s="25"/>
      <c r="M1234" s="26" t="str">
        <f aca="false">IF($A1234="","",$L1234*$U1234/100)</f>
        <v/>
      </c>
      <c r="W1234" s="26" t="str">
        <f aca="false">IF($A1234="","",U1234*AB1234/100)</f>
        <v/>
      </c>
      <c r="X1234" s="26" t="str">
        <f aca="false">IF($A1234="","",U1234-W1234)</f>
        <v/>
      </c>
      <c r="Y1234" s="26" t="str">
        <f aca="false">IF($A1234="","",U1234-W1234-M1234)</f>
        <v/>
      </c>
      <c r="AB1234" s="27" t="str">
        <f aca="false">IF($A1234="","",IF($AK1234=1,'كشف المطالبة'!$D$5,'كشف المطالبة'!$D$6)*100)</f>
        <v/>
      </c>
      <c r="AK1234" s="28" t="str">
        <f aca="false">IF($A1234="","",IF(OR($Q1234=TRUE(),$Q1234="TRUE"),1,0))</f>
        <v/>
      </c>
      <c r="AL1234" s="28" t="str">
        <f aca="false">IF($N1234="","",IF(MATCH($N1234,$N$2:$N$3001,0)=ROWS($N$2:$N1234),$N1234,""))</f>
        <v/>
      </c>
    </row>
    <row r="1235" customFormat="false" ht="15" hidden="false" customHeight="false" outlineLevel="0" collapsed="false">
      <c r="E1235" s="25"/>
      <c r="M1235" s="26" t="str">
        <f aca="false">IF($A1235="","",$L1235*$U1235/100)</f>
        <v/>
      </c>
      <c r="W1235" s="26" t="str">
        <f aca="false">IF($A1235="","",U1235*AB1235/100)</f>
        <v/>
      </c>
      <c r="X1235" s="26" t="str">
        <f aca="false">IF($A1235="","",U1235-W1235)</f>
        <v/>
      </c>
      <c r="Y1235" s="26" t="str">
        <f aca="false">IF($A1235="","",U1235-W1235-M1235)</f>
        <v/>
      </c>
      <c r="AB1235" s="27" t="str">
        <f aca="false">IF($A1235="","",IF($AK1235=1,'كشف المطالبة'!$D$5,'كشف المطالبة'!$D$6)*100)</f>
        <v/>
      </c>
      <c r="AK1235" s="28" t="str">
        <f aca="false">IF($A1235="","",IF(OR($Q1235=TRUE(),$Q1235="TRUE"),1,0))</f>
        <v/>
      </c>
      <c r="AL1235" s="28" t="str">
        <f aca="false">IF($N1235="","",IF(MATCH($N1235,$N$2:$N$3001,0)=ROWS($N$2:$N1235),$N1235,""))</f>
        <v/>
      </c>
    </row>
    <row r="1236" customFormat="false" ht="15" hidden="false" customHeight="false" outlineLevel="0" collapsed="false">
      <c r="E1236" s="25"/>
      <c r="M1236" s="26" t="str">
        <f aca="false">IF($A1236="","",$L1236*$U1236/100)</f>
        <v/>
      </c>
      <c r="W1236" s="26" t="str">
        <f aca="false">IF($A1236="","",U1236*AB1236/100)</f>
        <v/>
      </c>
      <c r="X1236" s="26" t="str">
        <f aca="false">IF($A1236="","",U1236-W1236)</f>
        <v/>
      </c>
      <c r="Y1236" s="26" t="str">
        <f aca="false">IF($A1236="","",U1236-W1236-M1236)</f>
        <v/>
      </c>
      <c r="AB1236" s="27" t="str">
        <f aca="false">IF($A1236="","",IF($AK1236=1,'كشف المطالبة'!$D$5,'كشف المطالبة'!$D$6)*100)</f>
        <v/>
      </c>
      <c r="AK1236" s="28" t="str">
        <f aca="false">IF($A1236="","",IF(OR($Q1236=TRUE(),$Q1236="TRUE"),1,0))</f>
        <v/>
      </c>
      <c r="AL1236" s="28" t="str">
        <f aca="false">IF($N1236="","",IF(MATCH($N1236,$N$2:$N$3001,0)=ROWS($N$2:$N1236),$N1236,""))</f>
        <v/>
      </c>
    </row>
    <row r="1237" customFormat="false" ht="15" hidden="false" customHeight="false" outlineLevel="0" collapsed="false">
      <c r="E1237" s="25"/>
      <c r="M1237" s="26" t="str">
        <f aca="false">IF($A1237="","",$L1237*$U1237/100)</f>
        <v/>
      </c>
      <c r="W1237" s="26" t="str">
        <f aca="false">IF($A1237="","",U1237*AB1237/100)</f>
        <v/>
      </c>
      <c r="X1237" s="26" t="str">
        <f aca="false">IF($A1237="","",U1237-W1237)</f>
        <v/>
      </c>
      <c r="Y1237" s="26" t="str">
        <f aca="false">IF($A1237="","",U1237-W1237-M1237)</f>
        <v/>
      </c>
      <c r="AB1237" s="27" t="str">
        <f aca="false">IF($A1237="","",IF($AK1237=1,'كشف المطالبة'!$D$5,'كشف المطالبة'!$D$6)*100)</f>
        <v/>
      </c>
      <c r="AK1237" s="28" t="str">
        <f aca="false">IF($A1237="","",IF(OR($Q1237=TRUE(),$Q1237="TRUE"),1,0))</f>
        <v/>
      </c>
      <c r="AL1237" s="28" t="str">
        <f aca="false">IF($N1237="","",IF(MATCH($N1237,$N$2:$N$3001,0)=ROWS($N$2:$N1237),$N1237,""))</f>
        <v/>
      </c>
    </row>
    <row r="1238" customFormat="false" ht="15" hidden="false" customHeight="false" outlineLevel="0" collapsed="false">
      <c r="E1238" s="25"/>
      <c r="M1238" s="26" t="str">
        <f aca="false">IF($A1238="","",$L1238*$U1238/100)</f>
        <v/>
      </c>
      <c r="W1238" s="26" t="str">
        <f aca="false">IF($A1238="","",U1238*AB1238/100)</f>
        <v/>
      </c>
      <c r="X1238" s="26" t="str">
        <f aca="false">IF($A1238="","",U1238-W1238)</f>
        <v/>
      </c>
      <c r="Y1238" s="26" t="str">
        <f aca="false">IF($A1238="","",U1238-W1238-M1238)</f>
        <v/>
      </c>
      <c r="AB1238" s="27" t="str">
        <f aca="false">IF($A1238="","",IF($AK1238=1,'كشف المطالبة'!$D$5,'كشف المطالبة'!$D$6)*100)</f>
        <v/>
      </c>
      <c r="AK1238" s="28" t="str">
        <f aca="false">IF($A1238="","",IF(OR($Q1238=TRUE(),$Q1238="TRUE"),1,0))</f>
        <v/>
      </c>
      <c r="AL1238" s="28" t="str">
        <f aca="false">IF($N1238="","",IF(MATCH($N1238,$N$2:$N$3001,0)=ROWS($N$2:$N1238),$N1238,""))</f>
        <v/>
      </c>
    </row>
    <row r="1239" customFormat="false" ht="15" hidden="false" customHeight="false" outlineLevel="0" collapsed="false">
      <c r="E1239" s="25"/>
      <c r="M1239" s="26" t="str">
        <f aca="false">IF($A1239="","",$L1239*$U1239/100)</f>
        <v/>
      </c>
      <c r="W1239" s="26" t="str">
        <f aca="false">IF($A1239="","",U1239*AB1239/100)</f>
        <v/>
      </c>
      <c r="X1239" s="26" t="str">
        <f aca="false">IF($A1239="","",U1239-W1239)</f>
        <v/>
      </c>
      <c r="Y1239" s="26" t="str">
        <f aca="false">IF($A1239="","",U1239-W1239-M1239)</f>
        <v/>
      </c>
      <c r="AB1239" s="27" t="str">
        <f aca="false">IF($A1239="","",IF($AK1239=1,'كشف المطالبة'!$D$5,'كشف المطالبة'!$D$6)*100)</f>
        <v/>
      </c>
      <c r="AK1239" s="28" t="str">
        <f aca="false">IF($A1239="","",IF(OR($Q1239=TRUE(),$Q1239="TRUE"),1,0))</f>
        <v/>
      </c>
      <c r="AL1239" s="28" t="str">
        <f aca="false">IF($N1239="","",IF(MATCH($N1239,$N$2:$N$3001,0)=ROWS($N$2:$N1239),$N1239,""))</f>
        <v/>
      </c>
    </row>
    <row r="1240" customFormat="false" ht="15" hidden="false" customHeight="false" outlineLevel="0" collapsed="false">
      <c r="E1240" s="25"/>
      <c r="M1240" s="26" t="str">
        <f aca="false">IF($A1240="","",$L1240*$U1240/100)</f>
        <v/>
      </c>
      <c r="W1240" s="26" t="str">
        <f aca="false">IF($A1240="","",U1240*AB1240/100)</f>
        <v/>
      </c>
      <c r="X1240" s="26" t="str">
        <f aca="false">IF($A1240="","",U1240-W1240)</f>
        <v/>
      </c>
      <c r="Y1240" s="26" t="str">
        <f aca="false">IF($A1240="","",U1240-W1240-M1240)</f>
        <v/>
      </c>
      <c r="AB1240" s="27" t="str">
        <f aca="false">IF($A1240="","",IF($AK1240=1,'كشف المطالبة'!$D$5,'كشف المطالبة'!$D$6)*100)</f>
        <v/>
      </c>
      <c r="AK1240" s="28" t="str">
        <f aca="false">IF($A1240="","",IF(OR($Q1240=TRUE(),$Q1240="TRUE"),1,0))</f>
        <v/>
      </c>
      <c r="AL1240" s="28" t="str">
        <f aca="false">IF($N1240="","",IF(MATCH($N1240,$N$2:$N$3001,0)=ROWS($N$2:$N1240),$N1240,""))</f>
        <v/>
      </c>
    </row>
    <row r="1241" customFormat="false" ht="15" hidden="false" customHeight="false" outlineLevel="0" collapsed="false">
      <c r="E1241" s="25"/>
      <c r="M1241" s="26" t="str">
        <f aca="false">IF($A1241="","",$L1241*$U1241/100)</f>
        <v/>
      </c>
      <c r="W1241" s="26" t="str">
        <f aca="false">IF($A1241="","",U1241*AB1241/100)</f>
        <v/>
      </c>
      <c r="X1241" s="26" t="str">
        <f aca="false">IF($A1241="","",U1241-W1241)</f>
        <v/>
      </c>
      <c r="Y1241" s="26" t="str">
        <f aca="false">IF($A1241="","",U1241-W1241-M1241)</f>
        <v/>
      </c>
      <c r="AB1241" s="27" t="str">
        <f aca="false">IF($A1241="","",IF($AK1241=1,'كشف المطالبة'!$D$5,'كشف المطالبة'!$D$6)*100)</f>
        <v/>
      </c>
      <c r="AK1241" s="28" t="str">
        <f aca="false">IF($A1241="","",IF(OR($Q1241=TRUE(),$Q1241="TRUE"),1,0))</f>
        <v/>
      </c>
      <c r="AL1241" s="28" t="str">
        <f aca="false">IF($N1241="","",IF(MATCH($N1241,$N$2:$N$3001,0)=ROWS($N$2:$N1241),$N1241,""))</f>
        <v/>
      </c>
    </row>
    <row r="1242" customFormat="false" ht="15" hidden="false" customHeight="false" outlineLevel="0" collapsed="false">
      <c r="E1242" s="25"/>
      <c r="M1242" s="26" t="str">
        <f aca="false">IF($A1242="","",$L1242*$U1242/100)</f>
        <v/>
      </c>
      <c r="W1242" s="26" t="str">
        <f aca="false">IF($A1242="","",U1242*AB1242/100)</f>
        <v/>
      </c>
      <c r="X1242" s="26" t="str">
        <f aca="false">IF($A1242="","",U1242-W1242)</f>
        <v/>
      </c>
      <c r="Y1242" s="26" t="str">
        <f aca="false">IF($A1242="","",U1242-W1242-M1242)</f>
        <v/>
      </c>
      <c r="AB1242" s="27" t="str">
        <f aca="false">IF($A1242="","",IF($AK1242=1,'كشف المطالبة'!$D$5,'كشف المطالبة'!$D$6)*100)</f>
        <v/>
      </c>
      <c r="AK1242" s="28" t="str">
        <f aca="false">IF($A1242="","",IF(OR($Q1242=TRUE(),$Q1242="TRUE"),1,0))</f>
        <v/>
      </c>
      <c r="AL1242" s="28" t="str">
        <f aca="false">IF($N1242="","",IF(MATCH($N1242,$N$2:$N$3001,0)=ROWS($N$2:$N1242),$N1242,""))</f>
        <v/>
      </c>
    </row>
    <row r="1243" customFormat="false" ht="15" hidden="false" customHeight="false" outlineLevel="0" collapsed="false">
      <c r="E1243" s="25"/>
      <c r="M1243" s="26" t="str">
        <f aca="false">IF($A1243="","",$L1243*$U1243/100)</f>
        <v/>
      </c>
      <c r="W1243" s="26" t="str">
        <f aca="false">IF($A1243="","",U1243*AB1243/100)</f>
        <v/>
      </c>
      <c r="X1243" s="26" t="str">
        <f aca="false">IF($A1243="","",U1243-W1243)</f>
        <v/>
      </c>
      <c r="Y1243" s="26" t="str">
        <f aca="false">IF($A1243="","",U1243-W1243-M1243)</f>
        <v/>
      </c>
      <c r="AB1243" s="27" t="str">
        <f aca="false">IF($A1243="","",IF($AK1243=1,'كشف المطالبة'!$D$5,'كشف المطالبة'!$D$6)*100)</f>
        <v/>
      </c>
      <c r="AK1243" s="28" t="str">
        <f aca="false">IF($A1243="","",IF(OR($Q1243=TRUE(),$Q1243="TRUE"),1,0))</f>
        <v/>
      </c>
      <c r="AL1243" s="28" t="str">
        <f aca="false">IF($N1243="","",IF(MATCH($N1243,$N$2:$N$3001,0)=ROWS($N$2:$N1243),$N1243,""))</f>
        <v/>
      </c>
    </row>
    <row r="1244" customFormat="false" ht="15" hidden="false" customHeight="false" outlineLevel="0" collapsed="false">
      <c r="E1244" s="25"/>
      <c r="M1244" s="26" t="str">
        <f aca="false">IF($A1244="","",$L1244*$U1244/100)</f>
        <v/>
      </c>
      <c r="W1244" s="26" t="str">
        <f aca="false">IF($A1244="","",U1244*AB1244/100)</f>
        <v/>
      </c>
      <c r="X1244" s="26" t="str">
        <f aca="false">IF($A1244="","",U1244-W1244)</f>
        <v/>
      </c>
      <c r="Y1244" s="26" t="str">
        <f aca="false">IF($A1244="","",U1244-W1244-M1244)</f>
        <v/>
      </c>
      <c r="AB1244" s="27" t="str">
        <f aca="false">IF($A1244="","",IF($AK1244=1,'كشف المطالبة'!$D$5,'كشف المطالبة'!$D$6)*100)</f>
        <v/>
      </c>
      <c r="AK1244" s="28" t="str">
        <f aca="false">IF($A1244="","",IF(OR($Q1244=TRUE(),$Q1244="TRUE"),1,0))</f>
        <v/>
      </c>
      <c r="AL1244" s="28" t="str">
        <f aca="false">IF($N1244="","",IF(MATCH($N1244,$N$2:$N$3001,0)=ROWS($N$2:$N1244),$N1244,""))</f>
        <v/>
      </c>
    </row>
    <row r="1245" customFormat="false" ht="15" hidden="false" customHeight="false" outlineLevel="0" collapsed="false">
      <c r="E1245" s="25"/>
      <c r="M1245" s="26" t="str">
        <f aca="false">IF($A1245="","",$L1245*$U1245/100)</f>
        <v/>
      </c>
      <c r="W1245" s="26" t="str">
        <f aca="false">IF($A1245="","",U1245*AB1245/100)</f>
        <v/>
      </c>
      <c r="X1245" s="26" t="str">
        <f aca="false">IF($A1245="","",U1245-W1245)</f>
        <v/>
      </c>
      <c r="Y1245" s="26" t="str">
        <f aca="false">IF($A1245="","",U1245-W1245-M1245)</f>
        <v/>
      </c>
      <c r="AB1245" s="27" t="str">
        <f aca="false">IF($A1245="","",IF($AK1245=1,'كشف المطالبة'!$D$5,'كشف المطالبة'!$D$6)*100)</f>
        <v/>
      </c>
      <c r="AK1245" s="28" t="str">
        <f aca="false">IF($A1245="","",IF(OR($Q1245=TRUE(),$Q1245="TRUE"),1,0))</f>
        <v/>
      </c>
      <c r="AL1245" s="28" t="str">
        <f aca="false">IF($N1245="","",IF(MATCH($N1245,$N$2:$N$3001,0)=ROWS($N$2:$N1245),$N1245,""))</f>
        <v/>
      </c>
    </row>
    <row r="1246" customFormat="false" ht="15" hidden="false" customHeight="false" outlineLevel="0" collapsed="false">
      <c r="E1246" s="25"/>
      <c r="M1246" s="26" t="str">
        <f aca="false">IF($A1246="","",$L1246*$U1246/100)</f>
        <v/>
      </c>
      <c r="W1246" s="26" t="str">
        <f aca="false">IF($A1246="","",U1246*AB1246/100)</f>
        <v/>
      </c>
      <c r="X1246" s="26" t="str">
        <f aca="false">IF($A1246="","",U1246-W1246)</f>
        <v/>
      </c>
      <c r="Y1246" s="26" t="str">
        <f aca="false">IF($A1246="","",U1246-W1246-M1246)</f>
        <v/>
      </c>
      <c r="AB1246" s="27" t="str">
        <f aca="false">IF($A1246="","",IF($AK1246=1,'كشف المطالبة'!$D$5,'كشف المطالبة'!$D$6)*100)</f>
        <v/>
      </c>
      <c r="AK1246" s="28" t="str">
        <f aca="false">IF($A1246="","",IF(OR($Q1246=TRUE(),$Q1246="TRUE"),1,0))</f>
        <v/>
      </c>
      <c r="AL1246" s="28" t="str">
        <f aca="false">IF($N1246="","",IF(MATCH($N1246,$N$2:$N$3001,0)=ROWS($N$2:$N1246),$N1246,""))</f>
        <v/>
      </c>
    </row>
    <row r="1247" customFormat="false" ht="15" hidden="false" customHeight="false" outlineLevel="0" collapsed="false">
      <c r="E1247" s="25"/>
      <c r="M1247" s="26" t="str">
        <f aca="false">IF($A1247="","",$L1247*$U1247/100)</f>
        <v/>
      </c>
      <c r="W1247" s="26" t="str">
        <f aca="false">IF($A1247="","",U1247*AB1247/100)</f>
        <v/>
      </c>
      <c r="X1247" s="26" t="str">
        <f aca="false">IF($A1247="","",U1247-W1247)</f>
        <v/>
      </c>
      <c r="Y1247" s="26" t="str">
        <f aca="false">IF($A1247="","",U1247-W1247-M1247)</f>
        <v/>
      </c>
      <c r="AB1247" s="27" t="str">
        <f aca="false">IF($A1247="","",IF($AK1247=1,'كشف المطالبة'!$D$5,'كشف المطالبة'!$D$6)*100)</f>
        <v/>
      </c>
      <c r="AK1247" s="28" t="str">
        <f aca="false">IF($A1247="","",IF(OR($Q1247=TRUE(),$Q1247="TRUE"),1,0))</f>
        <v/>
      </c>
      <c r="AL1247" s="28" t="str">
        <f aca="false">IF($N1247="","",IF(MATCH($N1247,$N$2:$N$3001,0)=ROWS($N$2:$N1247),$N1247,""))</f>
        <v/>
      </c>
    </row>
    <row r="1248" customFormat="false" ht="15" hidden="false" customHeight="false" outlineLevel="0" collapsed="false">
      <c r="E1248" s="25"/>
      <c r="M1248" s="26" t="str">
        <f aca="false">IF($A1248="","",$L1248*$U1248/100)</f>
        <v/>
      </c>
      <c r="W1248" s="26" t="str">
        <f aca="false">IF($A1248="","",U1248*AB1248/100)</f>
        <v/>
      </c>
      <c r="X1248" s="26" t="str">
        <f aca="false">IF($A1248="","",U1248-W1248)</f>
        <v/>
      </c>
      <c r="Y1248" s="26" t="str">
        <f aca="false">IF($A1248="","",U1248-W1248-M1248)</f>
        <v/>
      </c>
      <c r="AB1248" s="27" t="str">
        <f aca="false">IF($A1248="","",IF($AK1248=1,'كشف المطالبة'!$D$5,'كشف المطالبة'!$D$6)*100)</f>
        <v/>
      </c>
      <c r="AK1248" s="28" t="str">
        <f aca="false">IF($A1248="","",IF(OR($Q1248=TRUE(),$Q1248="TRUE"),1,0))</f>
        <v/>
      </c>
      <c r="AL1248" s="28" t="str">
        <f aca="false">IF($N1248="","",IF(MATCH($N1248,$N$2:$N$3001,0)=ROWS($N$2:$N1248),$N1248,""))</f>
        <v/>
      </c>
    </row>
    <row r="1249" customFormat="false" ht="15" hidden="false" customHeight="false" outlineLevel="0" collapsed="false">
      <c r="E1249" s="25"/>
      <c r="M1249" s="26" t="str">
        <f aca="false">IF($A1249="","",$L1249*$U1249/100)</f>
        <v/>
      </c>
      <c r="W1249" s="26" t="str">
        <f aca="false">IF($A1249="","",U1249*AB1249/100)</f>
        <v/>
      </c>
      <c r="X1249" s="26" t="str">
        <f aca="false">IF($A1249="","",U1249-W1249)</f>
        <v/>
      </c>
      <c r="Y1249" s="26" t="str">
        <f aca="false">IF($A1249="","",U1249-W1249-M1249)</f>
        <v/>
      </c>
      <c r="AB1249" s="27" t="str">
        <f aca="false">IF($A1249="","",IF($AK1249=1,'كشف المطالبة'!$D$5,'كشف المطالبة'!$D$6)*100)</f>
        <v/>
      </c>
      <c r="AK1249" s="28" t="str">
        <f aca="false">IF($A1249="","",IF(OR($Q1249=TRUE(),$Q1249="TRUE"),1,0))</f>
        <v/>
      </c>
      <c r="AL1249" s="28" t="str">
        <f aca="false">IF($N1249="","",IF(MATCH($N1249,$N$2:$N$3001,0)=ROWS($N$2:$N1249),$N1249,""))</f>
        <v/>
      </c>
    </row>
    <row r="1250" customFormat="false" ht="15" hidden="false" customHeight="false" outlineLevel="0" collapsed="false">
      <c r="E1250" s="25"/>
      <c r="M1250" s="26" t="str">
        <f aca="false">IF($A1250="","",$L1250*$U1250/100)</f>
        <v/>
      </c>
      <c r="W1250" s="26" t="str">
        <f aca="false">IF($A1250="","",U1250*AB1250/100)</f>
        <v/>
      </c>
      <c r="X1250" s="26" t="str">
        <f aca="false">IF($A1250="","",U1250-W1250)</f>
        <v/>
      </c>
      <c r="Y1250" s="26" t="str">
        <f aca="false">IF($A1250="","",U1250-W1250-M1250)</f>
        <v/>
      </c>
      <c r="AB1250" s="27" t="str">
        <f aca="false">IF($A1250="","",IF($AK1250=1,'كشف المطالبة'!$D$5,'كشف المطالبة'!$D$6)*100)</f>
        <v/>
      </c>
      <c r="AK1250" s="28" t="str">
        <f aca="false">IF($A1250="","",IF(OR($Q1250=TRUE(),$Q1250="TRUE"),1,0))</f>
        <v/>
      </c>
      <c r="AL1250" s="28" t="str">
        <f aca="false">IF($N1250="","",IF(MATCH($N1250,$N$2:$N$3001,0)=ROWS($N$2:$N1250),$N1250,""))</f>
        <v/>
      </c>
    </row>
    <row r="1251" customFormat="false" ht="15" hidden="false" customHeight="false" outlineLevel="0" collapsed="false">
      <c r="E1251" s="25"/>
      <c r="M1251" s="26" t="str">
        <f aca="false">IF($A1251="","",$L1251*$U1251/100)</f>
        <v/>
      </c>
      <c r="W1251" s="26" t="str">
        <f aca="false">IF($A1251="","",U1251*AB1251/100)</f>
        <v/>
      </c>
      <c r="X1251" s="26" t="str">
        <f aca="false">IF($A1251="","",U1251-W1251)</f>
        <v/>
      </c>
      <c r="Y1251" s="26" t="str">
        <f aca="false">IF($A1251="","",U1251-W1251-M1251)</f>
        <v/>
      </c>
      <c r="AB1251" s="27" t="str">
        <f aca="false">IF($A1251="","",IF($AK1251=1,'كشف المطالبة'!$D$5,'كشف المطالبة'!$D$6)*100)</f>
        <v/>
      </c>
      <c r="AK1251" s="28" t="str">
        <f aca="false">IF($A1251="","",IF(OR($Q1251=TRUE(),$Q1251="TRUE"),1,0))</f>
        <v/>
      </c>
      <c r="AL1251" s="28" t="str">
        <f aca="false">IF($N1251="","",IF(MATCH($N1251,$N$2:$N$3001,0)=ROWS($N$2:$N1251),$N1251,""))</f>
        <v/>
      </c>
    </row>
    <row r="1252" customFormat="false" ht="15" hidden="false" customHeight="false" outlineLevel="0" collapsed="false">
      <c r="E1252" s="25"/>
      <c r="M1252" s="26" t="str">
        <f aca="false">IF($A1252="","",$L1252*$U1252/100)</f>
        <v/>
      </c>
      <c r="W1252" s="26" t="str">
        <f aca="false">IF($A1252="","",U1252*AB1252/100)</f>
        <v/>
      </c>
      <c r="X1252" s="26" t="str">
        <f aca="false">IF($A1252="","",U1252-W1252)</f>
        <v/>
      </c>
      <c r="Y1252" s="26" t="str">
        <f aca="false">IF($A1252="","",U1252-W1252-M1252)</f>
        <v/>
      </c>
      <c r="AB1252" s="27" t="str">
        <f aca="false">IF($A1252="","",IF($AK1252=1,'كشف المطالبة'!$D$5,'كشف المطالبة'!$D$6)*100)</f>
        <v/>
      </c>
      <c r="AK1252" s="28" t="str">
        <f aca="false">IF($A1252="","",IF(OR($Q1252=TRUE(),$Q1252="TRUE"),1,0))</f>
        <v/>
      </c>
      <c r="AL1252" s="28" t="str">
        <f aca="false">IF($N1252="","",IF(MATCH($N1252,$N$2:$N$3001,0)=ROWS($N$2:$N1252),$N1252,""))</f>
        <v/>
      </c>
    </row>
    <row r="1253" customFormat="false" ht="15" hidden="false" customHeight="false" outlineLevel="0" collapsed="false">
      <c r="E1253" s="25"/>
      <c r="M1253" s="26" t="str">
        <f aca="false">IF($A1253="","",$L1253*$U1253/100)</f>
        <v/>
      </c>
      <c r="W1253" s="26" t="str">
        <f aca="false">IF($A1253="","",U1253*AB1253/100)</f>
        <v/>
      </c>
      <c r="X1253" s="26" t="str">
        <f aca="false">IF($A1253="","",U1253-W1253)</f>
        <v/>
      </c>
      <c r="Y1253" s="26" t="str">
        <f aca="false">IF($A1253="","",U1253-W1253-M1253)</f>
        <v/>
      </c>
      <c r="AB1253" s="27" t="str">
        <f aca="false">IF($A1253="","",IF($AK1253=1,'كشف المطالبة'!$D$5,'كشف المطالبة'!$D$6)*100)</f>
        <v/>
      </c>
      <c r="AK1253" s="28" t="str">
        <f aca="false">IF($A1253="","",IF(OR($Q1253=TRUE(),$Q1253="TRUE"),1,0))</f>
        <v/>
      </c>
      <c r="AL1253" s="28" t="str">
        <f aca="false">IF($N1253="","",IF(MATCH($N1253,$N$2:$N$3001,0)=ROWS($N$2:$N1253),$N1253,""))</f>
        <v/>
      </c>
    </row>
    <row r="1254" customFormat="false" ht="15" hidden="false" customHeight="false" outlineLevel="0" collapsed="false">
      <c r="E1254" s="25"/>
      <c r="M1254" s="26" t="str">
        <f aca="false">IF($A1254="","",$L1254*$U1254/100)</f>
        <v/>
      </c>
      <c r="W1254" s="26" t="str">
        <f aca="false">IF($A1254="","",U1254*AB1254/100)</f>
        <v/>
      </c>
      <c r="X1254" s="26" t="str">
        <f aca="false">IF($A1254="","",U1254-W1254)</f>
        <v/>
      </c>
      <c r="Y1254" s="26" t="str">
        <f aca="false">IF($A1254="","",U1254-W1254-M1254)</f>
        <v/>
      </c>
      <c r="AB1254" s="27" t="str">
        <f aca="false">IF($A1254="","",IF($AK1254=1,'كشف المطالبة'!$D$5,'كشف المطالبة'!$D$6)*100)</f>
        <v/>
      </c>
      <c r="AK1254" s="28" t="str">
        <f aca="false">IF($A1254="","",IF(OR($Q1254=TRUE(),$Q1254="TRUE"),1,0))</f>
        <v/>
      </c>
      <c r="AL1254" s="28" t="str">
        <f aca="false">IF($N1254="","",IF(MATCH($N1254,$N$2:$N$3001,0)=ROWS($N$2:$N1254),$N1254,""))</f>
        <v/>
      </c>
    </row>
    <row r="1255" customFormat="false" ht="15" hidden="false" customHeight="false" outlineLevel="0" collapsed="false">
      <c r="E1255" s="25"/>
      <c r="M1255" s="26" t="str">
        <f aca="false">IF($A1255="","",$L1255*$U1255/100)</f>
        <v/>
      </c>
      <c r="W1255" s="26" t="str">
        <f aca="false">IF($A1255="","",U1255*AB1255/100)</f>
        <v/>
      </c>
      <c r="X1255" s="26" t="str">
        <f aca="false">IF($A1255="","",U1255-W1255)</f>
        <v/>
      </c>
      <c r="Y1255" s="26" t="str">
        <f aca="false">IF($A1255="","",U1255-W1255-M1255)</f>
        <v/>
      </c>
      <c r="AB1255" s="27" t="str">
        <f aca="false">IF($A1255="","",IF($AK1255=1,'كشف المطالبة'!$D$5,'كشف المطالبة'!$D$6)*100)</f>
        <v/>
      </c>
      <c r="AK1255" s="28" t="str">
        <f aca="false">IF($A1255="","",IF(OR($Q1255=TRUE(),$Q1255="TRUE"),1,0))</f>
        <v/>
      </c>
      <c r="AL1255" s="28" t="str">
        <f aca="false">IF($N1255="","",IF(MATCH($N1255,$N$2:$N$3001,0)=ROWS($N$2:$N1255),$N1255,""))</f>
        <v/>
      </c>
    </row>
    <row r="1256" customFormat="false" ht="15" hidden="false" customHeight="false" outlineLevel="0" collapsed="false">
      <c r="E1256" s="25"/>
      <c r="M1256" s="26" t="str">
        <f aca="false">IF($A1256="","",$L1256*$U1256/100)</f>
        <v/>
      </c>
      <c r="W1256" s="26" t="str">
        <f aca="false">IF($A1256="","",U1256*AB1256/100)</f>
        <v/>
      </c>
      <c r="X1256" s="26" t="str">
        <f aca="false">IF($A1256="","",U1256-W1256)</f>
        <v/>
      </c>
      <c r="Y1256" s="26" t="str">
        <f aca="false">IF($A1256="","",U1256-W1256-M1256)</f>
        <v/>
      </c>
      <c r="AB1256" s="27" t="str">
        <f aca="false">IF($A1256="","",IF($AK1256=1,'كشف المطالبة'!$D$5,'كشف المطالبة'!$D$6)*100)</f>
        <v/>
      </c>
      <c r="AK1256" s="28" t="str">
        <f aca="false">IF($A1256="","",IF(OR($Q1256=TRUE(),$Q1256="TRUE"),1,0))</f>
        <v/>
      </c>
      <c r="AL1256" s="28" t="str">
        <f aca="false">IF($N1256="","",IF(MATCH($N1256,$N$2:$N$3001,0)=ROWS($N$2:$N1256),$N1256,""))</f>
        <v/>
      </c>
    </row>
    <row r="1257" customFormat="false" ht="15" hidden="false" customHeight="false" outlineLevel="0" collapsed="false">
      <c r="E1257" s="25"/>
      <c r="M1257" s="26" t="str">
        <f aca="false">IF($A1257="","",$L1257*$U1257/100)</f>
        <v/>
      </c>
      <c r="W1257" s="26" t="str">
        <f aca="false">IF($A1257="","",U1257*AB1257/100)</f>
        <v/>
      </c>
      <c r="X1257" s="26" t="str">
        <f aca="false">IF($A1257="","",U1257-W1257)</f>
        <v/>
      </c>
      <c r="Y1257" s="26" t="str">
        <f aca="false">IF($A1257="","",U1257-W1257-M1257)</f>
        <v/>
      </c>
      <c r="AB1257" s="27" t="str">
        <f aca="false">IF($A1257="","",IF($AK1257=1,'كشف المطالبة'!$D$5,'كشف المطالبة'!$D$6)*100)</f>
        <v/>
      </c>
      <c r="AK1257" s="28" t="str">
        <f aca="false">IF($A1257="","",IF(OR($Q1257=TRUE(),$Q1257="TRUE"),1,0))</f>
        <v/>
      </c>
      <c r="AL1257" s="28" t="str">
        <f aca="false">IF($N1257="","",IF(MATCH($N1257,$N$2:$N$3001,0)=ROWS($N$2:$N1257),$N1257,""))</f>
        <v/>
      </c>
    </row>
    <row r="1258" customFormat="false" ht="15" hidden="false" customHeight="false" outlineLevel="0" collapsed="false">
      <c r="E1258" s="25"/>
      <c r="M1258" s="26" t="str">
        <f aca="false">IF($A1258="","",$L1258*$U1258/100)</f>
        <v/>
      </c>
      <c r="W1258" s="26" t="str">
        <f aca="false">IF($A1258="","",U1258*AB1258/100)</f>
        <v/>
      </c>
      <c r="X1258" s="26" t="str">
        <f aca="false">IF($A1258="","",U1258-W1258)</f>
        <v/>
      </c>
      <c r="Y1258" s="26" t="str">
        <f aca="false">IF($A1258="","",U1258-W1258-M1258)</f>
        <v/>
      </c>
      <c r="AB1258" s="27" t="str">
        <f aca="false">IF($A1258="","",IF($AK1258=1,'كشف المطالبة'!$D$5,'كشف المطالبة'!$D$6)*100)</f>
        <v/>
      </c>
      <c r="AK1258" s="28" t="str">
        <f aca="false">IF($A1258="","",IF(OR($Q1258=TRUE(),$Q1258="TRUE"),1,0))</f>
        <v/>
      </c>
      <c r="AL1258" s="28" t="str">
        <f aca="false">IF($N1258="","",IF(MATCH($N1258,$N$2:$N$3001,0)=ROWS($N$2:$N1258),$N1258,""))</f>
        <v/>
      </c>
    </row>
    <row r="1259" customFormat="false" ht="15" hidden="false" customHeight="false" outlineLevel="0" collapsed="false">
      <c r="E1259" s="25"/>
      <c r="M1259" s="26" t="str">
        <f aca="false">IF($A1259="","",$L1259*$U1259/100)</f>
        <v/>
      </c>
      <c r="W1259" s="26" t="str">
        <f aca="false">IF($A1259="","",U1259*AB1259/100)</f>
        <v/>
      </c>
      <c r="X1259" s="26" t="str">
        <f aca="false">IF($A1259="","",U1259-W1259)</f>
        <v/>
      </c>
      <c r="Y1259" s="26" t="str">
        <f aca="false">IF($A1259="","",U1259-W1259-M1259)</f>
        <v/>
      </c>
      <c r="AB1259" s="27" t="str">
        <f aca="false">IF($A1259="","",IF($AK1259=1,'كشف المطالبة'!$D$5,'كشف المطالبة'!$D$6)*100)</f>
        <v/>
      </c>
      <c r="AK1259" s="28" t="str">
        <f aca="false">IF($A1259="","",IF(OR($Q1259=TRUE(),$Q1259="TRUE"),1,0))</f>
        <v/>
      </c>
      <c r="AL1259" s="28" t="str">
        <f aca="false">IF($N1259="","",IF(MATCH($N1259,$N$2:$N$3001,0)=ROWS($N$2:$N1259),$N1259,""))</f>
        <v/>
      </c>
    </row>
    <row r="1260" customFormat="false" ht="15" hidden="false" customHeight="false" outlineLevel="0" collapsed="false">
      <c r="E1260" s="25"/>
      <c r="M1260" s="26" t="str">
        <f aca="false">IF($A1260="","",$L1260*$U1260/100)</f>
        <v/>
      </c>
      <c r="W1260" s="26" t="str">
        <f aca="false">IF($A1260="","",U1260*AB1260/100)</f>
        <v/>
      </c>
      <c r="X1260" s="26" t="str">
        <f aca="false">IF($A1260="","",U1260-W1260)</f>
        <v/>
      </c>
      <c r="Y1260" s="26" t="str">
        <f aca="false">IF($A1260="","",U1260-W1260-M1260)</f>
        <v/>
      </c>
      <c r="AB1260" s="27" t="str">
        <f aca="false">IF($A1260="","",IF($AK1260=1,'كشف المطالبة'!$D$5,'كشف المطالبة'!$D$6)*100)</f>
        <v/>
      </c>
      <c r="AK1260" s="28" t="str">
        <f aca="false">IF($A1260="","",IF(OR($Q1260=TRUE(),$Q1260="TRUE"),1,0))</f>
        <v/>
      </c>
      <c r="AL1260" s="28" t="str">
        <f aca="false">IF($N1260="","",IF(MATCH($N1260,$N$2:$N$3001,0)=ROWS($N$2:$N1260),$N1260,""))</f>
        <v/>
      </c>
    </row>
    <row r="1261" customFormat="false" ht="15" hidden="false" customHeight="false" outlineLevel="0" collapsed="false">
      <c r="E1261" s="25"/>
      <c r="M1261" s="26" t="str">
        <f aca="false">IF($A1261="","",$L1261*$U1261/100)</f>
        <v/>
      </c>
      <c r="W1261" s="26" t="str">
        <f aca="false">IF($A1261="","",U1261*AB1261/100)</f>
        <v/>
      </c>
      <c r="X1261" s="26" t="str">
        <f aca="false">IF($A1261="","",U1261-W1261)</f>
        <v/>
      </c>
      <c r="Y1261" s="26" t="str">
        <f aca="false">IF($A1261="","",U1261-W1261-M1261)</f>
        <v/>
      </c>
      <c r="AB1261" s="27" t="str">
        <f aca="false">IF($A1261="","",IF($AK1261=1,'كشف المطالبة'!$D$5,'كشف المطالبة'!$D$6)*100)</f>
        <v/>
      </c>
      <c r="AK1261" s="28" t="str">
        <f aca="false">IF($A1261="","",IF(OR($Q1261=TRUE(),$Q1261="TRUE"),1,0))</f>
        <v/>
      </c>
      <c r="AL1261" s="28" t="str">
        <f aca="false">IF($N1261="","",IF(MATCH($N1261,$N$2:$N$3001,0)=ROWS($N$2:$N1261),$N1261,""))</f>
        <v/>
      </c>
    </row>
    <row r="1262" customFormat="false" ht="15" hidden="false" customHeight="false" outlineLevel="0" collapsed="false">
      <c r="E1262" s="25"/>
      <c r="M1262" s="26" t="str">
        <f aca="false">IF($A1262="","",$L1262*$U1262/100)</f>
        <v/>
      </c>
      <c r="W1262" s="26" t="str">
        <f aca="false">IF($A1262="","",U1262*AB1262/100)</f>
        <v/>
      </c>
      <c r="X1262" s="26" t="str">
        <f aca="false">IF($A1262="","",U1262-W1262)</f>
        <v/>
      </c>
      <c r="Y1262" s="26" t="str">
        <f aca="false">IF($A1262="","",U1262-W1262-M1262)</f>
        <v/>
      </c>
      <c r="AB1262" s="27" t="str">
        <f aca="false">IF($A1262="","",IF($AK1262=1,'كشف المطالبة'!$D$5,'كشف المطالبة'!$D$6)*100)</f>
        <v/>
      </c>
      <c r="AK1262" s="28" t="str">
        <f aca="false">IF($A1262="","",IF(OR($Q1262=TRUE(),$Q1262="TRUE"),1,0))</f>
        <v/>
      </c>
      <c r="AL1262" s="28" t="str">
        <f aca="false">IF($N1262="","",IF(MATCH($N1262,$N$2:$N$3001,0)=ROWS($N$2:$N1262),$N1262,""))</f>
        <v/>
      </c>
    </row>
    <row r="1263" customFormat="false" ht="15" hidden="false" customHeight="false" outlineLevel="0" collapsed="false">
      <c r="E1263" s="25"/>
      <c r="M1263" s="26" t="str">
        <f aca="false">IF($A1263="","",$L1263*$U1263/100)</f>
        <v/>
      </c>
      <c r="W1263" s="26" t="str">
        <f aca="false">IF($A1263="","",U1263*AB1263/100)</f>
        <v/>
      </c>
      <c r="X1263" s="26" t="str">
        <f aca="false">IF($A1263="","",U1263-W1263)</f>
        <v/>
      </c>
      <c r="Y1263" s="26" t="str">
        <f aca="false">IF($A1263="","",U1263-W1263-M1263)</f>
        <v/>
      </c>
      <c r="AB1263" s="27" t="str">
        <f aca="false">IF($A1263="","",IF($AK1263=1,'كشف المطالبة'!$D$5,'كشف المطالبة'!$D$6)*100)</f>
        <v/>
      </c>
      <c r="AK1263" s="28" t="str">
        <f aca="false">IF($A1263="","",IF(OR($Q1263=TRUE(),$Q1263="TRUE"),1,0))</f>
        <v/>
      </c>
      <c r="AL1263" s="28" t="str">
        <f aca="false">IF($N1263="","",IF(MATCH($N1263,$N$2:$N$3001,0)=ROWS($N$2:$N1263),$N1263,""))</f>
        <v/>
      </c>
    </row>
    <row r="1264" customFormat="false" ht="15" hidden="false" customHeight="false" outlineLevel="0" collapsed="false">
      <c r="E1264" s="25"/>
      <c r="M1264" s="26" t="str">
        <f aca="false">IF($A1264="","",$L1264*$U1264/100)</f>
        <v/>
      </c>
      <c r="W1264" s="26" t="str">
        <f aca="false">IF($A1264="","",U1264*AB1264/100)</f>
        <v/>
      </c>
      <c r="X1264" s="26" t="str">
        <f aca="false">IF($A1264="","",U1264-W1264)</f>
        <v/>
      </c>
      <c r="Y1264" s="26" t="str">
        <f aca="false">IF($A1264="","",U1264-W1264-M1264)</f>
        <v/>
      </c>
      <c r="AB1264" s="27" t="str">
        <f aca="false">IF($A1264="","",IF($AK1264=1,'كشف المطالبة'!$D$5,'كشف المطالبة'!$D$6)*100)</f>
        <v/>
      </c>
      <c r="AK1264" s="28" t="str">
        <f aca="false">IF($A1264="","",IF(OR($Q1264=TRUE(),$Q1264="TRUE"),1,0))</f>
        <v/>
      </c>
      <c r="AL1264" s="28" t="str">
        <f aca="false">IF($N1264="","",IF(MATCH($N1264,$N$2:$N$3001,0)=ROWS($N$2:$N1264),$N1264,""))</f>
        <v/>
      </c>
    </row>
    <row r="1265" customFormat="false" ht="15" hidden="false" customHeight="false" outlineLevel="0" collapsed="false">
      <c r="E1265" s="25"/>
      <c r="M1265" s="26" t="str">
        <f aca="false">IF($A1265="","",$L1265*$U1265/100)</f>
        <v/>
      </c>
      <c r="W1265" s="26" t="str">
        <f aca="false">IF($A1265="","",U1265*AB1265/100)</f>
        <v/>
      </c>
      <c r="X1265" s="26" t="str">
        <f aca="false">IF($A1265="","",U1265-W1265)</f>
        <v/>
      </c>
      <c r="Y1265" s="26" t="str">
        <f aca="false">IF($A1265="","",U1265-W1265-M1265)</f>
        <v/>
      </c>
      <c r="AB1265" s="27" t="str">
        <f aca="false">IF($A1265="","",IF($AK1265=1,'كشف المطالبة'!$D$5,'كشف المطالبة'!$D$6)*100)</f>
        <v/>
      </c>
      <c r="AK1265" s="28" t="str">
        <f aca="false">IF($A1265="","",IF(OR($Q1265=TRUE(),$Q1265="TRUE"),1,0))</f>
        <v/>
      </c>
      <c r="AL1265" s="28" t="str">
        <f aca="false">IF($N1265="","",IF(MATCH($N1265,$N$2:$N$3001,0)=ROWS($N$2:$N1265),$N1265,""))</f>
        <v/>
      </c>
    </row>
    <row r="1266" customFormat="false" ht="15" hidden="false" customHeight="false" outlineLevel="0" collapsed="false">
      <c r="E1266" s="25"/>
      <c r="M1266" s="26" t="str">
        <f aca="false">IF($A1266="","",$L1266*$U1266/100)</f>
        <v/>
      </c>
      <c r="W1266" s="26" t="str">
        <f aca="false">IF($A1266="","",U1266*AB1266/100)</f>
        <v/>
      </c>
      <c r="X1266" s="26" t="str">
        <f aca="false">IF($A1266="","",U1266-W1266)</f>
        <v/>
      </c>
      <c r="Y1266" s="26" t="str">
        <f aca="false">IF($A1266="","",U1266-W1266-M1266)</f>
        <v/>
      </c>
      <c r="AB1266" s="27" t="str">
        <f aca="false">IF($A1266="","",IF($AK1266=1,'كشف المطالبة'!$D$5,'كشف المطالبة'!$D$6)*100)</f>
        <v/>
      </c>
      <c r="AK1266" s="28" t="str">
        <f aca="false">IF($A1266="","",IF(OR($Q1266=TRUE(),$Q1266="TRUE"),1,0))</f>
        <v/>
      </c>
      <c r="AL1266" s="28" t="str">
        <f aca="false">IF($N1266="","",IF(MATCH($N1266,$N$2:$N$3001,0)=ROWS($N$2:$N1266),$N1266,""))</f>
        <v/>
      </c>
    </row>
    <row r="1267" customFormat="false" ht="15" hidden="false" customHeight="false" outlineLevel="0" collapsed="false">
      <c r="E1267" s="25"/>
      <c r="M1267" s="26" t="str">
        <f aca="false">IF($A1267="","",$L1267*$U1267/100)</f>
        <v/>
      </c>
      <c r="W1267" s="26" t="str">
        <f aca="false">IF($A1267="","",U1267*AB1267/100)</f>
        <v/>
      </c>
      <c r="X1267" s="26" t="str">
        <f aca="false">IF($A1267="","",U1267-W1267)</f>
        <v/>
      </c>
      <c r="Y1267" s="26" t="str">
        <f aca="false">IF($A1267="","",U1267-W1267-M1267)</f>
        <v/>
      </c>
      <c r="AB1267" s="27" t="str">
        <f aca="false">IF($A1267="","",IF($AK1267=1,'كشف المطالبة'!$D$5,'كشف المطالبة'!$D$6)*100)</f>
        <v/>
      </c>
      <c r="AK1267" s="28" t="str">
        <f aca="false">IF($A1267="","",IF(OR($Q1267=TRUE(),$Q1267="TRUE"),1,0))</f>
        <v/>
      </c>
      <c r="AL1267" s="28" t="str">
        <f aca="false">IF($N1267="","",IF(MATCH($N1267,$N$2:$N$3001,0)=ROWS($N$2:$N1267),$N1267,""))</f>
        <v/>
      </c>
    </row>
    <row r="1268" customFormat="false" ht="15" hidden="false" customHeight="false" outlineLevel="0" collapsed="false">
      <c r="E1268" s="25"/>
      <c r="M1268" s="26" t="str">
        <f aca="false">IF($A1268="","",$L1268*$U1268/100)</f>
        <v/>
      </c>
      <c r="W1268" s="26" t="str">
        <f aca="false">IF($A1268="","",U1268*AB1268/100)</f>
        <v/>
      </c>
      <c r="X1268" s="26" t="str">
        <f aca="false">IF($A1268="","",U1268-W1268)</f>
        <v/>
      </c>
      <c r="Y1268" s="26" t="str">
        <f aca="false">IF($A1268="","",U1268-W1268-M1268)</f>
        <v/>
      </c>
      <c r="AB1268" s="27" t="str">
        <f aca="false">IF($A1268="","",IF($AK1268=1,'كشف المطالبة'!$D$5,'كشف المطالبة'!$D$6)*100)</f>
        <v/>
      </c>
      <c r="AK1268" s="28" t="str">
        <f aca="false">IF($A1268="","",IF(OR($Q1268=TRUE(),$Q1268="TRUE"),1,0))</f>
        <v/>
      </c>
      <c r="AL1268" s="28" t="str">
        <f aca="false">IF($N1268="","",IF(MATCH($N1268,$N$2:$N$3001,0)=ROWS($N$2:$N1268),$N1268,""))</f>
        <v/>
      </c>
    </row>
    <row r="1269" customFormat="false" ht="15" hidden="false" customHeight="false" outlineLevel="0" collapsed="false">
      <c r="E1269" s="25"/>
      <c r="M1269" s="26" t="str">
        <f aca="false">IF($A1269="","",$L1269*$U1269/100)</f>
        <v/>
      </c>
      <c r="W1269" s="26" t="str">
        <f aca="false">IF($A1269="","",U1269*AB1269/100)</f>
        <v/>
      </c>
      <c r="X1269" s="26" t="str">
        <f aca="false">IF($A1269="","",U1269-W1269)</f>
        <v/>
      </c>
      <c r="Y1269" s="26" t="str">
        <f aca="false">IF($A1269="","",U1269-W1269-M1269)</f>
        <v/>
      </c>
      <c r="AB1269" s="27" t="str">
        <f aca="false">IF($A1269="","",IF($AK1269=1,'كشف المطالبة'!$D$5,'كشف المطالبة'!$D$6)*100)</f>
        <v/>
      </c>
      <c r="AK1269" s="28" t="str">
        <f aca="false">IF($A1269="","",IF(OR($Q1269=TRUE(),$Q1269="TRUE"),1,0))</f>
        <v/>
      </c>
      <c r="AL1269" s="28" t="str">
        <f aca="false">IF($N1269="","",IF(MATCH($N1269,$N$2:$N$3001,0)=ROWS($N$2:$N1269),$N1269,""))</f>
        <v/>
      </c>
    </row>
    <row r="1270" customFormat="false" ht="15" hidden="false" customHeight="false" outlineLevel="0" collapsed="false">
      <c r="E1270" s="25"/>
      <c r="M1270" s="26" t="str">
        <f aca="false">IF($A1270="","",$L1270*$U1270/100)</f>
        <v/>
      </c>
      <c r="W1270" s="26" t="str">
        <f aca="false">IF($A1270="","",U1270*AB1270/100)</f>
        <v/>
      </c>
      <c r="X1270" s="26" t="str">
        <f aca="false">IF($A1270="","",U1270-W1270)</f>
        <v/>
      </c>
      <c r="Y1270" s="26" t="str">
        <f aca="false">IF($A1270="","",U1270-W1270-M1270)</f>
        <v/>
      </c>
      <c r="AB1270" s="27" t="str">
        <f aca="false">IF($A1270="","",IF($AK1270=1,'كشف المطالبة'!$D$5,'كشف المطالبة'!$D$6)*100)</f>
        <v/>
      </c>
      <c r="AK1270" s="28" t="str">
        <f aca="false">IF($A1270="","",IF(OR($Q1270=TRUE(),$Q1270="TRUE"),1,0))</f>
        <v/>
      </c>
      <c r="AL1270" s="28" t="str">
        <f aca="false">IF($N1270="","",IF(MATCH($N1270,$N$2:$N$3001,0)=ROWS($N$2:$N1270),$N1270,""))</f>
        <v/>
      </c>
    </row>
    <row r="1271" customFormat="false" ht="15" hidden="false" customHeight="false" outlineLevel="0" collapsed="false">
      <c r="E1271" s="25"/>
      <c r="M1271" s="26" t="str">
        <f aca="false">IF($A1271="","",$L1271*$U1271/100)</f>
        <v/>
      </c>
      <c r="W1271" s="26" t="str">
        <f aca="false">IF($A1271="","",U1271*AB1271/100)</f>
        <v/>
      </c>
      <c r="X1271" s="26" t="str">
        <f aca="false">IF($A1271="","",U1271-W1271)</f>
        <v/>
      </c>
      <c r="Y1271" s="26" t="str">
        <f aca="false">IF($A1271="","",U1271-W1271-M1271)</f>
        <v/>
      </c>
      <c r="AB1271" s="27" t="str">
        <f aca="false">IF($A1271="","",IF($AK1271=1,'كشف المطالبة'!$D$5,'كشف المطالبة'!$D$6)*100)</f>
        <v/>
      </c>
      <c r="AK1271" s="28" t="str">
        <f aca="false">IF($A1271="","",IF(OR($Q1271=TRUE(),$Q1271="TRUE"),1,0))</f>
        <v/>
      </c>
      <c r="AL1271" s="28" t="str">
        <f aca="false">IF($N1271="","",IF(MATCH($N1271,$N$2:$N$3001,0)=ROWS($N$2:$N1271),$N1271,""))</f>
        <v/>
      </c>
    </row>
    <row r="1272" customFormat="false" ht="15" hidden="false" customHeight="false" outlineLevel="0" collapsed="false">
      <c r="E1272" s="25"/>
      <c r="M1272" s="26" t="str">
        <f aca="false">IF($A1272="","",$L1272*$U1272/100)</f>
        <v/>
      </c>
      <c r="W1272" s="26" t="str">
        <f aca="false">IF($A1272="","",U1272*AB1272/100)</f>
        <v/>
      </c>
      <c r="X1272" s="26" t="str">
        <f aca="false">IF($A1272="","",U1272-W1272)</f>
        <v/>
      </c>
      <c r="Y1272" s="26" t="str">
        <f aca="false">IF($A1272="","",U1272-W1272-M1272)</f>
        <v/>
      </c>
      <c r="AB1272" s="27" t="str">
        <f aca="false">IF($A1272="","",IF($AK1272=1,'كشف المطالبة'!$D$5,'كشف المطالبة'!$D$6)*100)</f>
        <v/>
      </c>
      <c r="AK1272" s="28" t="str">
        <f aca="false">IF($A1272="","",IF(OR($Q1272=TRUE(),$Q1272="TRUE"),1,0))</f>
        <v/>
      </c>
      <c r="AL1272" s="28" t="str">
        <f aca="false">IF($N1272="","",IF(MATCH($N1272,$N$2:$N$3001,0)=ROWS($N$2:$N1272),$N1272,""))</f>
        <v/>
      </c>
    </row>
    <row r="1273" customFormat="false" ht="15" hidden="false" customHeight="false" outlineLevel="0" collapsed="false">
      <c r="E1273" s="25"/>
      <c r="M1273" s="26" t="str">
        <f aca="false">IF($A1273="","",$L1273*$U1273/100)</f>
        <v/>
      </c>
      <c r="W1273" s="26" t="str">
        <f aca="false">IF($A1273="","",U1273*AB1273/100)</f>
        <v/>
      </c>
      <c r="X1273" s="26" t="str">
        <f aca="false">IF($A1273="","",U1273-W1273)</f>
        <v/>
      </c>
      <c r="Y1273" s="26" t="str">
        <f aca="false">IF($A1273="","",U1273-W1273-M1273)</f>
        <v/>
      </c>
      <c r="AB1273" s="27" t="str">
        <f aca="false">IF($A1273="","",IF($AK1273=1,'كشف المطالبة'!$D$5,'كشف المطالبة'!$D$6)*100)</f>
        <v/>
      </c>
      <c r="AK1273" s="28" t="str">
        <f aca="false">IF($A1273="","",IF(OR($Q1273=TRUE(),$Q1273="TRUE"),1,0))</f>
        <v/>
      </c>
      <c r="AL1273" s="28" t="str">
        <f aca="false">IF($N1273="","",IF(MATCH($N1273,$N$2:$N$3001,0)=ROWS($N$2:$N1273),$N1273,""))</f>
        <v/>
      </c>
    </row>
    <row r="1274" customFormat="false" ht="15" hidden="false" customHeight="false" outlineLevel="0" collapsed="false">
      <c r="E1274" s="25"/>
      <c r="M1274" s="26" t="str">
        <f aca="false">IF($A1274="","",$L1274*$U1274/100)</f>
        <v/>
      </c>
      <c r="W1274" s="26" t="str">
        <f aca="false">IF($A1274="","",U1274*AB1274/100)</f>
        <v/>
      </c>
      <c r="X1274" s="26" t="str">
        <f aca="false">IF($A1274="","",U1274-W1274)</f>
        <v/>
      </c>
      <c r="Y1274" s="26" t="str">
        <f aca="false">IF($A1274="","",U1274-W1274-M1274)</f>
        <v/>
      </c>
      <c r="AB1274" s="27" t="str">
        <f aca="false">IF($A1274="","",IF($AK1274=1,'كشف المطالبة'!$D$5,'كشف المطالبة'!$D$6)*100)</f>
        <v/>
      </c>
      <c r="AK1274" s="28" t="str">
        <f aca="false">IF($A1274="","",IF(OR($Q1274=TRUE(),$Q1274="TRUE"),1,0))</f>
        <v/>
      </c>
      <c r="AL1274" s="28" t="str">
        <f aca="false">IF($N1274="","",IF(MATCH($N1274,$N$2:$N$3001,0)=ROWS($N$2:$N1274),$N1274,""))</f>
        <v/>
      </c>
    </row>
    <row r="1275" customFormat="false" ht="15" hidden="false" customHeight="false" outlineLevel="0" collapsed="false">
      <c r="E1275" s="25"/>
      <c r="M1275" s="26" t="str">
        <f aca="false">IF($A1275="","",$L1275*$U1275/100)</f>
        <v/>
      </c>
      <c r="W1275" s="26" t="str">
        <f aca="false">IF($A1275="","",U1275*AB1275/100)</f>
        <v/>
      </c>
      <c r="X1275" s="26" t="str">
        <f aca="false">IF($A1275="","",U1275-W1275)</f>
        <v/>
      </c>
      <c r="Y1275" s="26" t="str">
        <f aca="false">IF($A1275="","",U1275-W1275-M1275)</f>
        <v/>
      </c>
      <c r="AB1275" s="27" t="str">
        <f aca="false">IF($A1275="","",IF($AK1275=1,'كشف المطالبة'!$D$5,'كشف المطالبة'!$D$6)*100)</f>
        <v/>
      </c>
      <c r="AK1275" s="28" t="str">
        <f aca="false">IF($A1275="","",IF(OR($Q1275=TRUE(),$Q1275="TRUE"),1,0))</f>
        <v/>
      </c>
      <c r="AL1275" s="28" t="str">
        <f aca="false">IF($N1275="","",IF(MATCH($N1275,$N$2:$N$3001,0)=ROWS($N$2:$N1275),$N1275,""))</f>
        <v/>
      </c>
    </row>
    <row r="1276" customFormat="false" ht="15" hidden="false" customHeight="false" outlineLevel="0" collapsed="false">
      <c r="E1276" s="25"/>
      <c r="M1276" s="26" t="str">
        <f aca="false">IF($A1276="","",$L1276*$U1276/100)</f>
        <v/>
      </c>
      <c r="W1276" s="26" t="str">
        <f aca="false">IF($A1276="","",U1276*AB1276/100)</f>
        <v/>
      </c>
      <c r="X1276" s="26" t="str">
        <f aca="false">IF($A1276="","",U1276-W1276)</f>
        <v/>
      </c>
      <c r="Y1276" s="26" t="str">
        <f aca="false">IF($A1276="","",U1276-W1276-M1276)</f>
        <v/>
      </c>
      <c r="AB1276" s="27" t="str">
        <f aca="false">IF($A1276="","",IF($AK1276=1,'كشف المطالبة'!$D$5,'كشف المطالبة'!$D$6)*100)</f>
        <v/>
      </c>
      <c r="AK1276" s="28" t="str">
        <f aca="false">IF($A1276="","",IF(OR($Q1276=TRUE(),$Q1276="TRUE"),1,0))</f>
        <v/>
      </c>
      <c r="AL1276" s="28" t="str">
        <f aca="false">IF($N1276="","",IF(MATCH($N1276,$N$2:$N$3001,0)=ROWS($N$2:$N1276),$N1276,""))</f>
        <v/>
      </c>
    </row>
    <row r="1277" customFormat="false" ht="15" hidden="false" customHeight="false" outlineLevel="0" collapsed="false">
      <c r="E1277" s="25"/>
      <c r="M1277" s="26" t="str">
        <f aca="false">IF($A1277="","",$L1277*$U1277/100)</f>
        <v/>
      </c>
      <c r="W1277" s="26" t="str">
        <f aca="false">IF($A1277="","",U1277*AB1277/100)</f>
        <v/>
      </c>
      <c r="X1277" s="26" t="str">
        <f aca="false">IF($A1277="","",U1277-W1277)</f>
        <v/>
      </c>
      <c r="Y1277" s="26" t="str">
        <f aca="false">IF($A1277="","",U1277-W1277-M1277)</f>
        <v/>
      </c>
      <c r="AB1277" s="27" t="str">
        <f aca="false">IF($A1277="","",IF($AK1277=1,'كشف المطالبة'!$D$5,'كشف المطالبة'!$D$6)*100)</f>
        <v/>
      </c>
      <c r="AK1277" s="28" t="str">
        <f aca="false">IF($A1277="","",IF(OR($Q1277=TRUE(),$Q1277="TRUE"),1,0))</f>
        <v/>
      </c>
      <c r="AL1277" s="28" t="str">
        <f aca="false">IF($N1277="","",IF(MATCH($N1277,$N$2:$N$3001,0)=ROWS($N$2:$N1277),$N1277,""))</f>
        <v/>
      </c>
    </row>
    <row r="1278" customFormat="false" ht="15" hidden="false" customHeight="false" outlineLevel="0" collapsed="false">
      <c r="E1278" s="25"/>
      <c r="M1278" s="26" t="str">
        <f aca="false">IF($A1278="","",$L1278*$U1278/100)</f>
        <v/>
      </c>
      <c r="W1278" s="26" t="str">
        <f aca="false">IF($A1278="","",U1278*AB1278/100)</f>
        <v/>
      </c>
      <c r="X1278" s="26" t="str">
        <f aca="false">IF($A1278="","",U1278-W1278)</f>
        <v/>
      </c>
      <c r="Y1278" s="26" t="str">
        <f aca="false">IF($A1278="","",U1278-W1278-M1278)</f>
        <v/>
      </c>
      <c r="AB1278" s="27" t="str">
        <f aca="false">IF($A1278="","",IF($AK1278=1,'كشف المطالبة'!$D$5,'كشف المطالبة'!$D$6)*100)</f>
        <v/>
      </c>
      <c r="AK1278" s="28" t="str">
        <f aca="false">IF($A1278="","",IF(OR($Q1278=TRUE(),$Q1278="TRUE"),1,0))</f>
        <v/>
      </c>
      <c r="AL1278" s="28" t="str">
        <f aca="false">IF($N1278="","",IF(MATCH($N1278,$N$2:$N$3001,0)=ROWS($N$2:$N1278),$N1278,""))</f>
        <v/>
      </c>
    </row>
    <row r="1279" customFormat="false" ht="15" hidden="false" customHeight="false" outlineLevel="0" collapsed="false">
      <c r="E1279" s="25"/>
      <c r="M1279" s="26" t="str">
        <f aca="false">IF($A1279="","",$L1279*$U1279/100)</f>
        <v/>
      </c>
      <c r="W1279" s="26" t="str">
        <f aca="false">IF($A1279="","",U1279*AB1279/100)</f>
        <v/>
      </c>
      <c r="X1279" s="26" t="str">
        <f aca="false">IF($A1279="","",U1279-W1279)</f>
        <v/>
      </c>
      <c r="Y1279" s="26" t="str">
        <f aca="false">IF($A1279="","",U1279-W1279-M1279)</f>
        <v/>
      </c>
      <c r="AB1279" s="27" t="str">
        <f aca="false">IF($A1279="","",IF($AK1279=1,'كشف المطالبة'!$D$5,'كشف المطالبة'!$D$6)*100)</f>
        <v/>
      </c>
      <c r="AK1279" s="28" t="str">
        <f aca="false">IF($A1279="","",IF(OR($Q1279=TRUE(),$Q1279="TRUE"),1,0))</f>
        <v/>
      </c>
      <c r="AL1279" s="28" t="str">
        <f aca="false">IF($N1279="","",IF(MATCH($N1279,$N$2:$N$3001,0)=ROWS($N$2:$N1279),$N1279,""))</f>
        <v/>
      </c>
    </row>
    <row r="1280" customFormat="false" ht="15" hidden="false" customHeight="false" outlineLevel="0" collapsed="false">
      <c r="E1280" s="25"/>
      <c r="M1280" s="26" t="str">
        <f aca="false">IF($A1280="","",$L1280*$U1280/100)</f>
        <v/>
      </c>
      <c r="W1280" s="26" t="str">
        <f aca="false">IF($A1280="","",U1280*AB1280/100)</f>
        <v/>
      </c>
      <c r="X1280" s="26" t="str">
        <f aca="false">IF($A1280="","",U1280-W1280)</f>
        <v/>
      </c>
      <c r="Y1280" s="26" t="str">
        <f aca="false">IF($A1280="","",U1280-W1280-M1280)</f>
        <v/>
      </c>
      <c r="AB1280" s="27" t="str">
        <f aca="false">IF($A1280="","",IF($AK1280=1,'كشف المطالبة'!$D$5,'كشف المطالبة'!$D$6)*100)</f>
        <v/>
      </c>
      <c r="AK1280" s="28" t="str">
        <f aca="false">IF($A1280="","",IF(OR($Q1280=TRUE(),$Q1280="TRUE"),1,0))</f>
        <v/>
      </c>
      <c r="AL1280" s="28" t="str">
        <f aca="false">IF($N1280="","",IF(MATCH($N1280,$N$2:$N$3001,0)=ROWS($N$2:$N1280),$N1280,""))</f>
        <v/>
      </c>
    </row>
    <row r="1281" customFormat="false" ht="15" hidden="false" customHeight="false" outlineLevel="0" collapsed="false">
      <c r="E1281" s="25"/>
      <c r="M1281" s="26" t="str">
        <f aca="false">IF($A1281="","",$L1281*$U1281/100)</f>
        <v/>
      </c>
      <c r="W1281" s="26" t="str">
        <f aca="false">IF($A1281="","",U1281*AB1281/100)</f>
        <v/>
      </c>
      <c r="X1281" s="26" t="str">
        <f aca="false">IF($A1281="","",U1281-W1281)</f>
        <v/>
      </c>
      <c r="Y1281" s="26" t="str">
        <f aca="false">IF($A1281="","",U1281-W1281-M1281)</f>
        <v/>
      </c>
      <c r="AB1281" s="27" t="str">
        <f aca="false">IF($A1281="","",IF($AK1281=1,'كشف المطالبة'!$D$5,'كشف المطالبة'!$D$6)*100)</f>
        <v/>
      </c>
      <c r="AK1281" s="28" t="str">
        <f aca="false">IF($A1281="","",IF(OR($Q1281=TRUE(),$Q1281="TRUE"),1,0))</f>
        <v/>
      </c>
      <c r="AL1281" s="28" t="str">
        <f aca="false">IF($N1281="","",IF(MATCH($N1281,$N$2:$N$3001,0)=ROWS($N$2:$N1281),$N1281,""))</f>
        <v/>
      </c>
    </row>
    <row r="1282" customFormat="false" ht="15" hidden="false" customHeight="false" outlineLevel="0" collapsed="false">
      <c r="E1282" s="25"/>
      <c r="M1282" s="26" t="str">
        <f aca="false">IF($A1282="","",$L1282*$U1282/100)</f>
        <v/>
      </c>
      <c r="W1282" s="26" t="str">
        <f aca="false">IF($A1282="","",U1282*AB1282/100)</f>
        <v/>
      </c>
      <c r="X1282" s="26" t="str">
        <f aca="false">IF($A1282="","",U1282-W1282)</f>
        <v/>
      </c>
      <c r="Y1282" s="26" t="str">
        <f aca="false">IF($A1282="","",U1282-W1282-M1282)</f>
        <v/>
      </c>
      <c r="AB1282" s="27" t="str">
        <f aca="false">IF($A1282="","",IF($AK1282=1,'كشف المطالبة'!$D$5,'كشف المطالبة'!$D$6)*100)</f>
        <v/>
      </c>
      <c r="AK1282" s="28" t="str">
        <f aca="false">IF($A1282="","",IF(OR($Q1282=TRUE(),$Q1282="TRUE"),1,0))</f>
        <v/>
      </c>
      <c r="AL1282" s="28" t="str">
        <f aca="false">IF($N1282="","",IF(MATCH($N1282,$N$2:$N$3001,0)=ROWS($N$2:$N1282),$N1282,""))</f>
        <v/>
      </c>
    </row>
    <row r="1283" customFormat="false" ht="15" hidden="false" customHeight="false" outlineLevel="0" collapsed="false">
      <c r="E1283" s="25"/>
      <c r="M1283" s="26" t="str">
        <f aca="false">IF($A1283="","",$L1283*$U1283/100)</f>
        <v/>
      </c>
      <c r="W1283" s="26" t="str">
        <f aca="false">IF($A1283="","",U1283*AB1283/100)</f>
        <v/>
      </c>
      <c r="X1283" s="26" t="str">
        <f aca="false">IF($A1283="","",U1283-W1283)</f>
        <v/>
      </c>
      <c r="Y1283" s="26" t="str">
        <f aca="false">IF($A1283="","",U1283-W1283-M1283)</f>
        <v/>
      </c>
      <c r="AB1283" s="27" t="str">
        <f aca="false">IF($A1283="","",IF($AK1283=1,'كشف المطالبة'!$D$5,'كشف المطالبة'!$D$6)*100)</f>
        <v/>
      </c>
      <c r="AK1283" s="28" t="str">
        <f aca="false">IF($A1283="","",IF(OR($Q1283=TRUE(),$Q1283="TRUE"),1,0))</f>
        <v/>
      </c>
      <c r="AL1283" s="28" t="str">
        <f aca="false">IF($N1283="","",IF(MATCH($N1283,$N$2:$N$3001,0)=ROWS($N$2:$N1283),$N1283,""))</f>
        <v/>
      </c>
    </row>
    <row r="1284" customFormat="false" ht="15" hidden="false" customHeight="false" outlineLevel="0" collapsed="false">
      <c r="E1284" s="25"/>
      <c r="M1284" s="26" t="str">
        <f aca="false">IF($A1284="","",$L1284*$U1284/100)</f>
        <v/>
      </c>
      <c r="W1284" s="26" t="str">
        <f aca="false">IF($A1284="","",U1284*AB1284/100)</f>
        <v/>
      </c>
      <c r="X1284" s="26" t="str">
        <f aca="false">IF($A1284="","",U1284-W1284)</f>
        <v/>
      </c>
      <c r="Y1284" s="26" t="str">
        <f aca="false">IF($A1284="","",U1284-W1284-M1284)</f>
        <v/>
      </c>
      <c r="AB1284" s="27" t="str">
        <f aca="false">IF($A1284="","",IF($AK1284=1,'كشف المطالبة'!$D$5,'كشف المطالبة'!$D$6)*100)</f>
        <v/>
      </c>
      <c r="AK1284" s="28" t="str">
        <f aca="false">IF($A1284="","",IF(OR($Q1284=TRUE(),$Q1284="TRUE"),1,0))</f>
        <v/>
      </c>
      <c r="AL1284" s="28" t="str">
        <f aca="false">IF($N1284="","",IF(MATCH($N1284,$N$2:$N$3001,0)=ROWS($N$2:$N1284),$N1284,""))</f>
        <v/>
      </c>
    </row>
    <row r="1285" customFormat="false" ht="15" hidden="false" customHeight="false" outlineLevel="0" collapsed="false">
      <c r="E1285" s="25"/>
      <c r="M1285" s="26" t="str">
        <f aca="false">IF($A1285="","",$L1285*$U1285/100)</f>
        <v/>
      </c>
      <c r="W1285" s="26" t="str">
        <f aca="false">IF($A1285="","",U1285*AB1285/100)</f>
        <v/>
      </c>
      <c r="X1285" s="26" t="str">
        <f aca="false">IF($A1285="","",U1285-W1285)</f>
        <v/>
      </c>
      <c r="Y1285" s="26" t="str">
        <f aca="false">IF($A1285="","",U1285-W1285-M1285)</f>
        <v/>
      </c>
      <c r="AB1285" s="27" t="str">
        <f aca="false">IF($A1285="","",IF($AK1285=1,'كشف المطالبة'!$D$5,'كشف المطالبة'!$D$6)*100)</f>
        <v/>
      </c>
      <c r="AK1285" s="28" t="str">
        <f aca="false">IF($A1285="","",IF(OR($Q1285=TRUE(),$Q1285="TRUE"),1,0))</f>
        <v/>
      </c>
      <c r="AL1285" s="28" t="str">
        <f aca="false">IF($N1285="","",IF(MATCH($N1285,$N$2:$N$3001,0)=ROWS($N$2:$N1285),$N1285,""))</f>
        <v/>
      </c>
    </row>
    <row r="1286" customFormat="false" ht="15" hidden="false" customHeight="false" outlineLevel="0" collapsed="false">
      <c r="E1286" s="25"/>
      <c r="M1286" s="26" t="str">
        <f aca="false">IF($A1286="","",$L1286*$U1286/100)</f>
        <v/>
      </c>
      <c r="W1286" s="26" t="str">
        <f aca="false">IF($A1286="","",U1286*AB1286/100)</f>
        <v/>
      </c>
      <c r="X1286" s="26" t="str">
        <f aca="false">IF($A1286="","",U1286-W1286)</f>
        <v/>
      </c>
      <c r="Y1286" s="26" t="str">
        <f aca="false">IF($A1286="","",U1286-W1286-M1286)</f>
        <v/>
      </c>
      <c r="AB1286" s="27" t="str">
        <f aca="false">IF($A1286="","",IF($AK1286=1,'كشف المطالبة'!$D$5,'كشف المطالبة'!$D$6)*100)</f>
        <v/>
      </c>
      <c r="AK1286" s="28" t="str">
        <f aca="false">IF($A1286="","",IF(OR($Q1286=TRUE(),$Q1286="TRUE"),1,0))</f>
        <v/>
      </c>
      <c r="AL1286" s="28" t="str">
        <f aca="false">IF($N1286="","",IF(MATCH($N1286,$N$2:$N$3001,0)=ROWS($N$2:$N1286),$N1286,""))</f>
        <v/>
      </c>
    </row>
    <row r="1287" customFormat="false" ht="15" hidden="false" customHeight="false" outlineLevel="0" collapsed="false">
      <c r="E1287" s="25"/>
      <c r="M1287" s="26" t="str">
        <f aca="false">IF($A1287="","",$L1287*$U1287/100)</f>
        <v/>
      </c>
      <c r="W1287" s="26" t="str">
        <f aca="false">IF($A1287="","",U1287*AB1287/100)</f>
        <v/>
      </c>
      <c r="X1287" s="26" t="str">
        <f aca="false">IF($A1287="","",U1287-W1287)</f>
        <v/>
      </c>
      <c r="Y1287" s="26" t="str">
        <f aca="false">IF($A1287="","",U1287-W1287-M1287)</f>
        <v/>
      </c>
      <c r="AB1287" s="27" t="str">
        <f aca="false">IF($A1287="","",IF($AK1287=1,'كشف المطالبة'!$D$5,'كشف المطالبة'!$D$6)*100)</f>
        <v/>
      </c>
      <c r="AK1287" s="28" t="str">
        <f aca="false">IF($A1287="","",IF(OR($Q1287=TRUE(),$Q1287="TRUE"),1,0))</f>
        <v/>
      </c>
      <c r="AL1287" s="28" t="str">
        <f aca="false">IF($N1287="","",IF(MATCH($N1287,$N$2:$N$3001,0)=ROWS($N$2:$N1287),$N1287,""))</f>
        <v/>
      </c>
    </row>
    <row r="1288" customFormat="false" ht="15" hidden="false" customHeight="false" outlineLevel="0" collapsed="false">
      <c r="E1288" s="25"/>
      <c r="M1288" s="26" t="str">
        <f aca="false">IF($A1288="","",$L1288*$U1288/100)</f>
        <v/>
      </c>
      <c r="W1288" s="26" t="str">
        <f aca="false">IF($A1288="","",U1288*AB1288/100)</f>
        <v/>
      </c>
      <c r="X1288" s="26" t="str">
        <f aca="false">IF($A1288="","",U1288-W1288)</f>
        <v/>
      </c>
      <c r="Y1288" s="26" t="str">
        <f aca="false">IF($A1288="","",U1288-W1288-M1288)</f>
        <v/>
      </c>
      <c r="AB1288" s="27" t="str">
        <f aca="false">IF($A1288="","",IF($AK1288=1,'كشف المطالبة'!$D$5,'كشف المطالبة'!$D$6)*100)</f>
        <v/>
      </c>
      <c r="AK1288" s="28" t="str">
        <f aca="false">IF($A1288="","",IF(OR($Q1288=TRUE(),$Q1288="TRUE"),1,0))</f>
        <v/>
      </c>
      <c r="AL1288" s="28" t="str">
        <f aca="false">IF($N1288="","",IF(MATCH($N1288,$N$2:$N$3001,0)=ROWS($N$2:$N1288),$N1288,""))</f>
        <v/>
      </c>
    </row>
    <row r="1289" customFormat="false" ht="15" hidden="false" customHeight="false" outlineLevel="0" collapsed="false">
      <c r="E1289" s="25"/>
      <c r="M1289" s="26" t="str">
        <f aca="false">IF($A1289="","",$L1289*$U1289/100)</f>
        <v/>
      </c>
      <c r="W1289" s="26" t="str">
        <f aca="false">IF($A1289="","",U1289*AB1289/100)</f>
        <v/>
      </c>
      <c r="X1289" s="26" t="str">
        <f aca="false">IF($A1289="","",U1289-W1289)</f>
        <v/>
      </c>
      <c r="Y1289" s="26" t="str">
        <f aca="false">IF($A1289="","",U1289-W1289-M1289)</f>
        <v/>
      </c>
      <c r="AB1289" s="27" t="str">
        <f aca="false">IF($A1289="","",IF($AK1289=1,'كشف المطالبة'!$D$5,'كشف المطالبة'!$D$6)*100)</f>
        <v/>
      </c>
      <c r="AK1289" s="28" t="str">
        <f aca="false">IF($A1289="","",IF(OR($Q1289=TRUE(),$Q1289="TRUE"),1,0))</f>
        <v/>
      </c>
      <c r="AL1289" s="28" t="str">
        <f aca="false">IF($N1289="","",IF(MATCH($N1289,$N$2:$N$3001,0)=ROWS($N$2:$N1289),$N1289,""))</f>
        <v/>
      </c>
    </row>
    <row r="1290" customFormat="false" ht="15" hidden="false" customHeight="false" outlineLevel="0" collapsed="false">
      <c r="E1290" s="25"/>
      <c r="M1290" s="26" t="str">
        <f aca="false">IF($A1290="","",$L1290*$U1290/100)</f>
        <v/>
      </c>
      <c r="W1290" s="26" t="str">
        <f aca="false">IF($A1290="","",U1290*AB1290/100)</f>
        <v/>
      </c>
      <c r="X1290" s="26" t="str">
        <f aca="false">IF($A1290="","",U1290-W1290)</f>
        <v/>
      </c>
      <c r="Y1290" s="26" t="str">
        <f aca="false">IF($A1290="","",U1290-W1290-M1290)</f>
        <v/>
      </c>
      <c r="AB1290" s="27" t="str">
        <f aca="false">IF($A1290="","",IF($AK1290=1,'كشف المطالبة'!$D$5,'كشف المطالبة'!$D$6)*100)</f>
        <v/>
      </c>
      <c r="AK1290" s="28" t="str">
        <f aca="false">IF($A1290="","",IF(OR($Q1290=TRUE(),$Q1290="TRUE"),1,0))</f>
        <v/>
      </c>
      <c r="AL1290" s="28" t="str">
        <f aca="false">IF($N1290="","",IF(MATCH($N1290,$N$2:$N$3001,0)=ROWS($N$2:$N1290),$N1290,""))</f>
        <v/>
      </c>
    </row>
    <row r="1291" customFormat="false" ht="15" hidden="false" customHeight="false" outlineLevel="0" collapsed="false">
      <c r="E1291" s="25"/>
      <c r="M1291" s="26" t="str">
        <f aca="false">IF($A1291="","",$L1291*$U1291/100)</f>
        <v/>
      </c>
      <c r="W1291" s="26" t="str">
        <f aca="false">IF($A1291="","",U1291*AB1291/100)</f>
        <v/>
      </c>
      <c r="X1291" s="26" t="str">
        <f aca="false">IF($A1291="","",U1291-W1291)</f>
        <v/>
      </c>
      <c r="Y1291" s="26" t="str">
        <f aca="false">IF($A1291="","",U1291-W1291-M1291)</f>
        <v/>
      </c>
      <c r="AB1291" s="27" t="str">
        <f aca="false">IF($A1291="","",IF($AK1291=1,'كشف المطالبة'!$D$5,'كشف المطالبة'!$D$6)*100)</f>
        <v/>
      </c>
      <c r="AK1291" s="28" t="str">
        <f aca="false">IF($A1291="","",IF(OR($Q1291=TRUE(),$Q1291="TRUE"),1,0))</f>
        <v/>
      </c>
      <c r="AL1291" s="28" t="str">
        <f aca="false">IF($N1291="","",IF(MATCH($N1291,$N$2:$N$3001,0)=ROWS($N$2:$N1291),$N1291,""))</f>
        <v/>
      </c>
    </row>
    <row r="1292" customFormat="false" ht="15" hidden="false" customHeight="false" outlineLevel="0" collapsed="false">
      <c r="E1292" s="25"/>
      <c r="M1292" s="26" t="str">
        <f aca="false">IF($A1292="","",$L1292*$U1292/100)</f>
        <v/>
      </c>
      <c r="W1292" s="26" t="str">
        <f aca="false">IF($A1292="","",U1292*AB1292/100)</f>
        <v/>
      </c>
      <c r="X1292" s="26" t="str">
        <f aca="false">IF($A1292="","",U1292-W1292)</f>
        <v/>
      </c>
      <c r="Y1292" s="26" t="str">
        <f aca="false">IF($A1292="","",U1292-W1292-M1292)</f>
        <v/>
      </c>
      <c r="AB1292" s="27" t="str">
        <f aca="false">IF($A1292="","",IF($AK1292=1,'كشف المطالبة'!$D$5,'كشف المطالبة'!$D$6)*100)</f>
        <v/>
      </c>
      <c r="AK1292" s="28" t="str">
        <f aca="false">IF($A1292="","",IF(OR($Q1292=TRUE(),$Q1292="TRUE"),1,0))</f>
        <v/>
      </c>
      <c r="AL1292" s="28" t="str">
        <f aca="false">IF($N1292="","",IF(MATCH($N1292,$N$2:$N$3001,0)=ROWS($N$2:$N1292),$N1292,""))</f>
        <v/>
      </c>
    </row>
    <row r="1293" customFormat="false" ht="15" hidden="false" customHeight="false" outlineLevel="0" collapsed="false">
      <c r="E1293" s="25"/>
      <c r="M1293" s="26" t="str">
        <f aca="false">IF($A1293="","",$L1293*$U1293/100)</f>
        <v/>
      </c>
      <c r="W1293" s="26" t="str">
        <f aca="false">IF($A1293="","",U1293*AB1293/100)</f>
        <v/>
      </c>
      <c r="X1293" s="26" t="str">
        <f aca="false">IF($A1293="","",U1293-W1293)</f>
        <v/>
      </c>
      <c r="Y1293" s="26" t="str">
        <f aca="false">IF($A1293="","",U1293-W1293-M1293)</f>
        <v/>
      </c>
      <c r="AB1293" s="27" t="str">
        <f aca="false">IF($A1293="","",IF($AK1293=1,'كشف المطالبة'!$D$5,'كشف المطالبة'!$D$6)*100)</f>
        <v/>
      </c>
      <c r="AK1293" s="28" t="str">
        <f aca="false">IF($A1293="","",IF(OR($Q1293=TRUE(),$Q1293="TRUE"),1,0))</f>
        <v/>
      </c>
      <c r="AL1293" s="28" t="str">
        <f aca="false">IF($N1293="","",IF(MATCH($N1293,$N$2:$N$3001,0)=ROWS($N$2:$N1293),$N1293,""))</f>
        <v/>
      </c>
    </row>
    <row r="1294" customFormat="false" ht="15" hidden="false" customHeight="false" outlineLevel="0" collapsed="false">
      <c r="E1294" s="25"/>
      <c r="M1294" s="26" t="str">
        <f aca="false">IF($A1294="","",$L1294*$U1294/100)</f>
        <v/>
      </c>
      <c r="W1294" s="26" t="str">
        <f aca="false">IF($A1294="","",U1294*AB1294/100)</f>
        <v/>
      </c>
      <c r="X1294" s="26" t="str">
        <f aca="false">IF($A1294="","",U1294-W1294)</f>
        <v/>
      </c>
      <c r="Y1294" s="26" t="str">
        <f aca="false">IF($A1294="","",U1294-W1294-M1294)</f>
        <v/>
      </c>
      <c r="AB1294" s="27" t="str">
        <f aca="false">IF($A1294="","",IF($AK1294=1,'كشف المطالبة'!$D$5,'كشف المطالبة'!$D$6)*100)</f>
        <v/>
      </c>
      <c r="AK1294" s="28" t="str">
        <f aca="false">IF($A1294="","",IF(OR($Q1294=TRUE(),$Q1294="TRUE"),1,0))</f>
        <v/>
      </c>
      <c r="AL1294" s="28" t="str">
        <f aca="false">IF($N1294="","",IF(MATCH($N1294,$N$2:$N$3001,0)=ROWS($N$2:$N1294),$N1294,""))</f>
        <v/>
      </c>
    </row>
    <row r="1295" customFormat="false" ht="15" hidden="false" customHeight="false" outlineLevel="0" collapsed="false">
      <c r="E1295" s="25"/>
      <c r="M1295" s="26" t="str">
        <f aca="false">IF($A1295="","",$L1295*$U1295/100)</f>
        <v/>
      </c>
      <c r="W1295" s="26" t="str">
        <f aca="false">IF($A1295="","",U1295*AB1295/100)</f>
        <v/>
      </c>
      <c r="X1295" s="26" t="str">
        <f aca="false">IF($A1295="","",U1295-W1295)</f>
        <v/>
      </c>
      <c r="Y1295" s="26" t="str">
        <f aca="false">IF($A1295="","",U1295-W1295-M1295)</f>
        <v/>
      </c>
      <c r="AB1295" s="27" t="str">
        <f aca="false">IF($A1295="","",IF($AK1295=1,'كشف المطالبة'!$D$5,'كشف المطالبة'!$D$6)*100)</f>
        <v/>
      </c>
      <c r="AK1295" s="28" t="str">
        <f aca="false">IF($A1295="","",IF(OR($Q1295=TRUE(),$Q1295="TRUE"),1,0))</f>
        <v/>
      </c>
      <c r="AL1295" s="28" t="str">
        <f aca="false">IF($N1295="","",IF(MATCH($N1295,$N$2:$N$3001,0)=ROWS($N$2:$N1295),$N1295,""))</f>
        <v/>
      </c>
    </row>
    <row r="1296" customFormat="false" ht="15" hidden="false" customHeight="false" outlineLevel="0" collapsed="false">
      <c r="E1296" s="25"/>
      <c r="M1296" s="26" t="str">
        <f aca="false">IF($A1296="","",$L1296*$U1296/100)</f>
        <v/>
      </c>
      <c r="W1296" s="26" t="str">
        <f aca="false">IF($A1296="","",U1296*AB1296/100)</f>
        <v/>
      </c>
      <c r="X1296" s="26" t="str">
        <f aca="false">IF($A1296="","",U1296-W1296)</f>
        <v/>
      </c>
      <c r="Y1296" s="26" t="str">
        <f aca="false">IF($A1296="","",U1296-W1296-M1296)</f>
        <v/>
      </c>
      <c r="AB1296" s="27" t="str">
        <f aca="false">IF($A1296="","",IF($AK1296=1,'كشف المطالبة'!$D$5,'كشف المطالبة'!$D$6)*100)</f>
        <v/>
      </c>
      <c r="AK1296" s="28" t="str">
        <f aca="false">IF($A1296="","",IF(OR($Q1296=TRUE(),$Q1296="TRUE"),1,0))</f>
        <v/>
      </c>
      <c r="AL1296" s="28" t="str">
        <f aca="false">IF($N1296="","",IF(MATCH($N1296,$N$2:$N$3001,0)=ROWS($N$2:$N1296),$N1296,""))</f>
        <v/>
      </c>
    </row>
    <row r="1297" customFormat="false" ht="15" hidden="false" customHeight="false" outlineLevel="0" collapsed="false">
      <c r="E1297" s="25"/>
      <c r="M1297" s="26" t="str">
        <f aca="false">IF($A1297="","",$L1297*$U1297/100)</f>
        <v/>
      </c>
      <c r="W1297" s="26" t="str">
        <f aca="false">IF($A1297="","",U1297*AB1297/100)</f>
        <v/>
      </c>
      <c r="X1297" s="26" t="str">
        <f aca="false">IF($A1297="","",U1297-W1297)</f>
        <v/>
      </c>
      <c r="Y1297" s="26" t="str">
        <f aca="false">IF($A1297="","",U1297-W1297-M1297)</f>
        <v/>
      </c>
      <c r="AB1297" s="27" t="str">
        <f aca="false">IF($A1297="","",IF($AK1297=1,'كشف المطالبة'!$D$5,'كشف المطالبة'!$D$6)*100)</f>
        <v/>
      </c>
      <c r="AK1297" s="28" t="str">
        <f aca="false">IF($A1297="","",IF(OR($Q1297=TRUE(),$Q1297="TRUE"),1,0))</f>
        <v/>
      </c>
      <c r="AL1297" s="28" t="str">
        <f aca="false">IF($N1297="","",IF(MATCH($N1297,$N$2:$N$3001,0)=ROWS($N$2:$N1297),$N1297,""))</f>
        <v/>
      </c>
    </row>
    <row r="1298" customFormat="false" ht="15" hidden="false" customHeight="false" outlineLevel="0" collapsed="false">
      <c r="E1298" s="25"/>
      <c r="M1298" s="26" t="str">
        <f aca="false">IF($A1298="","",$L1298*$U1298/100)</f>
        <v/>
      </c>
      <c r="W1298" s="26" t="str">
        <f aca="false">IF($A1298="","",U1298*AB1298/100)</f>
        <v/>
      </c>
      <c r="X1298" s="26" t="str">
        <f aca="false">IF($A1298="","",U1298-W1298)</f>
        <v/>
      </c>
      <c r="Y1298" s="26" t="str">
        <f aca="false">IF($A1298="","",U1298-W1298-M1298)</f>
        <v/>
      </c>
      <c r="AB1298" s="27" t="str">
        <f aca="false">IF($A1298="","",IF($AK1298=1,'كشف المطالبة'!$D$5,'كشف المطالبة'!$D$6)*100)</f>
        <v/>
      </c>
      <c r="AK1298" s="28" t="str">
        <f aca="false">IF($A1298="","",IF(OR($Q1298=TRUE(),$Q1298="TRUE"),1,0))</f>
        <v/>
      </c>
      <c r="AL1298" s="28" t="str">
        <f aca="false">IF($N1298="","",IF(MATCH($N1298,$N$2:$N$3001,0)=ROWS($N$2:$N1298),$N1298,""))</f>
        <v/>
      </c>
    </row>
    <row r="1299" customFormat="false" ht="15" hidden="false" customHeight="false" outlineLevel="0" collapsed="false">
      <c r="E1299" s="25"/>
      <c r="M1299" s="26" t="str">
        <f aca="false">IF($A1299="","",$L1299*$U1299/100)</f>
        <v/>
      </c>
      <c r="W1299" s="26" t="str">
        <f aca="false">IF($A1299="","",U1299*AB1299/100)</f>
        <v/>
      </c>
      <c r="X1299" s="26" t="str">
        <f aca="false">IF($A1299="","",U1299-W1299)</f>
        <v/>
      </c>
      <c r="Y1299" s="26" t="str">
        <f aca="false">IF($A1299="","",U1299-W1299-M1299)</f>
        <v/>
      </c>
      <c r="AB1299" s="27" t="str">
        <f aca="false">IF($A1299="","",IF($AK1299=1,'كشف المطالبة'!$D$5,'كشف المطالبة'!$D$6)*100)</f>
        <v/>
      </c>
      <c r="AK1299" s="28" t="str">
        <f aca="false">IF($A1299="","",IF(OR($Q1299=TRUE(),$Q1299="TRUE"),1,0))</f>
        <v/>
      </c>
      <c r="AL1299" s="28" t="str">
        <f aca="false">IF($N1299="","",IF(MATCH($N1299,$N$2:$N$3001,0)=ROWS($N$2:$N1299),$N1299,""))</f>
        <v/>
      </c>
    </row>
    <row r="1300" customFormat="false" ht="15" hidden="false" customHeight="false" outlineLevel="0" collapsed="false">
      <c r="E1300" s="25"/>
      <c r="M1300" s="26" t="str">
        <f aca="false">IF($A1300="","",$L1300*$U1300/100)</f>
        <v/>
      </c>
      <c r="W1300" s="26" t="str">
        <f aca="false">IF($A1300="","",U1300*AB1300/100)</f>
        <v/>
      </c>
      <c r="X1300" s="26" t="str">
        <f aca="false">IF($A1300="","",U1300-W1300)</f>
        <v/>
      </c>
      <c r="Y1300" s="26" t="str">
        <f aca="false">IF($A1300="","",U1300-W1300-M1300)</f>
        <v/>
      </c>
      <c r="AB1300" s="27" t="str">
        <f aca="false">IF($A1300="","",IF($AK1300=1,'كشف المطالبة'!$D$5,'كشف المطالبة'!$D$6)*100)</f>
        <v/>
      </c>
      <c r="AK1300" s="28" t="str">
        <f aca="false">IF($A1300="","",IF(OR($Q1300=TRUE(),$Q1300="TRUE"),1,0))</f>
        <v/>
      </c>
      <c r="AL1300" s="28" t="str">
        <f aca="false">IF($N1300="","",IF(MATCH($N1300,$N$2:$N$3001,0)=ROWS($N$2:$N1300),$N1300,""))</f>
        <v/>
      </c>
    </row>
    <row r="1301" customFormat="false" ht="15" hidden="false" customHeight="false" outlineLevel="0" collapsed="false">
      <c r="E1301" s="25"/>
      <c r="M1301" s="26" t="str">
        <f aca="false">IF($A1301="","",$L1301*$U1301/100)</f>
        <v/>
      </c>
      <c r="W1301" s="26" t="str">
        <f aca="false">IF($A1301="","",U1301*AB1301/100)</f>
        <v/>
      </c>
      <c r="X1301" s="26" t="str">
        <f aca="false">IF($A1301="","",U1301-W1301)</f>
        <v/>
      </c>
      <c r="Y1301" s="26" t="str">
        <f aca="false">IF($A1301="","",U1301-W1301-M1301)</f>
        <v/>
      </c>
      <c r="AB1301" s="27" t="str">
        <f aca="false">IF($A1301="","",IF($AK1301=1,'كشف المطالبة'!$D$5,'كشف المطالبة'!$D$6)*100)</f>
        <v/>
      </c>
      <c r="AK1301" s="28" t="str">
        <f aca="false">IF($A1301="","",IF(OR($Q1301=TRUE(),$Q1301="TRUE"),1,0))</f>
        <v/>
      </c>
      <c r="AL1301" s="28" t="str">
        <f aca="false">IF($N1301="","",IF(MATCH($N1301,$N$2:$N$3001,0)=ROWS($N$2:$N1301),$N1301,""))</f>
        <v/>
      </c>
    </row>
    <row r="1302" customFormat="false" ht="15" hidden="false" customHeight="false" outlineLevel="0" collapsed="false">
      <c r="E1302" s="25"/>
      <c r="M1302" s="26" t="str">
        <f aca="false">IF($A1302="","",$L1302*$U1302/100)</f>
        <v/>
      </c>
      <c r="W1302" s="26" t="str">
        <f aca="false">IF($A1302="","",U1302*AB1302/100)</f>
        <v/>
      </c>
      <c r="X1302" s="26" t="str">
        <f aca="false">IF($A1302="","",U1302-W1302)</f>
        <v/>
      </c>
      <c r="Y1302" s="26" t="str">
        <f aca="false">IF($A1302="","",U1302-W1302-M1302)</f>
        <v/>
      </c>
      <c r="AB1302" s="27" t="str">
        <f aca="false">IF($A1302="","",IF($AK1302=1,'كشف المطالبة'!$D$5,'كشف المطالبة'!$D$6)*100)</f>
        <v/>
      </c>
      <c r="AK1302" s="28" t="str">
        <f aca="false">IF($A1302="","",IF(OR($Q1302=TRUE(),$Q1302="TRUE"),1,0))</f>
        <v/>
      </c>
      <c r="AL1302" s="28" t="str">
        <f aca="false">IF($N1302="","",IF(MATCH($N1302,$N$2:$N$3001,0)=ROWS($N$2:$N1302),$N1302,""))</f>
        <v/>
      </c>
    </row>
    <row r="1303" customFormat="false" ht="15" hidden="false" customHeight="false" outlineLevel="0" collapsed="false">
      <c r="E1303" s="25"/>
      <c r="M1303" s="26" t="str">
        <f aca="false">IF($A1303="","",$L1303*$U1303/100)</f>
        <v/>
      </c>
      <c r="W1303" s="26" t="str">
        <f aca="false">IF($A1303="","",U1303*AB1303/100)</f>
        <v/>
      </c>
      <c r="X1303" s="26" t="str">
        <f aca="false">IF($A1303="","",U1303-W1303)</f>
        <v/>
      </c>
      <c r="Y1303" s="26" t="str">
        <f aca="false">IF($A1303="","",U1303-W1303-M1303)</f>
        <v/>
      </c>
      <c r="AB1303" s="27" t="str">
        <f aca="false">IF($A1303="","",IF($AK1303=1,'كشف المطالبة'!$D$5,'كشف المطالبة'!$D$6)*100)</f>
        <v/>
      </c>
      <c r="AK1303" s="28" t="str">
        <f aca="false">IF($A1303="","",IF(OR($Q1303=TRUE(),$Q1303="TRUE"),1,0))</f>
        <v/>
      </c>
      <c r="AL1303" s="28" t="str">
        <f aca="false">IF($N1303="","",IF(MATCH($N1303,$N$2:$N$3001,0)=ROWS($N$2:$N1303),$N1303,""))</f>
        <v/>
      </c>
    </row>
    <row r="1304" customFormat="false" ht="15" hidden="false" customHeight="false" outlineLevel="0" collapsed="false">
      <c r="E1304" s="25"/>
      <c r="M1304" s="26" t="str">
        <f aca="false">IF($A1304="","",$L1304*$U1304/100)</f>
        <v/>
      </c>
      <c r="W1304" s="26" t="str">
        <f aca="false">IF($A1304="","",U1304*AB1304/100)</f>
        <v/>
      </c>
      <c r="X1304" s="26" t="str">
        <f aca="false">IF($A1304="","",U1304-W1304)</f>
        <v/>
      </c>
      <c r="Y1304" s="26" t="str">
        <f aca="false">IF($A1304="","",U1304-W1304-M1304)</f>
        <v/>
      </c>
      <c r="AB1304" s="27" t="str">
        <f aca="false">IF($A1304="","",IF($AK1304=1,'كشف المطالبة'!$D$5,'كشف المطالبة'!$D$6)*100)</f>
        <v/>
      </c>
      <c r="AK1304" s="28" t="str">
        <f aca="false">IF($A1304="","",IF(OR($Q1304=TRUE(),$Q1304="TRUE"),1,0))</f>
        <v/>
      </c>
      <c r="AL1304" s="28" t="str">
        <f aca="false">IF($N1304="","",IF(MATCH($N1304,$N$2:$N$3001,0)=ROWS($N$2:$N1304),$N1304,""))</f>
        <v/>
      </c>
    </row>
    <row r="1305" customFormat="false" ht="15" hidden="false" customHeight="false" outlineLevel="0" collapsed="false">
      <c r="E1305" s="25"/>
      <c r="M1305" s="26" t="str">
        <f aca="false">IF($A1305="","",$L1305*$U1305/100)</f>
        <v/>
      </c>
      <c r="W1305" s="26" t="str">
        <f aca="false">IF($A1305="","",U1305*AB1305/100)</f>
        <v/>
      </c>
      <c r="X1305" s="26" t="str">
        <f aca="false">IF($A1305="","",U1305-W1305)</f>
        <v/>
      </c>
      <c r="Y1305" s="26" t="str">
        <f aca="false">IF($A1305="","",U1305-W1305-M1305)</f>
        <v/>
      </c>
      <c r="AB1305" s="27" t="str">
        <f aca="false">IF($A1305="","",IF($AK1305=1,'كشف المطالبة'!$D$5,'كشف المطالبة'!$D$6)*100)</f>
        <v/>
      </c>
      <c r="AK1305" s="28" t="str">
        <f aca="false">IF($A1305="","",IF(OR($Q1305=TRUE(),$Q1305="TRUE"),1,0))</f>
        <v/>
      </c>
      <c r="AL1305" s="28" t="str">
        <f aca="false">IF($N1305="","",IF(MATCH($N1305,$N$2:$N$3001,0)=ROWS($N$2:$N1305),$N1305,""))</f>
        <v/>
      </c>
    </row>
    <row r="1306" customFormat="false" ht="15" hidden="false" customHeight="false" outlineLevel="0" collapsed="false">
      <c r="E1306" s="25"/>
      <c r="M1306" s="26" t="str">
        <f aca="false">IF($A1306="","",$L1306*$U1306/100)</f>
        <v/>
      </c>
      <c r="W1306" s="26" t="str">
        <f aca="false">IF($A1306="","",U1306*AB1306/100)</f>
        <v/>
      </c>
      <c r="X1306" s="26" t="str">
        <f aca="false">IF($A1306="","",U1306-W1306)</f>
        <v/>
      </c>
      <c r="Y1306" s="26" t="str">
        <f aca="false">IF($A1306="","",U1306-W1306-M1306)</f>
        <v/>
      </c>
      <c r="AB1306" s="27" t="str">
        <f aca="false">IF($A1306="","",IF($AK1306=1,'كشف المطالبة'!$D$5,'كشف المطالبة'!$D$6)*100)</f>
        <v/>
      </c>
      <c r="AK1306" s="28" t="str">
        <f aca="false">IF($A1306="","",IF(OR($Q1306=TRUE(),$Q1306="TRUE"),1,0))</f>
        <v/>
      </c>
      <c r="AL1306" s="28" t="str">
        <f aca="false">IF($N1306="","",IF(MATCH($N1306,$N$2:$N$3001,0)=ROWS($N$2:$N1306),$N1306,""))</f>
        <v/>
      </c>
    </row>
    <row r="1307" customFormat="false" ht="15" hidden="false" customHeight="false" outlineLevel="0" collapsed="false">
      <c r="E1307" s="25"/>
      <c r="M1307" s="26" t="str">
        <f aca="false">IF($A1307="","",$L1307*$U1307/100)</f>
        <v/>
      </c>
      <c r="W1307" s="26" t="str">
        <f aca="false">IF($A1307="","",U1307*AB1307/100)</f>
        <v/>
      </c>
      <c r="X1307" s="26" t="str">
        <f aca="false">IF($A1307="","",U1307-W1307)</f>
        <v/>
      </c>
      <c r="Y1307" s="26" t="str">
        <f aca="false">IF($A1307="","",U1307-W1307-M1307)</f>
        <v/>
      </c>
      <c r="AB1307" s="27" t="str">
        <f aca="false">IF($A1307="","",IF($AK1307=1,'كشف المطالبة'!$D$5,'كشف المطالبة'!$D$6)*100)</f>
        <v/>
      </c>
      <c r="AK1307" s="28" t="str">
        <f aca="false">IF($A1307="","",IF(OR($Q1307=TRUE(),$Q1307="TRUE"),1,0))</f>
        <v/>
      </c>
      <c r="AL1307" s="28" t="str">
        <f aca="false">IF($N1307="","",IF(MATCH($N1307,$N$2:$N$3001,0)=ROWS($N$2:$N1307),$N1307,""))</f>
        <v/>
      </c>
    </row>
    <row r="1308" customFormat="false" ht="15" hidden="false" customHeight="false" outlineLevel="0" collapsed="false">
      <c r="E1308" s="25"/>
      <c r="M1308" s="26" t="str">
        <f aca="false">IF($A1308="","",$L1308*$U1308/100)</f>
        <v/>
      </c>
      <c r="W1308" s="26" t="str">
        <f aca="false">IF($A1308="","",U1308*AB1308/100)</f>
        <v/>
      </c>
      <c r="X1308" s="26" t="str">
        <f aca="false">IF($A1308="","",U1308-W1308)</f>
        <v/>
      </c>
      <c r="Y1308" s="26" t="str">
        <f aca="false">IF($A1308="","",U1308-W1308-M1308)</f>
        <v/>
      </c>
      <c r="AB1308" s="27" t="str">
        <f aca="false">IF($A1308="","",IF($AK1308=1,'كشف المطالبة'!$D$5,'كشف المطالبة'!$D$6)*100)</f>
        <v/>
      </c>
      <c r="AK1308" s="28" t="str">
        <f aca="false">IF($A1308="","",IF(OR($Q1308=TRUE(),$Q1308="TRUE"),1,0))</f>
        <v/>
      </c>
      <c r="AL1308" s="28" t="str">
        <f aca="false">IF($N1308="","",IF(MATCH($N1308,$N$2:$N$3001,0)=ROWS($N$2:$N1308),$N1308,""))</f>
        <v/>
      </c>
    </row>
    <row r="1309" customFormat="false" ht="15" hidden="false" customHeight="false" outlineLevel="0" collapsed="false">
      <c r="E1309" s="25"/>
      <c r="M1309" s="26" t="str">
        <f aca="false">IF($A1309="","",$L1309*$U1309/100)</f>
        <v/>
      </c>
      <c r="W1309" s="26" t="str">
        <f aca="false">IF($A1309="","",U1309*AB1309/100)</f>
        <v/>
      </c>
      <c r="X1309" s="26" t="str">
        <f aca="false">IF($A1309="","",U1309-W1309)</f>
        <v/>
      </c>
      <c r="Y1309" s="26" t="str">
        <f aca="false">IF($A1309="","",U1309-W1309-M1309)</f>
        <v/>
      </c>
      <c r="AB1309" s="27" t="str">
        <f aca="false">IF($A1309="","",IF($AK1309=1,'كشف المطالبة'!$D$5,'كشف المطالبة'!$D$6)*100)</f>
        <v/>
      </c>
      <c r="AK1309" s="28" t="str">
        <f aca="false">IF($A1309="","",IF(OR($Q1309=TRUE(),$Q1309="TRUE"),1,0))</f>
        <v/>
      </c>
      <c r="AL1309" s="28" t="str">
        <f aca="false">IF($N1309="","",IF(MATCH($N1309,$N$2:$N$3001,0)=ROWS($N$2:$N1309),$N1309,""))</f>
        <v/>
      </c>
    </row>
    <row r="1310" customFormat="false" ht="15" hidden="false" customHeight="false" outlineLevel="0" collapsed="false">
      <c r="E1310" s="25"/>
      <c r="M1310" s="26" t="str">
        <f aca="false">IF($A1310="","",$L1310*$U1310/100)</f>
        <v/>
      </c>
      <c r="W1310" s="26" t="str">
        <f aca="false">IF($A1310="","",U1310*AB1310/100)</f>
        <v/>
      </c>
      <c r="X1310" s="26" t="str">
        <f aca="false">IF($A1310="","",U1310-W1310)</f>
        <v/>
      </c>
      <c r="Y1310" s="26" t="str">
        <f aca="false">IF($A1310="","",U1310-W1310-M1310)</f>
        <v/>
      </c>
      <c r="AB1310" s="27" t="str">
        <f aca="false">IF($A1310="","",IF($AK1310=1,'كشف المطالبة'!$D$5,'كشف المطالبة'!$D$6)*100)</f>
        <v/>
      </c>
      <c r="AK1310" s="28" t="str">
        <f aca="false">IF($A1310="","",IF(OR($Q1310=TRUE(),$Q1310="TRUE"),1,0))</f>
        <v/>
      </c>
      <c r="AL1310" s="28" t="str">
        <f aca="false">IF($N1310="","",IF(MATCH($N1310,$N$2:$N$3001,0)=ROWS($N$2:$N1310),$N1310,""))</f>
        <v/>
      </c>
    </row>
    <row r="1311" customFormat="false" ht="15" hidden="false" customHeight="false" outlineLevel="0" collapsed="false">
      <c r="E1311" s="25"/>
      <c r="M1311" s="26" t="str">
        <f aca="false">IF($A1311="","",$L1311*$U1311/100)</f>
        <v/>
      </c>
      <c r="W1311" s="26" t="str">
        <f aca="false">IF($A1311="","",U1311*AB1311/100)</f>
        <v/>
      </c>
      <c r="X1311" s="26" t="str">
        <f aca="false">IF($A1311="","",U1311-W1311)</f>
        <v/>
      </c>
      <c r="Y1311" s="26" t="str">
        <f aca="false">IF($A1311="","",U1311-W1311-M1311)</f>
        <v/>
      </c>
      <c r="AB1311" s="27" t="str">
        <f aca="false">IF($A1311="","",IF($AK1311=1,'كشف المطالبة'!$D$5,'كشف المطالبة'!$D$6)*100)</f>
        <v/>
      </c>
      <c r="AK1311" s="28" t="str">
        <f aca="false">IF($A1311="","",IF(OR($Q1311=TRUE(),$Q1311="TRUE"),1,0))</f>
        <v/>
      </c>
      <c r="AL1311" s="28" t="str">
        <f aca="false">IF($N1311="","",IF(MATCH($N1311,$N$2:$N$3001,0)=ROWS($N$2:$N1311),$N1311,""))</f>
        <v/>
      </c>
    </row>
    <row r="1312" customFormat="false" ht="15" hidden="false" customHeight="false" outlineLevel="0" collapsed="false">
      <c r="E1312" s="25"/>
      <c r="M1312" s="26" t="str">
        <f aca="false">IF($A1312="","",$L1312*$U1312/100)</f>
        <v/>
      </c>
      <c r="W1312" s="26" t="str">
        <f aca="false">IF($A1312="","",U1312*AB1312/100)</f>
        <v/>
      </c>
      <c r="X1312" s="26" t="str">
        <f aca="false">IF($A1312="","",U1312-W1312)</f>
        <v/>
      </c>
      <c r="Y1312" s="26" t="str">
        <f aca="false">IF($A1312="","",U1312-W1312-M1312)</f>
        <v/>
      </c>
      <c r="AB1312" s="27" t="str">
        <f aca="false">IF($A1312="","",IF($AK1312=1,'كشف المطالبة'!$D$5,'كشف المطالبة'!$D$6)*100)</f>
        <v/>
      </c>
      <c r="AK1312" s="28" t="str">
        <f aca="false">IF($A1312="","",IF(OR($Q1312=TRUE(),$Q1312="TRUE"),1,0))</f>
        <v/>
      </c>
      <c r="AL1312" s="28" t="str">
        <f aca="false">IF($N1312="","",IF(MATCH($N1312,$N$2:$N$3001,0)=ROWS($N$2:$N1312),$N1312,""))</f>
        <v/>
      </c>
    </row>
    <row r="1313" customFormat="false" ht="15" hidden="false" customHeight="false" outlineLevel="0" collapsed="false">
      <c r="E1313" s="25"/>
      <c r="M1313" s="26" t="str">
        <f aca="false">IF($A1313="","",$L1313*$U1313/100)</f>
        <v/>
      </c>
      <c r="W1313" s="26" t="str">
        <f aca="false">IF($A1313="","",U1313*AB1313/100)</f>
        <v/>
      </c>
      <c r="X1313" s="26" t="str">
        <f aca="false">IF($A1313="","",U1313-W1313)</f>
        <v/>
      </c>
      <c r="Y1313" s="26" t="str">
        <f aca="false">IF($A1313="","",U1313-W1313-M1313)</f>
        <v/>
      </c>
      <c r="AB1313" s="27" t="str">
        <f aca="false">IF($A1313="","",IF($AK1313=1,'كشف المطالبة'!$D$5,'كشف المطالبة'!$D$6)*100)</f>
        <v/>
      </c>
      <c r="AK1313" s="28" t="str">
        <f aca="false">IF($A1313="","",IF(OR($Q1313=TRUE(),$Q1313="TRUE"),1,0))</f>
        <v/>
      </c>
      <c r="AL1313" s="28" t="str">
        <f aca="false">IF($N1313="","",IF(MATCH($N1313,$N$2:$N$3001,0)=ROWS($N$2:$N1313),$N1313,""))</f>
        <v/>
      </c>
    </row>
    <row r="1314" customFormat="false" ht="15" hidden="false" customHeight="false" outlineLevel="0" collapsed="false">
      <c r="E1314" s="25"/>
      <c r="M1314" s="26" t="str">
        <f aca="false">IF($A1314="","",$L1314*$U1314/100)</f>
        <v/>
      </c>
      <c r="W1314" s="26" t="str">
        <f aca="false">IF($A1314="","",U1314*AB1314/100)</f>
        <v/>
      </c>
      <c r="X1314" s="26" t="str">
        <f aca="false">IF($A1314="","",U1314-W1314)</f>
        <v/>
      </c>
      <c r="Y1314" s="26" t="str">
        <f aca="false">IF($A1314="","",U1314-W1314-M1314)</f>
        <v/>
      </c>
      <c r="AB1314" s="27" t="str">
        <f aca="false">IF($A1314="","",IF($AK1314=1,'كشف المطالبة'!$D$5,'كشف المطالبة'!$D$6)*100)</f>
        <v/>
      </c>
      <c r="AK1314" s="28" t="str">
        <f aca="false">IF($A1314="","",IF(OR($Q1314=TRUE(),$Q1314="TRUE"),1,0))</f>
        <v/>
      </c>
      <c r="AL1314" s="28" t="str">
        <f aca="false">IF($N1314="","",IF(MATCH($N1314,$N$2:$N$3001,0)=ROWS($N$2:$N1314),$N1314,""))</f>
        <v/>
      </c>
    </row>
    <row r="1315" customFormat="false" ht="15" hidden="false" customHeight="false" outlineLevel="0" collapsed="false">
      <c r="E1315" s="25"/>
      <c r="M1315" s="26" t="str">
        <f aca="false">IF($A1315="","",$L1315*$U1315/100)</f>
        <v/>
      </c>
      <c r="W1315" s="26" t="str">
        <f aca="false">IF($A1315="","",U1315*AB1315/100)</f>
        <v/>
      </c>
      <c r="X1315" s="26" t="str">
        <f aca="false">IF($A1315="","",U1315-W1315)</f>
        <v/>
      </c>
      <c r="Y1315" s="26" t="str">
        <f aca="false">IF($A1315="","",U1315-W1315-M1315)</f>
        <v/>
      </c>
      <c r="AB1315" s="27" t="str">
        <f aca="false">IF($A1315="","",IF($AK1315=1,'كشف المطالبة'!$D$5,'كشف المطالبة'!$D$6)*100)</f>
        <v/>
      </c>
      <c r="AK1315" s="28" t="str">
        <f aca="false">IF($A1315="","",IF(OR($Q1315=TRUE(),$Q1315="TRUE"),1,0))</f>
        <v/>
      </c>
      <c r="AL1315" s="28" t="str">
        <f aca="false">IF($N1315="","",IF(MATCH($N1315,$N$2:$N$3001,0)=ROWS($N$2:$N1315),$N1315,""))</f>
        <v/>
      </c>
    </row>
    <row r="1316" customFormat="false" ht="15" hidden="false" customHeight="false" outlineLevel="0" collapsed="false">
      <c r="E1316" s="25"/>
      <c r="M1316" s="26" t="str">
        <f aca="false">IF($A1316="","",$L1316*$U1316/100)</f>
        <v/>
      </c>
      <c r="W1316" s="26" t="str">
        <f aca="false">IF($A1316="","",U1316*AB1316/100)</f>
        <v/>
      </c>
      <c r="X1316" s="26" t="str">
        <f aca="false">IF($A1316="","",U1316-W1316)</f>
        <v/>
      </c>
      <c r="Y1316" s="26" t="str">
        <f aca="false">IF($A1316="","",U1316-W1316-M1316)</f>
        <v/>
      </c>
      <c r="AB1316" s="27" t="str">
        <f aca="false">IF($A1316="","",IF($AK1316=1,'كشف المطالبة'!$D$5,'كشف المطالبة'!$D$6)*100)</f>
        <v/>
      </c>
      <c r="AK1316" s="28" t="str">
        <f aca="false">IF($A1316="","",IF(OR($Q1316=TRUE(),$Q1316="TRUE"),1,0))</f>
        <v/>
      </c>
      <c r="AL1316" s="28" t="str">
        <f aca="false">IF($N1316="","",IF(MATCH($N1316,$N$2:$N$3001,0)=ROWS($N$2:$N1316),$N1316,""))</f>
        <v/>
      </c>
    </row>
    <row r="1317" customFormat="false" ht="15" hidden="false" customHeight="false" outlineLevel="0" collapsed="false">
      <c r="E1317" s="25"/>
      <c r="M1317" s="26" t="str">
        <f aca="false">IF($A1317="","",$L1317*$U1317/100)</f>
        <v/>
      </c>
      <c r="W1317" s="26" t="str">
        <f aca="false">IF($A1317="","",U1317*AB1317/100)</f>
        <v/>
      </c>
      <c r="X1317" s="26" t="str">
        <f aca="false">IF($A1317="","",U1317-W1317)</f>
        <v/>
      </c>
      <c r="Y1317" s="26" t="str">
        <f aca="false">IF($A1317="","",U1317-W1317-M1317)</f>
        <v/>
      </c>
      <c r="AB1317" s="27" t="str">
        <f aca="false">IF($A1317="","",IF($AK1317=1,'كشف المطالبة'!$D$5,'كشف المطالبة'!$D$6)*100)</f>
        <v/>
      </c>
      <c r="AK1317" s="28" t="str">
        <f aca="false">IF($A1317="","",IF(OR($Q1317=TRUE(),$Q1317="TRUE"),1,0))</f>
        <v/>
      </c>
      <c r="AL1317" s="28" t="str">
        <f aca="false">IF($N1317="","",IF(MATCH($N1317,$N$2:$N$3001,0)=ROWS($N$2:$N1317),$N1317,""))</f>
        <v/>
      </c>
    </row>
    <row r="1318" customFormat="false" ht="15" hidden="false" customHeight="false" outlineLevel="0" collapsed="false">
      <c r="E1318" s="25"/>
      <c r="M1318" s="26" t="str">
        <f aca="false">IF($A1318="","",$L1318*$U1318/100)</f>
        <v/>
      </c>
      <c r="W1318" s="26" t="str">
        <f aca="false">IF($A1318="","",U1318*AB1318/100)</f>
        <v/>
      </c>
      <c r="X1318" s="26" t="str">
        <f aca="false">IF($A1318="","",U1318-W1318)</f>
        <v/>
      </c>
      <c r="Y1318" s="26" t="str">
        <f aca="false">IF($A1318="","",U1318-W1318-M1318)</f>
        <v/>
      </c>
      <c r="AB1318" s="27" t="str">
        <f aca="false">IF($A1318="","",IF($AK1318=1,'كشف المطالبة'!$D$5,'كشف المطالبة'!$D$6)*100)</f>
        <v/>
      </c>
      <c r="AK1318" s="28" t="str">
        <f aca="false">IF($A1318="","",IF(OR($Q1318=TRUE(),$Q1318="TRUE"),1,0))</f>
        <v/>
      </c>
      <c r="AL1318" s="28" t="str">
        <f aca="false">IF($N1318="","",IF(MATCH($N1318,$N$2:$N$3001,0)=ROWS($N$2:$N1318),$N1318,""))</f>
        <v/>
      </c>
    </row>
    <row r="1319" customFormat="false" ht="15" hidden="false" customHeight="false" outlineLevel="0" collapsed="false">
      <c r="E1319" s="25"/>
      <c r="M1319" s="26" t="str">
        <f aca="false">IF($A1319="","",$L1319*$U1319/100)</f>
        <v/>
      </c>
      <c r="W1319" s="26" t="str">
        <f aca="false">IF($A1319="","",U1319*AB1319/100)</f>
        <v/>
      </c>
      <c r="X1319" s="26" t="str">
        <f aca="false">IF($A1319="","",U1319-W1319)</f>
        <v/>
      </c>
      <c r="Y1319" s="26" t="str">
        <f aca="false">IF($A1319="","",U1319-W1319-M1319)</f>
        <v/>
      </c>
      <c r="AB1319" s="27" t="str">
        <f aca="false">IF($A1319="","",IF($AK1319=1,'كشف المطالبة'!$D$5,'كشف المطالبة'!$D$6)*100)</f>
        <v/>
      </c>
      <c r="AK1319" s="28" t="str">
        <f aca="false">IF($A1319="","",IF(OR($Q1319=TRUE(),$Q1319="TRUE"),1,0))</f>
        <v/>
      </c>
      <c r="AL1319" s="28" t="str">
        <f aca="false">IF($N1319="","",IF(MATCH($N1319,$N$2:$N$3001,0)=ROWS($N$2:$N1319),$N1319,""))</f>
        <v/>
      </c>
    </row>
    <row r="1320" customFormat="false" ht="15" hidden="false" customHeight="false" outlineLevel="0" collapsed="false">
      <c r="E1320" s="25"/>
      <c r="M1320" s="26" t="str">
        <f aca="false">IF($A1320="","",$L1320*$U1320/100)</f>
        <v/>
      </c>
      <c r="W1320" s="26" t="str">
        <f aca="false">IF($A1320="","",U1320*AB1320/100)</f>
        <v/>
      </c>
      <c r="X1320" s="26" t="str">
        <f aca="false">IF($A1320="","",U1320-W1320)</f>
        <v/>
      </c>
      <c r="Y1320" s="26" t="str">
        <f aca="false">IF($A1320="","",U1320-W1320-M1320)</f>
        <v/>
      </c>
      <c r="AB1320" s="27" t="str">
        <f aca="false">IF($A1320="","",IF($AK1320=1,'كشف المطالبة'!$D$5,'كشف المطالبة'!$D$6)*100)</f>
        <v/>
      </c>
      <c r="AK1320" s="28" t="str">
        <f aca="false">IF($A1320="","",IF(OR($Q1320=TRUE(),$Q1320="TRUE"),1,0))</f>
        <v/>
      </c>
      <c r="AL1320" s="28" t="str">
        <f aca="false">IF($N1320="","",IF(MATCH($N1320,$N$2:$N$3001,0)=ROWS($N$2:$N1320),$N1320,""))</f>
        <v/>
      </c>
    </row>
    <row r="1321" customFormat="false" ht="15" hidden="false" customHeight="false" outlineLevel="0" collapsed="false">
      <c r="E1321" s="25"/>
      <c r="M1321" s="26" t="str">
        <f aca="false">IF($A1321="","",$L1321*$U1321/100)</f>
        <v/>
      </c>
      <c r="W1321" s="26" t="str">
        <f aca="false">IF($A1321="","",U1321*AB1321/100)</f>
        <v/>
      </c>
      <c r="X1321" s="26" t="str">
        <f aca="false">IF($A1321="","",U1321-W1321)</f>
        <v/>
      </c>
      <c r="Y1321" s="26" t="str">
        <f aca="false">IF($A1321="","",U1321-W1321-M1321)</f>
        <v/>
      </c>
      <c r="AB1321" s="27" t="str">
        <f aca="false">IF($A1321="","",IF($AK1321=1,'كشف المطالبة'!$D$5,'كشف المطالبة'!$D$6)*100)</f>
        <v/>
      </c>
      <c r="AK1321" s="28" t="str">
        <f aca="false">IF($A1321="","",IF(OR($Q1321=TRUE(),$Q1321="TRUE"),1,0))</f>
        <v/>
      </c>
      <c r="AL1321" s="28" t="str">
        <f aca="false">IF($N1321="","",IF(MATCH($N1321,$N$2:$N$3001,0)=ROWS($N$2:$N1321),$N1321,""))</f>
        <v/>
      </c>
    </row>
    <row r="1322" customFormat="false" ht="15" hidden="false" customHeight="false" outlineLevel="0" collapsed="false">
      <c r="E1322" s="25"/>
      <c r="M1322" s="26" t="str">
        <f aca="false">IF($A1322="","",$L1322*$U1322/100)</f>
        <v/>
      </c>
      <c r="W1322" s="26" t="str">
        <f aca="false">IF($A1322="","",U1322*AB1322/100)</f>
        <v/>
      </c>
      <c r="X1322" s="26" t="str">
        <f aca="false">IF($A1322="","",U1322-W1322)</f>
        <v/>
      </c>
      <c r="Y1322" s="26" t="str">
        <f aca="false">IF($A1322="","",U1322-W1322-M1322)</f>
        <v/>
      </c>
      <c r="AB1322" s="27" t="str">
        <f aca="false">IF($A1322="","",IF($AK1322=1,'كشف المطالبة'!$D$5,'كشف المطالبة'!$D$6)*100)</f>
        <v/>
      </c>
      <c r="AK1322" s="28" t="str">
        <f aca="false">IF($A1322="","",IF(OR($Q1322=TRUE(),$Q1322="TRUE"),1,0))</f>
        <v/>
      </c>
      <c r="AL1322" s="28" t="str">
        <f aca="false">IF($N1322="","",IF(MATCH($N1322,$N$2:$N$3001,0)=ROWS($N$2:$N1322),$N1322,""))</f>
        <v/>
      </c>
    </row>
    <row r="1323" customFormat="false" ht="15" hidden="false" customHeight="false" outlineLevel="0" collapsed="false">
      <c r="E1323" s="25"/>
      <c r="M1323" s="26" t="str">
        <f aca="false">IF($A1323="","",$L1323*$U1323/100)</f>
        <v/>
      </c>
      <c r="W1323" s="26" t="str">
        <f aca="false">IF($A1323="","",U1323*AB1323/100)</f>
        <v/>
      </c>
      <c r="X1323" s="26" t="str">
        <f aca="false">IF($A1323="","",U1323-W1323)</f>
        <v/>
      </c>
      <c r="Y1323" s="26" t="str">
        <f aca="false">IF($A1323="","",U1323-W1323-M1323)</f>
        <v/>
      </c>
      <c r="AB1323" s="27" t="str">
        <f aca="false">IF($A1323="","",IF($AK1323=1,'كشف المطالبة'!$D$5,'كشف المطالبة'!$D$6)*100)</f>
        <v/>
      </c>
      <c r="AK1323" s="28" t="str">
        <f aca="false">IF($A1323="","",IF(OR($Q1323=TRUE(),$Q1323="TRUE"),1,0))</f>
        <v/>
      </c>
      <c r="AL1323" s="28" t="str">
        <f aca="false">IF($N1323="","",IF(MATCH($N1323,$N$2:$N$3001,0)=ROWS($N$2:$N1323),$N1323,""))</f>
        <v/>
      </c>
    </row>
    <row r="1324" customFormat="false" ht="15" hidden="false" customHeight="false" outlineLevel="0" collapsed="false">
      <c r="E1324" s="25"/>
      <c r="M1324" s="26" t="str">
        <f aca="false">IF($A1324="","",$L1324*$U1324/100)</f>
        <v/>
      </c>
      <c r="W1324" s="26" t="str">
        <f aca="false">IF($A1324="","",U1324*AB1324/100)</f>
        <v/>
      </c>
      <c r="X1324" s="26" t="str">
        <f aca="false">IF($A1324="","",U1324-W1324)</f>
        <v/>
      </c>
      <c r="Y1324" s="26" t="str">
        <f aca="false">IF($A1324="","",U1324-W1324-M1324)</f>
        <v/>
      </c>
      <c r="AB1324" s="27" t="str">
        <f aca="false">IF($A1324="","",IF($AK1324=1,'كشف المطالبة'!$D$5,'كشف المطالبة'!$D$6)*100)</f>
        <v/>
      </c>
      <c r="AK1324" s="28" t="str">
        <f aca="false">IF($A1324="","",IF(OR($Q1324=TRUE(),$Q1324="TRUE"),1,0))</f>
        <v/>
      </c>
      <c r="AL1324" s="28" t="str">
        <f aca="false">IF($N1324="","",IF(MATCH($N1324,$N$2:$N$3001,0)=ROWS($N$2:$N1324),$N1324,""))</f>
        <v/>
      </c>
    </row>
    <row r="1325" customFormat="false" ht="15" hidden="false" customHeight="false" outlineLevel="0" collapsed="false">
      <c r="E1325" s="25"/>
      <c r="M1325" s="26" t="str">
        <f aca="false">IF($A1325="","",$L1325*$U1325/100)</f>
        <v/>
      </c>
      <c r="W1325" s="26" t="str">
        <f aca="false">IF($A1325="","",U1325*AB1325/100)</f>
        <v/>
      </c>
      <c r="X1325" s="26" t="str">
        <f aca="false">IF($A1325="","",U1325-W1325)</f>
        <v/>
      </c>
      <c r="Y1325" s="26" t="str">
        <f aca="false">IF($A1325="","",U1325-W1325-M1325)</f>
        <v/>
      </c>
      <c r="AB1325" s="27" t="str">
        <f aca="false">IF($A1325="","",IF($AK1325=1,'كشف المطالبة'!$D$5,'كشف المطالبة'!$D$6)*100)</f>
        <v/>
      </c>
      <c r="AK1325" s="28" t="str">
        <f aca="false">IF($A1325="","",IF(OR($Q1325=TRUE(),$Q1325="TRUE"),1,0))</f>
        <v/>
      </c>
      <c r="AL1325" s="28" t="str">
        <f aca="false">IF($N1325="","",IF(MATCH($N1325,$N$2:$N$3001,0)=ROWS($N$2:$N1325),$N1325,""))</f>
        <v/>
      </c>
    </row>
    <row r="1326" customFormat="false" ht="15" hidden="false" customHeight="false" outlineLevel="0" collapsed="false">
      <c r="E1326" s="25"/>
      <c r="M1326" s="26" t="str">
        <f aca="false">IF($A1326="","",$L1326*$U1326/100)</f>
        <v/>
      </c>
      <c r="W1326" s="26" t="str">
        <f aca="false">IF($A1326="","",U1326*AB1326/100)</f>
        <v/>
      </c>
      <c r="X1326" s="26" t="str">
        <f aca="false">IF($A1326="","",U1326-W1326)</f>
        <v/>
      </c>
      <c r="Y1326" s="26" t="str">
        <f aca="false">IF($A1326="","",U1326-W1326-M1326)</f>
        <v/>
      </c>
      <c r="AB1326" s="27" t="str">
        <f aca="false">IF($A1326="","",IF($AK1326=1,'كشف المطالبة'!$D$5,'كشف المطالبة'!$D$6)*100)</f>
        <v/>
      </c>
      <c r="AK1326" s="28" t="str">
        <f aca="false">IF($A1326="","",IF(OR($Q1326=TRUE(),$Q1326="TRUE"),1,0))</f>
        <v/>
      </c>
      <c r="AL1326" s="28" t="str">
        <f aca="false">IF($N1326="","",IF(MATCH($N1326,$N$2:$N$3001,0)=ROWS($N$2:$N1326),$N1326,""))</f>
        <v/>
      </c>
    </row>
    <row r="1327" customFormat="false" ht="15" hidden="false" customHeight="false" outlineLevel="0" collapsed="false">
      <c r="E1327" s="25"/>
      <c r="M1327" s="26" t="str">
        <f aca="false">IF($A1327="","",$L1327*$U1327/100)</f>
        <v/>
      </c>
      <c r="W1327" s="26" t="str">
        <f aca="false">IF($A1327="","",U1327*AB1327/100)</f>
        <v/>
      </c>
      <c r="X1327" s="26" t="str">
        <f aca="false">IF($A1327="","",U1327-W1327)</f>
        <v/>
      </c>
      <c r="Y1327" s="26" t="str">
        <f aca="false">IF($A1327="","",U1327-W1327-M1327)</f>
        <v/>
      </c>
      <c r="AB1327" s="27" t="str">
        <f aca="false">IF($A1327="","",IF($AK1327=1,'كشف المطالبة'!$D$5,'كشف المطالبة'!$D$6)*100)</f>
        <v/>
      </c>
      <c r="AK1327" s="28" t="str">
        <f aca="false">IF($A1327="","",IF(OR($Q1327=TRUE(),$Q1327="TRUE"),1,0))</f>
        <v/>
      </c>
      <c r="AL1327" s="28" t="str">
        <f aca="false">IF($N1327="","",IF(MATCH($N1327,$N$2:$N$3001,0)=ROWS($N$2:$N1327),$N1327,""))</f>
        <v/>
      </c>
    </row>
    <row r="1328" customFormat="false" ht="15" hidden="false" customHeight="false" outlineLevel="0" collapsed="false">
      <c r="E1328" s="25"/>
      <c r="M1328" s="26" t="str">
        <f aca="false">IF($A1328="","",$L1328*$U1328/100)</f>
        <v/>
      </c>
      <c r="W1328" s="26" t="str">
        <f aca="false">IF($A1328="","",U1328*AB1328/100)</f>
        <v/>
      </c>
      <c r="X1328" s="26" t="str">
        <f aca="false">IF($A1328="","",U1328-W1328)</f>
        <v/>
      </c>
      <c r="Y1328" s="26" t="str">
        <f aca="false">IF($A1328="","",U1328-W1328-M1328)</f>
        <v/>
      </c>
      <c r="AB1328" s="27" t="str">
        <f aca="false">IF($A1328="","",IF($AK1328=1,'كشف المطالبة'!$D$5,'كشف المطالبة'!$D$6)*100)</f>
        <v/>
      </c>
      <c r="AK1328" s="28" t="str">
        <f aca="false">IF($A1328="","",IF(OR($Q1328=TRUE(),$Q1328="TRUE"),1,0))</f>
        <v/>
      </c>
      <c r="AL1328" s="28" t="str">
        <f aca="false">IF($N1328="","",IF(MATCH($N1328,$N$2:$N$3001,0)=ROWS($N$2:$N1328),$N1328,""))</f>
        <v/>
      </c>
    </row>
    <row r="1329" customFormat="false" ht="15" hidden="false" customHeight="false" outlineLevel="0" collapsed="false">
      <c r="E1329" s="25"/>
      <c r="M1329" s="26" t="str">
        <f aca="false">IF($A1329="","",$L1329*$U1329/100)</f>
        <v/>
      </c>
      <c r="W1329" s="26" t="str">
        <f aca="false">IF($A1329="","",U1329*AB1329/100)</f>
        <v/>
      </c>
      <c r="X1329" s="26" t="str">
        <f aca="false">IF($A1329="","",U1329-W1329)</f>
        <v/>
      </c>
      <c r="Y1329" s="26" t="str">
        <f aca="false">IF($A1329="","",U1329-W1329-M1329)</f>
        <v/>
      </c>
      <c r="AB1329" s="27" t="str">
        <f aca="false">IF($A1329="","",IF($AK1329=1,'كشف المطالبة'!$D$5,'كشف المطالبة'!$D$6)*100)</f>
        <v/>
      </c>
      <c r="AK1329" s="28" t="str">
        <f aca="false">IF($A1329="","",IF(OR($Q1329=TRUE(),$Q1329="TRUE"),1,0))</f>
        <v/>
      </c>
      <c r="AL1329" s="28" t="str">
        <f aca="false">IF($N1329="","",IF(MATCH($N1329,$N$2:$N$3001,0)=ROWS($N$2:$N1329),$N1329,""))</f>
        <v/>
      </c>
    </row>
    <row r="1330" customFormat="false" ht="15" hidden="false" customHeight="false" outlineLevel="0" collapsed="false">
      <c r="E1330" s="25"/>
      <c r="M1330" s="26" t="str">
        <f aca="false">IF($A1330="","",$L1330*$U1330/100)</f>
        <v/>
      </c>
      <c r="W1330" s="26" t="str">
        <f aca="false">IF($A1330="","",U1330*AB1330/100)</f>
        <v/>
      </c>
      <c r="X1330" s="26" t="str">
        <f aca="false">IF($A1330="","",U1330-W1330)</f>
        <v/>
      </c>
      <c r="Y1330" s="26" t="str">
        <f aca="false">IF($A1330="","",U1330-W1330-M1330)</f>
        <v/>
      </c>
      <c r="AB1330" s="27" t="str">
        <f aca="false">IF($A1330="","",IF($AK1330=1,'كشف المطالبة'!$D$5,'كشف المطالبة'!$D$6)*100)</f>
        <v/>
      </c>
      <c r="AK1330" s="28" t="str">
        <f aca="false">IF($A1330="","",IF(OR($Q1330=TRUE(),$Q1330="TRUE"),1,0))</f>
        <v/>
      </c>
      <c r="AL1330" s="28" t="str">
        <f aca="false">IF($N1330="","",IF(MATCH($N1330,$N$2:$N$3001,0)=ROWS($N$2:$N1330),$N1330,""))</f>
        <v/>
      </c>
    </row>
    <row r="1331" customFormat="false" ht="15" hidden="false" customHeight="false" outlineLevel="0" collapsed="false">
      <c r="E1331" s="25"/>
      <c r="M1331" s="26" t="str">
        <f aca="false">IF($A1331="","",$L1331*$U1331/100)</f>
        <v/>
      </c>
      <c r="W1331" s="26" t="str">
        <f aca="false">IF($A1331="","",U1331*AB1331/100)</f>
        <v/>
      </c>
      <c r="X1331" s="26" t="str">
        <f aca="false">IF($A1331="","",U1331-W1331)</f>
        <v/>
      </c>
      <c r="Y1331" s="26" t="str">
        <f aca="false">IF($A1331="","",U1331-W1331-M1331)</f>
        <v/>
      </c>
      <c r="AB1331" s="27" t="str">
        <f aca="false">IF($A1331="","",IF($AK1331=1,'كشف المطالبة'!$D$5,'كشف المطالبة'!$D$6)*100)</f>
        <v/>
      </c>
      <c r="AK1331" s="28" t="str">
        <f aca="false">IF($A1331="","",IF(OR($Q1331=TRUE(),$Q1331="TRUE"),1,0))</f>
        <v/>
      </c>
      <c r="AL1331" s="28" t="str">
        <f aca="false">IF($N1331="","",IF(MATCH($N1331,$N$2:$N$3001,0)=ROWS($N$2:$N1331),$N1331,""))</f>
        <v/>
      </c>
    </row>
    <row r="1332" customFormat="false" ht="15" hidden="false" customHeight="false" outlineLevel="0" collapsed="false">
      <c r="E1332" s="25"/>
      <c r="M1332" s="26" t="str">
        <f aca="false">IF($A1332="","",$L1332*$U1332/100)</f>
        <v/>
      </c>
      <c r="W1332" s="26" t="str">
        <f aca="false">IF($A1332="","",U1332*AB1332/100)</f>
        <v/>
      </c>
      <c r="X1332" s="26" t="str">
        <f aca="false">IF($A1332="","",U1332-W1332)</f>
        <v/>
      </c>
      <c r="Y1332" s="26" t="str">
        <f aca="false">IF($A1332="","",U1332-W1332-M1332)</f>
        <v/>
      </c>
      <c r="AB1332" s="27" t="str">
        <f aca="false">IF($A1332="","",IF($AK1332=1,'كشف المطالبة'!$D$5,'كشف المطالبة'!$D$6)*100)</f>
        <v/>
      </c>
      <c r="AK1332" s="28" t="str">
        <f aca="false">IF($A1332="","",IF(OR($Q1332=TRUE(),$Q1332="TRUE"),1,0))</f>
        <v/>
      </c>
      <c r="AL1332" s="28" t="str">
        <f aca="false">IF($N1332="","",IF(MATCH($N1332,$N$2:$N$3001,0)=ROWS($N$2:$N1332),$N1332,""))</f>
        <v/>
      </c>
    </row>
    <row r="1333" customFormat="false" ht="15" hidden="false" customHeight="false" outlineLevel="0" collapsed="false">
      <c r="E1333" s="25"/>
      <c r="M1333" s="26" t="str">
        <f aca="false">IF($A1333="","",$L1333*$U1333/100)</f>
        <v/>
      </c>
      <c r="W1333" s="26" t="str">
        <f aca="false">IF($A1333="","",U1333*AB1333/100)</f>
        <v/>
      </c>
      <c r="X1333" s="26" t="str">
        <f aca="false">IF($A1333="","",U1333-W1333)</f>
        <v/>
      </c>
      <c r="Y1333" s="26" t="str">
        <f aca="false">IF($A1333="","",U1333-W1333-M1333)</f>
        <v/>
      </c>
      <c r="AB1333" s="27" t="str">
        <f aca="false">IF($A1333="","",IF($AK1333=1,'كشف المطالبة'!$D$5,'كشف المطالبة'!$D$6)*100)</f>
        <v/>
      </c>
      <c r="AK1333" s="28" t="str">
        <f aca="false">IF($A1333="","",IF(OR($Q1333=TRUE(),$Q1333="TRUE"),1,0))</f>
        <v/>
      </c>
      <c r="AL1333" s="28" t="str">
        <f aca="false">IF($N1333="","",IF(MATCH($N1333,$N$2:$N$3001,0)=ROWS($N$2:$N1333),$N1333,""))</f>
        <v/>
      </c>
    </row>
    <row r="1334" customFormat="false" ht="15" hidden="false" customHeight="false" outlineLevel="0" collapsed="false">
      <c r="E1334" s="25"/>
      <c r="M1334" s="26" t="str">
        <f aca="false">IF($A1334="","",$L1334*$U1334/100)</f>
        <v/>
      </c>
      <c r="W1334" s="26" t="str">
        <f aca="false">IF($A1334="","",U1334*AB1334/100)</f>
        <v/>
      </c>
      <c r="X1334" s="26" t="str">
        <f aca="false">IF($A1334="","",U1334-W1334)</f>
        <v/>
      </c>
      <c r="Y1334" s="26" t="str">
        <f aca="false">IF($A1334="","",U1334-W1334-M1334)</f>
        <v/>
      </c>
      <c r="AB1334" s="27" t="str">
        <f aca="false">IF($A1334="","",IF($AK1334=1,'كشف المطالبة'!$D$5,'كشف المطالبة'!$D$6)*100)</f>
        <v/>
      </c>
      <c r="AK1334" s="28" t="str">
        <f aca="false">IF($A1334="","",IF(OR($Q1334=TRUE(),$Q1334="TRUE"),1,0))</f>
        <v/>
      </c>
      <c r="AL1334" s="28" t="str">
        <f aca="false">IF($N1334="","",IF(MATCH($N1334,$N$2:$N$3001,0)=ROWS($N$2:$N1334),$N1334,""))</f>
        <v/>
      </c>
    </row>
    <row r="1335" customFormat="false" ht="15" hidden="false" customHeight="false" outlineLevel="0" collapsed="false">
      <c r="E1335" s="25"/>
      <c r="M1335" s="26" t="str">
        <f aca="false">IF($A1335="","",$L1335*$U1335/100)</f>
        <v/>
      </c>
      <c r="W1335" s="26" t="str">
        <f aca="false">IF($A1335="","",U1335*AB1335/100)</f>
        <v/>
      </c>
      <c r="X1335" s="26" t="str">
        <f aca="false">IF($A1335="","",U1335-W1335)</f>
        <v/>
      </c>
      <c r="Y1335" s="26" t="str">
        <f aca="false">IF($A1335="","",U1335-W1335-M1335)</f>
        <v/>
      </c>
      <c r="AB1335" s="27" t="str">
        <f aca="false">IF($A1335="","",IF($AK1335=1,'كشف المطالبة'!$D$5,'كشف المطالبة'!$D$6)*100)</f>
        <v/>
      </c>
      <c r="AK1335" s="28" t="str">
        <f aca="false">IF($A1335="","",IF(OR($Q1335=TRUE(),$Q1335="TRUE"),1,0))</f>
        <v/>
      </c>
      <c r="AL1335" s="28" t="str">
        <f aca="false">IF($N1335="","",IF(MATCH($N1335,$N$2:$N$3001,0)=ROWS($N$2:$N1335),$N1335,""))</f>
        <v/>
      </c>
    </row>
    <row r="1336" customFormat="false" ht="15" hidden="false" customHeight="false" outlineLevel="0" collapsed="false">
      <c r="E1336" s="25"/>
      <c r="M1336" s="26" t="str">
        <f aca="false">IF($A1336="","",$L1336*$U1336/100)</f>
        <v/>
      </c>
      <c r="W1336" s="26" t="str">
        <f aca="false">IF($A1336="","",U1336*AB1336/100)</f>
        <v/>
      </c>
      <c r="X1336" s="26" t="str">
        <f aca="false">IF($A1336="","",U1336-W1336)</f>
        <v/>
      </c>
      <c r="Y1336" s="26" t="str">
        <f aca="false">IF($A1336="","",U1336-W1336-M1336)</f>
        <v/>
      </c>
      <c r="AB1336" s="27" t="str">
        <f aca="false">IF($A1336="","",IF($AK1336=1,'كشف المطالبة'!$D$5,'كشف المطالبة'!$D$6)*100)</f>
        <v/>
      </c>
      <c r="AK1336" s="28" t="str">
        <f aca="false">IF($A1336="","",IF(OR($Q1336=TRUE(),$Q1336="TRUE"),1,0))</f>
        <v/>
      </c>
      <c r="AL1336" s="28" t="str">
        <f aca="false">IF($N1336="","",IF(MATCH($N1336,$N$2:$N$3001,0)=ROWS($N$2:$N1336),$N1336,""))</f>
        <v/>
      </c>
    </row>
    <row r="1337" customFormat="false" ht="15" hidden="false" customHeight="false" outlineLevel="0" collapsed="false">
      <c r="E1337" s="25"/>
      <c r="M1337" s="26" t="str">
        <f aca="false">IF($A1337="","",$L1337*$U1337/100)</f>
        <v/>
      </c>
      <c r="W1337" s="26" t="str">
        <f aca="false">IF($A1337="","",U1337*AB1337/100)</f>
        <v/>
      </c>
      <c r="X1337" s="26" t="str">
        <f aca="false">IF($A1337="","",U1337-W1337)</f>
        <v/>
      </c>
      <c r="Y1337" s="26" t="str">
        <f aca="false">IF($A1337="","",U1337-W1337-M1337)</f>
        <v/>
      </c>
      <c r="AB1337" s="27" t="str">
        <f aca="false">IF($A1337="","",IF($AK1337=1,'كشف المطالبة'!$D$5,'كشف المطالبة'!$D$6)*100)</f>
        <v/>
      </c>
      <c r="AK1337" s="28" t="str">
        <f aca="false">IF($A1337="","",IF(OR($Q1337=TRUE(),$Q1337="TRUE"),1,0))</f>
        <v/>
      </c>
      <c r="AL1337" s="28" t="str">
        <f aca="false">IF($N1337="","",IF(MATCH($N1337,$N$2:$N$3001,0)=ROWS($N$2:$N1337),$N1337,""))</f>
        <v/>
      </c>
    </row>
    <row r="1338" customFormat="false" ht="15" hidden="false" customHeight="false" outlineLevel="0" collapsed="false">
      <c r="E1338" s="25"/>
      <c r="M1338" s="26" t="str">
        <f aca="false">IF($A1338="","",$L1338*$U1338/100)</f>
        <v/>
      </c>
      <c r="W1338" s="26" t="str">
        <f aca="false">IF($A1338="","",U1338*AB1338/100)</f>
        <v/>
      </c>
      <c r="X1338" s="26" t="str">
        <f aca="false">IF($A1338="","",U1338-W1338)</f>
        <v/>
      </c>
      <c r="Y1338" s="26" t="str">
        <f aca="false">IF($A1338="","",U1338-W1338-M1338)</f>
        <v/>
      </c>
      <c r="AB1338" s="27" t="str">
        <f aca="false">IF($A1338="","",IF($AK1338=1,'كشف المطالبة'!$D$5,'كشف المطالبة'!$D$6)*100)</f>
        <v/>
      </c>
      <c r="AK1338" s="28" t="str">
        <f aca="false">IF($A1338="","",IF(OR($Q1338=TRUE(),$Q1338="TRUE"),1,0))</f>
        <v/>
      </c>
      <c r="AL1338" s="28" t="str">
        <f aca="false">IF($N1338="","",IF(MATCH($N1338,$N$2:$N$3001,0)=ROWS($N$2:$N1338),$N1338,""))</f>
        <v/>
      </c>
    </row>
    <row r="1339" customFormat="false" ht="15" hidden="false" customHeight="false" outlineLevel="0" collapsed="false">
      <c r="E1339" s="25"/>
      <c r="M1339" s="26" t="str">
        <f aca="false">IF($A1339="","",$L1339*$U1339/100)</f>
        <v/>
      </c>
      <c r="W1339" s="26" t="str">
        <f aca="false">IF($A1339="","",U1339*AB1339/100)</f>
        <v/>
      </c>
      <c r="X1339" s="26" t="str">
        <f aca="false">IF($A1339="","",U1339-W1339)</f>
        <v/>
      </c>
      <c r="Y1339" s="26" t="str">
        <f aca="false">IF($A1339="","",U1339-W1339-M1339)</f>
        <v/>
      </c>
      <c r="AB1339" s="27" t="str">
        <f aca="false">IF($A1339="","",IF($AK1339=1,'كشف المطالبة'!$D$5,'كشف المطالبة'!$D$6)*100)</f>
        <v/>
      </c>
      <c r="AK1339" s="28" t="str">
        <f aca="false">IF($A1339="","",IF(OR($Q1339=TRUE(),$Q1339="TRUE"),1,0))</f>
        <v/>
      </c>
      <c r="AL1339" s="28" t="str">
        <f aca="false">IF($N1339="","",IF(MATCH($N1339,$N$2:$N$3001,0)=ROWS($N$2:$N1339),$N1339,""))</f>
        <v/>
      </c>
    </row>
    <row r="1340" customFormat="false" ht="15" hidden="false" customHeight="false" outlineLevel="0" collapsed="false">
      <c r="E1340" s="25"/>
      <c r="M1340" s="26" t="str">
        <f aca="false">IF($A1340="","",$L1340*$U1340/100)</f>
        <v/>
      </c>
      <c r="W1340" s="26" t="str">
        <f aca="false">IF($A1340="","",U1340*AB1340/100)</f>
        <v/>
      </c>
      <c r="X1340" s="26" t="str">
        <f aca="false">IF($A1340="","",U1340-W1340)</f>
        <v/>
      </c>
      <c r="Y1340" s="26" t="str">
        <f aca="false">IF($A1340="","",U1340-W1340-M1340)</f>
        <v/>
      </c>
      <c r="AB1340" s="27" t="str">
        <f aca="false">IF($A1340="","",IF($AK1340=1,'كشف المطالبة'!$D$5,'كشف المطالبة'!$D$6)*100)</f>
        <v/>
      </c>
      <c r="AK1340" s="28" t="str">
        <f aca="false">IF($A1340="","",IF(OR($Q1340=TRUE(),$Q1340="TRUE"),1,0))</f>
        <v/>
      </c>
      <c r="AL1340" s="28" t="str">
        <f aca="false">IF($N1340="","",IF(MATCH($N1340,$N$2:$N$3001,0)=ROWS($N$2:$N1340),$N1340,""))</f>
        <v/>
      </c>
    </row>
    <row r="1341" customFormat="false" ht="15" hidden="false" customHeight="false" outlineLevel="0" collapsed="false">
      <c r="E1341" s="25"/>
      <c r="M1341" s="26" t="str">
        <f aca="false">IF($A1341="","",$L1341*$U1341/100)</f>
        <v/>
      </c>
      <c r="W1341" s="26" t="str">
        <f aca="false">IF($A1341="","",U1341*AB1341/100)</f>
        <v/>
      </c>
      <c r="X1341" s="26" t="str">
        <f aca="false">IF($A1341="","",U1341-W1341)</f>
        <v/>
      </c>
      <c r="Y1341" s="26" t="str">
        <f aca="false">IF($A1341="","",U1341-W1341-M1341)</f>
        <v/>
      </c>
      <c r="AB1341" s="27" t="str">
        <f aca="false">IF($A1341="","",IF($AK1341=1,'كشف المطالبة'!$D$5,'كشف المطالبة'!$D$6)*100)</f>
        <v/>
      </c>
      <c r="AK1341" s="28" t="str">
        <f aca="false">IF($A1341="","",IF(OR($Q1341=TRUE(),$Q1341="TRUE"),1,0))</f>
        <v/>
      </c>
      <c r="AL1341" s="28" t="str">
        <f aca="false">IF($N1341="","",IF(MATCH($N1341,$N$2:$N$3001,0)=ROWS($N$2:$N1341),$N1341,""))</f>
        <v/>
      </c>
    </row>
    <row r="1342" customFormat="false" ht="15" hidden="false" customHeight="false" outlineLevel="0" collapsed="false">
      <c r="E1342" s="25"/>
      <c r="M1342" s="26" t="str">
        <f aca="false">IF($A1342="","",$L1342*$U1342/100)</f>
        <v/>
      </c>
      <c r="W1342" s="26" t="str">
        <f aca="false">IF($A1342="","",U1342*AB1342/100)</f>
        <v/>
      </c>
      <c r="X1342" s="26" t="str">
        <f aca="false">IF($A1342="","",U1342-W1342)</f>
        <v/>
      </c>
      <c r="Y1342" s="26" t="str">
        <f aca="false">IF($A1342="","",U1342-W1342-M1342)</f>
        <v/>
      </c>
      <c r="AB1342" s="27" t="str">
        <f aca="false">IF($A1342="","",IF($AK1342=1,'كشف المطالبة'!$D$5,'كشف المطالبة'!$D$6)*100)</f>
        <v/>
      </c>
      <c r="AK1342" s="28" t="str">
        <f aca="false">IF($A1342="","",IF(OR($Q1342=TRUE(),$Q1342="TRUE"),1,0))</f>
        <v/>
      </c>
      <c r="AL1342" s="28" t="str">
        <f aca="false">IF($N1342="","",IF(MATCH($N1342,$N$2:$N$3001,0)=ROWS($N$2:$N1342),$N1342,""))</f>
        <v/>
      </c>
    </row>
    <row r="1343" customFormat="false" ht="15" hidden="false" customHeight="false" outlineLevel="0" collapsed="false">
      <c r="E1343" s="25"/>
      <c r="M1343" s="26" t="str">
        <f aca="false">IF($A1343="","",$L1343*$U1343/100)</f>
        <v/>
      </c>
      <c r="W1343" s="26" t="str">
        <f aca="false">IF($A1343="","",U1343*AB1343/100)</f>
        <v/>
      </c>
      <c r="X1343" s="26" t="str">
        <f aca="false">IF($A1343="","",U1343-W1343)</f>
        <v/>
      </c>
      <c r="Y1343" s="26" t="str">
        <f aca="false">IF($A1343="","",U1343-W1343-M1343)</f>
        <v/>
      </c>
      <c r="AB1343" s="27" t="str">
        <f aca="false">IF($A1343="","",IF($AK1343=1,'كشف المطالبة'!$D$5,'كشف المطالبة'!$D$6)*100)</f>
        <v/>
      </c>
      <c r="AK1343" s="28" t="str">
        <f aca="false">IF($A1343="","",IF(OR($Q1343=TRUE(),$Q1343="TRUE"),1,0))</f>
        <v/>
      </c>
      <c r="AL1343" s="28" t="str">
        <f aca="false">IF($N1343="","",IF(MATCH($N1343,$N$2:$N$3001,0)=ROWS($N$2:$N1343),$N1343,""))</f>
        <v/>
      </c>
    </row>
    <row r="1344" customFormat="false" ht="15" hidden="false" customHeight="false" outlineLevel="0" collapsed="false">
      <c r="E1344" s="25"/>
      <c r="M1344" s="26" t="str">
        <f aca="false">IF($A1344="","",$L1344*$U1344/100)</f>
        <v/>
      </c>
      <c r="W1344" s="26" t="str">
        <f aca="false">IF($A1344="","",U1344*AB1344/100)</f>
        <v/>
      </c>
      <c r="X1344" s="26" t="str">
        <f aca="false">IF($A1344="","",U1344-W1344)</f>
        <v/>
      </c>
      <c r="Y1344" s="26" t="str">
        <f aca="false">IF($A1344="","",U1344-W1344-M1344)</f>
        <v/>
      </c>
      <c r="AB1344" s="27" t="str">
        <f aca="false">IF($A1344="","",IF($AK1344=1,'كشف المطالبة'!$D$5,'كشف المطالبة'!$D$6)*100)</f>
        <v/>
      </c>
      <c r="AK1344" s="28" t="str">
        <f aca="false">IF($A1344="","",IF(OR($Q1344=TRUE(),$Q1344="TRUE"),1,0))</f>
        <v/>
      </c>
      <c r="AL1344" s="28" t="str">
        <f aca="false">IF($N1344="","",IF(MATCH($N1344,$N$2:$N$3001,0)=ROWS($N$2:$N1344),$N1344,""))</f>
        <v/>
      </c>
    </row>
    <row r="1345" customFormat="false" ht="15" hidden="false" customHeight="false" outlineLevel="0" collapsed="false">
      <c r="E1345" s="25"/>
      <c r="M1345" s="26" t="str">
        <f aca="false">IF($A1345="","",$L1345*$U1345/100)</f>
        <v/>
      </c>
      <c r="W1345" s="26" t="str">
        <f aca="false">IF($A1345="","",U1345*AB1345/100)</f>
        <v/>
      </c>
      <c r="X1345" s="26" t="str">
        <f aca="false">IF($A1345="","",U1345-W1345)</f>
        <v/>
      </c>
      <c r="Y1345" s="26" t="str">
        <f aca="false">IF($A1345="","",U1345-W1345-M1345)</f>
        <v/>
      </c>
      <c r="AB1345" s="27" t="str">
        <f aca="false">IF($A1345="","",IF($AK1345=1,'كشف المطالبة'!$D$5,'كشف المطالبة'!$D$6)*100)</f>
        <v/>
      </c>
      <c r="AK1345" s="28" t="str">
        <f aca="false">IF($A1345="","",IF(OR($Q1345=TRUE(),$Q1345="TRUE"),1,0))</f>
        <v/>
      </c>
      <c r="AL1345" s="28" t="str">
        <f aca="false">IF($N1345="","",IF(MATCH($N1345,$N$2:$N$3001,0)=ROWS($N$2:$N1345),$N1345,""))</f>
        <v/>
      </c>
    </row>
    <row r="1346" customFormat="false" ht="15" hidden="false" customHeight="false" outlineLevel="0" collapsed="false">
      <c r="E1346" s="25"/>
      <c r="M1346" s="26" t="str">
        <f aca="false">IF($A1346="","",$L1346*$U1346/100)</f>
        <v/>
      </c>
      <c r="W1346" s="26" t="str">
        <f aca="false">IF($A1346="","",U1346*AB1346/100)</f>
        <v/>
      </c>
      <c r="X1346" s="26" t="str">
        <f aca="false">IF($A1346="","",U1346-W1346)</f>
        <v/>
      </c>
      <c r="Y1346" s="26" t="str">
        <f aca="false">IF($A1346="","",U1346-W1346-M1346)</f>
        <v/>
      </c>
      <c r="AB1346" s="27" t="str">
        <f aca="false">IF($A1346="","",IF($AK1346=1,'كشف المطالبة'!$D$5,'كشف المطالبة'!$D$6)*100)</f>
        <v/>
      </c>
      <c r="AK1346" s="28" t="str">
        <f aca="false">IF($A1346="","",IF(OR($Q1346=TRUE(),$Q1346="TRUE"),1,0))</f>
        <v/>
      </c>
      <c r="AL1346" s="28" t="str">
        <f aca="false">IF($N1346="","",IF(MATCH($N1346,$N$2:$N$3001,0)=ROWS($N$2:$N1346),$N1346,""))</f>
        <v/>
      </c>
    </row>
    <row r="1347" customFormat="false" ht="15" hidden="false" customHeight="false" outlineLevel="0" collapsed="false">
      <c r="E1347" s="25"/>
      <c r="M1347" s="26" t="str">
        <f aca="false">IF($A1347="","",$L1347*$U1347/100)</f>
        <v/>
      </c>
      <c r="W1347" s="26" t="str">
        <f aca="false">IF($A1347="","",U1347*AB1347/100)</f>
        <v/>
      </c>
      <c r="X1347" s="26" t="str">
        <f aca="false">IF($A1347="","",U1347-W1347)</f>
        <v/>
      </c>
      <c r="Y1347" s="26" t="str">
        <f aca="false">IF($A1347="","",U1347-W1347-M1347)</f>
        <v/>
      </c>
      <c r="AB1347" s="27" t="str">
        <f aca="false">IF($A1347="","",IF($AK1347=1,'كشف المطالبة'!$D$5,'كشف المطالبة'!$D$6)*100)</f>
        <v/>
      </c>
      <c r="AK1347" s="28" t="str">
        <f aca="false">IF($A1347="","",IF(OR($Q1347=TRUE(),$Q1347="TRUE"),1,0))</f>
        <v/>
      </c>
      <c r="AL1347" s="28" t="str">
        <f aca="false">IF($N1347="","",IF(MATCH($N1347,$N$2:$N$3001,0)=ROWS($N$2:$N1347),$N1347,""))</f>
        <v/>
      </c>
    </row>
    <row r="1348" customFormat="false" ht="15" hidden="false" customHeight="false" outlineLevel="0" collapsed="false">
      <c r="E1348" s="25"/>
      <c r="M1348" s="26" t="str">
        <f aca="false">IF($A1348="","",$L1348*$U1348/100)</f>
        <v/>
      </c>
      <c r="W1348" s="26" t="str">
        <f aca="false">IF($A1348="","",U1348*AB1348/100)</f>
        <v/>
      </c>
      <c r="X1348" s="26" t="str">
        <f aca="false">IF($A1348="","",U1348-W1348)</f>
        <v/>
      </c>
      <c r="Y1348" s="26" t="str">
        <f aca="false">IF($A1348="","",U1348-W1348-M1348)</f>
        <v/>
      </c>
      <c r="AB1348" s="27" t="str">
        <f aca="false">IF($A1348="","",IF($AK1348=1,'كشف المطالبة'!$D$5,'كشف المطالبة'!$D$6)*100)</f>
        <v/>
      </c>
      <c r="AK1348" s="28" t="str">
        <f aca="false">IF($A1348="","",IF(OR($Q1348=TRUE(),$Q1348="TRUE"),1,0))</f>
        <v/>
      </c>
      <c r="AL1348" s="28" t="str">
        <f aca="false">IF($N1348="","",IF(MATCH($N1348,$N$2:$N$3001,0)=ROWS($N$2:$N1348),$N1348,""))</f>
        <v/>
      </c>
    </row>
    <row r="1349" customFormat="false" ht="15" hidden="false" customHeight="false" outlineLevel="0" collapsed="false">
      <c r="E1349" s="25"/>
      <c r="M1349" s="26" t="str">
        <f aca="false">IF($A1349="","",$L1349*$U1349/100)</f>
        <v/>
      </c>
      <c r="W1349" s="26" t="str">
        <f aca="false">IF($A1349="","",U1349*AB1349/100)</f>
        <v/>
      </c>
      <c r="X1349" s="26" t="str">
        <f aca="false">IF($A1349="","",U1349-W1349)</f>
        <v/>
      </c>
      <c r="Y1349" s="26" t="str">
        <f aca="false">IF($A1349="","",U1349-W1349-M1349)</f>
        <v/>
      </c>
      <c r="AB1349" s="27" t="str">
        <f aca="false">IF($A1349="","",IF($AK1349=1,'كشف المطالبة'!$D$5,'كشف المطالبة'!$D$6)*100)</f>
        <v/>
      </c>
      <c r="AK1349" s="28" t="str">
        <f aca="false">IF($A1349="","",IF(OR($Q1349=TRUE(),$Q1349="TRUE"),1,0))</f>
        <v/>
      </c>
      <c r="AL1349" s="28" t="str">
        <f aca="false">IF($N1349="","",IF(MATCH($N1349,$N$2:$N$3001,0)=ROWS($N$2:$N1349),$N1349,""))</f>
        <v/>
      </c>
    </row>
    <row r="1350" customFormat="false" ht="15" hidden="false" customHeight="false" outlineLevel="0" collapsed="false">
      <c r="E1350" s="25"/>
      <c r="M1350" s="26" t="str">
        <f aca="false">IF($A1350="","",$L1350*$U1350/100)</f>
        <v/>
      </c>
      <c r="W1350" s="26" t="str">
        <f aca="false">IF($A1350="","",U1350*AB1350/100)</f>
        <v/>
      </c>
      <c r="X1350" s="26" t="str">
        <f aca="false">IF($A1350="","",U1350-W1350)</f>
        <v/>
      </c>
      <c r="Y1350" s="26" t="str">
        <f aca="false">IF($A1350="","",U1350-W1350-M1350)</f>
        <v/>
      </c>
      <c r="AB1350" s="27" t="str">
        <f aca="false">IF($A1350="","",IF($AK1350=1,'كشف المطالبة'!$D$5,'كشف المطالبة'!$D$6)*100)</f>
        <v/>
      </c>
      <c r="AK1350" s="28" t="str">
        <f aca="false">IF($A1350="","",IF(OR($Q1350=TRUE(),$Q1350="TRUE"),1,0))</f>
        <v/>
      </c>
      <c r="AL1350" s="28" t="str">
        <f aca="false">IF($N1350="","",IF(MATCH($N1350,$N$2:$N$3001,0)=ROWS($N$2:$N1350),$N1350,""))</f>
        <v/>
      </c>
    </row>
    <row r="1351" customFormat="false" ht="15" hidden="false" customHeight="false" outlineLevel="0" collapsed="false">
      <c r="E1351" s="25"/>
      <c r="M1351" s="26" t="str">
        <f aca="false">IF($A1351="","",$L1351*$U1351/100)</f>
        <v/>
      </c>
      <c r="W1351" s="26" t="str">
        <f aca="false">IF($A1351="","",U1351*AB1351/100)</f>
        <v/>
      </c>
      <c r="X1351" s="26" t="str">
        <f aca="false">IF($A1351="","",U1351-W1351)</f>
        <v/>
      </c>
      <c r="Y1351" s="26" t="str">
        <f aca="false">IF($A1351="","",U1351-W1351-M1351)</f>
        <v/>
      </c>
      <c r="AB1351" s="27" t="str">
        <f aca="false">IF($A1351="","",IF($AK1351=1,'كشف المطالبة'!$D$5,'كشف المطالبة'!$D$6)*100)</f>
        <v/>
      </c>
      <c r="AK1351" s="28" t="str">
        <f aca="false">IF($A1351="","",IF(OR($Q1351=TRUE(),$Q1351="TRUE"),1,0))</f>
        <v/>
      </c>
      <c r="AL1351" s="28" t="str">
        <f aca="false">IF($N1351="","",IF(MATCH($N1351,$N$2:$N$3001,0)=ROWS($N$2:$N1351),$N1351,""))</f>
        <v/>
      </c>
    </row>
    <row r="1352" customFormat="false" ht="15" hidden="false" customHeight="false" outlineLevel="0" collapsed="false">
      <c r="E1352" s="25"/>
      <c r="M1352" s="26" t="str">
        <f aca="false">IF($A1352="","",$L1352*$U1352/100)</f>
        <v/>
      </c>
      <c r="W1352" s="26" t="str">
        <f aca="false">IF($A1352="","",U1352*AB1352/100)</f>
        <v/>
      </c>
      <c r="X1352" s="26" t="str">
        <f aca="false">IF($A1352="","",U1352-W1352)</f>
        <v/>
      </c>
      <c r="Y1352" s="26" t="str">
        <f aca="false">IF($A1352="","",U1352-W1352-M1352)</f>
        <v/>
      </c>
      <c r="AB1352" s="27" t="str">
        <f aca="false">IF($A1352="","",IF($AK1352=1,'كشف المطالبة'!$D$5,'كشف المطالبة'!$D$6)*100)</f>
        <v/>
      </c>
      <c r="AK1352" s="28" t="str">
        <f aca="false">IF($A1352="","",IF(OR($Q1352=TRUE(),$Q1352="TRUE"),1,0))</f>
        <v/>
      </c>
      <c r="AL1352" s="28" t="str">
        <f aca="false">IF($N1352="","",IF(MATCH($N1352,$N$2:$N$3001,0)=ROWS($N$2:$N1352),$N1352,""))</f>
        <v/>
      </c>
    </row>
    <row r="1353" customFormat="false" ht="15" hidden="false" customHeight="false" outlineLevel="0" collapsed="false">
      <c r="E1353" s="25"/>
      <c r="M1353" s="26" t="str">
        <f aca="false">IF($A1353="","",$L1353*$U1353/100)</f>
        <v/>
      </c>
      <c r="W1353" s="26" t="str">
        <f aca="false">IF($A1353="","",U1353*AB1353/100)</f>
        <v/>
      </c>
      <c r="X1353" s="26" t="str">
        <f aca="false">IF($A1353="","",U1353-W1353)</f>
        <v/>
      </c>
      <c r="Y1353" s="26" t="str">
        <f aca="false">IF($A1353="","",U1353-W1353-M1353)</f>
        <v/>
      </c>
      <c r="AB1353" s="27" t="str">
        <f aca="false">IF($A1353="","",IF($AK1353=1,'كشف المطالبة'!$D$5,'كشف المطالبة'!$D$6)*100)</f>
        <v/>
      </c>
      <c r="AK1353" s="28" t="str">
        <f aca="false">IF($A1353="","",IF(OR($Q1353=TRUE(),$Q1353="TRUE"),1,0))</f>
        <v/>
      </c>
      <c r="AL1353" s="28" t="str">
        <f aca="false">IF($N1353="","",IF(MATCH($N1353,$N$2:$N$3001,0)=ROWS($N$2:$N1353),$N1353,""))</f>
        <v/>
      </c>
    </row>
    <row r="1354" customFormat="false" ht="15" hidden="false" customHeight="false" outlineLevel="0" collapsed="false">
      <c r="E1354" s="25"/>
      <c r="M1354" s="26" t="str">
        <f aca="false">IF($A1354="","",$L1354*$U1354/100)</f>
        <v/>
      </c>
      <c r="W1354" s="26" t="str">
        <f aca="false">IF($A1354="","",U1354*AB1354/100)</f>
        <v/>
      </c>
      <c r="X1354" s="26" t="str">
        <f aca="false">IF($A1354="","",U1354-W1354)</f>
        <v/>
      </c>
      <c r="Y1354" s="26" t="str">
        <f aca="false">IF($A1354="","",U1354-W1354-M1354)</f>
        <v/>
      </c>
      <c r="AB1354" s="27" t="str">
        <f aca="false">IF($A1354="","",IF($AK1354=1,'كشف المطالبة'!$D$5,'كشف المطالبة'!$D$6)*100)</f>
        <v/>
      </c>
      <c r="AK1354" s="28" t="str">
        <f aca="false">IF($A1354="","",IF(OR($Q1354=TRUE(),$Q1354="TRUE"),1,0))</f>
        <v/>
      </c>
      <c r="AL1354" s="28" t="str">
        <f aca="false">IF($N1354="","",IF(MATCH($N1354,$N$2:$N$3001,0)=ROWS($N$2:$N1354),$N1354,""))</f>
        <v/>
      </c>
    </row>
    <row r="1355" customFormat="false" ht="15" hidden="false" customHeight="false" outlineLevel="0" collapsed="false">
      <c r="E1355" s="25"/>
      <c r="M1355" s="26" t="str">
        <f aca="false">IF($A1355="","",$L1355*$U1355/100)</f>
        <v/>
      </c>
      <c r="W1355" s="26" t="str">
        <f aca="false">IF($A1355="","",U1355*AB1355/100)</f>
        <v/>
      </c>
      <c r="X1355" s="26" t="str">
        <f aca="false">IF($A1355="","",U1355-W1355)</f>
        <v/>
      </c>
      <c r="Y1355" s="26" t="str">
        <f aca="false">IF($A1355="","",U1355-W1355-M1355)</f>
        <v/>
      </c>
      <c r="AB1355" s="27" t="str">
        <f aca="false">IF($A1355="","",IF($AK1355=1,'كشف المطالبة'!$D$5,'كشف المطالبة'!$D$6)*100)</f>
        <v/>
      </c>
      <c r="AK1355" s="28" t="str">
        <f aca="false">IF($A1355="","",IF(OR($Q1355=TRUE(),$Q1355="TRUE"),1,0))</f>
        <v/>
      </c>
      <c r="AL1355" s="28" t="str">
        <f aca="false">IF($N1355="","",IF(MATCH($N1355,$N$2:$N$3001,0)=ROWS($N$2:$N1355),$N1355,""))</f>
        <v/>
      </c>
    </row>
    <row r="1356" customFormat="false" ht="15" hidden="false" customHeight="false" outlineLevel="0" collapsed="false">
      <c r="E1356" s="25"/>
      <c r="M1356" s="26" t="str">
        <f aca="false">IF($A1356="","",$L1356*$U1356/100)</f>
        <v/>
      </c>
      <c r="W1356" s="26" t="str">
        <f aca="false">IF($A1356="","",U1356*AB1356/100)</f>
        <v/>
      </c>
      <c r="X1356" s="26" t="str">
        <f aca="false">IF($A1356="","",U1356-W1356)</f>
        <v/>
      </c>
      <c r="Y1356" s="26" t="str">
        <f aca="false">IF($A1356="","",U1356-W1356-M1356)</f>
        <v/>
      </c>
      <c r="AB1356" s="27" t="str">
        <f aca="false">IF($A1356="","",IF($AK1356=1,'كشف المطالبة'!$D$5,'كشف المطالبة'!$D$6)*100)</f>
        <v/>
      </c>
      <c r="AK1356" s="28" t="str">
        <f aca="false">IF($A1356="","",IF(OR($Q1356=TRUE(),$Q1356="TRUE"),1,0))</f>
        <v/>
      </c>
      <c r="AL1356" s="28" t="str">
        <f aca="false">IF($N1356="","",IF(MATCH($N1356,$N$2:$N$3001,0)=ROWS($N$2:$N1356),$N1356,""))</f>
        <v/>
      </c>
    </row>
    <row r="1357" customFormat="false" ht="15" hidden="false" customHeight="false" outlineLevel="0" collapsed="false">
      <c r="E1357" s="25"/>
      <c r="M1357" s="26" t="str">
        <f aca="false">IF($A1357="","",$L1357*$U1357/100)</f>
        <v/>
      </c>
      <c r="W1357" s="26" t="str">
        <f aca="false">IF($A1357="","",U1357*AB1357/100)</f>
        <v/>
      </c>
      <c r="X1357" s="26" t="str">
        <f aca="false">IF($A1357="","",U1357-W1357)</f>
        <v/>
      </c>
      <c r="Y1357" s="26" t="str">
        <f aca="false">IF($A1357="","",U1357-W1357-M1357)</f>
        <v/>
      </c>
      <c r="AB1357" s="27" t="str">
        <f aca="false">IF($A1357="","",IF($AK1357=1,'كشف المطالبة'!$D$5,'كشف المطالبة'!$D$6)*100)</f>
        <v/>
      </c>
      <c r="AK1357" s="28" t="str">
        <f aca="false">IF($A1357="","",IF(OR($Q1357=TRUE(),$Q1357="TRUE"),1,0))</f>
        <v/>
      </c>
      <c r="AL1357" s="28" t="str">
        <f aca="false">IF($N1357="","",IF(MATCH($N1357,$N$2:$N$3001,0)=ROWS($N$2:$N1357),$N1357,""))</f>
        <v/>
      </c>
    </row>
    <row r="1358" customFormat="false" ht="15" hidden="false" customHeight="false" outlineLevel="0" collapsed="false">
      <c r="E1358" s="25"/>
      <c r="M1358" s="26" t="str">
        <f aca="false">IF($A1358="","",$L1358*$U1358/100)</f>
        <v/>
      </c>
      <c r="W1358" s="26" t="str">
        <f aca="false">IF($A1358="","",U1358*AB1358/100)</f>
        <v/>
      </c>
      <c r="X1358" s="26" t="str">
        <f aca="false">IF($A1358="","",U1358-W1358)</f>
        <v/>
      </c>
      <c r="Y1358" s="26" t="str">
        <f aca="false">IF($A1358="","",U1358-W1358-M1358)</f>
        <v/>
      </c>
      <c r="AB1358" s="27" t="str">
        <f aca="false">IF($A1358="","",IF($AK1358=1,'كشف المطالبة'!$D$5,'كشف المطالبة'!$D$6)*100)</f>
        <v/>
      </c>
      <c r="AK1358" s="28" t="str">
        <f aca="false">IF($A1358="","",IF(OR($Q1358=TRUE(),$Q1358="TRUE"),1,0))</f>
        <v/>
      </c>
      <c r="AL1358" s="28" t="str">
        <f aca="false">IF($N1358="","",IF(MATCH($N1358,$N$2:$N$3001,0)=ROWS($N$2:$N1358),$N1358,""))</f>
        <v/>
      </c>
    </row>
    <row r="1359" customFormat="false" ht="15" hidden="false" customHeight="false" outlineLevel="0" collapsed="false">
      <c r="E1359" s="25"/>
      <c r="M1359" s="26" t="str">
        <f aca="false">IF($A1359="","",$L1359*$U1359/100)</f>
        <v/>
      </c>
      <c r="W1359" s="26" t="str">
        <f aca="false">IF($A1359="","",U1359*AB1359/100)</f>
        <v/>
      </c>
      <c r="X1359" s="26" t="str">
        <f aca="false">IF($A1359="","",U1359-W1359)</f>
        <v/>
      </c>
      <c r="Y1359" s="26" t="str">
        <f aca="false">IF($A1359="","",U1359-W1359-M1359)</f>
        <v/>
      </c>
      <c r="AB1359" s="27" t="str">
        <f aca="false">IF($A1359="","",IF($AK1359=1,'كشف المطالبة'!$D$5,'كشف المطالبة'!$D$6)*100)</f>
        <v/>
      </c>
      <c r="AK1359" s="28" t="str">
        <f aca="false">IF($A1359="","",IF(OR($Q1359=TRUE(),$Q1359="TRUE"),1,0))</f>
        <v/>
      </c>
      <c r="AL1359" s="28" t="str">
        <f aca="false">IF($N1359="","",IF(MATCH($N1359,$N$2:$N$3001,0)=ROWS($N$2:$N1359),$N1359,""))</f>
        <v/>
      </c>
    </row>
    <row r="1360" customFormat="false" ht="15" hidden="false" customHeight="false" outlineLevel="0" collapsed="false">
      <c r="E1360" s="25"/>
      <c r="M1360" s="26" t="str">
        <f aca="false">IF($A1360="","",$L1360*$U1360/100)</f>
        <v/>
      </c>
      <c r="W1360" s="26" t="str">
        <f aca="false">IF($A1360="","",U1360*AB1360/100)</f>
        <v/>
      </c>
      <c r="X1360" s="26" t="str">
        <f aca="false">IF($A1360="","",U1360-W1360)</f>
        <v/>
      </c>
      <c r="Y1360" s="26" t="str">
        <f aca="false">IF($A1360="","",U1360-W1360-M1360)</f>
        <v/>
      </c>
      <c r="AB1360" s="27" t="str">
        <f aca="false">IF($A1360="","",IF($AK1360=1,'كشف المطالبة'!$D$5,'كشف المطالبة'!$D$6)*100)</f>
        <v/>
      </c>
      <c r="AK1360" s="28" t="str">
        <f aca="false">IF($A1360="","",IF(OR($Q1360=TRUE(),$Q1360="TRUE"),1,0))</f>
        <v/>
      </c>
      <c r="AL1360" s="28" t="str">
        <f aca="false">IF($N1360="","",IF(MATCH($N1360,$N$2:$N$3001,0)=ROWS($N$2:$N1360),$N1360,""))</f>
        <v/>
      </c>
    </row>
    <row r="1361" customFormat="false" ht="15" hidden="false" customHeight="false" outlineLevel="0" collapsed="false">
      <c r="E1361" s="25"/>
      <c r="M1361" s="26" t="str">
        <f aca="false">IF($A1361="","",$L1361*$U1361/100)</f>
        <v/>
      </c>
      <c r="W1361" s="26" t="str">
        <f aca="false">IF($A1361="","",U1361*AB1361/100)</f>
        <v/>
      </c>
      <c r="X1361" s="26" t="str">
        <f aca="false">IF($A1361="","",U1361-W1361)</f>
        <v/>
      </c>
      <c r="Y1361" s="26" t="str">
        <f aca="false">IF($A1361="","",U1361-W1361-M1361)</f>
        <v/>
      </c>
      <c r="AB1361" s="27" t="str">
        <f aca="false">IF($A1361="","",IF($AK1361=1,'كشف المطالبة'!$D$5,'كشف المطالبة'!$D$6)*100)</f>
        <v/>
      </c>
      <c r="AK1361" s="28" t="str">
        <f aca="false">IF($A1361="","",IF(OR($Q1361=TRUE(),$Q1361="TRUE"),1,0))</f>
        <v/>
      </c>
      <c r="AL1361" s="28" t="str">
        <f aca="false">IF($N1361="","",IF(MATCH($N1361,$N$2:$N$3001,0)=ROWS($N$2:$N1361),$N1361,""))</f>
        <v/>
      </c>
    </row>
    <row r="1362" customFormat="false" ht="15" hidden="false" customHeight="false" outlineLevel="0" collapsed="false">
      <c r="E1362" s="25"/>
      <c r="M1362" s="26" t="str">
        <f aca="false">IF($A1362="","",$L1362*$U1362/100)</f>
        <v/>
      </c>
      <c r="W1362" s="26" t="str">
        <f aca="false">IF($A1362="","",U1362*AB1362/100)</f>
        <v/>
      </c>
      <c r="X1362" s="26" t="str">
        <f aca="false">IF($A1362="","",U1362-W1362)</f>
        <v/>
      </c>
      <c r="Y1362" s="26" t="str">
        <f aca="false">IF($A1362="","",U1362-W1362-M1362)</f>
        <v/>
      </c>
      <c r="AB1362" s="27" t="str">
        <f aca="false">IF($A1362="","",IF($AK1362=1,'كشف المطالبة'!$D$5,'كشف المطالبة'!$D$6)*100)</f>
        <v/>
      </c>
      <c r="AK1362" s="28" t="str">
        <f aca="false">IF($A1362="","",IF(OR($Q1362=TRUE(),$Q1362="TRUE"),1,0))</f>
        <v/>
      </c>
      <c r="AL1362" s="28" t="str">
        <f aca="false">IF($N1362="","",IF(MATCH($N1362,$N$2:$N$3001,0)=ROWS($N$2:$N1362),$N1362,""))</f>
        <v/>
      </c>
    </row>
    <row r="1363" customFormat="false" ht="15" hidden="false" customHeight="false" outlineLevel="0" collapsed="false">
      <c r="E1363" s="25"/>
      <c r="M1363" s="26" t="str">
        <f aca="false">IF($A1363="","",$L1363*$U1363/100)</f>
        <v/>
      </c>
      <c r="W1363" s="26" t="str">
        <f aca="false">IF($A1363="","",U1363*AB1363/100)</f>
        <v/>
      </c>
      <c r="X1363" s="26" t="str">
        <f aca="false">IF($A1363="","",U1363-W1363)</f>
        <v/>
      </c>
      <c r="Y1363" s="26" t="str">
        <f aca="false">IF($A1363="","",U1363-W1363-M1363)</f>
        <v/>
      </c>
      <c r="AB1363" s="27" t="str">
        <f aca="false">IF($A1363="","",IF($AK1363=1,'كشف المطالبة'!$D$5,'كشف المطالبة'!$D$6)*100)</f>
        <v/>
      </c>
      <c r="AK1363" s="28" t="str">
        <f aca="false">IF($A1363="","",IF(OR($Q1363=TRUE(),$Q1363="TRUE"),1,0))</f>
        <v/>
      </c>
      <c r="AL1363" s="28" t="str">
        <f aca="false">IF($N1363="","",IF(MATCH($N1363,$N$2:$N$3001,0)=ROWS($N$2:$N1363),$N1363,""))</f>
        <v/>
      </c>
    </row>
    <row r="1364" customFormat="false" ht="15" hidden="false" customHeight="false" outlineLevel="0" collapsed="false">
      <c r="E1364" s="25"/>
      <c r="M1364" s="26" t="str">
        <f aca="false">IF($A1364="","",$L1364*$U1364/100)</f>
        <v/>
      </c>
      <c r="W1364" s="26" t="str">
        <f aca="false">IF($A1364="","",U1364*AB1364/100)</f>
        <v/>
      </c>
      <c r="X1364" s="26" t="str">
        <f aca="false">IF($A1364="","",U1364-W1364)</f>
        <v/>
      </c>
      <c r="Y1364" s="26" t="str">
        <f aca="false">IF($A1364="","",U1364-W1364-M1364)</f>
        <v/>
      </c>
      <c r="AB1364" s="27" t="str">
        <f aca="false">IF($A1364="","",IF($AK1364=1,'كشف المطالبة'!$D$5,'كشف المطالبة'!$D$6)*100)</f>
        <v/>
      </c>
      <c r="AK1364" s="28" t="str">
        <f aca="false">IF($A1364="","",IF(OR($Q1364=TRUE(),$Q1364="TRUE"),1,0))</f>
        <v/>
      </c>
      <c r="AL1364" s="28" t="str">
        <f aca="false">IF($N1364="","",IF(MATCH($N1364,$N$2:$N$3001,0)=ROWS($N$2:$N1364),$N1364,""))</f>
        <v/>
      </c>
    </row>
    <row r="1365" customFormat="false" ht="15" hidden="false" customHeight="false" outlineLevel="0" collapsed="false">
      <c r="E1365" s="25"/>
      <c r="M1365" s="26" t="str">
        <f aca="false">IF($A1365="","",$L1365*$U1365/100)</f>
        <v/>
      </c>
      <c r="W1365" s="26" t="str">
        <f aca="false">IF($A1365="","",U1365*AB1365/100)</f>
        <v/>
      </c>
      <c r="X1365" s="26" t="str">
        <f aca="false">IF($A1365="","",U1365-W1365)</f>
        <v/>
      </c>
      <c r="Y1365" s="26" t="str">
        <f aca="false">IF($A1365="","",U1365-W1365-M1365)</f>
        <v/>
      </c>
      <c r="AB1365" s="27" t="str">
        <f aca="false">IF($A1365="","",IF($AK1365=1,'كشف المطالبة'!$D$5,'كشف المطالبة'!$D$6)*100)</f>
        <v/>
      </c>
      <c r="AK1365" s="28" t="str">
        <f aca="false">IF($A1365="","",IF(OR($Q1365=TRUE(),$Q1365="TRUE"),1,0))</f>
        <v/>
      </c>
      <c r="AL1365" s="28" t="str">
        <f aca="false">IF($N1365="","",IF(MATCH($N1365,$N$2:$N$3001,0)=ROWS($N$2:$N1365),$N1365,""))</f>
        <v/>
      </c>
    </row>
    <row r="1366" customFormat="false" ht="15" hidden="false" customHeight="false" outlineLevel="0" collapsed="false">
      <c r="E1366" s="25"/>
      <c r="M1366" s="26" t="str">
        <f aca="false">IF($A1366="","",$L1366*$U1366/100)</f>
        <v/>
      </c>
      <c r="W1366" s="26" t="str">
        <f aca="false">IF($A1366="","",U1366*AB1366/100)</f>
        <v/>
      </c>
      <c r="X1366" s="26" t="str">
        <f aca="false">IF($A1366="","",U1366-W1366)</f>
        <v/>
      </c>
      <c r="Y1366" s="26" t="str">
        <f aca="false">IF($A1366="","",U1366-W1366-M1366)</f>
        <v/>
      </c>
      <c r="AB1366" s="27" t="str">
        <f aca="false">IF($A1366="","",IF($AK1366=1,'كشف المطالبة'!$D$5,'كشف المطالبة'!$D$6)*100)</f>
        <v/>
      </c>
      <c r="AK1366" s="28" t="str">
        <f aca="false">IF($A1366="","",IF(OR($Q1366=TRUE(),$Q1366="TRUE"),1,0))</f>
        <v/>
      </c>
      <c r="AL1366" s="28" t="str">
        <f aca="false">IF($N1366="","",IF(MATCH($N1366,$N$2:$N$3001,0)=ROWS($N$2:$N1366),$N1366,""))</f>
        <v/>
      </c>
    </row>
    <row r="1367" customFormat="false" ht="15" hidden="false" customHeight="false" outlineLevel="0" collapsed="false">
      <c r="E1367" s="25"/>
      <c r="M1367" s="26" t="str">
        <f aca="false">IF($A1367="","",$L1367*$U1367/100)</f>
        <v/>
      </c>
      <c r="W1367" s="26" t="str">
        <f aca="false">IF($A1367="","",U1367*AB1367/100)</f>
        <v/>
      </c>
      <c r="X1367" s="26" t="str">
        <f aca="false">IF($A1367="","",U1367-W1367)</f>
        <v/>
      </c>
      <c r="Y1367" s="26" t="str">
        <f aca="false">IF($A1367="","",U1367-W1367-M1367)</f>
        <v/>
      </c>
      <c r="AB1367" s="27" t="str">
        <f aca="false">IF($A1367="","",IF($AK1367=1,'كشف المطالبة'!$D$5,'كشف المطالبة'!$D$6)*100)</f>
        <v/>
      </c>
      <c r="AK1367" s="28" t="str">
        <f aca="false">IF($A1367="","",IF(OR($Q1367=TRUE(),$Q1367="TRUE"),1,0))</f>
        <v/>
      </c>
      <c r="AL1367" s="28" t="str">
        <f aca="false">IF($N1367="","",IF(MATCH($N1367,$N$2:$N$3001,0)=ROWS($N$2:$N1367),$N1367,""))</f>
        <v/>
      </c>
    </row>
    <row r="1368" customFormat="false" ht="15" hidden="false" customHeight="false" outlineLevel="0" collapsed="false">
      <c r="E1368" s="25"/>
      <c r="M1368" s="26" t="str">
        <f aca="false">IF($A1368="","",$L1368*$U1368/100)</f>
        <v/>
      </c>
      <c r="W1368" s="26" t="str">
        <f aca="false">IF($A1368="","",U1368*AB1368/100)</f>
        <v/>
      </c>
      <c r="X1368" s="26" t="str">
        <f aca="false">IF($A1368="","",U1368-W1368)</f>
        <v/>
      </c>
      <c r="Y1368" s="26" t="str">
        <f aca="false">IF($A1368="","",U1368-W1368-M1368)</f>
        <v/>
      </c>
      <c r="AB1368" s="27" t="str">
        <f aca="false">IF($A1368="","",IF($AK1368=1,'كشف المطالبة'!$D$5,'كشف المطالبة'!$D$6)*100)</f>
        <v/>
      </c>
      <c r="AK1368" s="28" t="str">
        <f aca="false">IF($A1368="","",IF(OR($Q1368=TRUE(),$Q1368="TRUE"),1,0))</f>
        <v/>
      </c>
      <c r="AL1368" s="28" t="str">
        <f aca="false">IF($N1368="","",IF(MATCH($N1368,$N$2:$N$3001,0)=ROWS($N$2:$N1368),$N1368,""))</f>
        <v/>
      </c>
    </row>
    <row r="1369" customFormat="false" ht="15" hidden="false" customHeight="false" outlineLevel="0" collapsed="false">
      <c r="E1369" s="25"/>
      <c r="M1369" s="26" t="str">
        <f aca="false">IF($A1369="","",$L1369*$U1369/100)</f>
        <v/>
      </c>
      <c r="W1369" s="26" t="str">
        <f aca="false">IF($A1369="","",U1369*AB1369/100)</f>
        <v/>
      </c>
      <c r="X1369" s="26" t="str">
        <f aca="false">IF($A1369="","",U1369-W1369)</f>
        <v/>
      </c>
      <c r="Y1369" s="26" t="str">
        <f aca="false">IF($A1369="","",U1369-W1369-M1369)</f>
        <v/>
      </c>
      <c r="AB1369" s="27" t="str">
        <f aca="false">IF($A1369="","",IF($AK1369=1,'كشف المطالبة'!$D$5,'كشف المطالبة'!$D$6)*100)</f>
        <v/>
      </c>
      <c r="AK1369" s="28" t="str">
        <f aca="false">IF($A1369="","",IF(OR($Q1369=TRUE(),$Q1369="TRUE"),1,0))</f>
        <v/>
      </c>
      <c r="AL1369" s="28" t="str">
        <f aca="false">IF($N1369="","",IF(MATCH($N1369,$N$2:$N$3001,0)=ROWS($N$2:$N1369),$N1369,""))</f>
        <v/>
      </c>
    </row>
    <row r="1370" customFormat="false" ht="15" hidden="false" customHeight="false" outlineLevel="0" collapsed="false">
      <c r="E1370" s="25"/>
      <c r="M1370" s="26" t="str">
        <f aca="false">IF($A1370="","",$L1370*$U1370/100)</f>
        <v/>
      </c>
      <c r="W1370" s="26" t="str">
        <f aca="false">IF($A1370="","",U1370*AB1370/100)</f>
        <v/>
      </c>
      <c r="X1370" s="26" t="str">
        <f aca="false">IF($A1370="","",U1370-W1370)</f>
        <v/>
      </c>
      <c r="Y1370" s="26" t="str">
        <f aca="false">IF($A1370="","",U1370-W1370-M1370)</f>
        <v/>
      </c>
      <c r="AB1370" s="27" t="str">
        <f aca="false">IF($A1370="","",IF($AK1370=1,'كشف المطالبة'!$D$5,'كشف المطالبة'!$D$6)*100)</f>
        <v/>
      </c>
      <c r="AK1370" s="28" t="str">
        <f aca="false">IF($A1370="","",IF(OR($Q1370=TRUE(),$Q1370="TRUE"),1,0))</f>
        <v/>
      </c>
      <c r="AL1370" s="28" t="str">
        <f aca="false">IF($N1370="","",IF(MATCH($N1370,$N$2:$N$3001,0)=ROWS($N$2:$N1370),$N1370,""))</f>
        <v/>
      </c>
    </row>
    <row r="1371" customFormat="false" ht="15" hidden="false" customHeight="false" outlineLevel="0" collapsed="false">
      <c r="E1371" s="25"/>
      <c r="M1371" s="26" t="str">
        <f aca="false">IF($A1371="","",$L1371*$U1371/100)</f>
        <v/>
      </c>
      <c r="W1371" s="26" t="str">
        <f aca="false">IF($A1371="","",U1371*AB1371/100)</f>
        <v/>
      </c>
      <c r="X1371" s="26" t="str">
        <f aca="false">IF($A1371="","",U1371-W1371)</f>
        <v/>
      </c>
      <c r="Y1371" s="26" t="str">
        <f aca="false">IF($A1371="","",U1371-W1371-M1371)</f>
        <v/>
      </c>
      <c r="AB1371" s="27" t="str">
        <f aca="false">IF($A1371="","",IF($AK1371=1,'كشف المطالبة'!$D$5,'كشف المطالبة'!$D$6)*100)</f>
        <v/>
      </c>
      <c r="AK1371" s="28" t="str">
        <f aca="false">IF($A1371="","",IF(OR($Q1371=TRUE(),$Q1371="TRUE"),1,0))</f>
        <v/>
      </c>
      <c r="AL1371" s="28" t="str">
        <f aca="false">IF($N1371="","",IF(MATCH($N1371,$N$2:$N$3001,0)=ROWS($N$2:$N1371),$N1371,""))</f>
        <v/>
      </c>
    </row>
    <row r="1372" customFormat="false" ht="15" hidden="false" customHeight="false" outlineLevel="0" collapsed="false">
      <c r="E1372" s="25"/>
      <c r="M1372" s="26" t="str">
        <f aca="false">IF($A1372="","",$L1372*$U1372/100)</f>
        <v/>
      </c>
      <c r="W1372" s="26" t="str">
        <f aca="false">IF($A1372="","",U1372*AB1372/100)</f>
        <v/>
      </c>
      <c r="X1372" s="26" t="str">
        <f aca="false">IF($A1372="","",U1372-W1372)</f>
        <v/>
      </c>
      <c r="Y1372" s="26" t="str">
        <f aca="false">IF($A1372="","",U1372-W1372-M1372)</f>
        <v/>
      </c>
      <c r="AB1372" s="27" t="str">
        <f aca="false">IF($A1372="","",IF($AK1372=1,'كشف المطالبة'!$D$5,'كشف المطالبة'!$D$6)*100)</f>
        <v/>
      </c>
      <c r="AK1372" s="28" t="str">
        <f aca="false">IF($A1372="","",IF(OR($Q1372=TRUE(),$Q1372="TRUE"),1,0))</f>
        <v/>
      </c>
      <c r="AL1372" s="28" t="str">
        <f aca="false">IF($N1372="","",IF(MATCH($N1372,$N$2:$N$3001,0)=ROWS($N$2:$N1372),$N1372,""))</f>
        <v/>
      </c>
    </row>
    <row r="1373" customFormat="false" ht="15" hidden="false" customHeight="false" outlineLevel="0" collapsed="false">
      <c r="E1373" s="25"/>
      <c r="M1373" s="26" t="str">
        <f aca="false">IF($A1373="","",$L1373*$U1373/100)</f>
        <v/>
      </c>
      <c r="W1373" s="26" t="str">
        <f aca="false">IF($A1373="","",U1373*AB1373/100)</f>
        <v/>
      </c>
      <c r="X1373" s="26" t="str">
        <f aca="false">IF($A1373="","",U1373-W1373)</f>
        <v/>
      </c>
      <c r="Y1373" s="26" t="str">
        <f aca="false">IF($A1373="","",U1373-W1373-M1373)</f>
        <v/>
      </c>
      <c r="AB1373" s="27" t="str">
        <f aca="false">IF($A1373="","",IF($AK1373=1,'كشف المطالبة'!$D$5,'كشف المطالبة'!$D$6)*100)</f>
        <v/>
      </c>
      <c r="AK1373" s="28" t="str">
        <f aca="false">IF($A1373="","",IF(OR($Q1373=TRUE(),$Q1373="TRUE"),1,0))</f>
        <v/>
      </c>
      <c r="AL1373" s="28" t="str">
        <f aca="false">IF($N1373="","",IF(MATCH($N1373,$N$2:$N$3001,0)=ROWS($N$2:$N1373),$N1373,""))</f>
        <v/>
      </c>
    </row>
    <row r="1374" customFormat="false" ht="15" hidden="false" customHeight="false" outlineLevel="0" collapsed="false">
      <c r="E1374" s="25"/>
      <c r="M1374" s="26" t="str">
        <f aca="false">IF($A1374="","",$L1374*$U1374/100)</f>
        <v/>
      </c>
      <c r="W1374" s="26" t="str">
        <f aca="false">IF($A1374="","",U1374*AB1374/100)</f>
        <v/>
      </c>
      <c r="X1374" s="26" t="str">
        <f aca="false">IF($A1374="","",U1374-W1374)</f>
        <v/>
      </c>
      <c r="Y1374" s="26" t="str">
        <f aca="false">IF($A1374="","",U1374-W1374-M1374)</f>
        <v/>
      </c>
      <c r="AB1374" s="27" t="str">
        <f aca="false">IF($A1374="","",IF($AK1374=1,'كشف المطالبة'!$D$5,'كشف المطالبة'!$D$6)*100)</f>
        <v/>
      </c>
      <c r="AK1374" s="28" t="str">
        <f aca="false">IF($A1374="","",IF(OR($Q1374=TRUE(),$Q1374="TRUE"),1,0))</f>
        <v/>
      </c>
      <c r="AL1374" s="28" t="str">
        <f aca="false">IF($N1374="","",IF(MATCH($N1374,$N$2:$N$3001,0)=ROWS($N$2:$N1374),$N1374,""))</f>
        <v/>
      </c>
    </row>
    <row r="1375" customFormat="false" ht="15" hidden="false" customHeight="false" outlineLevel="0" collapsed="false">
      <c r="E1375" s="25"/>
      <c r="M1375" s="26" t="str">
        <f aca="false">IF($A1375="","",$L1375*$U1375/100)</f>
        <v/>
      </c>
      <c r="W1375" s="26" t="str">
        <f aca="false">IF($A1375="","",U1375*AB1375/100)</f>
        <v/>
      </c>
      <c r="X1375" s="26" t="str">
        <f aca="false">IF($A1375="","",U1375-W1375)</f>
        <v/>
      </c>
      <c r="Y1375" s="26" t="str">
        <f aca="false">IF($A1375="","",U1375-W1375-M1375)</f>
        <v/>
      </c>
      <c r="AB1375" s="27" t="str">
        <f aca="false">IF($A1375="","",IF($AK1375=1,'كشف المطالبة'!$D$5,'كشف المطالبة'!$D$6)*100)</f>
        <v/>
      </c>
      <c r="AK1375" s="28" t="str">
        <f aca="false">IF($A1375="","",IF(OR($Q1375=TRUE(),$Q1375="TRUE"),1,0))</f>
        <v/>
      </c>
      <c r="AL1375" s="28" t="str">
        <f aca="false">IF($N1375="","",IF(MATCH($N1375,$N$2:$N$3001,0)=ROWS($N$2:$N1375),$N1375,""))</f>
        <v/>
      </c>
    </row>
    <row r="1376" customFormat="false" ht="15" hidden="false" customHeight="false" outlineLevel="0" collapsed="false">
      <c r="E1376" s="25"/>
      <c r="M1376" s="26" t="str">
        <f aca="false">IF($A1376="","",$L1376*$U1376/100)</f>
        <v/>
      </c>
      <c r="W1376" s="26" t="str">
        <f aca="false">IF($A1376="","",U1376*AB1376/100)</f>
        <v/>
      </c>
      <c r="X1376" s="26" t="str">
        <f aca="false">IF($A1376="","",U1376-W1376)</f>
        <v/>
      </c>
      <c r="Y1376" s="26" t="str">
        <f aca="false">IF($A1376="","",U1376-W1376-M1376)</f>
        <v/>
      </c>
      <c r="AB1376" s="27" t="str">
        <f aca="false">IF($A1376="","",IF($AK1376=1,'كشف المطالبة'!$D$5,'كشف المطالبة'!$D$6)*100)</f>
        <v/>
      </c>
      <c r="AK1376" s="28" t="str">
        <f aca="false">IF($A1376="","",IF(OR($Q1376=TRUE(),$Q1376="TRUE"),1,0))</f>
        <v/>
      </c>
      <c r="AL1376" s="28" t="str">
        <f aca="false">IF($N1376="","",IF(MATCH($N1376,$N$2:$N$3001,0)=ROWS($N$2:$N1376),$N1376,""))</f>
        <v/>
      </c>
    </row>
    <row r="1377" customFormat="false" ht="15" hidden="false" customHeight="false" outlineLevel="0" collapsed="false">
      <c r="E1377" s="25"/>
      <c r="M1377" s="26" t="str">
        <f aca="false">IF($A1377="","",$L1377*$U1377/100)</f>
        <v/>
      </c>
      <c r="W1377" s="26" t="str">
        <f aca="false">IF($A1377="","",U1377*AB1377/100)</f>
        <v/>
      </c>
      <c r="X1377" s="26" t="str">
        <f aca="false">IF($A1377="","",U1377-W1377)</f>
        <v/>
      </c>
      <c r="Y1377" s="26" t="str">
        <f aca="false">IF($A1377="","",U1377-W1377-M1377)</f>
        <v/>
      </c>
      <c r="AB1377" s="27" t="str">
        <f aca="false">IF($A1377="","",IF($AK1377=1,'كشف المطالبة'!$D$5,'كشف المطالبة'!$D$6)*100)</f>
        <v/>
      </c>
      <c r="AK1377" s="28" t="str">
        <f aca="false">IF($A1377="","",IF(OR($Q1377=TRUE(),$Q1377="TRUE"),1,0))</f>
        <v/>
      </c>
      <c r="AL1377" s="28" t="str">
        <f aca="false">IF($N1377="","",IF(MATCH($N1377,$N$2:$N$3001,0)=ROWS($N$2:$N1377),$N1377,""))</f>
        <v/>
      </c>
    </row>
    <row r="1378" customFormat="false" ht="15" hidden="false" customHeight="false" outlineLevel="0" collapsed="false">
      <c r="E1378" s="25"/>
      <c r="M1378" s="26" t="str">
        <f aca="false">IF($A1378="","",$L1378*$U1378/100)</f>
        <v/>
      </c>
      <c r="W1378" s="26" t="str">
        <f aca="false">IF($A1378="","",U1378*AB1378/100)</f>
        <v/>
      </c>
      <c r="X1378" s="26" t="str">
        <f aca="false">IF($A1378="","",U1378-W1378)</f>
        <v/>
      </c>
      <c r="Y1378" s="26" t="str">
        <f aca="false">IF($A1378="","",U1378-W1378-M1378)</f>
        <v/>
      </c>
      <c r="AB1378" s="27" t="str">
        <f aca="false">IF($A1378="","",IF($AK1378=1,'كشف المطالبة'!$D$5,'كشف المطالبة'!$D$6)*100)</f>
        <v/>
      </c>
      <c r="AK1378" s="28" t="str">
        <f aca="false">IF($A1378="","",IF(OR($Q1378=TRUE(),$Q1378="TRUE"),1,0))</f>
        <v/>
      </c>
      <c r="AL1378" s="28" t="str">
        <f aca="false">IF($N1378="","",IF(MATCH($N1378,$N$2:$N$3001,0)=ROWS($N$2:$N1378),$N1378,""))</f>
        <v/>
      </c>
    </row>
    <row r="1379" customFormat="false" ht="15" hidden="false" customHeight="false" outlineLevel="0" collapsed="false">
      <c r="E1379" s="25"/>
      <c r="M1379" s="26" t="str">
        <f aca="false">IF($A1379="","",$L1379*$U1379/100)</f>
        <v/>
      </c>
      <c r="W1379" s="26" t="str">
        <f aca="false">IF($A1379="","",U1379*AB1379/100)</f>
        <v/>
      </c>
      <c r="X1379" s="26" t="str">
        <f aca="false">IF($A1379="","",U1379-W1379)</f>
        <v/>
      </c>
      <c r="Y1379" s="26" t="str">
        <f aca="false">IF($A1379="","",U1379-W1379-M1379)</f>
        <v/>
      </c>
      <c r="AB1379" s="27" t="str">
        <f aca="false">IF($A1379="","",IF($AK1379=1,'كشف المطالبة'!$D$5,'كشف المطالبة'!$D$6)*100)</f>
        <v/>
      </c>
      <c r="AK1379" s="28" t="str">
        <f aca="false">IF($A1379="","",IF(OR($Q1379=TRUE(),$Q1379="TRUE"),1,0))</f>
        <v/>
      </c>
      <c r="AL1379" s="28" t="str">
        <f aca="false">IF($N1379="","",IF(MATCH($N1379,$N$2:$N$3001,0)=ROWS($N$2:$N1379),$N1379,""))</f>
        <v/>
      </c>
    </row>
    <row r="1380" customFormat="false" ht="15" hidden="false" customHeight="false" outlineLevel="0" collapsed="false">
      <c r="E1380" s="25"/>
      <c r="M1380" s="26" t="str">
        <f aca="false">IF($A1380="","",$L1380*$U1380/100)</f>
        <v/>
      </c>
      <c r="W1380" s="26" t="str">
        <f aca="false">IF($A1380="","",U1380*AB1380/100)</f>
        <v/>
      </c>
      <c r="X1380" s="26" t="str">
        <f aca="false">IF($A1380="","",U1380-W1380)</f>
        <v/>
      </c>
      <c r="Y1380" s="26" t="str">
        <f aca="false">IF($A1380="","",U1380-W1380-M1380)</f>
        <v/>
      </c>
      <c r="AB1380" s="27" t="str">
        <f aca="false">IF($A1380="","",IF($AK1380=1,'كشف المطالبة'!$D$5,'كشف المطالبة'!$D$6)*100)</f>
        <v/>
      </c>
      <c r="AK1380" s="28" t="str">
        <f aca="false">IF($A1380="","",IF(OR($Q1380=TRUE(),$Q1380="TRUE"),1,0))</f>
        <v/>
      </c>
      <c r="AL1380" s="28" t="str">
        <f aca="false">IF($N1380="","",IF(MATCH($N1380,$N$2:$N$3001,0)=ROWS($N$2:$N1380),$N1380,""))</f>
        <v/>
      </c>
    </row>
    <row r="1381" customFormat="false" ht="15" hidden="false" customHeight="false" outlineLevel="0" collapsed="false">
      <c r="E1381" s="25"/>
      <c r="M1381" s="26" t="str">
        <f aca="false">IF($A1381="","",$L1381*$U1381/100)</f>
        <v/>
      </c>
      <c r="W1381" s="26" t="str">
        <f aca="false">IF($A1381="","",U1381*AB1381/100)</f>
        <v/>
      </c>
      <c r="X1381" s="26" t="str">
        <f aca="false">IF($A1381="","",U1381-W1381)</f>
        <v/>
      </c>
      <c r="Y1381" s="26" t="str">
        <f aca="false">IF($A1381="","",U1381-W1381-M1381)</f>
        <v/>
      </c>
      <c r="AB1381" s="27" t="str">
        <f aca="false">IF($A1381="","",IF($AK1381=1,'كشف المطالبة'!$D$5,'كشف المطالبة'!$D$6)*100)</f>
        <v/>
      </c>
      <c r="AK1381" s="28" t="str">
        <f aca="false">IF($A1381="","",IF(OR($Q1381=TRUE(),$Q1381="TRUE"),1,0))</f>
        <v/>
      </c>
      <c r="AL1381" s="28" t="str">
        <f aca="false">IF($N1381="","",IF(MATCH($N1381,$N$2:$N$3001,0)=ROWS($N$2:$N1381),$N1381,""))</f>
        <v/>
      </c>
    </row>
    <row r="1382" customFormat="false" ht="15" hidden="false" customHeight="false" outlineLevel="0" collapsed="false">
      <c r="E1382" s="25"/>
      <c r="M1382" s="26" t="str">
        <f aca="false">IF($A1382="","",$L1382*$U1382/100)</f>
        <v/>
      </c>
      <c r="W1382" s="26" t="str">
        <f aca="false">IF($A1382="","",U1382*AB1382/100)</f>
        <v/>
      </c>
      <c r="X1382" s="26" t="str">
        <f aca="false">IF($A1382="","",U1382-W1382)</f>
        <v/>
      </c>
      <c r="Y1382" s="26" t="str">
        <f aca="false">IF($A1382="","",U1382-W1382-M1382)</f>
        <v/>
      </c>
      <c r="AB1382" s="27" t="str">
        <f aca="false">IF($A1382="","",IF($AK1382=1,'كشف المطالبة'!$D$5,'كشف المطالبة'!$D$6)*100)</f>
        <v/>
      </c>
      <c r="AK1382" s="28" t="str">
        <f aca="false">IF($A1382="","",IF(OR($Q1382=TRUE(),$Q1382="TRUE"),1,0))</f>
        <v/>
      </c>
      <c r="AL1382" s="28" t="str">
        <f aca="false">IF($N1382="","",IF(MATCH($N1382,$N$2:$N$3001,0)=ROWS($N$2:$N1382),$N1382,""))</f>
        <v/>
      </c>
    </row>
    <row r="1383" customFormat="false" ht="15" hidden="false" customHeight="false" outlineLevel="0" collapsed="false">
      <c r="E1383" s="25"/>
      <c r="M1383" s="26" t="str">
        <f aca="false">IF($A1383="","",$L1383*$U1383/100)</f>
        <v/>
      </c>
      <c r="W1383" s="26" t="str">
        <f aca="false">IF($A1383="","",U1383*AB1383/100)</f>
        <v/>
      </c>
      <c r="X1383" s="26" t="str">
        <f aca="false">IF($A1383="","",U1383-W1383)</f>
        <v/>
      </c>
      <c r="Y1383" s="26" t="str">
        <f aca="false">IF($A1383="","",U1383-W1383-M1383)</f>
        <v/>
      </c>
      <c r="AB1383" s="27" t="str">
        <f aca="false">IF($A1383="","",IF($AK1383=1,'كشف المطالبة'!$D$5,'كشف المطالبة'!$D$6)*100)</f>
        <v/>
      </c>
      <c r="AK1383" s="28" t="str">
        <f aca="false">IF($A1383="","",IF(OR($Q1383=TRUE(),$Q1383="TRUE"),1,0))</f>
        <v/>
      </c>
      <c r="AL1383" s="28" t="str">
        <f aca="false">IF($N1383="","",IF(MATCH($N1383,$N$2:$N$3001,0)=ROWS($N$2:$N1383),$N1383,""))</f>
        <v/>
      </c>
    </row>
    <row r="1384" customFormat="false" ht="15" hidden="false" customHeight="false" outlineLevel="0" collapsed="false">
      <c r="E1384" s="25"/>
      <c r="M1384" s="26" t="str">
        <f aca="false">IF($A1384="","",$L1384*$U1384/100)</f>
        <v/>
      </c>
      <c r="W1384" s="26" t="str">
        <f aca="false">IF($A1384="","",U1384*AB1384/100)</f>
        <v/>
      </c>
      <c r="X1384" s="26" t="str">
        <f aca="false">IF($A1384="","",U1384-W1384)</f>
        <v/>
      </c>
      <c r="Y1384" s="26" t="str">
        <f aca="false">IF($A1384="","",U1384-W1384-M1384)</f>
        <v/>
      </c>
      <c r="AB1384" s="27" t="str">
        <f aca="false">IF($A1384="","",IF($AK1384=1,'كشف المطالبة'!$D$5,'كشف المطالبة'!$D$6)*100)</f>
        <v/>
      </c>
      <c r="AK1384" s="28" t="str">
        <f aca="false">IF($A1384="","",IF(OR($Q1384=TRUE(),$Q1384="TRUE"),1,0))</f>
        <v/>
      </c>
      <c r="AL1384" s="28" t="str">
        <f aca="false">IF($N1384="","",IF(MATCH($N1384,$N$2:$N$3001,0)=ROWS($N$2:$N1384),$N1384,""))</f>
        <v/>
      </c>
    </row>
    <row r="1385" customFormat="false" ht="15" hidden="false" customHeight="false" outlineLevel="0" collapsed="false">
      <c r="E1385" s="25"/>
      <c r="M1385" s="26" t="str">
        <f aca="false">IF($A1385="","",$L1385*$U1385/100)</f>
        <v/>
      </c>
      <c r="W1385" s="26" t="str">
        <f aca="false">IF($A1385="","",U1385*AB1385/100)</f>
        <v/>
      </c>
      <c r="X1385" s="26" t="str">
        <f aca="false">IF($A1385="","",U1385-W1385)</f>
        <v/>
      </c>
      <c r="Y1385" s="26" t="str">
        <f aca="false">IF($A1385="","",U1385-W1385-M1385)</f>
        <v/>
      </c>
      <c r="AB1385" s="27" t="str">
        <f aca="false">IF($A1385="","",IF($AK1385=1,'كشف المطالبة'!$D$5,'كشف المطالبة'!$D$6)*100)</f>
        <v/>
      </c>
      <c r="AK1385" s="28" t="str">
        <f aca="false">IF($A1385="","",IF(OR($Q1385=TRUE(),$Q1385="TRUE"),1,0))</f>
        <v/>
      </c>
      <c r="AL1385" s="28" t="str">
        <f aca="false">IF($N1385="","",IF(MATCH($N1385,$N$2:$N$3001,0)=ROWS($N$2:$N1385),$N1385,""))</f>
        <v/>
      </c>
    </row>
    <row r="1386" customFormat="false" ht="15" hidden="false" customHeight="false" outlineLevel="0" collapsed="false">
      <c r="E1386" s="25"/>
      <c r="M1386" s="26" t="str">
        <f aca="false">IF($A1386="","",$L1386*$U1386/100)</f>
        <v/>
      </c>
      <c r="W1386" s="26" t="str">
        <f aca="false">IF($A1386="","",U1386*AB1386/100)</f>
        <v/>
      </c>
      <c r="X1386" s="26" t="str">
        <f aca="false">IF($A1386="","",U1386-W1386)</f>
        <v/>
      </c>
      <c r="Y1386" s="26" t="str">
        <f aca="false">IF($A1386="","",U1386-W1386-M1386)</f>
        <v/>
      </c>
      <c r="AB1386" s="27" t="str">
        <f aca="false">IF($A1386="","",IF($AK1386=1,'كشف المطالبة'!$D$5,'كشف المطالبة'!$D$6)*100)</f>
        <v/>
      </c>
      <c r="AK1386" s="28" t="str">
        <f aca="false">IF($A1386="","",IF(OR($Q1386=TRUE(),$Q1386="TRUE"),1,0))</f>
        <v/>
      </c>
      <c r="AL1386" s="28" t="str">
        <f aca="false">IF($N1386="","",IF(MATCH($N1386,$N$2:$N$3001,0)=ROWS($N$2:$N1386),$N1386,""))</f>
        <v/>
      </c>
    </row>
    <row r="1387" customFormat="false" ht="15" hidden="false" customHeight="false" outlineLevel="0" collapsed="false">
      <c r="E1387" s="25"/>
      <c r="M1387" s="26" t="str">
        <f aca="false">IF($A1387="","",$L1387*$U1387/100)</f>
        <v/>
      </c>
      <c r="W1387" s="26" t="str">
        <f aca="false">IF($A1387="","",U1387*AB1387/100)</f>
        <v/>
      </c>
      <c r="X1387" s="26" t="str">
        <f aca="false">IF($A1387="","",U1387-W1387)</f>
        <v/>
      </c>
      <c r="Y1387" s="26" t="str">
        <f aca="false">IF($A1387="","",U1387-W1387-M1387)</f>
        <v/>
      </c>
      <c r="AB1387" s="27" t="str">
        <f aca="false">IF($A1387="","",IF($AK1387=1,'كشف المطالبة'!$D$5,'كشف المطالبة'!$D$6)*100)</f>
        <v/>
      </c>
      <c r="AK1387" s="28" t="str">
        <f aca="false">IF($A1387="","",IF(OR($Q1387=TRUE(),$Q1387="TRUE"),1,0))</f>
        <v/>
      </c>
      <c r="AL1387" s="28" t="str">
        <f aca="false">IF($N1387="","",IF(MATCH($N1387,$N$2:$N$3001,0)=ROWS($N$2:$N1387),$N1387,""))</f>
        <v/>
      </c>
    </row>
    <row r="1388" customFormat="false" ht="15" hidden="false" customHeight="false" outlineLevel="0" collapsed="false">
      <c r="E1388" s="25"/>
      <c r="M1388" s="26" t="str">
        <f aca="false">IF($A1388="","",$L1388*$U1388/100)</f>
        <v/>
      </c>
      <c r="W1388" s="26" t="str">
        <f aca="false">IF($A1388="","",U1388*AB1388/100)</f>
        <v/>
      </c>
      <c r="X1388" s="26" t="str">
        <f aca="false">IF($A1388="","",U1388-W1388)</f>
        <v/>
      </c>
      <c r="Y1388" s="26" t="str">
        <f aca="false">IF($A1388="","",U1388-W1388-M1388)</f>
        <v/>
      </c>
      <c r="AB1388" s="27" t="str">
        <f aca="false">IF($A1388="","",IF($AK1388=1,'كشف المطالبة'!$D$5,'كشف المطالبة'!$D$6)*100)</f>
        <v/>
      </c>
      <c r="AK1388" s="28" t="str">
        <f aca="false">IF($A1388="","",IF(OR($Q1388=TRUE(),$Q1388="TRUE"),1,0))</f>
        <v/>
      </c>
      <c r="AL1388" s="28" t="str">
        <f aca="false">IF($N1388="","",IF(MATCH($N1388,$N$2:$N$3001,0)=ROWS($N$2:$N1388),$N1388,""))</f>
        <v/>
      </c>
    </row>
    <row r="1389" customFormat="false" ht="15" hidden="false" customHeight="false" outlineLevel="0" collapsed="false">
      <c r="E1389" s="25"/>
      <c r="M1389" s="26" t="str">
        <f aca="false">IF($A1389="","",$L1389*$U1389/100)</f>
        <v/>
      </c>
      <c r="W1389" s="26" t="str">
        <f aca="false">IF($A1389="","",U1389*AB1389/100)</f>
        <v/>
      </c>
      <c r="X1389" s="26" t="str">
        <f aca="false">IF($A1389="","",U1389-W1389)</f>
        <v/>
      </c>
      <c r="Y1389" s="26" t="str">
        <f aca="false">IF($A1389="","",U1389-W1389-M1389)</f>
        <v/>
      </c>
      <c r="AB1389" s="27" t="str">
        <f aca="false">IF($A1389="","",IF($AK1389=1,'كشف المطالبة'!$D$5,'كشف المطالبة'!$D$6)*100)</f>
        <v/>
      </c>
      <c r="AK1389" s="28" t="str">
        <f aca="false">IF($A1389="","",IF(OR($Q1389=TRUE(),$Q1389="TRUE"),1,0))</f>
        <v/>
      </c>
      <c r="AL1389" s="28" t="str">
        <f aca="false">IF($N1389="","",IF(MATCH($N1389,$N$2:$N$3001,0)=ROWS($N$2:$N1389),$N1389,""))</f>
        <v/>
      </c>
    </row>
    <row r="1390" customFormat="false" ht="15" hidden="false" customHeight="false" outlineLevel="0" collapsed="false">
      <c r="E1390" s="25"/>
      <c r="M1390" s="26" t="str">
        <f aca="false">IF($A1390="","",$L1390*$U1390/100)</f>
        <v/>
      </c>
      <c r="W1390" s="26" t="str">
        <f aca="false">IF($A1390="","",U1390*AB1390/100)</f>
        <v/>
      </c>
      <c r="X1390" s="26" t="str">
        <f aca="false">IF($A1390="","",U1390-W1390)</f>
        <v/>
      </c>
      <c r="Y1390" s="26" t="str">
        <f aca="false">IF($A1390="","",U1390-W1390-M1390)</f>
        <v/>
      </c>
      <c r="AB1390" s="27" t="str">
        <f aca="false">IF($A1390="","",IF($AK1390=1,'كشف المطالبة'!$D$5,'كشف المطالبة'!$D$6)*100)</f>
        <v/>
      </c>
      <c r="AK1390" s="28" t="str">
        <f aca="false">IF($A1390="","",IF(OR($Q1390=TRUE(),$Q1390="TRUE"),1,0))</f>
        <v/>
      </c>
      <c r="AL1390" s="28" t="str">
        <f aca="false">IF($N1390="","",IF(MATCH($N1390,$N$2:$N$3001,0)=ROWS($N$2:$N1390),$N1390,""))</f>
        <v/>
      </c>
    </row>
    <row r="1391" customFormat="false" ht="15" hidden="false" customHeight="false" outlineLevel="0" collapsed="false">
      <c r="E1391" s="25"/>
      <c r="M1391" s="26" t="str">
        <f aca="false">IF($A1391="","",$L1391*$U1391/100)</f>
        <v/>
      </c>
      <c r="W1391" s="26" t="str">
        <f aca="false">IF($A1391="","",U1391*AB1391/100)</f>
        <v/>
      </c>
      <c r="X1391" s="26" t="str">
        <f aca="false">IF($A1391="","",U1391-W1391)</f>
        <v/>
      </c>
      <c r="Y1391" s="26" t="str">
        <f aca="false">IF($A1391="","",U1391-W1391-M1391)</f>
        <v/>
      </c>
      <c r="AB1391" s="27" t="str">
        <f aca="false">IF($A1391="","",IF($AK1391=1,'كشف المطالبة'!$D$5,'كشف المطالبة'!$D$6)*100)</f>
        <v/>
      </c>
      <c r="AK1391" s="28" t="str">
        <f aca="false">IF($A1391="","",IF(OR($Q1391=TRUE(),$Q1391="TRUE"),1,0))</f>
        <v/>
      </c>
      <c r="AL1391" s="28" t="str">
        <f aca="false">IF($N1391="","",IF(MATCH($N1391,$N$2:$N$3001,0)=ROWS($N$2:$N1391),$N1391,""))</f>
        <v/>
      </c>
    </row>
    <row r="1392" customFormat="false" ht="15" hidden="false" customHeight="false" outlineLevel="0" collapsed="false">
      <c r="E1392" s="25"/>
      <c r="M1392" s="26" t="str">
        <f aca="false">IF($A1392="","",$L1392*$U1392/100)</f>
        <v/>
      </c>
      <c r="W1392" s="26" t="str">
        <f aca="false">IF($A1392="","",U1392*AB1392/100)</f>
        <v/>
      </c>
      <c r="X1392" s="26" t="str">
        <f aca="false">IF($A1392="","",U1392-W1392)</f>
        <v/>
      </c>
      <c r="Y1392" s="26" t="str">
        <f aca="false">IF($A1392="","",U1392-W1392-M1392)</f>
        <v/>
      </c>
      <c r="AB1392" s="27" t="str">
        <f aca="false">IF($A1392="","",IF($AK1392=1,'كشف المطالبة'!$D$5,'كشف المطالبة'!$D$6)*100)</f>
        <v/>
      </c>
      <c r="AK1392" s="28" t="str">
        <f aca="false">IF($A1392="","",IF(OR($Q1392=TRUE(),$Q1392="TRUE"),1,0))</f>
        <v/>
      </c>
      <c r="AL1392" s="28" t="str">
        <f aca="false">IF($N1392="","",IF(MATCH($N1392,$N$2:$N$3001,0)=ROWS($N$2:$N1392),$N1392,""))</f>
        <v/>
      </c>
    </row>
    <row r="1393" customFormat="false" ht="15" hidden="false" customHeight="false" outlineLevel="0" collapsed="false">
      <c r="E1393" s="25"/>
      <c r="M1393" s="26" t="str">
        <f aca="false">IF($A1393="","",$L1393*$U1393/100)</f>
        <v/>
      </c>
      <c r="W1393" s="26" t="str">
        <f aca="false">IF($A1393="","",U1393*AB1393/100)</f>
        <v/>
      </c>
      <c r="X1393" s="26" t="str">
        <f aca="false">IF($A1393="","",U1393-W1393)</f>
        <v/>
      </c>
      <c r="Y1393" s="26" t="str">
        <f aca="false">IF($A1393="","",U1393-W1393-M1393)</f>
        <v/>
      </c>
      <c r="AB1393" s="27" t="str">
        <f aca="false">IF($A1393="","",IF($AK1393=1,'كشف المطالبة'!$D$5,'كشف المطالبة'!$D$6)*100)</f>
        <v/>
      </c>
      <c r="AK1393" s="28" t="str">
        <f aca="false">IF($A1393="","",IF(OR($Q1393=TRUE(),$Q1393="TRUE"),1,0))</f>
        <v/>
      </c>
      <c r="AL1393" s="28" t="str">
        <f aca="false">IF($N1393="","",IF(MATCH($N1393,$N$2:$N$3001,0)=ROWS($N$2:$N1393),$N1393,""))</f>
        <v/>
      </c>
    </row>
    <row r="1394" customFormat="false" ht="15" hidden="false" customHeight="false" outlineLevel="0" collapsed="false">
      <c r="E1394" s="25"/>
      <c r="M1394" s="26" t="str">
        <f aca="false">IF($A1394="","",$L1394*$U1394/100)</f>
        <v/>
      </c>
      <c r="W1394" s="26" t="str">
        <f aca="false">IF($A1394="","",U1394*AB1394/100)</f>
        <v/>
      </c>
      <c r="X1394" s="26" t="str">
        <f aca="false">IF($A1394="","",U1394-W1394)</f>
        <v/>
      </c>
      <c r="Y1394" s="26" t="str">
        <f aca="false">IF($A1394="","",U1394-W1394-M1394)</f>
        <v/>
      </c>
      <c r="AB1394" s="27" t="str">
        <f aca="false">IF($A1394="","",IF($AK1394=1,'كشف المطالبة'!$D$5,'كشف المطالبة'!$D$6)*100)</f>
        <v/>
      </c>
      <c r="AK1394" s="28" t="str">
        <f aca="false">IF($A1394="","",IF(OR($Q1394=TRUE(),$Q1394="TRUE"),1,0))</f>
        <v/>
      </c>
      <c r="AL1394" s="28" t="str">
        <f aca="false">IF($N1394="","",IF(MATCH($N1394,$N$2:$N$3001,0)=ROWS($N$2:$N1394),$N1394,""))</f>
        <v/>
      </c>
    </row>
    <row r="1395" customFormat="false" ht="15" hidden="false" customHeight="false" outlineLevel="0" collapsed="false">
      <c r="E1395" s="25"/>
      <c r="M1395" s="26" t="str">
        <f aca="false">IF($A1395="","",$L1395*$U1395/100)</f>
        <v/>
      </c>
      <c r="W1395" s="26" t="str">
        <f aca="false">IF($A1395="","",U1395*AB1395/100)</f>
        <v/>
      </c>
      <c r="X1395" s="26" t="str">
        <f aca="false">IF($A1395="","",U1395-W1395)</f>
        <v/>
      </c>
      <c r="Y1395" s="26" t="str">
        <f aca="false">IF($A1395="","",U1395-W1395-M1395)</f>
        <v/>
      </c>
      <c r="AB1395" s="27" t="str">
        <f aca="false">IF($A1395="","",IF($AK1395=1,'كشف المطالبة'!$D$5,'كشف المطالبة'!$D$6)*100)</f>
        <v/>
      </c>
      <c r="AK1395" s="28" t="str">
        <f aca="false">IF($A1395="","",IF(OR($Q1395=TRUE(),$Q1395="TRUE"),1,0))</f>
        <v/>
      </c>
      <c r="AL1395" s="28" t="str">
        <f aca="false">IF($N1395="","",IF(MATCH($N1395,$N$2:$N$3001,0)=ROWS($N$2:$N1395),$N1395,""))</f>
        <v/>
      </c>
    </row>
    <row r="1396" customFormat="false" ht="15" hidden="false" customHeight="false" outlineLevel="0" collapsed="false">
      <c r="E1396" s="25"/>
      <c r="M1396" s="26" t="str">
        <f aca="false">IF($A1396="","",$L1396*$U1396/100)</f>
        <v/>
      </c>
      <c r="W1396" s="26" t="str">
        <f aca="false">IF($A1396="","",U1396*AB1396/100)</f>
        <v/>
      </c>
      <c r="X1396" s="26" t="str">
        <f aca="false">IF($A1396="","",U1396-W1396)</f>
        <v/>
      </c>
      <c r="Y1396" s="26" t="str">
        <f aca="false">IF($A1396="","",U1396-W1396-M1396)</f>
        <v/>
      </c>
      <c r="AB1396" s="27" t="str">
        <f aca="false">IF($A1396="","",IF($AK1396=1,'كشف المطالبة'!$D$5,'كشف المطالبة'!$D$6)*100)</f>
        <v/>
      </c>
      <c r="AK1396" s="28" t="str">
        <f aca="false">IF($A1396="","",IF(OR($Q1396=TRUE(),$Q1396="TRUE"),1,0))</f>
        <v/>
      </c>
      <c r="AL1396" s="28" t="str">
        <f aca="false">IF($N1396="","",IF(MATCH($N1396,$N$2:$N$3001,0)=ROWS($N$2:$N1396),$N1396,""))</f>
        <v/>
      </c>
    </row>
    <row r="1397" customFormat="false" ht="15" hidden="false" customHeight="false" outlineLevel="0" collapsed="false">
      <c r="E1397" s="25"/>
      <c r="M1397" s="26" t="str">
        <f aca="false">IF($A1397="","",$L1397*$U1397/100)</f>
        <v/>
      </c>
      <c r="W1397" s="26" t="str">
        <f aca="false">IF($A1397="","",U1397*AB1397/100)</f>
        <v/>
      </c>
      <c r="X1397" s="26" t="str">
        <f aca="false">IF($A1397="","",U1397-W1397)</f>
        <v/>
      </c>
      <c r="Y1397" s="26" t="str">
        <f aca="false">IF($A1397="","",U1397-W1397-M1397)</f>
        <v/>
      </c>
      <c r="AB1397" s="27" t="str">
        <f aca="false">IF($A1397="","",IF($AK1397=1,'كشف المطالبة'!$D$5,'كشف المطالبة'!$D$6)*100)</f>
        <v/>
      </c>
      <c r="AK1397" s="28" t="str">
        <f aca="false">IF($A1397="","",IF(OR($Q1397=TRUE(),$Q1397="TRUE"),1,0))</f>
        <v/>
      </c>
      <c r="AL1397" s="28" t="str">
        <f aca="false">IF($N1397="","",IF(MATCH($N1397,$N$2:$N$3001,0)=ROWS($N$2:$N1397),$N1397,""))</f>
        <v/>
      </c>
    </row>
    <row r="1398" customFormat="false" ht="15" hidden="false" customHeight="false" outlineLevel="0" collapsed="false">
      <c r="E1398" s="25"/>
      <c r="M1398" s="26" t="str">
        <f aca="false">IF($A1398="","",$L1398*$U1398/100)</f>
        <v/>
      </c>
      <c r="W1398" s="26" t="str">
        <f aca="false">IF($A1398="","",U1398*AB1398/100)</f>
        <v/>
      </c>
      <c r="X1398" s="26" t="str">
        <f aca="false">IF($A1398="","",U1398-W1398)</f>
        <v/>
      </c>
      <c r="Y1398" s="26" t="str">
        <f aca="false">IF($A1398="","",U1398-W1398-M1398)</f>
        <v/>
      </c>
      <c r="AB1398" s="27" t="str">
        <f aca="false">IF($A1398="","",IF($AK1398=1,'كشف المطالبة'!$D$5,'كشف المطالبة'!$D$6)*100)</f>
        <v/>
      </c>
      <c r="AK1398" s="28" t="str">
        <f aca="false">IF($A1398="","",IF(OR($Q1398=TRUE(),$Q1398="TRUE"),1,0))</f>
        <v/>
      </c>
      <c r="AL1398" s="28" t="str">
        <f aca="false">IF($N1398="","",IF(MATCH($N1398,$N$2:$N$3001,0)=ROWS($N$2:$N1398),$N1398,""))</f>
        <v/>
      </c>
    </row>
    <row r="1399" customFormat="false" ht="15" hidden="false" customHeight="false" outlineLevel="0" collapsed="false">
      <c r="E1399" s="25"/>
      <c r="M1399" s="26" t="str">
        <f aca="false">IF($A1399="","",$L1399*$U1399/100)</f>
        <v/>
      </c>
      <c r="W1399" s="26" t="str">
        <f aca="false">IF($A1399="","",U1399*AB1399/100)</f>
        <v/>
      </c>
      <c r="X1399" s="26" t="str">
        <f aca="false">IF($A1399="","",U1399-W1399)</f>
        <v/>
      </c>
      <c r="Y1399" s="26" t="str">
        <f aca="false">IF($A1399="","",U1399-W1399-M1399)</f>
        <v/>
      </c>
      <c r="AB1399" s="27" t="str">
        <f aca="false">IF($A1399="","",IF($AK1399=1,'كشف المطالبة'!$D$5,'كشف المطالبة'!$D$6)*100)</f>
        <v/>
      </c>
      <c r="AK1399" s="28" t="str">
        <f aca="false">IF($A1399="","",IF(OR($Q1399=TRUE(),$Q1399="TRUE"),1,0))</f>
        <v/>
      </c>
      <c r="AL1399" s="28" t="str">
        <f aca="false">IF($N1399="","",IF(MATCH($N1399,$N$2:$N$3001,0)=ROWS($N$2:$N1399),$N1399,""))</f>
        <v/>
      </c>
    </row>
    <row r="1400" customFormat="false" ht="15" hidden="false" customHeight="false" outlineLevel="0" collapsed="false">
      <c r="E1400" s="25"/>
      <c r="M1400" s="26" t="str">
        <f aca="false">IF($A1400="","",$L1400*$U1400/100)</f>
        <v/>
      </c>
      <c r="W1400" s="26" t="str">
        <f aca="false">IF($A1400="","",U1400*AB1400/100)</f>
        <v/>
      </c>
      <c r="X1400" s="26" t="str">
        <f aca="false">IF($A1400="","",U1400-W1400)</f>
        <v/>
      </c>
      <c r="Y1400" s="26" t="str">
        <f aca="false">IF($A1400="","",U1400-W1400-M1400)</f>
        <v/>
      </c>
      <c r="AB1400" s="27" t="str">
        <f aca="false">IF($A1400="","",IF($AK1400=1,'كشف المطالبة'!$D$5,'كشف المطالبة'!$D$6)*100)</f>
        <v/>
      </c>
      <c r="AK1400" s="28" t="str">
        <f aca="false">IF($A1400="","",IF(OR($Q1400=TRUE(),$Q1400="TRUE"),1,0))</f>
        <v/>
      </c>
      <c r="AL1400" s="28" t="str">
        <f aca="false">IF($N1400="","",IF(MATCH($N1400,$N$2:$N$3001,0)=ROWS($N$2:$N1400),$N1400,""))</f>
        <v/>
      </c>
    </row>
    <row r="1401" customFormat="false" ht="15" hidden="false" customHeight="false" outlineLevel="0" collapsed="false">
      <c r="E1401" s="25"/>
      <c r="M1401" s="26" t="str">
        <f aca="false">IF($A1401="","",$L1401*$U1401/100)</f>
        <v/>
      </c>
      <c r="W1401" s="26" t="str">
        <f aca="false">IF($A1401="","",U1401*AB1401/100)</f>
        <v/>
      </c>
      <c r="X1401" s="26" t="str">
        <f aca="false">IF($A1401="","",U1401-W1401)</f>
        <v/>
      </c>
      <c r="Y1401" s="26" t="str">
        <f aca="false">IF($A1401="","",U1401-W1401-M1401)</f>
        <v/>
      </c>
      <c r="AB1401" s="27" t="str">
        <f aca="false">IF($A1401="","",IF($AK1401=1,'كشف المطالبة'!$D$5,'كشف المطالبة'!$D$6)*100)</f>
        <v/>
      </c>
      <c r="AK1401" s="28" t="str">
        <f aca="false">IF($A1401="","",IF(OR($Q1401=TRUE(),$Q1401="TRUE"),1,0))</f>
        <v/>
      </c>
      <c r="AL1401" s="28" t="str">
        <f aca="false">IF($N1401="","",IF(MATCH($N1401,$N$2:$N$3001,0)=ROWS($N$2:$N1401),$N1401,""))</f>
        <v/>
      </c>
    </row>
    <row r="1402" customFormat="false" ht="15" hidden="false" customHeight="false" outlineLevel="0" collapsed="false">
      <c r="E1402" s="25"/>
      <c r="M1402" s="26" t="str">
        <f aca="false">IF($A1402="","",$L1402*$U1402/100)</f>
        <v/>
      </c>
      <c r="W1402" s="26" t="str">
        <f aca="false">IF($A1402="","",U1402*AB1402/100)</f>
        <v/>
      </c>
      <c r="X1402" s="26" t="str">
        <f aca="false">IF($A1402="","",U1402-W1402)</f>
        <v/>
      </c>
      <c r="Y1402" s="26" t="str">
        <f aca="false">IF($A1402="","",U1402-W1402-M1402)</f>
        <v/>
      </c>
      <c r="AB1402" s="27" t="str">
        <f aca="false">IF($A1402="","",IF($AK1402=1,'كشف المطالبة'!$D$5,'كشف المطالبة'!$D$6)*100)</f>
        <v/>
      </c>
      <c r="AK1402" s="28" t="str">
        <f aca="false">IF($A1402="","",IF(OR($Q1402=TRUE(),$Q1402="TRUE"),1,0))</f>
        <v/>
      </c>
      <c r="AL1402" s="28" t="str">
        <f aca="false">IF($N1402="","",IF(MATCH($N1402,$N$2:$N$3001,0)=ROWS($N$2:$N1402),$N1402,""))</f>
        <v/>
      </c>
    </row>
    <row r="1403" customFormat="false" ht="15" hidden="false" customHeight="false" outlineLevel="0" collapsed="false">
      <c r="E1403" s="25"/>
      <c r="M1403" s="26" t="str">
        <f aca="false">IF($A1403="","",$L1403*$U1403/100)</f>
        <v/>
      </c>
      <c r="W1403" s="26" t="str">
        <f aca="false">IF($A1403="","",U1403*AB1403/100)</f>
        <v/>
      </c>
      <c r="X1403" s="26" t="str">
        <f aca="false">IF($A1403="","",U1403-W1403)</f>
        <v/>
      </c>
      <c r="Y1403" s="26" t="str">
        <f aca="false">IF($A1403="","",U1403-W1403-M1403)</f>
        <v/>
      </c>
      <c r="AB1403" s="27" t="str">
        <f aca="false">IF($A1403="","",IF($AK1403=1,'كشف المطالبة'!$D$5,'كشف المطالبة'!$D$6)*100)</f>
        <v/>
      </c>
      <c r="AK1403" s="28" t="str">
        <f aca="false">IF($A1403="","",IF(OR($Q1403=TRUE(),$Q1403="TRUE"),1,0))</f>
        <v/>
      </c>
      <c r="AL1403" s="28" t="str">
        <f aca="false">IF($N1403="","",IF(MATCH($N1403,$N$2:$N$3001,0)=ROWS($N$2:$N1403),$N1403,""))</f>
        <v/>
      </c>
    </row>
    <row r="1404" customFormat="false" ht="15" hidden="false" customHeight="false" outlineLevel="0" collapsed="false">
      <c r="E1404" s="25"/>
      <c r="M1404" s="26" t="str">
        <f aca="false">IF($A1404="","",$L1404*$U1404/100)</f>
        <v/>
      </c>
      <c r="W1404" s="26" t="str">
        <f aca="false">IF($A1404="","",U1404*AB1404/100)</f>
        <v/>
      </c>
      <c r="X1404" s="26" t="str">
        <f aca="false">IF($A1404="","",U1404-W1404)</f>
        <v/>
      </c>
      <c r="Y1404" s="26" t="str">
        <f aca="false">IF($A1404="","",U1404-W1404-M1404)</f>
        <v/>
      </c>
      <c r="AB1404" s="27" t="str">
        <f aca="false">IF($A1404="","",IF($AK1404=1,'كشف المطالبة'!$D$5,'كشف المطالبة'!$D$6)*100)</f>
        <v/>
      </c>
      <c r="AK1404" s="28" t="str">
        <f aca="false">IF($A1404="","",IF(OR($Q1404=TRUE(),$Q1404="TRUE"),1,0))</f>
        <v/>
      </c>
      <c r="AL1404" s="28" t="str">
        <f aca="false">IF($N1404="","",IF(MATCH($N1404,$N$2:$N$3001,0)=ROWS($N$2:$N1404),$N1404,""))</f>
        <v/>
      </c>
    </row>
    <row r="1405" customFormat="false" ht="15" hidden="false" customHeight="false" outlineLevel="0" collapsed="false">
      <c r="E1405" s="25"/>
      <c r="M1405" s="26" t="str">
        <f aca="false">IF($A1405="","",$L1405*$U1405/100)</f>
        <v/>
      </c>
      <c r="W1405" s="26" t="str">
        <f aca="false">IF($A1405="","",U1405*AB1405/100)</f>
        <v/>
      </c>
      <c r="X1405" s="26" t="str">
        <f aca="false">IF($A1405="","",U1405-W1405)</f>
        <v/>
      </c>
      <c r="Y1405" s="26" t="str">
        <f aca="false">IF($A1405="","",U1405-W1405-M1405)</f>
        <v/>
      </c>
      <c r="AB1405" s="27" t="str">
        <f aca="false">IF($A1405="","",IF($AK1405=1,'كشف المطالبة'!$D$5,'كشف المطالبة'!$D$6)*100)</f>
        <v/>
      </c>
      <c r="AK1405" s="28" t="str">
        <f aca="false">IF($A1405="","",IF(OR($Q1405=TRUE(),$Q1405="TRUE"),1,0))</f>
        <v/>
      </c>
      <c r="AL1405" s="28" t="str">
        <f aca="false">IF($N1405="","",IF(MATCH($N1405,$N$2:$N$3001,0)=ROWS($N$2:$N1405),$N1405,""))</f>
        <v/>
      </c>
    </row>
    <row r="1406" customFormat="false" ht="15" hidden="false" customHeight="false" outlineLevel="0" collapsed="false">
      <c r="E1406" s="25"/>
      <c r="M1406" s="26" t="str">
        <f aca="false">IF($A1406="","",$L1406*$U1406/100)</f>
        <v/>
      </c>
      <c r="W1406" s="26" t="str">
        <f aca="false">IF($A1406="","",U1406*AB1406/100)</f>
        <v/>
      </c>
      <c r="X1406" s="26" t="str">
        <f aca="false">IF($A1406="","",U1406-W1406)</f>
        <v/>
      </c>
      <c r="Y1406" s="26" t="str">
        <f aca="false">IF($A1406="","",U1406-W1406-M1406)</f>
        <v/>
      </c>
      <c r="AB1406" s="27" t="str">
        <f aca="false">IF($A1406="","",IF($AK1406=1,'كشف المطالبة'!$D$5,'كشف المطالبة'!$D$6)*100)</f>
        <v/>
      </c>
      <c r="AK1406" s="28" t="str">
        <f aca="false">IF($A1406="","",IF(OR($Q1406=TRUE(),$Q1406="TRUE"),1,0))</f>
        <v/>
      </c>
      <c r="AL1406" s="28" t="str">
        <f aca="false">IF($N1406="","",IF(MATCH($N1406,$N$2:$N$3001,0)=ROWS($N$2:$N1406),$N1406,""))</f>
        <v/>
      </c>
    </row>
    <row r="1407" customFormat="false" ht="15" hidden="false" customHeight="false" outlineLevel="0" collapsed="false">
      <c r="E1407" s="25"/>
      <c r="M1407" s="26" t="str">
        <f aca="false">IF($A1407="","",$L1407*$U1407/100)</f>
        <v/>
      </c>
      <c r="W1407" s="26" t="str">
        <f aca="false">IF($A1407="","",U1407*AB1407/100)</f>
        <v/>
      </c>
      <c r="X1407" s="26" t="str">
        <f aca="false">IF($A1407="","",U1407-W1407)</f>
        <v/>
      </c>
      <c r="Y1407" s="26" t="str">
        <f aca="false">IF($A1407="","",U1407-W1407-M1407)</f>
        <v/>
      </c>
      <c r="AB1407" s="27" t="str">
        <f aca="false">IF($A1407="","",IF($AK1407=1,'كشف المطالبة'!$D$5,'كشف المطالبة'!$D$6)*100)</f>
        <v/>
      </c>
      <c r="AK1407" s="28" t="str">
        <f aca="false">IF($A1407="","",IF(OR($Q1407=TRUE(),$Q1407="TRUE"),1,0))</f>
        <v/>
      </c>
      <c r="AL1407" s="28" t="str">
        <f aca="false">IF($N1407="","",IF(MATCH($N1407,$N$2:$N$3001,0)=ROWS($N$2:$N1407),$N1407,""))</f>
        <v/>
      </c>
    </row>
    <row r="1408" customFormat="false" ht="15" hidden="false" customHeight="false" outlineLevel="0" collapsed="false">
      <c r="E1408" s="25"/>
      <c r="M1408" s="26" t="str">
        <f aca="false">IF($A1408="","",$L1408*$U1408/100)</f>
        <v/>
      </c>
      <c r="W1408" s="26" t="str">
        <f aca="false">IF($A1408="","",U1408*AB1408/100)</f>
        <v/>
      </c>
      <c r="X1408" s="26" t="str">
        <f aca="false">IF($A1408="","",U1408-W1408)</f>
        <v/>
      </c>
      <c r="Y1408" s="26" t="str">
        <f aca="false">IF($A1408="","",U1408-W1408-M1408)</f>
        <v/>
      </c>
      <c r="AB1408" s="27" t="str">
        <f aca="false">IF($A1408="","",IF($AK1408=1,'كشف المطالبة'!$D$5,'كشف المطالبة'!$D$6)*100)</f>
        <v/>
      </c>
      <c r="AK1408" s="28" t="str">
        <f aca="false">IF($A1408="","",IF(OR($Q1408=TRUE(),$Q1408="TRUE"),1,0))</f>
        <v/>
      </c>
      <c r="AL1408" s="28" t="str">
        <f aca="false">IF($N1408="","",IF(MATCH($N1408,$N$2:$N$3001,0)=ROWS($N$2:$N1408),$N1408,""))</f>
        <v/>
      </c>
    </row>
    <row r="1409" customFormat="false" ht="15" hidden="false" customHeight="false" outlineLevel="0" collapsed="false">
      <c r="E1409" s="25"/>
      <c r="M1409" s="26" t="str">
        <f aca="false">IF($A1409="","",$L1409*$U1409/100)</f>
        <v/>
      </c>
      <c r="W1409" s="26" t="str">
        <f aca="false">IF($A1409="","",U1409*AB1409/100)</f>
        <v/>
      </c>
      <c r="X1409" s="26" t="str">
        <f aca="false">IF($A1409="","",U1409-W1409)</f>
        <v/>
      </c>
      <c r="Y1409" s="26" t="str">
        <f aca="false">IF($A1409="","",U1409-W1409-M1409)</f>
        <v/>
      </c>
      <c r="AB1409" s="27" t="str">
        <f aca="false">IF($A1409="","",IF($AK1409=1,'كشف المطالبة'!$D$5,'كشف المطالبة'!$D$6)*100)</f>
        <v/>
      </c>
      <c r="AK1409" s="28" t="str">
        <f aca="false">IF($A1409="","",IF(OR($Q1409=TRUE(),$Q1409="TRUE"),1,0))</f>
        <v/>
      </c>
      <c r="AL1409" s="28" t="str">
        <f aca="false">IF($N1409="","",IF(MATCH($N1409,$N$2:$N$3001,0)=ROWS($N$2:$N1409),$N1409,""))</f>
        <v/>
      </c>
    </row>
    <row r="1410" customFormat="false" ht="15" hidden="false" customHeight="false" outlineLevel="0" collapsed="false">
      <c r="E1410" s="25"/>
      <c r="M1410" s="26" t="str">
        <f aca="false">IF($A1410="","",$L1410*$U1410/100)</f>
        <v/>
      </c>
      <c r="W1410" s="26" t="str">
        <f aca="false">IF($A1410="","",U1410*AB1410/100)</f>
        <v/>
      </c>
      <c r="X1410" s="26" t="str">
        <f aca="false">IF($A1410="","",U1410-W1410)</f>
        <v/>
      </c>
      <c r="Y1410" s="26" t="str">
        <f aca="false">IF($A1410="","",U1410-W1410-M1410)</f>
        <v/>
      </c>
      <c r="AB1410" s="27" t="str">
        <f aca="false">IF($A1410="","",IF($AK1410=1,'كشف المطالبة'!$D$5,'كشف المطالبة'!$D$6)*100)</f>
        <v/>
      </c>
      <c r="AK1410" s="28" t="str">
        <f aca="false">IF($A1410="","",IF(OR($Q1410=TRUE(),$Q1410="TRUE"),1,0))</f>
        <v/>
      </c>
      <c r="AL1410" s="28" t="str">
        <f aca="false">IF($N1410="","",IF(MATCH($N1410,$N$2:$N$3001,0)=ROWS($N$2:$N1410),$N1410,""))</f>
        <v/>
      </c>
    </row>
    <row r="1411" customFormat="false" ht="15" hidden="false" customHeight="false" outlineLevel="0" collapsed="false">
      <c r="E1411" s="25"/>
      <c r="M1411" s="26" t="str">
        <f aca="false">IF($A1411="","",$L1411*$U1411/100)</f>
        <v/>
      </c>
      <c r="W1411" s="26" t="str">
        <f aca="false">IF($A1411="","",U1411*AB1411/100)</f>
        <v/>
      </c>
      <c r="X1411" s="26" t="str">
        <f aca="false">IF($A1411="","",U1411-W1411)</f>
        <v/>
      </c>
      <c r="Y1411" s="26" t="str">
        <f aca="false">IF($A1411="","",U1411-W1411-M1411)</f>
        <v/>
      </c>
      <c r="AB1411" s="27" t="str">
        <f aca="false">IF($A1411="","",IF($AK1411=1,'كشف المطالبة'!$D$5,'كشف المطالبة'!$D$6)*100)</f>
        <v/>
      </c>
      <c r="AK1411" s="28" t="str">
        <f aca="false">IF($A1411="","",IF(OR($Q1411=TRUE(),$Q1411="TRUE"),1,0))</f>
        <v/>
      </c>
      <c r="AL1411" s="28" t="str">
        <f aca="false">IF($N1411="","",IF(MATCH($N1411,$N$2:$N$3001,0)=ROWS($N$2:$N1411),$N1411,""))</f>
        <v/>
      </c>
    </row>
    <row r="1412" customFormat="false" ht="15" hidden="false" customHeight="false" outlineLevel="0" collapsed="false">
      <c r="E1412" s="25"/>
      <c r="M1412" s="26" t="str">
        <f aca="false">IF($A1412="","",$L1412*$U1412/100)</f>
        <v/>
      </c>
      <c r="W1412" s="26" t="str">
        <f aca="false">IF($A1412="","",U1412*AB1412/100)</f>
        <v/>
      </c>
      <c r="X1412" s="26" t="str">
        <f aca="false">IF($A1412="","",U1412-W1412)</f>
        <v/>
      </c>
      <c r="Y1412" s="26" t="str">
        <f aca="false">IF($A1412="","",U1412-W1412-M1412)</f>
        <v/>
      </c>
      <c r="AB1412" s="27" t="str">
        <f aca="false">IF($A1412="","",IF($AK1412=1,'كشف المطالبة'!$D$5,'كشف المطالبة'!$D$6)*100)</f>
        <v/>
      </c>
      <c r="AK1412" s="28" t="str">
        <f aca="false">IF($A1412="","",IF(OR($Q1412=TRUE(),$Q1412="TRUE"),1,0))</f>
        <v/>
      </c>
      <c r="AL1412" s="28" t="str">
        <f aca="false">IF($N1412="","",IF(MATCH($N1412,$N$2:$N$3001,0)=ROWS($N$2:$N1412),$N1412,""))</f>
        <v/>
      </c>
    </row>
    <row r="1413" customFormat="false" ht="15" hidden="false" customHeight="false" outlineLevel="0" collapsed="false">
      <c r="E1413" s="25"/>
      <c r="M1413" s="26" t="str">
        <f aca="false">IF($A1413="","",$L1413*$U1413/100)</f>
        <v/>
      </c>
      <c r="W1413" s="26" t="str">
        <f aca="false">IF($A1413="","",U1413*AB1413/100)</f>
        <v/>
      </c>
      <c r="X1413" s="26" t="str">
        <f aca="false">IF($A1413="","",U1413-W1413)</f>
        <v/>
      </c>
      <c r="Y1413" s="26" t="str">
        <f aca="false">IF($A1413="","",U1413-W1413-M1413)</f>
        <v/>
      </c>
      <c r="AB1413" s="27" t="str">
        <f aca="false">IF($A1413="","",IF($AK1413=1,'كشف المطالبة'!$D$5,'كشف المطالبة'!$D$6)*100)</f>
        <v/>
      </c>
      <c r="AK1413" s="28" t="str">
        <f aca="false">IF($A1413="","",IF(OR($Q1413=TRUE(),$Q1413="TRUE"),1,0))</f>
        <v/>
      </c>
      <c r="AL1413" s="28" t="str">
        <f aca="false">IF($N1413="","",IF(MATCH($N1413,$N$2:$N$3001,0)=ROWS($N$2:$N1413),$N1413,""))</f>
        <v/>
      </c>
    </row>
    <row r="1414" customFormat="false" ht="15" hidden="false" customHeight="false" outlineLevel="0" collapsed="false">
      <c r="E1414" s="25"/>
      <c r="M1414" s="26" t="str">
        <f aca="false">IF($A1414="","",$L1414*$U1414/100)</f>
        <v/>
      </c>
      <c r="W1414" s="26" t="str">
        <f aca="false">IF($A1414="","",U1414*AB1414/100)</f>
        <v/>
      </c>
      <c r="X1414" s="26" t="str">
        <f aca="false">IF($A1414="","",U1414-W1414)</f>
        <v/>
      </c>
      <c r="Y1414" s="26" t="str">
        <f aca="false">IF($A1414="","",U1414-W1414-M1414)</f>
        <v/>
      </c>
      <c r="AB1414" s="27" t="str">
        <f aca="false">IF($A1414="","",IF($AK1414=1,'كشف المطالبة'!$D$5,'كشف المطالبة'!$D$6)*100)</f>
        <v/>
      </c>
      <c r="AK1414" s="28" t="str">
        <f aca="false">IF($A1414="","",IF(OR($Q1414=TRUE(),$Q1414="TRUE"),1,0))</f>
        <v/>
      </c>
      <c r="AL1414" s="28" t="str">
        <f aca="false">IF($N1414="","",IF(MATCH($N1414,$N$2:$N$3001,0)=ROWS($N$2:$N1414),$N1414,""))</f>
        <v/>
      </c>
    </row>
    <row r="1415" customFormat="false" ht="15" hidden="false" customHeight="false" outlineLevel="0" collapsed="false">
      <c r="E1415" s="25"/>
      <c r="M1415" s="26" t="str">
        <f aca="false">IF($A1415="","",$L1415*$U1415/100)</f>
        <v/>
      </c>
      <c r="W1415" s="26" t="str">
        <f aca="false">IF($A1415="","",U1415*AB1415/100)</f>
        <v/>
      </c>
      <c r="X1415" s="26" t="str">
        <f aca="false">IF($A1415="","",U1415-W1415)</f>
        <v/>
      </c>
      <c r="Y1415" s="26" t="str">
        <f aca="false">IF($A1415="","",U1415-W1415-M1415)</f>
        <v/>
      </c>
      <c r="AB1415" s="27" t="str">
        <f aca="false">IF($A1415="","",IF($AK1415=1,'كشف المطالبة'!$D$5,'كشف المطالبة'!$D$6)*100)</f>
        <v/>
      </c>
      <c r="AK1415" s="28" t="str">
        <f aca="false">IF($A1415="","",IF(OR($Q1415=TRUE(),$Q1415="TRUE"),1,0))</f>
        <v/>
      </c>
      <c r="AL1415" s="28" t="str">
        <f aca="false">IF($N1415="","",IF(MATCH($N1415,$N$2:$N$3001,0)=ROWS($N$2:$N1415),$N1415,""))</f>
        <v/>
      </c>
    </row>
    <row r="1416" customFormat="false" ht="15" hidden="false" customHeight="false" outlineLevel="0" collapsed="false">
      <c r="E1416" s="25"/>
      <c r="M1416" s="26" t="str">
        <f aca="false">IF($A1416="","",$L1416*$U1416/100)</f>
        <v/>
      </c>
      <c r="W1416" s="26" t="str">
        <f aca="false">IF($A1416="","",U1416*AB1416/100)</f>
        <v/>
      </c>
      <c r="X1416" s="26" t="str">
        <f aca="false">IF($A1416="","",U1416-W1416)</f>
        <v/>
      </c>
      <c r="Y1416" s="26" t="str">
        <f aca="false">IF($A1416="","",U1416-W1416-M1416)</f>
        <v/>
      </c>
      <c r="AB1416" s="27" t="str">
        <f aca="false">IF($A1416="","",IF($AK1416=1,'كشف المطالبة'!$D$5,'كشف المطالبة'!$D$6)*100)</f>
        <v/>
      </c>
      <c r="AK1416" s="28" t="str">
        <f aca="false">IF($A1416="","",IF(OR($Q1416=TRUE(),$Q1416="TRUE"),1,0))</f>
        <v/>
      </c>
      <c r="AL1416" s="28" t="str">
        <f aca="false">IF($N1416="","",IF(MATCH($N1416,$N$2:$N$3001,0)=ROWS($N$2:$N1416),$N1416,""))</f>
        <v/>
      </c>
    </row>
    <row r="1417" customFormat="false" ht="15" hidden="false" customHeight="false" outlineLevel="0" collapsed="false">
      <c r="E1417" s="25"/>
      <c r="M1417" s="26" t="str">
        <f aca="false">IF($A1417="","",$L1417*$U1417/100)</f>
        <v/>
      </c>
      <c r="W1417" s="26" t="str">
        <f aca="false">IF($A1417="","",U1417*AB1417/100)</f>
        <v/>
      </c>
      <c r="X1417" s="26" t="str">
        <f aca="false">IF($A1417="","",U1417-W1417)</f>
        <v/>
      </c>
      <c r="Y1417" s="26" t="str">
        <f aca="false">IF($A1417="","",U1417-W1417-M1417)</f>
        <v/>
      </c>
      <c r="AB1417" s="27" t="str">
        <f aca="false">IF($A1417="","",IF($AK1417=1,'كشف المطالبة'!$D$5,'كشف المطالبة'!$D$6)*100)</f>
        <v/>
      </c>
      <c r="AK1417" s="28" t="str">
        <f aca="false">IF($A1417="","",IF(OR($Q1417=TRUE(),$Q1417="TRUE"),1,0))</f>
        <v/>
      </c>
      <c r="AL1417" s="28" t="str">
        <f aca="false">IF($N1417="","",IF(MATCH($N1417,$N$2:$N$3001,0)=ROWS($N$2:$N1417),$N1417,""))</f>
        <v/>
      </c>
    </row>
    <row r="1418" customFormat="false" ht="15" hidden="false" customHeight="false" outlineLevel="0" collapsed="false">
      <c r="E1418" s="25"/>
      <c r="M1418" s="26" t="str">
        <f aca="false">IF($A1418="","",$L1418*$U1418/100)</f>
        <v/>
      </c>
      <c r="W1418" s="26" t="str">
        <f aca="false">IF($A1418="","",U1418*AB1418/100)</f>
        <v/>
      </c>
      <c r="X1418" s="26" t="str">
        <f aca="false">IF($A1418="","",U1418-W1418)</f>
        <v/>
      </c>
      <c r="Y1418" s="26" t="str">
        <f aca="false">IF($A1418="","",U1418-W1418-M1418)</f>
        <v/>
      </c>
      <c r="AB1418" s="27" t="str">
        <f aca="false">IF($A1418="","",IF($AK1418=1,'كشف المطالبة'!$D$5,'كشف المطالبة'!$D$6)*100)</f>
        <v/>
      </c>
      <c r="AK1418" s="28" t="str">
        <f aca="false">IF($A1418="","",IF(OR($Q1418=TRUE(),$Q1418="TRUE"),1,0))</f>
        <v/>
      </c>
      <c r="AL1418" s="28" t="str">
        <f aca="false">IF($N1418="","",IF(MATCH($N1418,$N$2:$N$3001,0)=ROWS($N$2:$N1418),$N1418,""))</f>
        <v/>
      </c>
    </row>
    <row r="1419" customFormat="false" ht="15" hidden="false" customHeight="false" outlineLevel="0" collapsed="false">
      <c r="E1419" s="25"/>
      <c r="M1419" s="26" t="str">
        <f aca="false">IF($A1419="","",$L1419*$U1419/100)</f>
        <v/>
      </c>
      <c r="W1419" s="26" t="str">
        <f aca="false">IF($A1419="","",U1419*AB1419/100)</f>
        <v/>
      </c>
      <c r="X1419" s="26" t="str">
        <f aca="false">IF($A1419="","",U1419-W1419)</f>
        <v/>
      </c>
      <c r="Y1419" s="26" t="str">
        <f aca="false">IF($A1419="","",U1419-W1419-M1419)</f>
        <v/>
      </c>
      <c r="AB1419" s="27" t="str">
        <f aca="false">IF($A1419="","",IF($AK1419=1,'كشف المطالبة'!$D$5,'كشف المطالبة'!$D$6)*100)</f>
        <v/>
      </c>
      <c r="AK1419" s="28" t="str">
        <f aca="false">IF($A1419="","",IF(OR($Q1419=TRUE(),$Q1419="TRUE"),1,0))</f>
        <v/>
      </c>
      <c r="AL1419" s="28" t="str">
        <f aca="false">IF($N1419="","",IF(MATCH($N1419,$N$2:$N$3001,0)=ROWS($N$2:$N1419),$N1419,""))</f>
        <v/>
      </c>
    </row>
    <row r="1420" customFormat="false" ht="15" hidden="false" customHeight="false" outlineLevel="0" collapsed="false">
      <c r="E1420" s="25"/>
      <c r="M1420" s="26" t="str">
        <f aca="false">IF($A1420="","",$L1420*$U1420/100)</f>
        <v/>
      </c>
      <c r="W1420" s="26" t="str">
        <f aca="false">IF($A1420="","",U1420*AB1420/100)</f>
        <v/>
      </c>
      <c r="X1420" s="26" t="str">
        <f aca="false">IF($A1420="","",U1420-W1420)</f>
        <v/>
      </c>
      <c r="Y1420" s="26" t="str">
        <f aca="false">IF($A1420="","",U1420-W1420-M1420)</f>
        <v/>
      </c>
      <c r="AB1420" s="27" t="str">
        <f aca="false">IF($A1420="","",IF($AK1420=1,'كشف المطالبة'!$D$5,'كشف المطالبة'!$D$6)*100)</f>
        <v/>
      </c>
      <c r="AK1420" s="28" t="str">
        <f aca="false">IF($A1420="","",IF(OR($Q1420=TRUE(),$Q1420="TRUE"),1,0))</f>
        <v/>
      </c>
      <c r="AL1420" s="28" t="str">
        <f aca="false">IF($N1420="","",IF(MATCH($N1420,$N$2:$N$3001,0)=ROWS($N$2:$N1420),$N1420,""))</f>
        <v/>
      </c>
    </row>
    <row r="1421" customFormat="false" ht="15" hidden="false" customHeight="false" outlineLevel="0" collapsed="false">
      <c r="E1421" s="25"/>
      <c r="M1421" s="26" t="str">
        <f aca="false">IF($A1421="","",$L1421*$U1421/100)</f>
        <v/>
      </c>
      <c r="W1421" s="26" t="str">
        <f aca="false">IF($A1421="","",U1421*AB1421/100)</f>
        <v/>
      </c>
      <c r="X1421" s="26" t="str">
        <f aca="false">IF($A1421="","",U1421-W1421)</f>
        <v/>
      </c>
      <c r="Y1421" s="26" t="str">
        <f aca="false">IF($A1421="","",U1421-W1421-M1421)</f>
        <v/>
      </c>
      <c r="AB1421" s="27" t="str">
        <f aca="false">IF($A1421="","",IF($AK1421=1,'كشف المطالبة'!$D$5,'كشف المطالبة'!$D$6)*100)</f>
        <v/>
      </c>
      <c r="AK1421" s="28" t="str">
        <f aca="false">IF($A1421="","",IF(OR($Q1421=TRUE(),$Q1421="TRUE"),1,0))</f>
        <v/>
      </c>
      <c r="AL1421" s="28" t="str">
        <f aca="false">IF($N1421="","",IF(MATCH($N1421,$N$2:$N$3001,0)=ROWS($N$2:$N1421),$N1421,""))</f>
        <v/>
      </c>
    </row>
    <row r="1422" customFormat="false" ht="15" hidden="false" customHeight="false" outlineLevel="0" collapsed="false">
      <c r="E1422" s="25"/>
      <c r="M1422" s="26" t="str">
        <f aca="false">IF($A1422="","",$L1422*$U1422/100)</f>
        <v/>
      </c>
      <c r="W1422" s="26" t="str">
        <f aca="false">IF($A1422="","",U1422*AB1422/100)</f>
        <v/>
      </c>
      <c r="X1422" s="26" t="str">
        <f aca="false">IF($A1422="","",U1422-W1422)</f>
        <v/>
      </c>
      <c r="Y1422" s="26" t="str">
        <f aca="false">IF($A1422="","",U1422-W1422-M1422)</f>
        <v/>
      </c>
      <c r="AB1422" s="27" t="str">
        <f aca="false">IF($A1422="","",IF($AK1422=1,'كشف المطالبة'!$D$5,'كشف المطالبة'!$D$6)*100)</f>
        <v/>
      </c>
      <c r="AK1422" s="28" t="str">
        <f aca="false">IF($A1422="","",IF(OR($Q1422=TRUE(),$Q1422="TRUE"),1,0))</f>
        <v/>
      </c>
      <c r="AL1422" s="28" t="str">
        <f aca="false">IF($N1422="","",IF(MATCH($N1422,$N$2:$N$3001,0)=ROWS($N$2:$N1422),$N1422,""))</f>
        <v/>
      </c>
    </row>
    <row r="1423" customFormat="false" ht="15" hidden="false" customHeight="false" outlineLevel="0" collapsed="false">
      <c r="E1423" s="25"/>
      <c r="M1423" s="26" t="str">
        <f aca="false">IF($A1423="","",$L1423*$U1423/100)</f>
        <v/>
      </c>
      <c r="W1423" s="26" t="str">
        <f aca="false">IF($A1423="","",U1423*AB1423/100)</f>
        <v/>
      </c>
      <c r="X1423" s="26" t="str">
        <f aca="false">IF($A1423="","",U1423-W1423)</f>
        <v/>
      </c>
      <c r="Y1423" s="26" t="str">
        <f aca="false">IF($A1423="","",U1423-W1423-M1423)</f>
        <v/>
      </c>
      <c r="AB1423" s="27" t="str">
        <f aca="false">IF($A1423="","",IF($AK1423=1,'كشف المطالبة'!$D$5,'كشف المطالبة'!$D$6)*100)</f>
        <v/>
      </c>
      <c r="AK1423" s="28" t="str">
        <f aca="false">IF($A1423="","",IF(OR($Q1423=TRUE(),$Q1423="TRUE"),1,0))</f>
        <v/>
      </c>
      <c r="AL1423" s="28" t="str">
        <f aca="false">IF($N1423="","",IF(MATCH($N1423,$N$2:$N$3001,0)=ROWS($N$2:$N1423),$N1423,""))</f>
        <v/>
      </c>
    </row>
    <row r="1424" customFormat="false" ht="15" hidden="false" customHeight="false" outlineLevel="0" collapsed="false">
      <c r="E1424" s="25"/>
      <c r="M1424" s="26" t="str">
        <f aca="false">IF($A1424="","",$L1424*$U1424/100)</f>
        <v/>
      </c>
      <c r="W1424" s="26" t="str">
        <f aca="false">IF($A1424="","",U1424*AB1424/100)</f>
        <v/>
      </c>
      <c r="X1424" s="26" t="str">
        <f aca="false">IF($A1424="","",U1424-W1424)</f>
        <v/>
      </c>
      <c r="Y1424" s="26" t="str">
        <f aca="false">IF($A1424="","",U1424-W1424-M1424)</f>
        <v/>
      </c>
      <c r="AB1424" s="27" t="str">
        <f aca="false">IF($A1424="","",IF($AK1424=1,'كشف المطالبة'!$D$5,'كشف المطالبة'!$D$6)*100)</f>
        <v/>
      </c>
      <c r="AK1424" s="28" t="str">
        <f aca="false">IF($A1424="","",IF(OR($Q1424=TRUE(),$Q1424="TRUE"),1,0))</f>
        <v/>
      </c>
      <c r="AL1424" s="28" t="str">
        <f aca="false">IF($N1424="","",IF(MATCH($N1424,$N$2:$N$3001,0)=ROWS($N$2:$N1424),$N1424,""))</f>
        <v/>
      </c>
    </row>
    <row r="1425" customFormat="false" ht="15" hidden="false" customHeight="false" outlineLevel="0" collapsed="false">
      <c r="E1425" s="25"/>
      <c r="M1425" s="26" t="str">
        <f aca="false">IF($A1425="","",$L1425*$U1425/100)</f>
        <v/>
      </c>
      <c r="W1425" s="26" t="str">
        <f aca="false">IF($A1425="","",U1425*AB1425/100)</f>
        <v/>
      </c>
      <c r="X1425" s="26" t="str">
        <f aca="false">IF($A1425="","",U1425-W1425)</f>
        <v/>
      </c>
      <c r="Y1425" s="26" t="str">
        <f aca="false">IF($A1425="","",U1425-W1425-M1425)</f>
        <v/>
      </c>
      <c r="AB1425" s="27" t="str">
        <f aca="false">IF($A1425="","",IF($AK1425=1,'كشف المطالبة'!$D$5,'كشف المطالبة'!$D$6)*100)</f>
        <v/>
      </c>
      <c r="AK1425" s="28" t="str">
        <f aca="false">IF($A1425="","",IF(OR($Q1425=TRUE(),$Q1425="TRUE"),1,0))</f>
        <v/>
      </c>
      <c r="AL1425" s="28" t="str">
        <f aca="false">IF($N1425="","",IF(MATCH($N1425,$N$2:$N$3001,0)=ROWS($N$2:$N1425),$N1425,""))</f>
        <v/>
      </c>
    </row>
    <row r="1426" customFormat="false" ht="15" hidden="false" customHeight="false" outlineLevel="0" collapsed="false">
      <c r="E1426" s="25"/>
      <c r="M1426" s="26" t="str">
        <f aca="false">IF($A1426="","",$L1426*$U1426/100)</f>
        <v/>
      </c>
      <c r="W1426" s="26" t="str">
        <f aca="false">IF($A1426="","",U1426*AB1426/100)</f>
        <v/>
      </c>
      <c r="X1426" s="26" t="str">
        <f aca="false">IF($A1426="","",U1426-W1426)</f>
        <v/>
      </c>
      <c r="Y1426" s="26" t="str">
        <f aca="false">IF($A1426="","",U1426-W1426-M1426)</f>
        <v/>
      </c>
      <c r="AB1426" s="27" t="str">
        <f aca="false">IF($A1426="","",IF($AK1426=1,'كشف المطالبة'!$D$5,'كشف المطالبة'!$D$6)*100)</f>
        <v/>
      </c>
      <c r="AK1426" s="28" t="str">
        <f aca="false">IF($A1426="","",IF(OR($Q1426=TRUE(),$Q1426="TRUE"),1,0))</f>
        <v/>
      </c>
      <c r="AL1426" s="28" t="str">
        <f aca="false">IF($N1426="","",IF(MATCH($N1426,$N$2:$N$3001,0)=ROWS($N$2:$N1426),$N1426,""))</f>
        <v/>
      </c>
    </row>
    <row r="1427" customFormat="false" ht="15" hidden="false" customHeight="false" outlineLevel="0" collapsed="false">
      <c r="E1427" s="25"/>
      <c r="M1427" s="26" t="str">
        <f aca="false">IF($A1427="","",$L1427*$U1427/100)</f>
        <v/>
      </c>
      <c r="W1427" s="26" t="str">
        <f aca="false">IF($A1427="","",U1427*AB1427/100)</f>
        <v/>
      </c>
      <c r="X1427" s="26" t="str">
        <f aca="false">IF($A1427="","",U1427-W1427)</f>
        <v/>
      </c>
      <c r="Y1427" s="26" t="str">
        <f aca="false">IF($A1427="","",U1427-W1427-M1427)</f>
        <v/>
      </c>
      <c r="AB1427" s="27" t="str">
        <f aca="false">IF($A1427="","",IF($AK1427=1,'كشف المطالبة'!$D$5,'كشف المطالبة'!$D$6)*100)</f>
        <v/>
      </c>
      <c r="AK1427" s="28" t="str">
        <f aca="false">IF($A1427="","",IF(OR($Q1427=TRUE(),$Q1427="TRUE"),1,0))</f>
        <v/>
      </c>
      <c r="AL1427" s="28" t="str">
        <f aca="false">IF($N1427="","",IF(MATCH($N1427,$N$2:$N$3001,0)=ROWS($N$2:$N1427),$N1427,""))</f>
        <v/>
      </c>
    </row>
    <row r="1428" customFormat="false" ht="15" hidden="false" customHeight="false" outlineLevel="0" collapsed="false">
      <c r="E1428" s="25"/>
      <c r="M1428" s="26" t="str">
        <f aca="false">IF($A1428="","",$L1428*$U1428/100)</f>
        <v/>
      </c>
      <c r="W1428" s="26" t="str">
        <f aca="false">IF($A1428="","",U1428*AB1428/100)</f>
        <v/>
      </c>
      <c r="X1428" s="26" t="str">
        <f aca="false">IF($A1428="","",U1428-W1428)</f>
        <v/>
      </c>
      <c r="Y1428" s="26" t="str">
        <f aca="false">IF($A1428="","",U1428-W1428-M1428)</f>
        <v/>
      </c>
      <c r="AB1428" s="27" t="str">
        <f aca="false">IF($A1428="","",IF($AK1428=1,'كشف المطالبة'!$D$5,'كشف المطالبة'!$D$6)*100)</f>
        <v/>
      </c>
      <c r="AK1428" s="28" t="str">
        <f aca="false">IF($A1428="","",IF(OR($Q1428=TRUE(),$Q1428="TRUE"),1,0))</f>
        <v/>
      </c>
      <c r="AL1428" s="28" t="str">
        <f aca="false">IF($N1428="","",IF(MATCH($N1428,$N$2:$N$3001,0)=ROWS($N$2:$N1428),$N1428,""))</f>
        <v/>
      </c>
    </row>
    <row r="1429" customFormat="false" ht="15" hidden="false" customHeight="false" outlineLevel="0" collapsed="false">
      <c r="E1429" s="25"/>
      <c r="M1429" s="26" t="str">
        <f aca="false">IF($A1429="","",$L1429*$U1429/100)</f>
        <v/>
      </c>
      <c r="W1429" s="26" t="str">
        <f aca="false">IF($A1429="","",U1429*AB1429/100)</f>
        <v/>
      </c>
      <c r="X1429" s="26" t="str">
        <f aca="false">IF($A1429="","",U1429-W1429)</f>
        <v/>
      </c>
      <c r="Y1429" s="26" t="str">
        <f aca="false">IF($A1429="","",U1429-W1429-M1429)</f>
        <v/>
      </c>
      <c r="AB1429" s="27" t="str">
        <f aca="false">IF($A1429="","",IF($AK1429=1,'كشف المطالبة'!$D$5,'كشف المطالبة'!$D$6)*100)</f>
        <v/>
      </c>
      <c r="AK1429" s="28" t="str">
        <f aca="false">IF($A1429="","",IF(OR($Q1429=TRUE(),$Q1429="TRUE"),1,0))</f>
        <v/>
      </c>
      <c r="AL1429" s="28" t="str">
        <f aca="false">IF($N1429="","",IF(MATCH($N1429,$N$2:$N$3001,0)=ROWS($N$2:$N1429),$N1429,""))</f>
        <v/>
      </c>
    </row>
    <row r="1430" customFormat="false" ht="15" hidden="false" customHeight="false" outlineLevel="0" collapsed="false">
      <c r="E1430" s="25"/>
      <c r="M1430" s="26" t="str">
        <f aca="false">IF($A1430="","",$L1430*$U1430/100)</f>
        <v/>
      </c>
      <c r="W1430" s="26" t="str">
        <f aca="false">IF($A1430="","",U1430*AB1430/100)</f>
        <v/>
      </c>
      <c r="X1430" s="26" t="str">
        <f aca="false">IF($A1430="","",U1430-W1430)</f>
        <v/>
      </c>
      <c r="Y1430" s="26" t="str">
        <f aca="false">IF($A1430="","",U1430-W1430-M1430)</f>
        <v/>
      </c>
      <c r="AB1430" s="27" t="str">
        <f aca="false">IF($A1430="","",IF($AK1430=1,'كشف المطالبة'!$D$5,'كشف المطالبة'!$D$6)*100)</f>
        <v/>
      </c>
      <c r="AK1430" s="28" t="str">
        <f aca="false">IF($A1430="","",IF(OR($Q1430=TRUE(),$Q1430="TRUE"),1,0))</f>
        <v/>
      </c>
      <c r="AL1430" s="28" t="str">
        <f aca="false">IF($N1430="","",IF(MATCH($N1430,$N$2:$N$3001,0)=ROWS($N$2:$N1430),$N1430,""))</f>
        <v/>
      </c>
    </row>
    <row r="1431" customFormat="false" ht="15" hidden="false" customHeight="false" outlineLevel="0" collapsed="false">
      <c r="E1431" s="25"/>
      <c r="M1431" s="26" t="str">
        <f aca="false">IF($A1431="","",$L1431*$U1431/100)</f>
        <v/>
      </c>
      <c r="W1431" s="26" t="str">
        <f aca="false">IF($A1431="","",U1431*AB1431/100)</f>
        <v/>
      </c>
      <c r="X1431" s="26" t="str">
        <f aca="false">IF($A1431="","",U1431-W1431)</f>
        <v/>
      </c>
      <c r="Y1431" s="26" t="str">
        <f aca="false">IF($A1431="","",U1431-W1431-M1431)</f>
        <v/>
      </c>
      <c r="AB1431" s="27" t="str">
        <f aca="false">IF($A1431="","",IF($AK1431=1,'كشف المطالبة'!$D$5,'كشف المطالبة'!$D$6)*100)</f>
        <v/>
      </c>
      <c r="AK1431" s="28" t="str">
        <f aca="false">IF($A1431="","",IF(OR($Q1431=TRUE(),$Q1431="TRUE"),1,0))</f>
        <v/>
      </c>
      <c r="AL1431" s="28" t="str">
        <f aca="false">IF($N1431="","",IF(MATCH($N1431,$N$2:$N$3001,0)=ROWS($N$2:$N1431),$N1431,""))</f>
        <v/>
      </c>
    </row>
    <row r="1432" customFormat="false" ht="15" hidden="false" customHeight="false" outlineLevel="0" collapsed="false">
      <c r="E1432" s="25"/>
      <c r="M1432" s="26" t="str">
        <f aca="false">IF($A1432="","",$L1432*$U1432/100)</f>
        <v/>
      </c>
      <c r="W1432" s="26" t="str">
        <f aca="false">IF($A1432="","",U1432*AB1432/100)</f>
        <v/>
      </c>
      <c r="X1432" s="26" t="str">
        <f aca="false">IF($A1432="","",U1432-W1432)</f>
        <v/>
      </c>
      <c r="Y1432" s="26" t="str">
        <f aca="false">IF($A1432="","",U1432-W1432-M1432)</f>
        <v/>
      </c>
      <c r="AB1432" s="27" t="str">
        <f aca="false">IF($A1432="","",IF($AK1432=1,'كشف المطالبة'!$D$5,'كشف المطالبة'!$D$6)*100)</f>
        <v/>
      </c>
      <c r="AK1432" s="28" t="str">
        <f aca="false">IF($A1432="","",IF(OR($Q1432=TRUE(),$Q1432="TRUE"),1,0))</f>
        <v/>
      </c>
      <c r="AL1432" s="28" t="str">
        <f aca="false">IF($N1432="","",IF(MATCH($N1432,$N$2:$N$3001,0)=ROWS($N$2:$N1432),$N1432,""))</f>
        <v/>
      </c>
    </row>
    <row r="1433" customFormat="false" ht="15" hidden="false" customHeight="false" outlineLevel="0" collapsed="false">
      <c r="E1433" s="25"/>
      <c r="M1433" s="26" t="str">
        <f aca="false">IF($A1433="","",$L1433*$U1433/100)</f>
        <v/>
      </c>
      <c r="W1433" s="26" t="str">
        <f aca="false">IF($A1433="","",U1433*AB1433/100)</f>
        <v/>
      </c>
      <c r="X1433" s="26" t="str">
        <f aca="false">IF($A1433="","",U1433-W1433)</f>
        <v/>
      </c>
      <c r="Y1433" s="26" t="str">
        <f aca="false">IF($A1433="","",U1433-W1433-M1433)</f>
        <v/>
      </c>
      <c r="AB1433" s="27" t="str">
        <f aca="false">IF($A1433="","",IF($AK1433=1,'كشف المطالبة'!$D$5,'كشف المطالبة'!$D$6)*100)</f>
        <v/>
      </c>
      <c r="AK1433" s="28" t="str">
        <f aca="false">IF($A1433="","",IF(OR($Q1433=TRUE(),$Q1433="TRUE"),1,0))</f>
        <v/>
      </c>
      <c r="AL1433" s="28" t="str">
        <f aca="false">IF($N1433="","",IF(MATCH($N1433,$N$2:$N$3001,0)=ROWS($N$2:$N1433),$N1433,""))</f>
        <v/>
      </c>
    </row>
    <row r="1434" customFormat="false" ht="15" hidden="false" customHeight="false" outlineLevel="0" collapsed="false">
      <c r="E1434" s="25"/>
      <c r="M1434" s="26" t="str">
        <f aca="false">IF($A1434="","",$L1434*$U1434/100)</f>
        <v/>
      </c>
      <c r="W1434" s="26" t="str">
        <f aca="false">IF($A1434="","",U1434*AB1434/100)</f>
        <v/>
      </c>
      <c r="X1434" s="26" t="str">
        <f aca="false">IF($A1434="","",U1434-W1434)</f>
        <v/>
      </c>
      <c r="Y1434" s="26" t="str">
        <f aca="false">IF($A1434="","",U1434-W1434-M1434)</f>
        <v/>
      </c>
      <c r="AB1434" s="27" t="str">
        <f aca="false">IF($A1434="","",IF($AK1434=1,'كشف المطالبة'!$D$5,'كشف المطالبة'!$D$6)*100)</f>
        <v/>
      </c>
      <c r="AK1434" s="28" t="str">
        <f aca="false">IF($A1434="","",IF(OR($Q1434=TRUE(),$Q1434="TRUE"),1,0))</f>
        <v/>
      </c>
      <c r="AL1434" s="28" t="str">
        <f aca="false">IF($N1434="","",IF(MATCH($N1434,$N$2:$N$3001,0)=ROWS($N$2:$N1434),$N1434,""))</f>
        <v/>
      </c>
    </row>
    <row r="1435" customFormat="false" ht="15" hidden="false" customHeight="false" outlineLevel="0" collapsed="false">
      <c r="E1435" s="25"/>
      <c r="M1435" s="26" t="str">
        <f aca="false">IF($A1435="","",$L1435*$U1435/100)</f>
        <v/>
      </c>
      <c r="W1435" s="26" t="str">
        <f aca="false">IF($A1435="","",U1435*AB1435/100)</f>
        <v/>
      </c>
      <c r="X1435" s="26" t="str">
        <f aca="false">IF($A1435="","",U1435-W1435)</f>
        <v/>
      </c>
      <c r="Y1435" s="26" t="str">
        <f aca="false">IF($A1435="","",U1435-W1435-M1435)</f>
        <v/>
      </c>
      <c r="AB1435" s="27" t="str">
        <f aca="false">IF($A1435="","",IF($AK1435=1,'كشف المطالبة'!$D$5,'كشف المطالبة'!$D$6)*100)</f>
        <v/>
      </c>
      <c r="AK1435" s="28" t="str">
        <f aca="false">IF($A1435="","",IF(OR($Q1435=TRUE(),$Q1435="TRUE"),1,0))</f>
        <v/>
      </c>
      <c r="AL1435" s="28" t="str">
        <f aca="false">IF($N1435="","",IF(MATCH($N1435,$N$2:$N$3001,0)=ROWS($N$2:$N1435),$N1435,""))</f>
        <v/>
      </c>
    </row>
    <row r="1436" customFormat="false" ht="15" hidden="false" customHeight="false" outlineLevel="0" collapsed="false">
      <c r="E1436" s="25"/>
      <c r="M1436" s="26" t="str">
        <f aca="false">IF($A1436="","",$L1436*$U1436/100)</f>
        <v/>
      </c>
      <c r="W1436" s="26" t="str">
        <f aca="false">IF($A1436="","",U1436*AB1436/100)</f>
        <v/>
      </c>
      <c r="X1436" s="26" t="str">
        <f aca="false">IF($A1436="","",U1436-W1436)</f>
        <v/>
      </c>
      <c r="Y1436" s="26" t="str">
        <f aca="false">IF($A1436="","",U1436-W1436-M1436)</f>
        <v/>
      </c>
      <c r="AB1436" s="27" t="str">
        <f aca="false">IF($A1436="","",IF($AK1436=1,'كشف المطالبة'!$D$5,'كشف المطالبة'!$D$6)*100)</f>
        <v/>
      </c>
      <c r="AK1436" s="28" t="str">
        <f aca="false">IF($A1436="","",IF(OR($Q1436=TRUE(),$Q1436="TRUE"),1,0))</f>
        <v/>
      </c>
      <c r="AL1436" s="28" t="str">
        <f aca="false">IF($N1436="","",IF(MATCH($N1436,$N$2:$N$3001,0)=ROWS($N$2:$N1436),$N1436,""))</f>
        <v/>
      </c>
    </row>
    <row r="1437" customFormat="false" ht="15" hidden="false" customHeight="false" outlineLevel="0" collapsed="false">
      <c r="E1437" s="25"/>
      <c r="M1437" s="26" t="str">
        <f aca="false">IF($A1437="","",$L1437*$U1437/100)</f>
        <v/>
      </c>
      <c r="W1437" s="26" t="str">
        <f aca="false">IF($A1437="","",U1437*AB1437/100)</f>
        <v/>
      </c>
      <c r="X1437" s="26" t="str">
        <f aca="false">IF($A1437="","",U1437-W1437)</f>
        <v/>
      </c>
      <c r="Y1437" s="26" t="str">
        <f aca="false">IF($A1437="","",U1437-W1437-M1437)</f>
        <v/>
      </c>
      <c r="AB1437" s="27" t="str">
        <f aca="false">IF($A1437="","",IF($AK1437=1,'كشف المطالبة'!$D$5,'كشف المطالبة'!$D$6)*100)</f>
        <v/>
      </c>
      <c r="AK1437" s="28" t="str">
        <f aca="false">IF($A1437="","",IF(OR($Q1437=TRUE(),$Q1437="TRUE"),1,0))</f>
        <v/>
      </c>
      <c r="AL1437" s="28" t="str">
        <f aca="false">IF($N1437="","",IF(MATCH($N1437,$N$2:$N$3001,0)=ROWS($N$2:$N1437),$N1437,""))</f>
        <v/>
      </c>
    </row>
    <row r="1438" customFormat="false" ht="15" hidden="false" customHeight="false" outlineLevel="0" collapsed="false">
      <c r="E1438" s="25"/>
      <c r="M1438" s="26" t="str">
        <f aca="false">IF($A1438="","",$L1438*$U1438/100)</f>
        <v/>
      </c>
      <c r="W1438" s="26" t="str">
        <f aca="false">IF($A1438="","",U1438*AB1438/100)</f>
        <v/>
      </c>
      <c r="X1438" s="26" t="str">
        <f aca="false">IF($A1438="","",U1438-W1438)</f>
        <v/>
      </c>
      <c r="Y1438" s="26" t="str">
        <f aca="false">IF($A1438="","",U1438-W1438-M1438)</f>
        <v/>
      </c>
      <c r="AB1438" s="27" t="str">
        <f aca="false">IF($A1438="","",IF($AK1438=1,'كشف المطالبة'!$D$5,'كشف المطالبة'!$D$6)*100)</f>
        <v/>
      </c>
      <c r="AK1438" s="28" t="str">
        <f aca="false">IF($A1438="","",IF(OR($Q1438=TRUE(),$Q1438="TRUE"),1,0))</f>
        <v/>
      </c>
      <c r="AL1438" s="28" t="str">
        <f aca="false">IF($N1438="","",IF(MATCH($N1438,$N$2:$N$3001,0)=ROWS($N$2:$N1438),$N1438,""))</f>
        <v/>
      </c>
    </row>
    <row r="1439" customFormat="false" ht="15" hidden="false" customHeight="false" outlineLevel="0" collapsed="false">
      <c r="E1439" s="25"/>
      <c r="M1439" s="26" t="str">
        <f aca="false">IF($A1439="","",$L1439*$U1439/100)</f>
        <v/>
      </c>
      <c r="W1439" s="26" t="str">
        <f aca="false">IF($A1439="","",U1439*AB1439/100)</f>
        <v/>
      </c>
      <c r="X1439" s="26" t="str">
        <f aca="false">IF($A1439="","",U1439-W1439)</f>
        <v/>
      </c>
      <c r="Y1439" s="26" t="str">
        <f aca="false">IF($A1439="","",U1439-W1439-M1439)</f>
        <v/>
      </c>
      <c r="AB1439" s="27" t="str">
        <f aca="false">IF($A1439="","",IF($AK1439=1,'كشف المطالبة'!$D$5,'كشف المطالبة'!$D$6)*100)</f>
        <v/>
      </c>
      <c r="AK1439" s="28" t="str">
        <f aca="false">IF($A1439="","",IF(OR($Q1439=TRUE(),$Q1439="TRUE"),1,0))</f>
        <v/>
      </c>
      <c r="AL1439" s="28" t="str">
        <f aca="false">IF($N1439="","",IF(MATCH($N1439,$N$2:$N$3001,0)=ROWS($N$2:$N1439),$N1439,""))</f>
        <v/>
      </c>
    </row>
    <row r="1440" customFormat="false" ht="15" hidden="false" customHeight="false" outlineLevel="0" collapsed="false">
      <c r="E1440" s="25"/>
      <c r="M1440" s="26" t="str">
        <f aca="false">IF($A1440="","",$L1440*$U1440/100)</f>
        <v/>
      </c>
      <c r="W1440" s="26" t="str">
        <f aca="false">IF($A1440="","",U1440*AB1440/100)</f>
        <v/>
      </c>
      <c r="X1440" s="26" t="str">
        <f aca="false">IF($A1440="","",U1440-W1440)</f>
        <v/>
      </c>
      <c r="Y1440" s="26" t="str">
        <f aca="false">IF($A1440="","",U1440-W1440-M1440)</f>
        <v/>
      </c>
      <c r="AB1440" s="27" t="str">
        <f aca="false">IF($A1440="","",IF($AK1440=1,'كشف المطالبة'!$D$5,'كشف المطالبة'!$D$6)*100)</f>
        <v/>
      </c>
      <c r="AK1440" s="28" t="str">
        <f aca="false">IF($A1440="","",IF(OR($Q1440=TRUE(),$Q1440="TRUE"),1,0))</f>
        <v/>
      </c>
      <c r="AL1440" s="28" t="str">
        <f aca="false">IF($N1440="","",IF(MATCH($N1440,$N$2:$N$3001,0)=ROWS($N$2:$N1440),$N1440,""))</f>
        <v/>
      </c>
    </row>
    <row r="1441" customFormat="false" ht="15" hidden="false" customHeight="false" outlineLevel="0" collapsed="false">
      <c r="E1441" s="25"/>
      <c r="M1441" s="26" t="str">
        <f aca="false">IF($A1441="","",$L1441*$U1441/100)</f>
        <v/>
      </c>
      <c r="W1441" s="26" t="str">
        <f aca="false">IF($A1441="","",U1441*AB1441/100)</f>
        <v/>
      </c>
      <c r="X1441" s="26" t="str">
        <f aca="false">IF($A1441="","",U1441-W1441)</f>
        <v/>
      </c>
      <c r="Y1441" s="26" t="str">
        <f aca="false">IF($A1441="","",U1441-W1441-M1441)</f>
        <v/>
      </c>
      <c r="AB1441" s="27" t="str">
        <f aca="false">IF($A1441="","",IF($AK1441=1,'كشف المطالبة'!$D$5,'كشف المطالبة'!$D$6)*100)</f>
        <v/>
      </c>
      <c r="AK1441" s="28" t="str">
        <f aca="false">IF($A1441="","",IF(OR($Q1441=TRUE(),$Q1441="TRUE"),1,0))</f>
        <v/>
      </c>
      <c r="AL1441" s="28" t="str">
        <f aca="false">IF($N1441="","",IF(MATCH($N1441,$N$2:$N$3001,0)=ROWS($N$2:$N1441),$N1441,""))</f>
        <v/>
      </c>
    </row>
    <row r="1442" customFormat="false" ht="15" hidden="false" customHeight="false" outlineLevel="0" collapsed="false">
      <c r="E1442" s="25"/>
      <c r="M1442" s="26" t="str">
        <f aca="false">IF($A1442="","",$L1442*$U1442/100)</f>
        <v/>
      </c>
      <c r="W1442" s="26" t="str">
        <f aca="false">IF($A1442="","",U1442*AB1442/100)</f>
        <v/>
      </c>
      <c r="X1442" s="26" t="str">
        <f aca="false">IF($A1442="","",U1442-W1442)</f>
        <v/>
      </c>
      <c r="Y1442" s="26" t="str">
        <f aca="false">IF($A1442="","",U1442-W1442-M1442)</f>
        <v/>
      </c>
      <c r="AB1442" s="27" t="str">
        <f aca="false">IF($A1442="","",IF($AK1442=1,'كشف المطالبة'!$D$5,'كشف المطالبة'!$D$6)*100)</f>
        <v/>
      </c>
      <c r="AK1442" s="28" t="str">
        <f aca="false">IF($A1442="","",IF(OR($Q1442=TRUE(),$Q1442="TRUE"),1,0))</f>
        <v/>
      </c>
      <c r="AL1442" s="28" t="str">
        <f aca="false">IF($N1442="","",IF(MATCH($N1442,$N$2:$N$3001,0)=ROWS($N$2:$N1442),$N1442,""))</f>
        <v/>
      </c>
    </row>
    <row r="1443" customFormat="false" ht="15" hidden="false" customHeight="false" outlineLevel="0" collapsed="false">
      <c r="E1443" s="25"/>
      <c r="M1443" s="26" t="str">
        <f aca="false">IF($A1443="","",$L1443*$U1443/100)</f>
        <v/>
      </c>
      <c r="W1443" s="26" t="str">
        <f aca="false">IF($A1443="","",U1443*AB1443/100)</f>
        <v/>
      </c>
      <c r="X1443" s="26" t="str">
        <f aca="false">IF($A1443="","",U1443-W1443)</f>
        <v/>
      </c>
      <c r="Y1443" s="26" t="str">
        <f aca="false">IF($A1443="","",U1443-W1443-M1443)</f>
        <v/>
      </c>
      <c r="AB1443" s="27" t="str">
        <f aca="false">IF($A1443="","",IF($AK1443=1,'كشف المطالبة'!$D$5,'كشف المطالبة'!$D$6)*100)</f>
        <v/>
      </c>
      <c r="AK1443" s="28" t="str">
        <f aca="false">IF($A1443="","",IF(OR($Q1443=TRUE(),$Q1443="TRUE"),1,0))</f>
        <v/>
      </c>
      <c r="AL1443" s="28" t="str">
        <f aca="false">IF($N1443="","",IF(MATCH($N1443,$N$2:$N$3001,0)=ROWS($N$2:$N1443),$N1443,""))</f>
        <v/>
      </c>
    </row>
    <row r="1444" customFormat="false" ht="15" hidden="false" customHeight="false" outlineLevel="0" collapsed="false">
      <c r="E1444" s="25"/>
      <c r="M1444" s="26" t="str">
        <f aca="false">IF($A1444="","",$L1444*$U1444/100)</f>
        <v/>
      </c>
      <c r="W1444" s="26" t="str">
        <f aca="false">IF($A1444="","",U1444*AB1444/100)</f>
        <v/>
      </c>
      <c r="X1444" s="26" t="str">
        <f aca="false">IF($A1444="","",U1444-W1444)</f>
        <v/>
      </c>
      <c r="Y1444" s="26" t="str">
        <f aca="false">IF($A1444="","",U1444-W1444-M1444)</f>
        <v/>
      </c>
      <c r="AB1444" s="27" t="str">
        <f aca="false">IF($A1444="","",IF($AK1444=1,'كشف المطالبة'!$D$5,'كشف المطالبة'!$D$6)*100)</f>
        <v/>
      </c>
      <c r="AK1444" s="28" t="str">
        <f aca="false">IF($A1444="","",IF(OR($Q1444=TRUE(),$Q1444="TRUE"),1,0))</f>
        <v/>
      </c>
      <c r="AL1444" s="28" t="str">
        <f aca="false">IF($N1444="","",IF(MATCH($N1444,$N$2:$N$3001,0)=ROWS($N$2:$N1444),$N1444,""))</f>
        <v/>
      </c>
    </row>
    <row r="1445" customFormat="false" ht="15" hidden="false" customHeight="false" outlineLevel="0" collapsed="false">
      <c r="E1445" s="25"/>
      <c r="M1445" s="26" t="str">
        <f aca="false">IF($A1445="","",$L1445*$U1445/100)</f>
        <v/>
      </c>
      <c r="W1445" s="26" t="str">
        <f aca="false">IF($A1445="","",U1445*AB1445/100)</f>
        <v/>
      </c>
      <c r="X1445" s="26" t="str">
        <f aca="false">IF($A1445="","",U1445-W1445)</f>
        <v/>
      </c>
      <c r="Y1445" s="26" t="str">
        <f aca="false">IF($A1445="","",U1445-W1445-M1445)</f>
        <v/>
      </c>
      <c r="AB1445" s="27" t="str">
        <f aca="false">IF($A1445="","",IF($AK1445=1,'كشف المطالبة'!$D$5,'كشف المطالبة'!$D$6)*100)</f>
        <v/>
      </c>
      <c r="AK1445" s="28" t="str">
        <f aca="false">IF($A1445="","",IF(OR($Q1445=TRUE(),$Q1445="TRUE"),1,0))</f>
        <v/>
      </c>
      <c r="AL1445" s="28" t="str">
        <f aca="false">IF($N1445="","",IF(MATCH($N1445,$N$2:$N$3001,0)=ROWS($N$2:$N1445),$N1445,""))</f>
        <v/>
      </c>
    </row>
    <row r="1446" customFormat="false" ht="15" hidden="false" customHeight="false" outlineLevel="0" collapsed="false">
      <c r="E1446" s="25"/>
      <c r="M1446" s="26" t="str">
        <f aca="false">IF($A1446="","",$L1446*$U1446/100)</f>
        <v/>
      </c>
      <c r="W1446" s="26" t="str">
        <f aca="false">IF($A1446="","",U1446*AB1446/100)</f>
        <v/>
      </c>
      <c r="X1446" s="26" t="str">
        <f aca="false">IF($A1446="","",U1446-W1446)</f>
        <v/>
      </c>
      <c r="Y1446" s="26" t="str">
        <f aca="false">IF($A1446="","",U1446-W1446-M1446)</f>
        <v/>
      </c>
      <c r="AB1446" s="27" t="str">
        <f aca="false">IF($A1446="","",IF($AK1446=1,'كشف المطالبة'!$D$5,'كشف المطالبة'!$D$6)*100)</f>
        <v/>
      </c>
      <c r="AK1446" s="28" t="str">
        <f aca="false">IF($A1446="","",IF(OR($Q1446=TRUE(),$Q1446="TRUE"),1,0))</f>
        <v/>
      </c>
      <c r="AL1446" s="28" t="str">
        <f aca="false">IF($N1446="","",IF(MATCH($N1446,$N$2:$N$3001,0)=ROWS($N$2:$N1446),$N1446,""))</f>
        <v/>
      </c>
    </row>
    <row r="1447" customFormat="false" ht="15" hidden="false" customHeight="false" outlineLevel="0" collapsed="false">
      <c r="E1447" s="25"/>
      <c r="M1447" s="26" t="str">
        <f aca="false">IF($A1447="","",$L1447*$U1447/100)</f>
        <v/>
      </c>
      <c r="W1447" s="26" t="str">
        <f aca="false">IF($A1447="","",U1447*AB1447/100)</f>
        <v/>
      </c>
      <c r="X1447" s="26" t="str">
        <f aca="false">IF($A1447="","",U1447-W1447)</f>
        <v/>
      </c>
      <c r="Y1447" s="26" t="str">
        <f aca="false">IF($A1447="","",U1447-W1447-M1447)</f>
        <v/>
      </c>
      <c r="AB1447" s="27" t="str">
        <f aca="false">IF($A1447="","",IF($AK1447=1,'كشف المطالبة'!$D$5,'كشف المطالبة'!$D$6)*100)</f>
        <v/>
      </c>
      <c r="AK1447" s="28" t="str">
        <f aca="false">IF($A1447="","",IF(OR($Q1447=TRUE(),$Q1447="TRUE"),1,0))</f>
        <v/>
      </c>
      <c r="AL1447" s="28" t="str">
        <f aca="false">IF($N1447="","",IF(MATCH($N1447,$N$2:$N$3001,0)=ROWS($N$2:$N1447),$N1447,""))</f>
        <v/>
      </c>
    </row>
    <row r="1448" customFormat="false" ht="15" hidden="false" customHeight="false" outlineLevel="0" collapsed="false">
      <c r="E1448" s="25"/>
      <c r="M1448" s="26" t="str">
        <f aca="false">IF($A1448="","",$L1448*$U1448/100)</f>
        <v/>
      </c>
      <c r="W1448" s="26" t="str">
        <f aca="false">IF($A1448="","",U1448*AB1448/100)</f>
        <v/>
      </c>
      <c r="X1448" s="26" t="str">
        <f aca="false">IF($A1448="","",U1448-W1448)</f>
        <v/>
      </c>
      <c r="Y1448" s="26" t="str">
        <f aca="false">IF($A1448="","",U1448-W1448-M1448)</f>
        <v/>
      </c>
      <c r="AB1448" s="27" t="str">
        <f aca="false">IF($A1448="","",IF($AK1448=1,'كشف المطالبة'!$D$5,'كشف المطالبة'!$D$6)*100)</f>
        <v/>
      </c>
      <c r="AK1448" s="28" t="str">
        <f aca="false">IF($A1448="","",IF(OR($Q1448=TRUE(),$Q1448="TRUE"),1,0))</f>
        <v/>
      </c>
      <c r="AL1448" s="28" t="str">
        <f aca="false">IF($N1448="","",IF(MATCH($N1448,$N$2:$N$3001,0)=ROWS($N$2:$N1448),$N1448,""))</f>
        <v/>
      </c>
    </row>
    <row r="1449" customFormat="false" ht="15" hidden="false" customHeight="false" outlineLevel="0" collapsed="false">
      <c r="E1449" s="25"/>
      <c r="M1449" s="26" t="str">
        <f aca="false">IF($A1449="","",$L1449*$U1449/100)</f>
        <v/>
      </c>
      <c r="W1449" s="26" t="str">
        <f aca="false">IF($A1449="","",U1449*AB1449/100)</f>
        <v/>
      </c>
      <c r="X1449" s="26" t="str">
        <f aca="false">IF($A1449="","",U1449-W1449)</f>
        <v/>
      </c>
      <c r="Y1449" s="26" t="str">
        <f aca="false">IF($A1449="","",U1449-W1449-M1449)</f>
        <v/>
      </c>
      <c r="AB1449" s="27" t="str">
        <f aca="false">IF($A1449="","",IF($AK1449=1,'كشف المطالبة'!$D$5,'كشف المطالبة'!$D$6)*100)</f>
        <v/>
      </c>
      <c r="AK1449" s="28" t="str">
        <f aca="false">IF($A1449="","",IF(OR($Q1449=TRUE(),$Q1449="TRUE"),1,0))</f>
        <v/>
      </c>
      <c r="AL1449" s="28" t="str">
        <f aca="false">IF($N1449="","",IF(MATCH($N1449,$N$2:$N$3001,0)=ROWS($N$2:$N1449),$N1449,""))</f>
        <v/>
      </c>
    </row>
    <row r="1450" customFormat="false" ht="15" hidden="false" customHeight="false" outlineLevel="0" collapsed="false">
      <c r="E1450" s="25"/>
      <c r="M1450" s="26" t="str">
        <f aca="false">IF($A1450="","",$L1450*$U1450/100)</f>
        <v/>
      </c>
      <c r="W1450" s="26" t="str">
        <f aca="false">IF($A1450="","",U1450*AB1450/100)</f>
        <v/>
      </c>
      <c r="X1450" s="26" t="str">
        <f aca="false">IF($A1450="","",U1450-W1450)</f>
        <v/>
      </c>
      <c r="Y1450" s="26" t="str">
        <f aca="false">IF($A1450="","",U1450-W1450-M1450)</f>
        <v/>
      </c>
      <c r="AB1450" s="27" t="str">
        <f aca="false">IF($A1450="","",IF($AK1450=1,'كشف المطالبة'!$D$5,'كشف المطالبة'!$D$6)*100)</f>
        <v/>
      </c>
      <c r="AK1450" s="28" t="str">
        <f aca="false">IF($A1450="","",IF(OR($Q1450=TRUE(),$Q1450="TRUE"),1,0))</f>
        <v/>
      </c>
      <c r="AL1450" s="28" t="str">
        <f aca="false">IF($N1450="","",IF(MATCH($N1450,$N$2:$N$3001,0)=ROWS($N$2:$N1450),$N1450,""))</f>
        <v/>
      </c>
    </row>
    <row r="1451" customFormat="false" ht="15" hidden="false" customHeight="false" outlineLevel="0" collapsed="false">
      <c r="E1451" s="25"/>
      <c r="M1451" s="26" t="str">
        <f aca="false">IF($A1451="","",$L1451*$U1451/100)</f>
        <v/>
      </c>
      <c r="W1451" s="26" t="str">
        <f aca="false">IF($A1451="","",U1451*AB1451/100)</f>
        <v/>
      </c>
      <c r="X1451" s="26" t="str">
        <f aca="false">IF($A1451="","",U1451-W1451)</f>
        <v/>
      </c>
      <c r="Y1451" s="26" t="str">
        <f aca="false">IF($A1451="","",U1451-W1451-M1451)</f>
        <v/>
      </c>
      <c r="AB1451" s="27" t="str">
        <f aca="false">IF($A1451="","",IF($AK1451=1,'كشف المطالبة'!$D$5,'كشف المطالبة'!$D$6)*100)</f>
        <v/>
      </c>
      <c r="AK1451" s="28" t="str">
        <f aca="false">IF($A1451="","",IF(OR($Q1451=TRUE(),$Q1451="TRUE"),1,0))</f>
        <v/>
      </c>
      <c r="AL1451" s="28" t="str">
        <f aca="false">IF($N1451="","",IF(MATCH($N1451,$N$2:$N$3001,0)=ROWS($N$2:$N1451),$N1451,""))</f>
        <v/>
      </c>
    </row>
    <row r="1452" customFormat="false" ht="15" hidden="false" customHeight="false" outlineLevel="0" collapsed="false">
      <c r="E1452" s="25"/>
      <c r="M1452" s="26" t="str">
        <f aca="false">IF($A1452="","",$L1452*$U1452/100)</f>
        <v/>
      </c>
      <c r="W1452" s="26" t="str">
        <f aca="false">IF($A1452="","",U1452*AB1452/100)</f>
        <v/>
      </c>
      <c r="X1452" s="26" t="str">
        <f aca="false">IF($A1452="","",U1452-W1452)</f>
        <v/>
      </c>
      <c r="Y1452" s="26" t="str">
        <f aca="false">IF($A1452="","",U1452-W1452-M1452)</f>
        <v/>
      </c>
      <c r="AB1452" s="27" t="str">
        <f aca="false">IF($A1452="","",IF($AK1452=1,'كشف المطالبة'!$D$5,'كشف المطالبة'!$D$6)*100)</f>
        <v/>
      </c>
      <c r="AK1452" s="28" t="str">
        <f aca="false">IF($A1452="","",IF(OR($Q1452=TRUE(),$Q1452="TRUE"),1,0))</f>
        <v/>
      </c>
      <c r="AL1452" s="28" t="str">
        <f aca="false">IF($N1452="","",IF(MATCH($N1452,$N$2:$N$3001,0)=ROWS($N$2:$N1452),$N1452,""))</f>
        <v/>
      </c>
    </row>
    <row r="1453" customFormat="false" ht="15" hidden="false" customHeight="false" outlineLevel="0" collapsed="false">
      <c r="E1453" s="25"/>
      <c r="M1453" s="26" t="str">
        <f aca="false">IF($A1453="","",$L1453*$U1453/100)</f>
        <v/>
      </c>
      <c r="W1453" s="26" t="str">
        <f aca="false">IF($A1453="","",U1453*AB1453/100)</f>
        <v/>
      </c>
      <c r="X1453" s="26" t="str">
        <f aca="false">IF($A1453="","",U1453-W1453)</f>
        <v/>
      </c>
      <c r="Y1453" s="26" t="str">
        <f aca="false">IF($A1453="","",U1453-W1453-M1453)</f>
        <v/>
      </c>
      <c r="AB1453" s="27" t="str">
        <f aca="false">IF($A1453="","",IF($AK1453=1,'كشف المطالبة'!$D$5,'كشف المطالبة'!$D$6)*100)</f>
        <v/>
      </c>
      <c r="AK1453" s="28" t="str">
        <f aca="false">IF($A1453="","",IF(OR($Q1453=TRUE(),$Q1453="TRUE"),1,0))</f>
        <v/>
      </c>
      <c r="AL1453" s="28" t="str">
        <f aca="false">IF($N1453="","",IF(MATCH($N1453,$N$2:$N$3001,0)=ROWS($N$2:$N1453),$N1453,""))</f>
        <v/>
      </c>
    </row>
    <row r="1454" customFormat="false" ht="15" hidden="false" customHeight="false" outlineLevel="0" collapsed="false">
      <c r="E1454" s="25"/>
      <c r="M1454" s="26" t="str">
        <f aca="false">IF($A1454="","",$L1454*$U1454/100)</f>
        <v/>
      </c>
      <c r="W1454" s="26" t="str">
        <f aca="false">IF($A1454="","",U1454*AB1454/100)</f>
        <v/>
      </c>
      <c r="X1454" s="26" t="str">
        <f aca="false">IF($A1454="","",U1454-W1454)</f>
        <v/>
      </c>
      <c r="Y1454" s="26" t="str">
        <f aca="false">IF($A1454="","",U1454-W1454-M1454)</f>
        <v/>
      </c>
      <c r="AB1454" s="27" t="str">
        <f aca="false">IF($A1454="","",IF($AK1454=1,'كشف المطالبة'!$D$5,'كشف المطالبة'!$D$6)*100)</f>
        <v/>
      </c>
      <c r="AK1454" s="28" t="str">
        <f aca="false">IF($A1454="","",IF(OR($Q1454=TRUE(),$Q1454="TRUE"),1,0))</f>
        <v/>
      </c>
      <c r="AL1454" s="28" t="str">
        <f aca="false">IF($N1454="","",IF(MATCH($N1454,$N$2:$N$3001,0)=ROWS($N$2:$N1454),$N1454,""))</f>
        <v/>
      </c>
    </row>
    <row r="1455" customFormat="false" ht="15" hidden="false" customHeight="false" outlineLevel="0" collapsed="false">
      <c r="E1455" s="25"/>
      <c r="M1455" s="26" t="str">
        <f aca="false">IF($A1455="","",$L1455*$U1455/100)</f>
        <v/>
      </c>
      <c r="W1455" s="26" t="str">
        <f aca="false">IF($A1455="","",U1455*AB1455/100)</f>
        <v/>
      </c>
      <c r="X1455" s="26" t="str">
        <f aca="false">IF($A1455="","",U1455-W1455)</f>
        <v/>
      </c>
      <c r="Y1455" s="26" t="str">
        <f aca="false">IF($A1455="","",U1455-W1455-M1455)</f>
        <v/>
      </c>
      <c r="AB1455" s="27" t="str">
        <f aca="false">IF($A1455="","",IF($AK1455=1,'كشف المطالبة'!$D$5,'كشف المطالبة'!$D$6)*100)</f>
        <v/>
      </c>
      <c r="AK1455" s="28" t="str">
        <f aca="false">IF($A1455="","",IF(OR($Q1455=TRUE(),$Q1455="TRUE"),1,0))</f>
        <v/>
      </c>
      <c r="AL1455" s="28" t="str">
        <f aca="false">IF($N1455="","",IF(MATCH($N1455,$N$2:$N$3001,0)=ROWS($N$2:$N1455),$N1455,""))</f>
        <v/>
      </c>
    </row>
    <row r="1456" customFormat="false" ht="15" hidden="false" customHeight="false" outlineLevel="0" collapsed="false">
      <c r="E1456" s="25"/>
      <c r="M1456" s="26" t="str">
        <f aca="false">IF($A1456="","",$L1456*$U1456/100)</f>
        <v/>
      </c>
      <c r="W1456" s="26" t="str">
        <f aca="false">IF($A1456="","",U1456*AB1456/100)</f>
        <v/>
      </c>
      <c r="X1456" s="26" t="str">
        <f aca="false">IF($A1456="","",U1456-W1456)</f>
        <v/>
      </c>
      <c r="Y1456" s="26" t="str">
        <f aca="false">IF($A1456="","",U1456-W1456-M1456)</f>
        <v/>
      </c>
      <c r="AB1456" s="27" t="str">
        <f aca="false">IF($A1456="","",IF($AK1456=1,'كشف المطالبة'!$D$5,'كشف المطالبة'!$D$6)*100)</f>
        <v/>
      </c>
      <c r="AK1456" s="28" t="str">
        <f aca="false">IF($A1456="","",IF(OR($Q1456=TRUE(),$Q1456="TRUE"),1,0))</f>
        <v/>
      </c>
      <c r="AL1456" s="28" t="str">
        <f aca="false">IF($N1456="","",IF(MATCH($N1456,$N$2:$N$3001,0)=ROWS($N$2:$N1456),$N1456,""))</f>
        <v/>
      </c>
    </row>
    <row r="1457" customFormat="false" ht="15" hidden="false" customHeight="false" outlineLevel="0" collapsed="false">
      <c r="E1457" s="25"/>
      <c r="M1457" s="26" t="str">
        <f aca="false">IF($A1457="","",$L1457*$U1457/100)</f>
        <v/>
      </c>
      <c r="W1457" s="26" t="str">
        <f aca="false">IF($A1457="","",U1457*AB1457/100)</f>
        <v/>
      </c>
      <c r="X1457" s="26" t="str">
        <f aca="false">IF($A1457="","",U1457-W1457)</f>
        <v/>
      </c>
      <c r="Y1457" s="26" t="str">
        <f aca="false">IF($A1457="","",U1457-W1457-M1457)</f>
        <v/>
      </c>
      <c r="AB1457" s="27" t="str">
        <f aca="false">IF($A1457="","",IF($AK1457=1,'كشف المطالبة'!$D$5,'كشف المطالبة'!$D$6)*100)</f>
        <v/>
      </c>
      <c r="AK1457" s="28" t="str">
        <f aca="false">IF($A1457="","",IF(OR($Q1457=TRUE(),$Q1457="TRUE"),1,0))</f>
        <v/>
      </c>
      <c r="AL1457" s="28" t="str">
        <f aca="false">IF($N1457="","",IF(MATCH($N1457,$N$2:$N$3001,0)=ROWS($N$2:$N1457),$N1457,""))</f>
        <v/>
      </c>
    </row>
    <row r="1458" customFormat="false" ht="15" hidden="false" customHeight="false" outlineLevel="0" collapsed="false">
      <c r="E1458" s="25"/>
      <c r="M1458" s="26" t="str">
        <f aca="false">IF($A1458="","",$L1458*$U1458/100)</f>
        <v/>
      </c>
      <c r="W1458" s="26" t="str">
        <f aca="false">IF($A1458="","",U1458*AB1458/100)</f>
        <v/>
      </c>
      <c r="X1458" s="26" t="str">
        <f aca="false">IF($A1458="","",U1458-W1458)</f>
        <v/>
      </c>
      <c r="Y1458" s="26" t="str">
        <f aca="false">IF($A1458="","",U1458-W1458-M1458)</f>
        <v/>
      </c>
      <c r="AB1458" s="27" t="str">
        <f aca="false">IF($A1458="","",IF($AK1458=1,'كشف المطالبة'!$D$5,'كشف المطالبة'!$D$6)*100)</f>
        <v/>
      </c>
      <c r="AK1458" s="28" t="str">
        <f aca="false">IF($A1458="","",IF(OR($Q1458=TRUE(),$Q1458="TRUE"),1,0))</f>
        <v/>
      </c>
      <c r="AL1458" s="28" t="str">
        <f aca="false">IF($N1458="","",IF(MATCH($N1458,$N$2:$N$3001,0)=ROWS($N$2:$N1458),$N1458,""))</f>
        <v/>
      </c>
    </row>
    <row r="1459" customFormat="false" ht="15" hidden="false" customHeight="false" outlineLevel="0" collapsed="false">
      <c r="E1459" s="25"/>
      <c r="M1459" s="26" t="str">
        <f aca="false">IF($A1459="","",$L1459*$U1459/100)</f>
        <v/>
      </c>
      <c r="W1459" s="26" t="str">
        <f aca="false">IF($A1459="","",U1459*AB1459/100)</f>
        <v/>
      </c>
      <c r="X1459" s="26" t="str">
        <f aca="false">IF($A1459="","",U1459-W1459)</f>
        <v/>
      </c>
      <c r="Y1459" s="26" t="str">
        <f aca="false">IF($A1459="","",U1459-W1459-M1459)</f>
        <v/>
      </c>
      <c r="AB1459" s="27" t="str">
        <f aca="false">IF($A1459="","",IF($AK1459=1,'كشف المطالبة'!$D$5,'كشف المطالبة'!$D$6)*100)</f>
        <v/>
      </c>
      <c r="AK1459" s="28" t="str">
        <f aca="false">IF($A1459="","",IF(OR($Q1459=TRUE(),$Q1459="TRUE"),1,0))</f>
        <v/>
      </c>
      <c r="AL1459" s="28" t="str">
        <f aca="false">IF($N1459="","",IF(MATCH($N1459,$N$2:$N$3001,0)=ROWS($N$2:$N1459),$N1459,""))</f>
        <v/>
      </c>
    </row>
    <row r="1460" customFormat="false" ht="15" hidden="false" customHeight="false" outlineLevel="0" collapsed="false">
      <c r="E1460" s="25"/>
      <c r="M1460" s="26" t="str">
        <f aca="false">IF($A1460="","",$L1460*$U1460/100)</f>
        <v/>
      </c>
      <c r="W1460" s="26" t="str">
        <f aca="false">IF($A1460="","",U1460*AB1460/100)</f>
        <v/>
      </c>
      <c r="X1460" s="26" t="str">
        <f aca="false">IF($A1460="","",U1460-W1460)</f>
        <v/>
      </c>
      <c r="Y1460" s="26" t="str">
        <f aca="false">IF($A1460="","",U1460-W1460-M1460)</f>
        <v/>
      </c>
      <c r="AB1460" s="27" t="str">
        <f aca="false">IF($A1460="","",IF($AK1460=1,'كشف المطالبة'!$D$5,'كشف المطالبة'!$D$6)*100)</f>
        <v/>
      </c>
      <c r="AK1460" s="28" t="str">
        <f aca="false">IF($A1460="","",IF(OR($Q1460=TRUE(),$Q1460="TRUE"),1,0))</f>
        <v/>
      </c>
      <c r="AL1460" s="28" t="str">
        <f aca="false">IF($N1460="","",IF(MATCH($N1460,$N$2:$N$3001,0)=ROWS($N$2:$N1460),$N1460,""))</f>
        <v/>
      </c>
    </row>
    <row r="1461" customFormat="false" ht="15" hidden="false" customHeight="false" outlineLevel="0" collapsed="false">
      <c r="E1461" s="25"/>
      <c r="M1461" s="26" t="str">
        <f aca="false">IF($A1461="","",$L1461*$U1461/100)</f>
        <v/>
      </c>
      <c r="W1461" s="26" t="str">
        <f aca="false">IF($A1461="","",U1461*AB1461/100)</f>
        <v/>
      </c>
      <c r="X1461" s="26" t="str">
        <f aca="false">IF($A1461="","",U1461-W1461)</f>
        <v/>
      </c>
      <c r="Y1461" s="26" t="str">
        <f aca="false">IF($A1461="","",U1461-W1461-M1461)</f>
        <v/>
      </c>
      <c r="AB1461" s="27" t="str">
        <f aca="false">IF($A1461="","",IF($AK1461=1,'كشف المطالبة'!$D$5,'كشف المطالبة'!$D$6)*100)</f>
        <v/>
      </c>
      <c r="AK1461" s="28" t="str">
        <f aca="false">IF($A1461="","",IF(OR($Q1461=TRUE(),$Q1461="TRUE"),1,0))</f>
        <v/>
      </c>
      <c r="AL1461" s="28" t="str">
        <f aca="false">IF($N1461="","",IF(MATCH($N1461,$N$2:$N$3001,0)=ROWS($N$2:$N1461),$N1461,""))</f>
        <v/>
      </c>
    </row>
    <row r="1462" customFormat="false" ht="15" hidden="false" customHeight="false" outlineLevel="0" collapsed="false">
      <c r="E1462" s="25"/>
      <c r="M1462" s="26" t="str">
        <f aca="false">IF($A1462="","",$L1462*$U1462/100)</f>
        <v/>
      </c>
      <c r="W1462" s="26" t="str">
        <f aca="false">IF($A1462="","",U1462*AB1462/100)</f>
        <v/>
      </c>
      <c r="X1462" s="26" t="str">
        <f aca="false">IF($A1462="","",U1462-W1462)</f>
        <v/>
      </c>
      <c r="Y1462" s="26" t="str">
        <f aca="false">IF($A1462="","",U1462-W1462-M1462)</f>
        <v/>
      </c>
      <c r="AB1462" s="27" t="str">
        <f aca="false">IF($A1462="","",IF($AK1462=1,'كشف المطالبة'!$D$5,'كشف المطالبة'!$D$6)*100)</f>
        <v/>
      </c>
      <c r="AK1462" s="28" t="str">
        <f aca="false">IF($A1462="","",IF(OR($Q1462=TRUE(),$Q1462="TRUE"),1,0))</f>
        <v/>
      </c>
      <c r="AL1462" s="28" t="str">
        <f aca="false">IF($N1462="","",IF(MATCH($N1462,$N$2:$N$3001,0)=ROWS($N$2:$N1462),$N1462,""))</f>
        <v/>
      </c>
    </row>
    <row r="1463" customFormat="false" ht="15" hidden="false" customHeight="false" outlineLevel="0" collapsed="false">
      <c r="E1463" s="25"/>
      <c r="M1463" s="26" t="str">
        <f aca="false">IF($A1463="","",$L1463*$U1463/100)</f>
        <v/>
      </c>
      <c r="W1463" s="26" t="str">
        <f aca="false">IF($A1463="","",U1463*AB1463/100)</f>
        <v/>
      </c>
      <c r="X1463" s="26" t="str">
        <f aca="false">IF($A1463="","",U1463-W1463)</f>
        <v/>
      </c>
      <c r="Y1463" s="26" t="str">
        <f aca="false">IF($A1463="","",U1463-W1463-M1463)</f>
        <v/>
      </c>
      <c r="AB1463" s="27" t="str">
        <f aca="false">IF($A1463="","",IF($AK1463=1,'كشف المطالبة'!$D$5,'كشف المطالبة'!$D$6)*100)</f>
        <v/>
      </c>
      <c r="AK1463" s="28" t="str">
        <f aca="false">IF($A1463="","",IF(OR($Q1463=TRUE(),$Q1463="TRUE"),1,0))</f>
        <v/>
      </c>
      <c r="AL1463" s="28" t="str">
        <f aca="false">IF($N1463="","",IF(MATCH($N1463,$N$2:$N$3001,0)=ROWS($N$2:$N1463),$N1463,""))</f>
        <v/>
      </c>
    </row>
    <row r="1464" customFormat="false" ht="15" hidden="false" customHeight="false" outlineLevel="0" collapsed="false">
      <c r="E1464" s="25"/>
      <c r="M1464" s="26" t="str">
        <f aca="false">IF($A1464="","",$L1464*$U1464/100)</f>
        <v/>
      </c>
      <c r="W1464" s="26" t="str">
        <f aca="false">IF($A1464="","",U1464*AB1464/100)</f>
        <v/>
      </c>
      <c r="X1464" s="26" t="str">
        <f aca="false">IF($A1464="","",U1464-W1464)</f>
        <v/>
      </c>
      <c r="Y1464" s="26" t="str">
        <f aca="false">IF($A1464="","",U1464-W1464-M1464)</f>
        <v/>
      </c>
      <c r="AB1464" s="27" t="str">
        <f aca="false">IF($A1464="","",IF($AK1464=1,'كشف المطالبة'!$D$5,'كشف المطالبة'!$D$6)*100)</f>
        <v/>
      </c>
      <c r="AK1464" s="28" t="str">
        <f aca="false">IF($A1464="","",IF(OR($Q1464=TRUE(),$Q1464="TRUE"),1,0))</f>
        <v/>
      </c>
      <c r="AL1464" s="28" t="str">
        <f aca="false">IF($N1464="","",IF(MATCH($N1464,$N$2:$N$3001,0)=ROWS($N$2:$N1464),$N1464,""))</f>
        <v/>
      </c>
    </row>
    <row r="1465" customFormat="false" ht="15" hidden="false" customHeight="false" outlineLevel="0" collapsed="false">
      <c r="E1465" s="25"/>
      <c r="M1465" s="26" t="str">
        <f aca="false">IF($A1465="","",$L1465*$U1465/100)</f>
        <v/>
      </c>
      <c r="W1465" s="26" t="str">
        <f aca="false">IF($A1465="","",U1465*AB1465/100)</f>
        <v/>
      </c>
      <c r="X1465" s="26" t="str">
        <f aca="false">IF($A1465="","",U1465-W1465)</f>
        <v/>
      </c>
      <c r="Y1465" s="26" t="str">
        <f aca="false">IF($A1465="","",U1465-W1465-M1465)</f>
        <v/>
      </c>
      <c r="AB1465" s="27" t="str">
        <f aca="false">IF($A1465="","",IF($AK1465=1,'كشف المطالبة'!$D$5,'كشف المطالبة'!$D$6)*100)</f>
        <v/>
      </c>
      <c r="AK1465" s="28" t="str">
        <f aca="false">IF($A1465="","",IF(OR($Q1465=TRUE(),$Q1465="TRUE"),1,0))</f>
        <v/>
      </c>
      <c r="AL1465" s="28" t="str">
        <f aca="false">IF($N1465="","",IF(MATCH($N1465,$N$2:$N$3001,0)=ROWS($N$2:$N1465),$N1465,""))</f>
        <v/>
      </c>
    </row>
    <row r="1466" customFormat="false" ht="15" hidden="false" customHeight="false" outlineLevel="0" collapsed="false">
      <c r="E1466" s="25"/>
      <c r="M1466" s="26" t="str">
        <f aca="false">IF($A1466="","",$L1466*$U1466/100)</f>
        <v/>
      </c>
      <c r="W1466" s="26" t="str">
        <f aca="false">IF($A1466="","",U1466*AB1466/100)</f>
        <v/>
      </c>
      <c r="X1466" s="26" t="str">
        <f aca="false">IF($A1466="","",U1466-W1466)</f>
        <v/>
      </c>
      <c r="Y1466" s="26" t="str">
        <f aca="false">IF($A1466="","",U1466-W1466-M1466)</f>
        <v/>
      </c>
      <c r="AB1466" s="27" t="str">
        <f aca="false">IF($A1466="","",IF($AK1466=1,'كشف المطالبة'!$D$5,'كشف المطالبة'!$D$6)*100)</f>
        <v/>
      </c>
      <c r="AK1466" s="28" t="str">
        <f aca="false">IF($A1466="","",IF(OR($Q1466=TRUE(),$Q1466="TRUE"),1,0))</f>
        <v/>
      </c>
      <c r="AL1466" s="28" t="str">
        <f aca="false">IF($N1466="","",IF(MATCH($N1466,$N$2:$N$3001,0)=ROWS($N$2:$N1466),$N1466,""))</f>
        <v/>
      </c>
    </row>
    <row r="1467" customFormat="false" ht="15" hidden="false" customHeight="false" outlineLevel="0" collapsed="false">
      <c r="E1467" s="25"/>
      <c r="M1467" s="26" t="str">
        <f aca="false">IF($A1467="","",$L1467*$U1467/100)</f>
        <v/>
      </c>
      <c r="W1467" s="26" t="str">
        <f aca="false">IF($A1467="","",U1467*AB1467/100)</f>
        <v/>
      </c>
      <c r="X1467" s="26" t="str">
        <f aca="false">IF($A1467="","",U1467-W1467)</f>
        <v/>
      </c>
      <c r="Y1467" s="26" t="str">
        <f aca="false">IF($A1467="","",U1467-W1467-M1467)</f>
        <v/>
      </c>
      <c r="AB1467" s="27" t="str">
        <f aca="false">IF($A1467="","",IF($AK1467=1,'كشف المطالبة'!$D$5,'كشف المطالبة'!$D$6)*100)</f>
        <v/>
      </c>
      <c r="AK1467" s="28" t="str">
        <f aca="false">IF($A1467="","",IF(OR($Q1467=TRUE(),$Q1467="TRUE"),1,0))</f>
        <v/>
      </c>
      <c r="AL1467" s="28" t="str">
        <f aca="false">IF($N1467="","",IF(MATCH($N1467,$N$2:$N$3001,0)=ROWS($N$2:$N1467),$N1467,""))</f>
        <v/>
      </c>
    </row>
    <row r="1468" customFormat="false" ht="15" hidden="false" customHeight="false" outlineLevel="0" collapsed="false">
      <c r="E1468" s="25"/>
      <c r="M1468" s="26" t="str">
        <f aca="false">IF($A1468="","",$L1468*$U1468/100)</f>
        <v/>
      </c>
      <c r="W1468" s="26" t="str">
        <f aca="false">IF($A1468="","",U1468*AB1468/100)</f>
        <v/>
      </c>
      <c r="X1468" s="26" t="str">
        <f aca="false">IF($A1468="","",U1468-W1468)</f>
        <v/>
      </c>
      <c r="Y1468" s="26" t="str">
        <f aca="false">IF($A1468="","",U1468-W1468-M1468)</f>
        <v/>
      </c>
      <c r="AB1468" s="27" t="str">
        <f aca="false">IF($A1468="","",IF($AK1468=1,'كشف المطالبة'!$D$5,'كشف المطالبة'!$D$6)*100)</f>
        <v/>
      </c>
      <c r="AK1468" s="28" t="str">
        <f aca="false">IF($A1468="","",IF(OR($Q1468=TRUE(),$Q1468="TRUE"),1,0))</f>
        <v/>
      </c>
      <c r="AL1468" s="28" t="str">
        <f aca="false">IF($N1468="","",IF(MATCH($N1468,$N$2:$N$3001,0)=ROWS($N$2:$N1468),$N1468,""))</f>
        <v/>
      </c>
    </row>
    <row r="1469" customFormat="false" ht="15" hidden="false" customHeight="false" outlineLevel="0" collapsed="false">
      <c r="E1469" s="25"/>
      <c r="M1469" s="26" t="str">
        <f aca="false">IF($A1469="","",$L1469*$U1469/100)</f>
        <v/>
      </c>
      <c r="W1469" s="26" t="str">
        <f aca="false">IF($A1469="","",U1469*AB1469/100)</f>
        <v/>
      </c>
      <c r="X1469" s="26" t="str">
        <f aca="false">IF($A1469="","",U1469-W1469)</f>
        <v/>
      </c>
      <c r="Y1469" s="26" t="str">
        <f aca="false">IF($A1469="","",U1469-W1469-M1469)</f>
        <v/>
      </c>
      <c r="AB1469" s="27" t="str">
        <f aca="false">IF($A1469="","",IF($AK1469=1,'كشف المطالبة'!$D$5,'كشف المطالبة'!$D$6)*100)</f>
        <v/>
      </c>
      <c r="AK1469" s="28" t="str">
        <f aca="false">IF($A1469="","",IF(OR($Q1469=TRUE(),$Q1469="TRUE"),1,0))</f>
        <v/>
      </c>
      <c r="AL1469" s="28" t="str">
        <f aca="false">IF($N1469="","",IF(MATCH($N1469,$N$2:$N$3001,0)=ROWS($N$2:$N1469),$N1469,""))</f>
        <v/>
      </c>
    </row>
    <row r="1470" customFormat="false" ht="15" hidden="false" customHeight="false" outlineLevel="0" collapsed="false">
      <c r="E1470" s="25"/>
      <c r="M1470" s="26" t="str">
        <f aca="false">IF($A1470="","",$L1470*$U1470/100)</f>
        <v/>
      </c>
      <c r="W1470" s="26" t="str">
        <f aca="false">IF($A1470="","",U1470*AB1470/100)</f>
        <v/>
      </c>
      <c r="X1470" s="26" t="str">
        <f aca="false">IF($A1470="","",U1470-W1470)</f>
        <v/>
      </c>
      <c r="Y1470" s="26" t="str">
        <f aca="false">IF($A1470="","",U1470-W1470-M1470)</f>
        <v/>
      </c>
      <c r="AB1470" s="27" t="str">
        <f aca="false">IF($A1470="","",IF($AK1470=1,'كشف المطالبة'!$D$5,'كشف المطالبة'!$D$6)*100)</f>
        <v/>
      </c>
      <c r="AK1470" s="28" t="str">
        <f aca="false">IF($A1470="","",IF(OR($Q1470=TRUE(),$Q1470="TRUE"),1,0))</f>
        <v/>
      </c>
      <c r="AL1470" s="28" t="str">
        <f aca="false">IF($N1470="","",IF(MATCH($N1470,$N$2:$N$3001,0)=ROWS($N$2:$N1470),$N1470,""))</f>
        <v/>
      </c>
    </row>
    <row r="1471" customFormat="false" ht="15" hidden="false" customHeight="false" outlineLevel="0" collapsed="false">
      <c r="E1471" s="25"/>
      <c r="M1471" s="26" t="str">
        <f aca="false">IF($A1471="","",$L1471*$U1471/100)</f>
        <v/>
      </c>
      <c r="W1471" s="26" t="str">
        <f aca="false">IF($A1471="","",U1471*AB1471/100)</f>
        <v/>
      </c>
      <c r="X1471" s="26" t="str">
        <f aca="false">IF($A1471="","",U1471-W1471)</f>
        <v/>
      </c>
      <c r="Y1471" s="26" t="str">
        <f aca="false">IF($A1471="","",U1471-W1471-M1471)</f>
        <v/>
      </c>
      <c r="AB1471" s="27" t="str">
        <f aca="false">IF($A1471="","",IF($AK1471=1,'كشف المطالبة'!$D$5,'كشف المطالبة'!$D$6)*100)</f>
        <v/>
      </c>
      <c r="AK1471" s="28" t="str">
        <f aca="false">IF($A1471="","",IF(OR($Q1471=TRUE(),$Q1471="TRUE"),1,0))</f>
        <v/>
      </c>
      <c r="AL1471" s="28" t="str">
        <f aca="false">IF($N1471="","",IF(MATCH($N1471,$N$2:$N$3001,0)=ROWS($N$2:$N1471),$N1471,""))</f>
        <v/>
      </c>
    </row>
    <row r="1472" customFormat="false" ht="15" hidden="false" customHeight="false" outlineLevel="0" collapsed="false">
      <c r="E1472" s="25"/>
      <c r="M1472" s="26" t="str">
        <f aca="false">IF($A1472="","",$L1472*$U1472/100)</f>
        <v/>
      </c>
      <c r="W1472" s="26" t="str">
        <f aca="false">IF($A1472="","",U1472*AB1472/100)</f>
        <v/>
      </c>
      <c r="X1472" s="26" t="str">
        <f aca="false">IF($A1472="","",U1472-W1472)</f>
        <v/>
      </c>
      <c r="Y1472" s="26" t="str">
        <f aca="false">IF($A1472="","",U1472-W1472-M1472)</f>
        <v/>
      </c>
      <c r="AB1472" s="27" t="str">
        <f aca="false">IF($A1472="","",IF($AK1472=1,'كشف المطالبة'!$D$5,'كشف المطالبة'!$D$6)*100)</f>
        <v/>
      </c>
      <c r="AK1472" s="28" t="str">
        <f aca="false">IF($A1472="","",IF(OR($Q1472=TRUE(),$Q1472="TRUE"),1,0))</f>
        <v/>
      </c>
      <c r="AL1472" s="28" t="str">
        <f aca="false">IF($N1472="","",IF(MATCH($N1472,$N$2:$N$3001,0)=ROWS($N$2:$N1472),$N1472,""))</f>
        <v/>
      </c>
    </row>
    <row r="1473" customFormat="false" ht="15" hidden="false" customHeight="false" outlineLevel="0" collapsed="false">
      <c r="E1473" s="25"/>
      <c r="M1473" s="26" t="str">
        <f aca="false">IF($A1473="","",$L1473*$U1473/100)</f>
        <v/>
      </c>
      <c r="W1473" s="26" t="str">
        <f aca="false">IF($A1473="","",U1473*AB1473/100)</f>
        <v/>
      </c>
      <c r="X1473" s="26" t="str">
        <f aca="false">IF($A1473="","",U1473-W1473)</f>
        <v/>
      </c>
      <c r="Y1473" s="26" t="str">
        <f aca="false">IF($A1473="","",U1473-W1473-M1473)</f>
        <v/>
      </c>
      <c r="AB1473" s="27" t="str">
        <f aca="false">IF($A1473="","",IF($AK1473=1,'كشف المطالبة'!$D$5,'كشف المطالبة'!$D$6)*100)</f>
        <v/>
      </c>
      <c r="AK1473" s="28" t="str">
        <f aca="false">IF($A1473="","",IF(OR($Q1473=TRUE(),$Q1473="TRUE"),1,0))</f>
        <v/>
      </c>
      <c r="AL1473" s="28" t="str">
        <f aca="false">IF($N1473="","",IF(MATCH($N1473,$N$2:$N$3001,0)=ROWS($N$2:$N1473),$N1473,""))</f>
        <v/>
      </c>
    </row>
    <row r="1474" customFormat="false" ht="15" hidden="false" customHeight="false" outlineLevel="0" collapsed="false">
      <c r="E1474" s="25"/>
      <c r="M1474" s="26" t="str">
        <f aca="false">IF($A1474="","",$L1474*$U1474/100)</f>
        <v/>
      </c>
      <c r="W1474" s="26" t="str">
        <f aca="false">IF($A1474="","",U1474*AB1474/100)</f>
        <v/>
      </c>
      <c r="X1474" s="26" t="str">
        <f aca="false">IF($A1474="","",U1474-W1474)</f>
        <v/>
      </c>
      <c r="Y1474" s="26" t="str">
        <f aca="false">IF($A1474="","",U1474-W1474-M1474)</f>
        <v/>
      </c>
      <c r="AB1474" s="27" t="str">
        <f aca="false">IF($A1474="","",IF($AK1474=1,'كشف المطالبة'!$D$5,'كشف المطالبة'!$D$6)*100)</f>
        <v/>
      </c>
      <c r="AK1474" s="28" t="str">
        <f aca="false">IF($A1474="","",IF(OR($Q1474=TRUE(),$Q1474="TRUE"),1,0))</f>
        <v/>
      </c>
      <c r="AL1474" s="28" t="str">
        <f aca="false">IF($N1474="","",IF(MATCH($N1474,$N$2:$N$3001,0)=ROWS($N$2:$N1474),$N1474,""))</f>
        <v/>
      </c>
    </row>
    <row r="1475" customFormat="false" ht="15" hidden="false" customHeight="false" outlineLevel="0" collapsed="false">
      <c r="E1475" s="25"/>
      <c r="M1475" s="26" t="str">
        <f aca="false">IF($A1475="","",$L1475*$U1475/100)</f>
        <v/>
      </c>
      <c r="W1475" s="26" t="str">
        <f aca="false">IF($A1475="","",U1475*AB1475/100)</f>
        <v/>
      </c>
      <c r="X1475" s="26" t="str">
        <f aca="false">IF($A1475="","",U1475-W1475)</f>
        <v/>
      </c>
      <c r="Y1475" s="26" t="str">
        <f aca="false">IF($A1475="","",U1475-W1475-M1475)</f>
        <v/>
      </c>
      <c r="AB1475" s="27" t="str">
        <f aca="false">IF($A1475="","",IF($AK1475=1,'كشف المطالبة'!$D$5,'كشف المطالبة'!$D$6)*100)</f>
        <v/>
      </c>
      <c r="AK1475" s="28" t="str">
        <f aca="false">IF($A1475="","",IF(OR($Q1475=TRUE(),$Q1475="TRUE"),1,0))</f>
        <v/>
      </c>
      <c r="AL1475" s="28" t="str">
        <f aca="false">IF($N1475="","",IF(MATCH($N1475,$N$2:$N$3001,0)=ROWS($N$2:$N1475),$N1475,""))</f>
        <v/>
      </c>
    </row>
    <row r="1476" customFormat="false" ht="15" hidden="false" customHeight="false" outlineLevel="0" collapsed="false">
      <c r="E1476" s="25"/>
      <c r="M1476" s="26" t="str">
        <f aca="false">IF($A1476="","",$L1476*$U1476/100)</f>
        <v/>
      </c>
      <c r="W1476" s="26" t="str">
        <f aca="false">IF($A1476="","",U1476*AB1476/100)</f>
        <v/>
      </c>
      <c r="X1476" s="26" t="str">
        <f aca="false">IF($A1476="","",U1476-W1476)</f>
        <v/>
      </c>
      <c r="Y1476" s="26" t="str">
        <f aca="false">IF($A1476="","",U1476-W1476-M1476)</f>
        <v/>
      </c>
      <c r="AB1476" s="27" t="str">
        <f aca="false">IF($A1476="","",IF($AK1476=1,'كشف المطالبة'!$D$5,'كشف المطالبة'!$D$6)*100)</f>
        <v/>
      </c>
      <c r="AK1476" s="28" t="str">
        <f aca="false">IF($A1476="","",IF(OR($Q1476=TRUE(),$Q1476="TRUE"),1,0))</f>
        <v/>
      </c>
      <c r="AL1476" s="28" t="str">
        <f aca="false">IF($N1476="","",IF(MATCH($N1476,$N$2:$N$3001,0)=ROWS($N$2:$N1476),$N1476,""))</f>
        <v/>
      </c>
    </row>
    <row r="1477" customFormat="false" ht="15" hidden="false" customHeight="false" outlineLevel="0" collapsed="false">
      <c r="E1477" s="25"/>
      <c r="M1477" s="26" t="str">
        <f aca="false">IF($A1477="","",$L1477*$U1477/100)</f>
        <v/>
      </c>
      <c r="W1477" s="26" t="str">
        <f aca="false">IF($A1477="","",U1477*AB1477/100)</f>
        <v/>
      </c>
      <c r="X1477" s="26" t="str">
        <f aca="false">IF($A1477="","",U1477-W1477)</f>
        <v/>
      </c>
      <c r="Y1477" s="26" t="str">
        <f aca="false">IF($A1477="","",U1477-W1477-M1477)</f>
        <v/>
      </c>
      <c r="AB1477" s="27" t="str">
        <f aca="false">IF($A1477="","",IF($AK1477=1,'كشف المطالبة'!$D$5,'كشف المطالبة'!$D$6)*100)</f>
        <v/>
      </c>
      <c r="AK1477" s="28" t="str">
        <f aca="false">IF($A1477="","",IF(OR($Q1477=TRUE(),$Q1477="TRUE"),1,0))</f>
        <v/>
      </c>
      <c r="AL1477" s="28" t="str">
        <f aca="false">IF($N1477="","",IF(MATCH($N1477,$N$2:$N$3001,0)=ROWS($N$2:$N1477),$N1477,""))</f>
        <v/>
      </c>
    </row>
    <row r="1478" customFormat="false" ht="15" hidden="false" customHeight="false" outlineLevel="0" collapsed="false">
      <c r="E1478" s="25"/>
      <c r="M1478" s="26" t="str">
        <f aca="false">IF($A1478="","",$L1478*$U1478/100)</f>
        <v/>
      </c>
      <c r="W1478" s="26" t="str">
        <f aca="false">IF($A1478="","",U1478*AB1478/100)</f>
        <v/>
      </c>
      <c r="X1478" s="26" t="str">
        <f aca="false">IF($A1478="","",U1478-W1478)</f>
        <v/>
      </c>
      <c r="Y1478" s="26" t="str">
        <f aca="false">IF($A1478="","",U1478-W1478-M1478)</f>
        <v/>
      </c>
      <c r="AB1478" s="27" t="str">
        <f aca="false">IF($A1478="","",IF($AK1478=1,'كشف المطالبة'!$D$5,'كشف المطالبة'!$D$6)*100)</f>
        <v/>
      </c>
      <c r="AK1478" s="28" t="str">
        <f aca="false">IF($A1478="","",IF(OR($Q1478=TRUE(),$Q1478="TRUE"),1,0))</f>
        <v/>
      </c>
      <c r="AL1478" s="28" t="str">
        <f aca="false">IF($N1478="","",IF(MATCH($N1478,$N$2:$N$3001,0)=ROWS($N$2:$N1478),$N1478,""))</f>
        <v/>
      </c>
    </row>
    <row r="1479" customFormat="false" ht="15" hidden="false" customHeight="false" outlineLevel="0" collapsed="false">
      <c r="E1479" s="25"/>
      <c r="M1479" s="26" t="str">
        <f aca="false">IF($A1479="","",$L1479*$U1479/100)</f>
        <v/>
      </c>
      <c r="W1479" s="26" t="str">
        <f aca="false">IF($A1479="","",U1479*AB1479/100)</f>
        <v/>
      </c>
      <c r="X1479" s="26" t="str">
        <f aca="false">IF($A1479="","",U1479-W1479)</f>
        <v/>
      </c>
      <c r="Y1479" s="26" t="str">
        <f aca="false">IF($A1479="","",U1479-W1479-M1479)</f>
        <v/>
      </c>
      <c r="AB1479" s="27" t="str">
        <f aca="false">IF($A1479="","",IF($AK1479=1,'كشف المطالبة'!$D$5,'كشف المطالبة'!$D$6)*100)</f>
        <v/>
      </c>
      <c r="AK1479" s="28" t="str">
        <f aca="false">IF($A1479="","",IF(OR($Q1479=TRUE(),$Q1479="TRUE"),1,0))</f>
        <v/>
      </c>
      <c r="AL1479" s="28" t="str">
        <f aca="false">IF($N1479="","",IF(MATCH($N1479,$N$2:$N$3001,0)=ROWS($N$2:$N1479),$N1479,""))</f>
        <v/>
      </c>
    </row>
    <row r="1480" customFormat="false" ht="15" hidden="false" customHeight="false" outlineLevel="0" collapsed="false">
      <c r="E1480" s="25"/>
      <c r="M1480" s="26" t="str">
        <f aca="false">IF($A1480="","",$L1480*$U1480/100)</f>
        <v/>
      </c>
      <c r="W1480" s="26" t="str">
        <f aca="false">IF($A1480="","",U1480*AB1480/100)</f>
        <v/>
      </c>
      <c r="X1480" s="26" t="str">
        <f aca="false">IF($A1480="","",U1480-W1480)</f>
        <v/>
      </c>
      <c r="Y1480" s="26" t="str">
        <f aca="false">IF($A1480="","",U1480-W1480-M1480)</f>
        <v/>
      </c>
      <c r="AB1480" s="27" t="str">
        <f aca="false">IF($A1480="","",IF($AK1480=1,'كشف المطالبة'!$D$5,'كشف المطالبة'!$D$6)*100)</f>
        <v/>
      </c>
      <c r="AK1480" s="28" t="str">
        <f aca="false">IF($A1480="","",IF(OR($Q1480=TRUE(),$Q1480="TRUE"),1,0))</f>
        <v/>
      </c>
      <c r="AL1480" s="28" t="str">
        <f aca="false">IF($N1480="","",IF(MATCH($N1480,$N$2:$N$3001,0)=ROWS($N$2:$N1480),$N1480,""))</f>
        <v/>
      </c>
    </row>
    <row r="1481" customFormat="false" ht="15" hidden="false" customHeight="false" outlineLevel="0" collapsed="false">
      <c r="E1481" s="25"/>
      <c r="M1481" s="26" t="str">
        <f aca="false">IF($A1481="","",$L1481*$U1481/100)</f>
        <v/>
      </c>
      <c r="W1481" s="26" t="str">
        <f aca="false">IF($A1481="","",U1481*AB1481/100)</f>
        <v/>
      </c>
      <c r="X1481" s="26" t="str">
        <f aca="false">IF($A1481="","",U1481-W1481)</f>
        <v/>
      </c>
      <c r="Y1481" s="26" t="str">
        <f aca="false">IF($A1481="","",U1481-W1481-M1481)</f>
        <v/>
      </c>
      <c r="AB1481" s="27" t="str">
        <f aca="false">IF($A1481="","",IF($AK1481=1,'كشف المطالبة'!$D$5,'كشف المطالبة'!$D$6)*100)</f>
        <v/>
      </c>
      <c r="AK1481" s="28" t="str">
        <f aca="false">IF($A1481="","",IF(OR($Q1481=TRUE(),$Q1481="TRUE"),1,0))</f>
        <v/>
      </c>
      <c r="AL1481" s="28" t="str">
        <f aca="false">IF($N1481="","",IF(MATCH($N1481,$N$2:$N$3001,0)=ROWS($N$2:$N1481),$N1481,""))</f>
        <v/>
      </c>
    </row>
    <row r="1482" customFormat="false" ht="15" hidden="false" customHeight="false" outlineLevel="0" collapsed="false">
      <c r="E1482" s="25"/>
      <c r="M1482" s="26" t="str">
        <f aca="false">IF($A1482="","",$L1482*$U1482/100)</f>
        <v/>
      </c>
      <c r="W1482" s="26" t="str">
        <f aca="false">IF($A1482="","",U1482*AB1482/100)</f>
        <v/>
      </c>
      <c r="X1482" s="26" t="str">
        <f aca="false">IF($A1482="","",U1482-W1482)</f>
        <v/>
      </c>
      <c r="Y1482" s="26" t="str">
        <f aca="false">IF($A1482="","",U1482-W1482-M1482)</f>
        <v/>
      </c>
      <c r="AB1482" s="27" t="str">
        <f aca="false">IF($A1482="","",IF($AK1482=1,'كشف المطالبة'!$D$5,'كشف المطالبة'!$D$6)*100)</f>
        <v/>
      </c>
      <c r="AK1482" s="28" t="str">
        <f aca="false">IF($A1482="","",IF(OR($Q1482=TRUE(),$Q1482="TRUE"),1,0))</f>
        <v/>
      </c>
      <c r="AL1482" s="28" t="str">
        <f aca="false">IF($N1482="","",IF(MATCH($N1482,$N$2:$N$3001,0)=ROWS($N$2:$N1482),$N1482,""))</f>
        <v/>
      </c>
    </row>
    <row r="1483" customFormat="false" ht="15" hidden="false" customHeight="false" outlineLevel="0" collapsed="false">
      <c r="E1483" s="25"/>
      <c r="M1483" s="26" t="str">
        <f aca="false">IF($A1483="","",$L1483*$U1483/100)</f>
        <v/>
      </c>
      <c r="W1483" s="26" t="str">
        <f aca="false">IF($A1483="","",U1483*AB1483/100)</f>
        <v/>
      </c>
      <c r="X1483" s="26" t="str">
        <f aca="false">IF($A1483="","",U1483-W1483)</f>
        <v/>
      </c>
      <c r="Y1483" s="26" t="str">
        <f aca="false">IF($A1483="","",U1483-W1483-M1483)</f>
        <v/>
      </c>
      <c r="AB1483" s="27" t="str">
        <f aca="false">IF($A1483="","",IF($AK1483=1,'كشف المطالبة'!$D$5,'كشف المطالبة'!$D$6)*100)</f>
        <v/>
      </c>
      <c r="AK1483" s="28" t="str">
        <f aca="false">IF($A1483="","",IF(OR($Q1483=TRUE(),$Q1483="TRUE"),1,0))</f>
        <v/>
      </c>
      <c r="AL1483" s="28" t="str">
        <f aca="false">IF($N1483="","",IF(MATCH($N1483,$N$2:$N$3001,0)=ROWS($N$2:$N1483),$N1483,""))</f>
        <v/>
      </c>
    </row>
    <row r="1484" customFormat="false" ht="15" hidden="false" customHeight="false" outlineLevel="0" collapsed="false">
      <c r="E1484" s="25"/>
      <c r="M1484" s="26" t="str">
        <f aca="false">IF($A1484="","",$L1484*$U1484/100)</f>
        <v/>
      </c>
      <c r="W1484" s="26" t="str">
        <f aca="false">IF($A1484="","",U1484*AB1484/100)</f>
        <v/>
      </c>
      <c r="X1484" s="26" t="str">
        <f aca="false">IF($A1484="","",U1484-W1484)</f>
        <v/>
      </c>
      <c r="Y1484" s="26" t="str">
        <f aca="false">IF($A1484="","",U1484-W1484-M1484)</f>
        <v/>
      </c>
      <c r="AB1484" s="27" t="str">
        <f aca="false">IF($A1484="","",IF($AK1484=1,'كشف المطالبة'!$D$5,'كشف المطالبة'!$D$6)*100)</f>
        <v/>
      </c>
      <c r="AK1484" s="28" t="str">
        <f aca="false">IF($A1484="","",IF(OR($Q1484=TRUE(),$Q1484="TRUE"),1,0))</f>
        <v/>
      </c>
      <c r="AL1484" s="28" t="str">
        <f aca="false">IF($N1484="","",IF(MATCH($N1484,$N$2:$N$3001,0)=ROWS($N$2:$N1484),$N1484,""))</f>
        <v/>
      </c>
    </row>
    <row r="1485" customFormat="false" ht="15" hidden="false" customHeight="false" outlineLevel="0" collapsed="false">
      <c r="E1485" s="25"/>
      <c r="M1485" s="26" t="str">
        <f aca="false">IF($A1485="","",$L1485*$U1485/100)</f>
        <v/>
      </c>
      <c r="W1485" s="26" t="str">
        <f aca="false">IF($A1485="","",U1485*AB1485/100)</f>
        <v/>
      </c>
      <c r="X1485" s="26" t="str">
        <f aca="false">IF($A1485="","",U1485-W1485)</f>
        <v/>
      </c>
      <c r="Y1485" s="26" t="str">
        <f aca="false">IF($A1485="","",U1485-W1485-M1485)</f>
        <v/>
      </c>
      <c r="AB1485" s="27" t="str">
        <f aca="false">IF($A1485="","",IF($AK1485=1,'كشف المطالبة'!$D$5,'كشف المطالبة'!$D$6)*100)</f>
        <v/>
      </c>
      <c r="AK1485" s="28" t="str">
        <f aca="false">IF($A1485="","",IF(OR($Q1485=TRUE(),$Q1485="TRUE"),1,0))</f>
        <v/>
      </c>
      <c r="AL1485" s="28" t="str">
        <f aca="false">IF($N1485="","",IF(MATCH($N1485,$N$2:$N$3001,0)=ROWS($N$2:$N1485),$N1485,""))</f>
        <v/>
      </c>
    </row>
    <row r="1486" customFormat="false" ht="15" hidden="false" customHeight="false" outlineLevel="0" collapsed="false">
      <c r="E1486" s="25"/>
      <c r="M1486" s="26" t="str">
        <f aca="false">IF($A1486="","",$L1486*$U1486/100)</f>
        <v/>
      </c>
      <c r="W1486" s="26" t="str">
        <f aca="false">IF($A1486="","",U1486*AB1486/100)</f>
        <v/>
      </c>
      <c r="X1486" s="26" t="str">
        <f aca="false">IF($A1486="","",U1486-W1486)</f>
        <v/>
      </c>
      <c r="Y1486" s="26" t="str">
        <f aca="false">IF($A1486="","",U1486-W1486-M1486)</f>
        <v/>
      </c>
      <c r="AB1486" s="27" t="str">
        <f aca="false">IF($A1486="","",IF($AK1486=1,'كشف المطالبة'!$D$5,'كشف المطالبة'!$D$6)*100)</f>
        <v/>
      </c>
      <c r="AK1486" s="28" t="str">
        <f aca="false">IF($A1486="","",IF(OR($Q1486=TRUE(),$Q1486="TRUE"),1,0))</f>
        <v/>
      </c>
      <c r="AL1486" s="28" t="str">
        <f aca="false">IF($N1486="","",IF(MATCH($N1486,$N$2:$N$3001,0)=ROWS($N$2:$N1486),$N1486,""))</f>
        <v/>
      </c>
    </row>
    <row r="1487" customFormat="false" ht="15" hidden="false" customHeight="false" outlineLevel="0" collapsed="false">
      <c r="E1487" s="25"/>
      <c r="M1487" s="26" t="str">
        <f aca="false">IF($A1487="","",$L1487*$U1487/100)</f>
        <v/>
      </c>
      <c r="W1487" s="26" t="str">
        <f aca="false">IF($A1487="","",U1487*AB1487/100)</f>
        <v/>
      </c>
      <c r="X1487" s="26" t="str">
        <f aca="false">IF($A1487="","",U1487-W1487)</f>
        <v/>
      </c>
      <c r="Y1487" s="26" t="str">
        <f aca="false">IF($A1487="","",U1487-W1487-M1487)</f>
        <v/>
      </c>
      <c r="AB1487" s="27" t="str">
        <f aca="false">IF($A1487="","",IF($AK1487=1,'كشف المطالبة'!$D$5,'كشف المطالبة'!$D$6)*100)</f>
        <v/>
      </c>
      <c r="AK1487" s="28" t="str">
        <f aca="false">IF($A1487="","",IF(OR($Q1487=TRUE(),$Q1487="TRUE"),1,0))</f>
        <v/>
      </c>
      <c r="AL1487" s="28" t="str">
        <f aca="false">IF($N1487="","",IF(MATCH($N1487,$N$2:$N$3001,0)=ROWS($N$2:$N1487),$N1487,""))</f>
        <v/>
      </c>
    </row>
    <row r="1488" customFormat="false" ht="15" hidden="false" customHeight="false" outlineLevel="0" collapsed="false">
      <c r="E1488" s="25"/>
      <c r="M1488" s="26" t="str">
        <f aca="false">IF($A1488="","",$L1488*$U1488/100)</f>
        <v/>
      </c>
      <c r="W1488" s="26" t="str">
        <f aca="false">IF($A1488="","",U1488*AB1488/100)</f>
        <v/>
      </c>
      <c r="X1488" s="26" t="str">
        <f aca="false">IF($A1488="","",U1488-W1488)</f>
        <v/>
      </c>
      <c r="Y1488" s="26" t="str">
        <f aca="false">IF($A1488="","",U1488-W1488-M1488)</f>
        <v/>
      </c>
      <c r="AB1488" s="27" t="str">
        <f aca="false">IF($A1488="","",IF($AK1488=1,'كشف المطالبة'!$D$5,'كشف المطالبة'!$D$6)*100)</f>
        <v/>
      </c>
      <c r="AK1488" s="28" t="str">
        <f aca="false">IF($A1488="","",IF(OR($Q1488=TRUE(),$Q1488="TRUE"),1,0))</f>
        <v/>
      </c>
      <c r="AL1488" s="28" t="str">
        <f aca="false">IF($N1488="","",IF(MATCH($N1488,$N$2:$N$3001,0)=ROWS($N$2:$N1488),$N1488,""))</f>
        <v/>
      </c>
    </row>
    <row r="1489" customFormat="false" ht="15" hidden="false" customHeight="false" outlineLevel="0" collapsed="false">
      <c r="E1489" s="25"/>
      <c r="M1489" s="26" t="str">
        <f aca="false">IF($A1489="","",$L1489*$U1489/100)</f>
        <v/>
      </c>
      <c r="W1489" s="26" t="str">
        <f aca="false">IF($A1489="","",U1489*AB1489/100)</f>
        <v/>
      </c>
      <c r="X1489" s="26" t="str">
        <f aca="false">IF($A1489="","",U1489-W1489)</f>
        <v/>
      </c>
      <c r="Y1489" s="26" t="str">
        <f aca="false">IF($A1489="","",U1489-W1489-M1489)</f>
        <v/>
      </c>
      <c r="AB1489" s="27" t="str">
        <f aca="false">IF($A1489="","",IF($AK1489=1,'كشف المطالبة'!$D$5,'كشف المطالبة'!$D$6)*100)</f>
        <v/>
      </c>
      <c r="AK1489" s="28" t="str">
        <f aca="false">IF($A1489="","",IF(OR($Q1489=TRUE(),$Q1489="TRUE"),1,0))</f>
        <v/>
      </c>
      <c r="AL1489" s="28" t="str">
        <f aca="false">IF($N1489="","",IF(MATCH($N1489,$N$2:$N$3001,0)=ROWS($N$2:$N1489),$N1489,""))</f>
        <v/>
      </c>
    </row>
    <row r="1490" customFormat="false" ht="15" hidden="false" customHeight="false" outlineLevel="0" collapsed="false">
      <c r="E1490" s="25"/>
      <c r="M1490" s="26" t="str">
        <f aca="false">IF($A1490="","",$L1490*$U1490/100)</f>
        <v/>
      </c>
      <c r="W1490" s="26" t="str">
        <f aca="false">IF($A1490="","",U1490*AB1490/100)</f>
        <v/>
      </c>
      <c r="X1490" s="26" t="str">
        <f aca="false">IF($A1490="","",U1490-W1490)</f>
        <v/>
      </c>
      <c r="Y1490" s="26" t="str">
        <f aca="false">IF($A1490="","",U1490-W1490-M1490)</f>
        <v/>
      </c>
      <c r="AB1490" s="27" t="str">
        <f aca="false">IF($A1490="","",IF($AK1490=1,'كشف المطالبة'!$D$5,'كشف المطالبة'!$D$6)*100)</f>
        <v/>
      </c>
      <c r="AK1490" s="28" t="str">
        <f aca="false">IF($A1490="","",IF(OR($Q1490=TRUE(),$Q1490="TRUE"),1,0))</f>
        <v/>
      </c>
      <c r="AL1490" s="28" t="str">
        <f aca="false">IF($N1490="","",IF(MATCH($N1490,$N$2:$N$3001,0)=ROWS($N$2:$N1490),$N1490,""))</f>
        <v/>
      </c>
    </row>
    <row r="1491" customFormat="false" ht="15" hidden="false" customHeight="false" outlineLevel="0" collapsed="false">
      <c r="E1491" s="25"/>
      <c r="M1491" s="26" t="str">
        <f aca="false">IF($A1491="","",$L1491*$U1491/100)</f>
        <v/>
      </c>
      <c r="W1491" s="26" t="str">
        <f aca="false">IF($A1491="","",U1491*AB1491/100)</f>
        <v/>
      </c>
      <c r="X1491" s="26" t="str">
        <f aca="false">IF($A1491="","",U1491-W1491)</f>
        <v/>
      </c>
      <c r="Y1491" s="26" t="str">
        <f aca="false">IF($A1491="","",U1491-W1491-M1491)</f>
        <v/>
      </c>
      <c r="AB1491" s="27" t="str">
        <f aca="false">IF($A1491="","",IF($AK1491=1,'كشف المطالبة'!$D$5,'كشف المطالبة'!$D$6)*100)</f>
        <v/>
      </c>
      <c r="AK1491" s="28" t="str">
        <f aca="false">IF($A1491="","",IF(OR($Q1491=TRUE(),$Q1491="TRUE"),1,0))</f>
        <v/>
      </c>
      <c r="AL1491" s="28" t="str">
        <f aca="false">IF($N1491="","",IF(MATCH($N1491,$N$2:$N$3001,0)=ROWS($N$2:$N1491),$N1491,""))</f>
        <v/>
      </c>
    </row>
    <row r="1492" customFormat="false" ht="15" hidden="false" customHeight="false" outlineLevel="0" collapsed="false">
      <c r="E1492" s="25"/>
      <c r="M1492" s="26" t="str">
        <f aca="false">IF($A1492="","",$L1492*$U1492/100)</f>
        <v/>
      </c>
      <c r="W1492" s="26" t="str">
        <f aca="false">IF($A1492="","",U1492*AB1492/100)</f>
        <v/>
      </c>
      <c r="X1492" s="26" t="str">
        <f aca="false">IF($A1492="","",U1492-W1492)</f>
        <v/>
      </c>
      <c r="Y1492" s="26" t="str">
        <f aca="false">IF($A1492="","",U1492-W1492-M1492)</f>
        <v/>
      </c>
      <c r="AB1492" s="27" t="str">
        <f aca="false">IF($A1492="","",IF($AK1492=1,'كشف المطالبة'!$D$5,'كشف المطالبة'!$D$6)*100)</f>
        <v/>
      </c>
      <c r="AK1492" s="28" t="str">
        <f aca="false">IF($A1492="","",IF(OR($Q1492=TRUE(),$Q1492="TRUE"),1,0))</f>
        <v/>
      </c>
      <c r="AL1492" s="28" t="str">
        <f aca="false">IF($N1492="","",IF(MATCH($N1492,$N$2:$N$3001,0)=ROWS($N$2:$N1492),$N1492,""))</f>
        <v/>
      </c>
    </row>
    <row r="1493" customFormat="false" ht="15" hidden="false" customHeight="false" outlineLevel="0" collapsed="false">
      <c r="E1493" s="25"/>
      <c r="M1493" s="26" t="str">
        <f aca="false">IF($A1493="","",$L1493*$U1493/100)</f>
        <v/>
      </c>
      <c r="W1493" s="26" t="str">
        <f aca="false">IF($A1493="","",U1493*AB1493/100)</f>
        <v/>
      </c>
      <c r="X1493" s="26" t="str">
        <f aca="false">IF($A1493="","",U1493-W1493)</f>
        <v/>
      </c>
      <c r="Y1493" s="26" t="str">
        <f aca="false">IF($A1493="","",U1493-W1493-M1493)</f>
        <v/>
      </c>
      <c r="AB1493" s="27" t="str">
        <f aca="false">IF($A1493="","",IF($AK1493=1,'كشف المطالبة'!$D$5,'كشف المطالبة'!$D$6)*100)</f>
        <v/>
      </c>
      <c r="AK1493" s="28" t="str">
        <f aca="false">IF($A1493="","",IF(OR($Q1493=TRUE(),$Q1493="TRUE"),1,0))</f>
        <v/>
      </c>
      <c r="AL1493" s="28" t="str">
        <f aca="false">IF($N1493="","",IF(MATCH($N1493,$N$2:$N$3001,0)=ROWS($N$2:$N1493),$N1493,""))</f>
        <v/>
      </c>
    </row>
    <row r="1494" customFormat="false" ht="15" hidden="false" customHeight="false" outlineLevel="0" collapsed="false">
      <c r="E1494" s="25"/>
      <c r="M1494" s="26" t="str">
        <f aca="false">IF($A1494="","",$L1494*$U1494/100)</f>
        <v/>
      </c>
      <c r="W1494" s="26" t="str">
        <f aca="false">IF($A1494="","",U1494*AB1494/100)</f>
        <v/>
      </c>
      <c r="X1494" s="26" t="str">
        <f aca="false">IF($A1494="","",U1494-W1494)</f>
        <v/>
      </c>
      <c r="Y1494" s="26" t="str">
        <f aca="false">IF($A1494="","",U1494-W1494-M1494)</f>
        <v/>
      </c>
      <c r="AB1494" s="27" t="str">
        <f aca="false">IF($A1494="","",IF($AK1494=1,'كشف المطالبة'!$D$5,'كشف المطالبة'!$D$6)*100)</f>
        <v/>
      </c>
      <c r="AK1494" s="28" t="str">
        <f aca="false">IF($A1494="","",IF(OR($Q1494=TRUE(),$Q1494="TRUE"),1,0))</f>
        <v/>
      </c>
      <c r="AL1494" s="28" t="str">
        <f aca="false">IF($N1494="","",IF(MATCH($N1494,$N$2:$N$3001,0)=ROWS($N$2:$N1494),$N1494,""))</f>
        <v/>
      </c>
    </row>
    <row r="1495" customFormat="false" ht="15" hidden="false" customHeight="false" outlineLevel="0" collapsed="false">
      <c r="E1495" s="25"/>
      <c r="M1495" s="26" t="str">
        <f aca="false">IF($A1495="","",$L1495*$U1495/100)</f>
        <v/>
      </c>
      <c r="W1495" s="26" t="str">
        <f aca="false">IF($A1495="","",U1495*AB1495/100)</f>
        <v/>
      </c>
      <c r="X1495" s="26" t="str">
        <f aca="false">IF($A1495="","",U1495-W1495)</f>
        <v/>
      </c>
      <c r="Y1495" s="26" t="str">
        <f aca="false">IF($A1495="","",U1495-W1495-M1495)</f>
        <v/>
      </c>
      <c r="AB1495" s="27" t="str">
        <f aca="false">IF($A1495="","",IF($AK1495=1,'كشف المطالبة'!$D$5,'كشف المطالبة'!$D$6)*100)</f>
        <v/>
      </c>
      <c r="AK1495" s="28" t="str">
        <f aca="false">IF($A1495="","",IF(OR($Q1495=TRUE(),$Q1495="TRUE"),1,0))</f>
        <v/>
      </c>
      <c r="AL1495" s="28" t="str">
        <f aca="false">IF($N1495="","",IF(MATCH($N1495,$N$2:$N$3001,0)=ROWS($N$2:$N1495),$N1495,""))</f>
        <v/>
      </c>
    </row>
    <row r="1496" customFormat="false" ht="15" hidden="false" customHeight="false" outlineLevel="0" collapsed="false">
      <c r="E1496" s="25"/>
      <c r="M1496" s="26" t="str">
        <f aca="false">IF($A1496="","",$L1496*$U1496/100)</f>
        <v/>
      </c>
      <c r="W1496" s="26" t="str">
        <f aca="false">IF($A1496="","",U1496*AB1496/100)</f>
        <v/>
      </c>
      <c r="X1496" s="26" t="str">
        <f aca="false">IF($A1496="","",U1496-W1496)</f>
        <v/>
      </c>
      <c r="Y1496" s="26" t="str">
        <f aca="false">IF($A1496="","",U1496-W1496-M1496)</f>
        <v/>
      </c>
      <c r="AB1496" s="27" t="str">
        <f aca="false">IF($A1496="","",IF($AK1496=1,'كشف المطالبة'!$D$5,'كشف المطالبة'!$D$6)*100)</f>
        <v/>
      </c>
      <c r="AK1496" s="28" t="str">
        <f aca="false">IF($A1496="","",IF(OR($Q1496=TRUE(),$Q1496="TRUE"),1,0))</f>
        <v/>
      </c>
      <c r="AL1496" s="28" t="str">
        <f aca="false">IF($N1496="","",IF(MATCH($N1496,$N$2:$N$3001,0)=ROWS($N$2:$N1496),$N1496,""))</f>
        <v/>
      </c>
    </row>
    <row r="1497" customFormat="false" ht="15" hidden="false" customHeight="false" outlineLevel="0" collapsed="false">
      <c r="E1497" s="25"/>
      <c r="M1497" s="26" t="str">
        <f aca="false">IF($A1497="","",$L1497*$U1497/100)</f>
        <v/>
      </c>
      <c r="W1497" s="26" t="str">
        <f aca="false">IF($A1497="","",U1497*AB1497/100)</f>
        <v/>
      </c>
      <c r="X1497" s="26" t="str">
        <f aca="false">IF($A1497="","",U1497-W1497)</f>
        <v/>
      </c>
      <c r="Y1497" s="26" t="str">
        <f aca="false">IF($A1497="","",U1497-W1497-M1497)</f>
        <v/>
      </c>
      <c r="AB1497" s="27" t="str">
        <f aca="false">IF($A1497="","",IF($AK1497=1,'كشف المطالبة'!$D$5,'كشف المطالبة'!$D$6)*100)</f>
        <v/>
      </c>
      <c r="AK1497" s="28" t="str">
        <f aca="false">IF($A1497="","",IF(OR($Q1497=TRUE(),$Q1497="TRUE"),1,0))</f>
        <v/>
      </c>
      <c r="AL1497" s="28" t="str">
        <f aca="false">IF($N1497="","",IF(MATCH($N1497,$N$2:$N$3001,0)=ROWS($N$2:$N1497),$N1497,""))</f>
        <v/>
      </c>
    </row>
    <row r="1498" customFormat="false" ht="15" hidden="false" customHeight="false" outlineLevel="0" collapsed="false">
      <c r="E1498" s="25"/>
      <c r="M1498" s="26" t="str">
        <f aca="false">IF($A1498="","",$L1498*$U1498/100)</f>
        <v/>
      </c>
      <c r="W1498" s="26" t="str">
        <f aca="false">IF($A1498="","",U1498*AB1498/100)</f>
        <v/>
      </c>
      <c r="X1498" s="26" t="str">
        <f aca="false">IF($A1498="","",U1498-W1498)</f>
        <v/>
      </c>
      <c r="Y1498" s="26" t="str">
        <f aca="false">IF($A1498="","",U1498-W1498-M1498)</f>
        <v/>
      </c>
      <c r="AB1498" s="27" t="str">
        <f aca="false">IF($A1498="","",IF($AK1498=1,'كشف المطالبة'!$D$5,'كشف المطالبة'!$D$6)*100)</f>
        <v/>
      </c>
      <c r="AK1498" s="28" t="str">
        <f aca="false">IF($A1498="","",IF(OR($Q1498=TRUE(),$Q1498="TRUE"),1,0))</f>
        <v/>
      </c>
      <c r="AL1498" s="28" t="str">
        <f aca="false">IF($N1498="","",IF(MATCH($N1498,$N$2:$N$3001,0)=ROWS($N$2:$N1498),$N1498,""))</f>
        <v/>
      </c>
    </row>
    <row r="1499" customFormat="false" ht="15" hidden="false" customHeight="false" outlineLevel="0" collapsed="false">
      <c r="E1499" s="25"/>
      <c r="M1499" s="26" t="str">
        <f aca="false">IF($A1499="","",$L1499*$U1499/100)</f>
        <v/>
      </c>
      <c r="W1499" s="26" t="str">
        <f aca="false">IF($A1499="","",U1499*AB1499/100)</f>
        <v/>
      </c>
      <c r="X1499" s="26" t="str">
        <f aca="false">IF($A1499="","",U1499-W1499)</f>
        <v/>
      </c>
      <c r="Y1499" s="26" t="str">
        <f aca="false">IF($A1499="","",U1499-W1499-M1499)</f>
        <v/>
      </c>
      <c r="AB1499" s="27" t="str">
        <f aca="false">IF($A1499="","",IF($AK1499=1,'كشف المطالبة'!$D$5,'كشف المطالبة'!$D$6)*100)</f>
        <v/>
      </c>
      <c r="AK1499" s="28" t="str">
        <f aca="false">IF($A1499="","",IF(OR($Q1499=TRUE(),$Q1499="TRUE"),1,0))</f>
        <v/>
      </c>
      <c r="AL1499" s="28" t="str">
        <f aca="false">IF($N1499="","",IF(MATCH($N1499,$N$2:$N$3001,0)=ROWS($N$2:$N1499),$N1499,""))</f>
        <v/>
      </c>
    </row>
    <row r="1500" customFormat="false" ht="15" hidden="false" customHeight="false" outlineLevel="0" collapsed="false">
      <c r="E1500" s="25"/>
      <c r="M1500" s="26" t="str">
        <f aca="false">IF($A1500="","",$L1500*$U1500/100)</f>
        <v/>
      </c>
      <c r="W1500" s="26" t="str">
        <f aca="false">IF($A1500="","",U1500*AB1500/100)</f>
        <v/>
      </c>
      <c r="X1500" s="26" t="str">
        <f aca="false">IF($A1500="","",U1500-W1500)</f>
        <v/>
      </c>
      <c r="Y1500" s="26" t="str">
        <f aca="false">IF($A1500="","",U1500-W1500-M1500)</f>
        <v/>
      </c>
      <c r="AB1500" s="27" t="str">
        <f aca="false">IF($A1500="","",IF($AK1500=1,'كشف المطالبة'!$D$5,'كشف المطالبة'!$D$6)*100)</f>
        <v/>
      </c>
      <c r="AK1500" s="28" t="str">
        <f aca="false">IF($A1500="","",IF(OR($Q1500=TRUE(),$Q1500="TRUE"),1,0))</f>
        <v/>
      </c>
      <c r="AL1500" s="28" t="str">
        <f aca="false">IF($N1500="","",IF(MATCH($N1500,$N$2:$N$3001,0)=ROWS($N$2:$N1500),$N1500,""))</f>
        <v/>
      </c>
    </row>
    <row r="1501" customFormat="false" ht="15" hidden="false" customHeight="false" outlineLevel="0" collapsed="false">
      <c r="E1501" s="25"/>
      <c r="M1501" s="26" t="str">
        <f aca="false">IF($A1501="","",$L1501*$U1501/100)</f>
        <v/>
      </c>
      <c r="W1501" s="26" t="str">
        <f aca="false">IF($A1501="","",U1501*AB1501/100)</f>
        <v/>
      </c>
      <c r="X1501" s="26" t="str">
        <f aca="false">IF($A1501="","",U1501-W1501)</f>
        <v/>
      </c>
      <c r="Y1501" s="26" t="str">
        <f aca="false">IF($A1501="","",U1501-W1501-M1501)</f>
        <v/>
      </c>
      <c r="AB1501" s="27" t="str">
        <f aca="false">IF($A1501="","",IF($AK1501=1,'كشف المطالبة'!$D$5,'كشف المطالبة'!$D$6)*100)</f>
        <v/>
      </c>
      <c r="AK1501" s="28" t="str">
        <f aca="false">IF($A1501="","",IF(OR($Q1501=TRUE(),$Q1501="TRUE"),1,0))</f>
        <v/>
      </c>
      <c r="AL1501" s="28" t="str">
        <f aca="false">IF($N1501="","",IF(MATCH($N1501,$N$2:$N$3001,0)=ROWS($N$2:$N1501),$N1501,""))</f>
        <v/>
      </c>
    </row>
    <row r="1502" customFormat="false" ht="15" hidden="false" customHeight="false" outlineLevel="0" collapsed="false">
      <c r="E1502" s="25"/>
      <c r="M1502" s="26" t="str">
        <f aca="false">IF($A1502="","",$L1502*$U1502/100)</f>
        <v/>
      </c>
      <c r="W1502" s="26" t="str">
        <f aca="false">IF($A1502="","",U1502*AB1502/100)</f>
        <v/>
      </c>
      <c r="X1502" s="26" t="str">
        <f aca="false">IF($A1502="","",U1502-W1502)</f>
        <v/>
      </c>
      <c r="Y1502" s="26" t="str">
        <f aca="false">IF($A1502="","",U1502-W1502-M1502)</f>
        <v/>
      </c>
      <c r="AB1502" s="27" t="str">
        <f aca="false">IF($A1502="","",IF($AK1502=1,'كشف المطالبة'!$D$5,'كشف المطالبة'!$D$6)*100)</f>
        <v/>
      </c>
      <c r="AK1502" s="28" t="str">
        <f aca="false">IF($A1502="","",IF(OR($Q1502=TRUE(),$Q1502="TRUE"),1,0))</f>
        <v/>
      </c>
      <c r="AL1502" s="28" t="str">
        <f aca="false">IF($N1502="","",IF(MATCH($N1502,$N$2:$N$3001,0)=ROWS($N$2:$N1502),$N1502,""))</f>
        <v/>
      </c>
    </row>
    <row r="1503" customFormat="false" ht="15" hidden="false" customHeight="false" outlineLevel="0" collapsed="false">
      <c r="E1503" s="25"/>
      <c r="M1503" s="26" t="str">
        <f aca="false">IF($A1503="","",$L1503*$U1503/100)</f>
        <v/>
      </c>
      <c r="W1503" s="26" t="str">
        <f aca="false">IF($A1503="","",U1503*AB1503/100)</f>
        <v/>
      </c>
      <c r="X1503" s="26" t="str">
        <f aca="false">IF($A1503="","",U1503-W1503)</f>
        <v/>
      </c>
      <c r="Y1503" s="26" t="str">
        <f aca="false">IF($A1503="","",U1503-W1503-M1503)</f>
        <v/>
      </c>
      <c r="AB1503" s="27" t="str">
        <f aca="false">IF($A1503="","",IF($AK1503=1,'كشف المطالبة'!$D$5,'كشف المطالبة'!$D$6)*100)</f>
        <v/>
      </c>
      <c r="AK1503" s="28" t="str">
        <f aca="false">IF($A1503="","",IF(OR($Q1503=TRUE(),$Q1503="TRUE"),1,0))</f>
        <v/>
      </c>
      <c r="AL1503" s="28" t="str">
        <f aca="false">IF($N1503="","",IF(MATCH($N1503,$N$2:$N$3001,0)=ROWS($N$2:$N1503),$N1503,""))</f>
        <v/>
      </c>
    </row>
    <row r="1504" customFormat="false" ht="15" hidden="false" customHeight="false" outlineLevel="0" collapsed="false">
      <c r="E1504" s="25"/>
      <c r="M1504" s="26" t="str">
        <f aca="false">IF($A1504="","",$L1504*$U1504/100)</f>
        <v/>
      </c>
      <c r="W1504" s="26" t="str">
        <f aca="false">IF($A1504="","",U1504*AB1504/100)</f>
        <v/>
      </c>
      <c r="X1504" s="26" t="str">
        <f aca="false">IF($A1504="","",U1504-W1504)</f>
        <v/>
      </c>
      <c r="Y1504" s="26" t="str">
        <f aca="false">IF($A1504="","",U1504-W1504-M1504)</f>
        <v/>
      </c>
      <c r="AB1504" s="27" t="str">
        <f aca="false">IF($A1504="","",IF($AK1504=1,'كشف المطالبة'!$D$5,'كشف المطالبة'!$D$6)*100)</f>
        <v/>
      </c>
      <c r="AK1504" s="28" t="str">
        <f aca="false">IF($A1504="","",IF(OR($Q1504=TRUE(),$Q1504="TRUE"),1,0))</f>
        <v/>
      </c>
      <c r="AL1504" s="28" t="str">
        <f aca="false">IF($N1504="","",IF(MATCH($N1504,$N$2:$N$3001,0)=ROWS($N$2:$N1504),$N1504,""))</f>
        <v/>
      </c>
    </row>
    <row r="1505" customFormat="false" ht="15" hidden="false" customHeight="false" outlineLevel="0" collapsed="false">
      <c r="E1505" s="25"/>
      <c r="M1505" s="26" t="str">
        <f aca="false">IF($A1505="","",$L1505*$U1505/100)</f>
        <v/>
      </c>
      <c r="W1505" s="26" t="str">
        <f aca="false">IF($A1505="","",U1505*AB1505/100)</f>
        <v/>
      </c>
      <c r="X1505" s="26" t="str">
        <f aca="false">IF($A1505="","",U1505-W1505)</f>
        <v/>
      </c>
      <c r="Y1505" s="26" t="str">
        <f aca="false">IF($A1505="","",U1505-W1505-M1505)</f>
        <v/>
      </c>
      <c r="AB1505" s="27" t="str">
        <f aca="false">IF($A1505="","",IF($AK1505=1,'كشف المطالبة'!$D$5,'كشف المطالبة'!$D$6)*100)</f>
        <v/>
      </c>
      <c r="AK1505" s="28" t="str">
        <f aca="false">IF($A1505="","",IF(OR($Q1505=TRUE(),$Q1505="TRUE"),1,0))</f>
        <v/>
      </c>
      <c r="AL1505" s="28" t="str">
        <f aca="false">IF($N1505="","",IF(MATCH($N1505,$N$2:$N$3001,0)=ROWS($N$2:$N1505),$N1505,""))</f>
        <v/>
      </c>
    </row>
    <row r="1506" customFormat="false" ht="15" hidden="false" customHeight="false" outlineLevel="0" collapsed="false">
      <c r="E1506" s="25"/>
      <c r="M1506" s="26" t="str">
        <f aca="false">IF($A1506="","",$L1506*$U1506/100)</f>
        <v/>
      </c>
      <c r="W1506" s="26" t="str">
        <f aca="false">IF($A1506="","",U1506*AB1506/100)</f>
        <v/>
      </c>
      <c r="X1506" s="26" t="str">
        <f aca="false">IF($A1506="","",U1506-W1506)</f>
        <v/>
      </c>
      <c r="Y1506" s="26" t="str">
        <f aca="false">IF($A1506="","",U1506-W1506-M1506)</f>
        <v/>
      </c>
      <c r="AB1506" s="27" t="str">
        <f aca="false">IF($A1506="","",IF($AK1506=1,'كشف المطالبة'!$D$5,'كشف المطالبة'!$D$6)*100)</f>
        <v/>
      </c>
      <c r="AK1506" s="28" t="str">
        <f aca="false">IF($A1506="","",IF(OR($Q1506=TRUE(),$Q1506="TRUE"),1,0))</f>
        <v/>
      </c>
      <c r="AL1506" s="28" t="str">
        <f aca="false">IF($N1506="","",IF(MATCH($N1506,$N$2:$N$3001,0)=ROWS($N$2:$N1506),$N1506,""))</f>
        <v/>
      </c>
    </row>
    <row r="1507" customFormat="false" ht="15" hidden="false" customHeight="false" outlineLevel="0" collapsed="false">
      <c r="E1507" s="25"/>
      <c r="M1507" s="26" t="str">
        <f aca="false">IF($A1507="","",$L1507*$U1507/100)</f>
        <v/>
      </c>
      <c r="W1507" s="26" t="str">
        <f aca="false">IF($A1507="","",U1507*AB1507/100)</f>
        <v/>
      </c>
      <c r="X1507" s="26" t="str">
        <f aca="false">IF($A1507="","",U1507-W1507)</f>
        <v/>
      </c>
      <c r="Y1507" s="26" t="str">
        <f aca="false">IF($A1507="","",U1507-W1507-M1507)</f>
        <v/>
      </c>
      <c r="AB1507" s="27" t="str">
        <f aca="false">IF($A1507="","",IF($AK1507=1,'كشف المطالبة'!$D$5,'كشف المطالبة'!$D$6)*100)</f>
        <v/>
      </c>
      <c r="AK1507" s="28" t="str">
        <f aca="false">IF($A1507="","",IF(OR($Q1507=TRUE(),$Q1507="TRUE"),1,0))</f>
        <v/>
      </c>
      <c r="AL1507" s="28" t="str">
        <f aca="false">IF($N1507="","",IF(MATCH($N1507,$N$2:$N$3001,0)=ROWS($N$2:$N1507),$N1507,""))</f>
        <v/>
      </c>
    </row>
    <row r="1508" customFormat="false" ht="15" hidden="false" customHeight="false" outlineLevel="0" collapsed="false">
      <c r="E1508" s="25"/>
      <c r="M1508" s="26" t="str">
        <f aca="false">IF($A1508="","",$L1508*$U1508/100)</f>
        <v/>
      </c>
      <c r="W1508" s="26" t="str">
        <f aca="false">IF($A1508="","",U1508*AB1508/100)</f>
        <v/>
      </c>
      <c r="X1508" s="26" t="str">
        <f aca="false">IF($A1508="","",U1508-W1508)</f>
        <v/>
      </c>
      <c r="Y1508" s="26" t="str">
        <f aca="false">IF($A1508="","",U1508-W1508-M1508)</f>
        <v/>
      </c>
      <c r="AB1508" s="27" t="str">
        <f aca="false">IF($A1508="","",IF($AK1508=1,'كشف المطالبة'!$D$5,'كشف المطالبة'!$D$6)*100)</f>
        <v/>
      </c>
      <c r="AK1508" s="28" t="str">
        <f aca="false">IF($A1508="","",IF(OR($Q1508=TRUE(),$Q1508="TRUE"),1,0))</f>
        <v/>
      </c>
      <c r="AL1508" s="28" t="str">
        <f aca="false">IF($N1508="","",IF(MATCH($N1508,$N$2:$N$3001,0)=ROWS($N$2:$N1508),$N1508,""))</f>
        <v/>
      </c>
    </row>
    <row r="1509" customFormat="false" ht="15" hidden="false" customHeight="false" outlineLevel="0" collapsed="false">
      <c r="E1509" s="25"/>
      <c r="M1509" s="26" t="str">
        <f aca="false">IF($A1509="","",$L1509*$U1509/100)</f>
        <v/>
      </c>
      <c r="W1509" s="26" t="str">
        <f aca="false">IF($A1509="","",U1509*AB1509/100)</f>
        <v/>
      </c>
      <c r="X1509" s="26" t="str">
        <f aca="false">IF($A1509="","",U1509-W1509)</f>
        <v/>
      </c>
      <c r="Y1509" s="26" t="str">
        <f aca="false">IF($A1509="","",U1509-W1509-M1509)</f>
        <v/>
      </c>
      <c r="AB1509" s="27" t="str">
        <f aca="false">IF($A1509="","",IF($AK1509=1,'كشف المطالبة'!$D$5,'كشف المطالبة'!$D$6)*100)</f>
        <v/>
      </c>
      <c r="AK1509" s="28" t="str">
        <f aca="false">IF($A1509="","",IF(OR($Q1509=TRUE(),$Q1509="TRUE"),1,0))</f>
        <v/>
      </c>
      <c r="AL1509" s="28" t="str">
        <f aca="false">IF($N1509="","",IF(MATCH($N1509,$N$2:$N$3001,0)=ROWS($N$2:$N1509),$N1509,""))</f>
        <v/>
      </c>
    </row>
    <row r="1510" customFormat="false" ht="15" hidden="false" customHeight="false" outlineLevel="0" collapsed="false">
      <c r="E1510" s="25"/>
      <c r="M1510" s="26" t="str">
        <f aca="false">IF($A1510="","",$L1510*$U1510/100)</f>
        <v/>
      </c>
      <c r="W1510" s="26" t="str">
        <f aca="false">IF($A1510="","",U1510*AB1510/100)</f>
        <v/>
      </c>
      <c r="X1510" s="26" t="str">
        <f aca="false">IF($A1510="","",U1510-W1510)</f>
        <v/>
      </c>
      <c r="Y1510" s="26" t="str">
        <f aca="false">IF($A1510="","",U1510-W1510-M1510)</f>
        <v/>
      </c>
      <c r="AB1510" s="27" t="str">
        <f aca="false">IF($A1510="","",IF($AK1510=1,'كشف المطالبة'!$D$5,'كشف المطالبة'!$D$6)*100)</f>
        <v/>
      </c>
      <c r="AK1510" s="28" t="str">
        <f aca="false">IF($A1510="","",IF(OR($Q1510=TRUE(),$Q1510="TRUE"),1,0))</f>
        <v/>
      </c>
      <c r="AL1510" s="28" t="str">
        <f aca="false">IF($N1510="","",IF(MATCH($N1510,$N$2:$N$3001,0)=ROWS($N$2:$N1510),$N1510,""))</f>
        <v/>
      </c>
    </row>
    <row r="1511" customFormat="false" ht="15" hidden="false" customHeight="false" outlineLevel="0" collapsed="false">
      <c r="E1511" s="25"/>
      <c r="M1511" s="26" t="str">
        <f aca="false">IF($A1511="","",$L1511*$U1511/100)</f>
        <v/>
      </c>
      <c r="W1511" s="26" t="str">
        <f aca="false">IF($A1511="","",U1511*AB1511/100)</f>
        <v/>
      </c>
      <c r="X1511" s="26" t="str">
        <f aca="false">IF($A1511="","",U1511-W1511)</f>
        <v/>
      </c>
      <c r="Y1511" s="26" t="str">
        <f aca="false">IF($A1511="","",U1511-W1511-M1511)</f>
        <v/>
      </c>
      <c r="AB1511" s="27" t="str">
        <f aca="false">IF($A1511="","",IF($AK1511=1,'كشف المطالبة'!$D$5,'كشف المطالبة'!$D$6)*100)</f>
        <v/>
      </c>
      <c r="AK1511" s="28" t="str">
        <f aca="false">IF($A1511="","",IF(OR($Q1511=TRUE(),$Q1511="TRUE"),1,0))</f>
        <v/>
      </c>
      <c r="AL1511" s="28" t="str">
        <f aca="false">IF($N1511="","",IF(MATCH($N1511,$N$2:$N$3001,0)=ROWS($N$2:$N1511),$N1511,""))</f>
        <v/>
      </c>
    </row>
    <row r="1512" customFormat="false" ht="15" hidden="false" customHeight="false" outlineLevel="0" collapsed="false">
      <c r="E1512" s="25"/>
      <c r="M1512" s="26" t="str">
        <f aca="false">IF($A1512="","",$L1512*$U1512/100)</f>
        <v/>
      </c>
      <c r="W1512" s="26" t="str">
        <f aca="false">IF($A1512="","",U1512*AB1512/100)</f>
        <v/>
      </c>
      <c r="X1512" s="26" t="str">
        <f aca="false">IF($A1512="","",U1512-W1512)</f>
        <v/>
      </c>
      <c r="Y1512" s="26" t="str">
        <f aca="false">IF($A1512="","",U1512-W1512-M1512)</f>
        <v/>
      </c>
      <c r="AB1512" s="27" t="str">
        <f aca="false">IF($A1512="","",IF($AK1512=1,'كشف المطالبة'!$D$5,'كشف المطالبة'!$D$6)*100)</f>
        <v/>
      </c>
      <c r="AK1512" s="28" t="str">
        <f aca="false">IF($A1512="","",IF(OR($Q1512=TRUE(),$Q1512="TRUE"),1,0))</f>
        <v/>
      </c>
      <c r="AL1512" s="28" t="str">
        <f aca="false">IF($N1512="","",IF(MATCH($N1512,$N$2:$N$3001,0)=ROWS($N$2:$N1512),$N1512,""))</f>
        <v/>
      </c>
    </row>
    <row r="1513" customFormat="false" ht="15" hidden="false" customHeight="false" outlineLevel="0" collapsed="false">
      <c r="E1513" s="25"/>
      <c r="M1513" s="26" t="str">
        <f aca="false">IF($A1513="","",$L1513*$U1513/100)</f>
        <v/>
      </c>
      <c r="W1513" s="26" t="str">
        <f aca="false">IF($A1513="","",U1513*AB1513/100)</f>
        <v/>
      </c>
      <c r="X1513" s="26" t="str">
        <f aca="false">IF($A1513="","",U1513-W1513)</f>
        <v/>
      </c>
      <c r="Y1513" s="26" t="str">
        <f aca="false">IF($A1513="","",U1513-W1513-M1513)</f>
        <v/>
      </c>
      <c r="AB1513" s="27" t="str">
        <f aca="false">IF($A1513="","",IF($AK1513=1,'كشف المطالبة'!$D$5,'كشف المطالبة'!$D$6)*100)</f>
        <v/>
      </c>
      <c r="AK1513" s="28" t="str">
        <f aca="false">IF($A1513="","",IF(OR($Q1513=TRUE(),$Q1513="TRUE"),1,0))</f>
        <v/>
      </c>
      <c r="AL1513" s="28" t="str">
        <f aca="false">IF($N1513="","",IF(MATCH($N1513,$N$2:$N$3001,0)=ROWS($N$2:$N1513),$N1513,""))</f>
        <v/>
      </c>
    </row>
    <row r="1514" customFormat="false" ht="15" hidden="false" customHeight="false" outlineLevel="0" collapsed="false">
      <c r="E1514" s="25"/>
      <c r="M1514" s="26" t="str">
        <f aca="false">IF($A1514="","",$L1514*$U1514/100)</f>
        <v/>
      </c>
      <c r="W1514" s="26" t="str">
        <f aca="false">IF($A1514="","",U1514*AB1514/100)</f>
        <v/>
      </c>
      <c r="X1514" s="26" t="str">
        <f aca="false">IF($A1514="","",U1514-W1514)</f>
        <v/>
      </c>
      <c r="Y1514" s="26" t="str">
        <f aca="false">IF($A1514="","",U1514-W1514-M1514)</f>
        <v/>
      </c>
      <c r="AB1514" s="27" t="str">
        <f aca="false">IF($A1514="","",IF($AK1514=1,'كشف المطالبة'!$D$5,'كشف المطالبة'!$D$6)*100)</f>
        <v/>
      </c>
      <c r="AK1514" s="28" t="str">
        <f aca="false">IF($A1514="","",IF(OR($Q1514=TRUE(),$Q1514="TRUE"),1,0))</f>
        <v/>
      </c>
      <c r="AL1514" s="28" t="str">
        <f aca="false">IF($N1514="","",IF(MATCH($N1514,$N$2:$N$3001,0)=ROWS($N$2:$N1514),$N1514,""))</f>
        <v/>
      </c>
    </row>
    <row r="1515" customFormat="false" ht="15" hidden="false" customHeight="false" outlineLevel="0" collapsed="false">
      <c r="E1515" s="25"/>
      <c r="M1515" s="26" t="str">
        <f aca="false">IF($A1515="","",$L1515*$U1515/100)</f>
        <v/>
      </c>
      <c r="W1515" s="26" t="str">
        <f aca="false">IF($A1515="","",U1515*AB1515/100)</f>
        <v/>
      </c>
      <c r="X1515" s="26" t="str">
        <f aca="false">IF($A1515="","",U1515-W1515)</f>
        <v/>
      </c>
      <c r="Y1515" s="26" t="str">
        <f aca="false">IF($A1515="","",U1515-W1515-M1515)</f>
        <v/>
      </c>
      <c r="AB1515" s="27" t="str">
        <f aca="false">IF($A1515="","",IF($AK1515=1,'كشف المطالبة'!$D$5,'كشف المطالبة'!$D$6)*100)</f>
        <v/>
      </c>
      <c r="AK1515" s="28" t="str">
        <f aca="false">IF($A1515="","",IF(OR($Q1515=TRUE(),$Q1515="TRUE"),1,0))</f>
        <v/>
      </c>
      <c r="AL1515" s="28" t="str">
        <f aca="false">IF($N1515="","",IF(MATCH($N1515,$N$2:$N$3001,0)=ROWS($N$2:$N1515),$N1515,""))</f>
        <v/>
      </c>
    </row>
    <row r="1516" customFormat="false" ht="15" hidden="false" customHeight="false" outlineLevel="0" collapsed="false">
      <c r="E1516" s="25"/>
      <c r="M1516" s="26" t="str">
        <f aca="false">IF($A1516="","",$L1516*$U1516/100)</f>
        <v/>
      </c>
      <c r="W1516" s="26" t="str">
        <f aca="false">IF($A1516="","",U1516*AB1516/100)</f>
        <v/>
      </c>
      <c r="X1516" s="26" t="str">
        <f aca="false">IF($A1516="","",U1516-W1516)</f>
        <v/>
      </c>
      <c r="Y1516" s="26" t="str">
        <f aca="false">IF($A1516="","",U1516-W1516-M1516)</f>
        <v/>
      </c>
      <c r="AB1516" s="27" t="str">
        <f aca="false">IF($A1516="","",IF($AK1516=1,'كشف المطالبة'!$D$5,'كشف المطالبة'!$D$6)*100)</f>
        <v/>
      </c>
      <c r="AK1516" s="28" t="str">
        <f aca="false">IF($A1516="","",IF(OR($Q1516=TRUE(),$Q1516="TRUE"),1,0))</f>
        <v/>
      </c>
      <c r="AL1516" s="28" t="str">
        <f aca="false">IF($N1516="","",IF(MATCH($N1516,$N$2:$N$3001,0)=ROWS($N$2:$N1516),$N1516,""))</f>
        <v/>
      </c>
    </row>
    <row r="1517" customFormat="false" ht="15" hidden="false" customHeight="false" outlineLevel="0" collapsed="false">
      <c r="E1517" s="25"/>
      <c r="M1517" s="26" t="str">
        <f aca="false">IF($A1517="","",$L1517*$U1517/100)</f>
        <v/>
      </c>
      <c r="W1517" s="26" t="str">
        <f aca="false">IF($A1517="","",U1517*AB1517/100)</f>
        <v/>
      </c>
      <c r="X1517" s="26" t="str">
        <f aca="false">IF($A1517="","",U1517-W1517)</f>
        <v/>
      </c>
      <c r="Y1517" s="26" t="str">
        <f aca="false">IF($A1517="","",U1517-W1517-M1517)</f>
        <v/>
      </c>
      <c r="AB1517" s="27" t="str">
        <f aca="false">IF($A1517="","",IF($AK1517=1,'كشف المطالبة'!$D$5,'كشف المطالبة'!$D$6)*100)</f>
        <v/>
      </c>
      <c r="AK1517" s="28" t="str">
        <f aca="false">IF($A1517="","",IF(OR($Q1517=TRUE(),$Q1517="TRUE"),1,0))</f>
        <v/>
      </c>
      <c r="AL1517" s="28" t="str">
        <f aca="false">IF($N1517="","",IF(MATCH($N1517,$N$2:$N$3001,0)=ROWS($N$2:$N1517),$N1517,""))</f>
        <v/>
      </c>
    </row>
    <row r="1518" customFormat="false" ht="15" hidden="false" customHeight="false" outlineLevel="0" collapsed="false">
      <c r="E1518" s="25"/>
      <c r="M1518" s="26" t="str">
        <f aca="false">IF($A1518="","",$L1518*$U1518/100)</f>
        <v/>
      </c>
      <c r="W1518" s="26" t="str">
        <f aca="false">IF($A1518="","",U1518*AB1518/100)</f>
        <v/>
      </c>
      <c r="X1518" s="26" t="str">
        <f aca="false">IF($A1518="","",U1518-W1518)</f>
        <v/>
      </c>
      <c r="Y1518" s="26" t="str">
        <f aca="false">IF($A1518="","",U1518-W1518-M1518)</f>
        <v/>
      </c>
      <c r="AB1518" s="27" t="str">
        <f aca="false">IF($A1518="","",IF($AK1518=1,'كشف المطالبة'!$D$5,'كشف المطالبة'!$D$6)*100)</f>
        <v/>
      </c>
      <c r="AK1518" s="28" t="str">
        <f aca="false">IF($A1518="","",IF(OR($Q1518=TRUE(),$Q1518="TRUE"),1,0))</f>
        <v/>
      </c>
      <c r="AL1518" s="28" t="str">
        <f aca="false">IF($N1518="","",IF(MATCH($N1518,$N$2:$N$3001,0)=ROWS($N$2:$N1518),$N1518,""))</f>
        <v/>
      </c>
    </row>
    <row r="1519" customFormat="false" ht="15" hidden="false" customHeight="false" outlineLevel="0" collapsed="false">
      <c r="E1519" s="25"/>
      <c r="M1519" s="26" t="str">
        <f aca="false">IF($A1519="","",$L1519*$U1519/100)</f>
        <v/>
      </c>
      <c r="W1519" s="26" t="str">
        <f aca="false">IF($A1519="","",U1519*AB1519/100)</f>
        <v/>
      </c>
      <c r="X1519" s="26" t="str">
        <f aca="false">IF($A1519="","",U1519-W1519)</f>
        <v/>
      </c>
      <c r="Y1519" s="26" t="str">
        <f aca="false">IF($A1519="","",U1519-W1519-M1519)</f>
        <v/>
      </c>
      <c r="AB1519" s="27" t="str">
        <f aca="false">IF($A1519="","",IF($AK1519=1,'كشف المطالبة'!$D$5,'كشف المطالبة'!$D$6)*100)</f>
        <v/>
      </c>
      <c r="AK1519" s="28" t="str">
        <f aca="false">IF($A1519="","",IF(OR($Q1519=TRUE(),$Q1519="TRUE"),1,0))</f>
        <v/>
      </c>
      <c r="AL1519" s="28" t="str">
        <f aca="false">IF($N1519="","",IF(MATCH($N1519,$N$2:$N$3001,0)=ROWS($N$2:$N1519),$N1519,""))</f>
        <v/>
      </c>
    </row>
    <row r="1520" customFormat="false" ht="15" hidden="false" customHeight="false" outlineLevel="0" collapsed="false">
      <c r="E1520" s="25"/>
      <c r="M1520" s="26" t="str">
        <f aca="false">IF($A1520="","",$L1520*$U1520/100)</f>
        <v/>
      </c>
      <c r="W1520" s="26" t="str">
        <f aca="false">IF($A1520="","",U1520*AB1520/100)</f>
        <v/>
      </c>
      <c r="X1520" s="26" t="str">
        <f aca="false">IF($A1520="","",U1520-W1520)</f>
        <v/>
      </c>
      <c r="Y1520" s="26" t="str">
        <f aca="false">IF($A1520="","",U1520-W1520-M1520)</f>
        <v/>
      </c>
      <c r="AB1520" s="27" t="str">
        <f aca="false">IF($A1520="","",IF($AK1520=1,'كشف المطالبة'!$D$5,'كشف المطالبة'!$D$6)*100)</f>
        <v/>
      </c>
      <c r="AK1520" s="28" t="str">
        <f aca="false">IF($A1520="","",IF(OR($Q1520=TRUE(),$Q1520="TRUE"),1,0))</f>
        <v/>
      </c>
      <c r="AL1520" s="28" t="str">
        <f aca="false">IF($N1520="","",IF(MATCH($N1520,$N$2:$N$3001,0)=ROWS($N$2:$N1520),$N1520,""))</f>
        <v/>
      </c>
    </row>
    <row r="1521" customFormat="false" ht="15" hidden="false" customHeight="false" outlineLevel="0" collapsed="false">
      <c r="E1521" s="25"/>
      <c r="M1521" s="26" t="str">
        <f aca="false">IF($A1521="","",$L1521*$U1521/100)</f>
        <v/>
      </c>
      <c r="W1521" s="26" t="str">
        <f aca="false">IF($A1521="","",U1521*AB1521/100)</f>
        <v/>
      </c>
      <c r="X1521" s="26" t="str">
        <f aca="false">IF($A1521="","",U1521-W1521)</f>
        <v/>
      </c>
      <c r="Y1521" s="26" t="str">
        <f aca="false">IF($A1521="","",U1521-W1521-M1521)</f>
        <v/>
      </c>
      <c r="AB1521" s="27" t="str">
        <f aca="false">IF($A1521="","",IF($AK1521=1,'كشف المطالبة'!$D$5,'كشف المطالبة'!$D$6)*100)</f>
        <v/>
      </c>
      <c r="AK1521" s="28" t="str">
        <f aca="false">IF($A1521="","",IF(OR($Q1521=TRUE(),$Q1521="TRUE"),1,0))</f>
        <v/>
      </c>
      <c r="AL1521" s="28" t="str">
        <f aca="false">IF($N1521="","",IF(MATCH($N1521,$N$2:$N$3001,0)=ROWS($N$2:$N1521),$N1521,""))</f>
        <v/>
      </c>
    </row>
    <row r="1522" customFormat="false" ht="15" hidden="false" customHeight="false" outlineLevel="0" collapsed="false">
      <c r="E1522" s="25"/>
      <c r="M1522" s="26" t="str">
        <f aca="false">IF($A1522="","",$L1522*$U1522/100)</f>
        <v/>
      </c>
      <c r="W1522" s="26" t="str">
        <f aca="false">IF($A1522="","",U1522*AB1522/100)</f>
        <v/>
      </c>
      <c r="X1522" s="26" t="str">
        <f aca="false">IF($A1522="","",U1522-W1522)</f>
        <v/>
      </c>
      <c r="Y1522" s="26" t="str">
        <f aca="false">IF($A1522="","",U1522-W1522-M1522)</f>
        <v/>
      </c>
      <c r="AB1522" s="27" t="str">
        <f aca="false">IF($A1522="","",IF($AK1522=1,'كشف المطالبة'!$D$5,'كشف المطالبة'!$D$6)*100)</f>
        <v/>
      </c>
      <c r="AK1522" s="28" t="str">
        <f aca="false">IF($A1522="","",IF(OR($Q1522=TRUE(),$Q1522="TRUE"),1,0))</f>
        <v/>
      </c>
      <c r="AL1522" s="28" t="str">
        <f aca="false">IF($N1522="","",IF(MATCH($N1522,$N$2:$N$3001,0)=ROWS($N$2:$N1522),$N1522,""))</f>
        <v/>
      </c>
    </row>
    <row r="1523" customFormat="false" ht="15" hidden="false" customHeight="false" outlineLevel="0" collapsed="false">
      <c r="E1523" s="25"/>
      <c r="M1523" s="26" t="str">
        <f aca="false">IF($A1523="","",$L1523*$U1523/100)</f>
        <v/>
      </c>
      <c r="W1523" s="26" t="str">
        <f aca="false">IF($A1523="","",U1523*AB1523/100)</f>
        <v/>
      </c>
      <c r="X1523" s="26" t="str">
        <f aca="false">IF($A1523="","",U1523-W1523)</f>
        <v/>
      </c>
      <c r="Y1523" s="26" t="str">
        <f aca="false">IF($A1523="","",U1523-W1523-M1523)</f>
        <v/>
      </c>
      <c r="AB1523" s="27" t="str">
        <f aca="false">IF($A1523="","",IF($AK1523=1,'كشف المطالبة'!$D$5,'كشف المطالبة'!$D$6)*100)</f>
        <v/>
      </c>
      <c r="AK1523" s="28" t="str">
        <f aca="false">IF($A1523="","",IF(OR($Q1523=TRUE(),$Q1523="TRUE"),1,0))</f>
        <v/>
      </c>
      <c r="AL1523" s="28" t="str">
        <f aca="false">IF($N1523="","",IF(MATCH($N1523,$N$2:$N$3001,0)=ROWS($N$2:$N1523),$N1523,""))</f>
        <v/>
      </c>
    </row>
    <row r="1524" customFormat="false" ht="15" hidden="false" customHeight="false" outlineLevel="0" collapsed="false">
      <c r="E1524" s="25"/>
      <c r="M1524" s="26" t="str">
        <f aca="false">IF($A1524="","",$L1524*$U1524/100)</f>
        <v/>
      </c>
      <c r="W1524" s="26" t="str">
        <f aca="false">IF($A1524="","",U1524*AB1524/100)</f>
        <v/>
      </c>
      <c r="X1524" s="26" t="str">
        <f aca="false">IF($A1524="","",U1524-W1524)</f>
        <v/>
      </c>
      <c r="Y1524" s="26" t="str">
        <f aca="false">IF($A1524="","",U1524-W1524-M1524)</f>
        <v/>
      </c>
      <c r="AB1524" s="27" t="str">
        <f aca="false">IF($A1524="","",IF($AK1524=1,'كشف المطالبة'!$D$5,'كشف المطالبة'!$D$6)*100)</f>
        <v/>
      </c>
      <c r="AK1524" s="28" t="str">
        <f aca="false">IF($A1524="","",IF(OR($Q1524=TRUE(),$Q1524="TRUE"),1,0))</f>
        <v/>
      </c>
      <c r="AL1524" s="28" t="str">
        <f aca="false">IF($N1524="","",IF(MATCH($N1524,$N$2:$N$3001,0)=ROWS($N$2:$N1524),$N1524,""))</f>
        <v/>
      </c>
    </row>
    <row r="1525" customFormat="false" ht="15" hidden="false" customHeight="false" outlineLevel="0" collapsed="false">
      <c r="E1525" s="25"/>
      <c r="M1525" s="26" t="str">
        <f aca="false">IF($A1525="","",$L1525*$U1525/100)</f>
        <v/>
      </c>
      <c r="W1525" s="26" t="str">
        <f aca="false">IF($A1525="","",U1525*AB1525/100)</f>
        <v/>
      </c>
      <c r="X1525" s="26" t="str">
        <f aca="false">IF($A1525="","",U1525-W1525)</f>
        <v/>
      </c>
      <c r="Y1525" s="26" t="str">
        <f aca="false">IF($A1525="","",U1525-W1525-M1525)</f>
        <v/>
      </c>
      <c r="AB1525" s="27" t="str">
        <f aca="false">IF($A1525="","",IF($AK1525=1,'كشف المطالبة'!$D$5,'كشف المطالبة'!$D$6)*100)</f>
        <v/>
      </c>
      <c r="AK1525" s="28" t="str">
        <f aca="false">IF($A1525="","",IF(OR($Q1525=TRUE(),$Q1525="TRUE"),1,0))</f>
        <v/>
      </c>
      <c r="AL1525" s="28" t="str">
        <f aca="false">IF($N1525="","",IF(MATCH($N1525,$N$2:$N$3001,0)=ROWS($N$2:$N1525),$N1525,""))</f>
        <v/>
      </c>
    </row>
    <row r="1526" customFormat="false" ht="15" hidden="false" customHeight="false" outlineLevel="0" collapsed="false">
      <c r="E1526" s="25"/>
      <c r="M1526" s="26" t="str">
        <f aca="false">IF($A1526="","",$L1526*$U1526/100)</f>
        <v/>
      </c>
      <c r="W1526" s="26" t="str">
        <f aca="false">IF($A1526="","",U1526*AB1526/100)</f>
        <v/>
      </c>
      <c r="X1526" s="26" t="str">
        <f aca="false">IF($A1526="","",U1526-W1526)</f>
        <v/>
      </c>
      <c r="Y1526" s="26" t="str">
        <f aca="false">IF($A1526="","",U1526-W1526-M1526)</f>
        <v/>
      </c>
      <c r="AB1526" s="27" t="str">
        <f aca="false">IF($A1526="","",IF($AK1526=1,'كشف المطالبة'!$D$5,'كشف المطالبة'!$D$6)*100)</f>
        <v/>
      </c>
      <c r="AK1526" s="28" t="str">
        <f aca="false">IF($A1526="","",IF(OR($Q1526=TRUE(),$Q1526="TRUE"),1,0))</f>
        <v/>
      </c>
      <c r="AL1526" s="28" t="str">
        <f aca="false">IF($N1526="","",IF(MATCH($N1526,$N$2:$N$3001,0)=ROWS($N$2:$N1526),$N1526,""))</f>
        <v/>
      </c>
    </row>
    <row r="1527" customFormat="false" ht="15" hidden="false" customHeight="false" outlineLevel="0" collapsed="false">
      <c r="E1527" s="25"/>
      <c r="M1527" s="26" t="str">
        <f aca="false">IF($A1527="","",$L1527*$U1527/100)</f>
        <v/>
      </c>
      <c r="W1527" s="26" t="str">
        <f aca="false">IF($A1527="","",U1527*AB1527/100)</f>
        <v/>
      </c>
      <c r="X1527" s="26" t="str">
        <f aca="false">IF($A1527="","",U1527-W1527)</f>
        <v/>
      </c>
      <c r="Y1527" s="26" t="str">
        <f aca="false">IF($A1527="","",U1527-W1527-M1527)</f>
        <v/>
      </c>
      <c r="AB1527" s="27" t="str">
        <f aca="false">IF($A1527="","",IF($AK1527=1,'كشف المطالبة'!$D$5,'كشف المطالبة'!$D$6)*100)</f>
        <v/>
      </c>
      <c r="AK1527" s="28" t="str">
        <f aca="false">IF($A1527="","",IF(OR($Q1527=TRUE(),$Q1527="TRUE"),1,0))</f>
        <v/>
      </c>
      <c r="AL1527" s="28" t="str">
        <f aca="false">IF($N1527="","",IF(MATCH($N1527,$N$2:$N$3001,0)=ROWS($N$2:$N1527),$N1527,""))</f>
        <v/>
      </c>
    </row>
    <row r="1528" customFormat="false" ht="15" hidden="false" customHeight="false" outlineLevel="0" collapsed="false">
      <c r="E1528" s="25"/>
      <c r="M1528" s="26" t="str">
        <f aca="false">IF($A1528="","",$L1528*$U1528/100)</f>
        <v/>
      </c>
      <c r="W1528" s="26" t="str">
        <f aca="false">IF($A1528="","",U1528*AB1528/100)</f>
        <v/>
      </c>
      <c r="X1528" s="26" t="str">
        <f aca="false">IF($A1528="","",U1528-W1528)</f>
        <v/>
      </c>
      <c r="Y1528" s="26" t="str">
        <f aca="false">IF($A1528="","",U1528-W1528-M1528)</f>
        <v/>
      </c>
      <c r="AB1528" s="27" t="str">
        <f aca="false">IF($A1528="","",IF($AK1528=1,'كشف المطالبة'!$D$5,'كشف المطالبة'!$D$6)*100)</f>
        <v/>
      </c>
      <c r="AK1528" s="28" t="str">
        <f aca="false">IF($A1528="","",IF(OR($Q1528=TRUE(),$Q1528="TRUE"),1,0))</f>
        <v/>
      </c>
      <c r="AL1528" s="28" t="str">
        <f aca="false">IF($N1528="","",IF(MATCH($N1528,$N$2:$N$3001,0)=ROWS($N$2:$N1528),$N1528,""))</f>
        <v/>
      </c>
    </row>
    <row r="1529" customFormat="false" ht="15" hidden="false" customHeight="false" outlineLevel="0" collapsed="false">
      <c r="E1529" s="25"/>
      <c r="M1529" s="26" t="str">
        <f aca="false">IF($A1529="","",$L1529*$U1529/100)</f>
        <v/>
      </c>
      <c r="W1529" s="26" t="str">
        <f aca="false">IF($A1529="","",U1529*AB1529/100)</f>
        <v/>
      </c>
      <c r="X1529" s="26" t="str">
        <f aca="false">IF($A1529="","",U1529-W1529)</f>
        <v/>
      </c>
      <c r="Y1529" s="26" t="str">
        <f aca="false">IF($A1529="","",U1529-W1529-M1529)</f>
        <v/>
      </c>
      <c r="AB1529" s="27" t="str">
        <f aca="false">IF($A1529="","",IF($AK1529=1,'كشف المطالبة'!$D$5,'كشف المطالبة'!$D$6)*100)</f>
        <v/>
      </c>
      <c r="AK1529" s="28" t="str">
        <f aca="false">IF($A1529="","",IF(OR($Q1529=TRUE(),$Q1529="TRUE"),1,0))</f>
        <v/>
      </c>
      <c r="AL1529" s="28" t="str">
        <f aca="false">IF($N1529="","",IF(MATCH($N1529,$N$2:$N$3001,0)=ROWS($N$2:$N1529),$N1529,""))</f>
        <v/>
      </c>
    </row>
    <row r="1530" customFormat="false" ht="15" hidden="false" customHeight="false" outlineLevel="0" collapsed="false">
      <c r="E1530" s="25"/>
      <c r="M1530" s="26" t="str">
        <f aca="false">IF($A1530="","",$L1530*$U1530/100)</f>
        <v/>
      </c>
      <c r="W1530" s="26" t="str">
        <f aca="false">IF($A1530="","",U1530*AB1530/100)</f>
        <v/>
      </c>
      <c r="X1530" s="26" t="str">
        <f aca="false">IF($A1530="","",U1530-W1530)</f>
        <v/>
      </c>
      <c r="Y1530" s="26" t="str">
        <f aca="false">IF($A1530="","",U1530-W1530-M1530)</f>
        <v/>
      </c>
      <c r="AB1530" s="27" t="str">
        <f aca="false">IF($A1530="","",IF($AK1530=1,'كشف المطالبة'!$D$5,'كشف المطالبة'!$D$6)*100)</f>
        <v/>
      </c>
      <c r="AK1530" s="28" t="str">
        <f aca="false">IF($A1530="","",IF(OR($Q1530=TRUE(),$Q1530="TRUE"),1,0))</f>
        <v/>
      </c>
      <c r="AL1530" s="28" t="str">
        <f aca="false">IF($N1530="","",IF(MATCH($N1530,$N$2:$N$3001,0)=ROWS($N$2:$N1530),$N1530,""))</f>
        <v/>
      </c>
    </row>
    <row r="1531" customFormat="false" ht="15" hidden="false" customHeight="false" outlineLevel="0" collapsed="false">
      <c r="E1531" s="25"/>
      <c r="M1531" s="26" t="str">
        <f aca="false">IF($A1531="","",$L1531*$U1531/100)</f>
        <v/>
      </c>
      <c r="W1531" s="26" t="str">
        <f aca="false">IF($A1531="","",U1531*AB1531/100)</f>
        <v/>
      </c>
      <c r="X1531" s="26" t="str">
        <f aca="false">IF($A1531="","",U1531-W1531)</f>
        <v/>
      </c>
      <c r="Y1531" s="26" t="str">
        <f aca="false">IF($A1531="","",U1531-W1531-M1531)</f>
        <v/>
      </c>
      <c r="AB1531" s="27" t="str">
        <f aca="false">IF($A1531="","",IF($AK1531=1,'كشف المطالبة'!$D$5,'كشف المطالبة'!$D$6)*100)</f>
        <v/>
      </c>
      <c r="AK1531" s="28" t="str">
        <f aca="false">IF($A1531="","",IF(OR($Q1531=TRUE(),$Q1531="TRUE"),1,0))</f>
        <v/>
      </c>
      <c r="AL1531" s="28" t="str">
        <f aca="false">IF($N1531="","",IF(MATCH($N1531,$N$2:$N$3001,0)=ROWS($N$2:$N1531),$N1531,""))</f>
        <v/>
      </c>
    </row>
    <row r="1532" customFormat="false" ht="15" hidden="false" customHeight="false" outlineLevel="0" collapsed="false">
      <c r="E1532" s="25"/>
      <c r="M1532" s="26" t="str">
        <f aca="false">IF($A1532="","",$L1532*$U1532/100)</f>
        <v/>
      </c>
      <c r="W1532" s="26" t="str">
        <f aca="false">IF($A1532="","",U1532*AB1532/100)</f>
        <v/>
      </c>
      <c r="X1532" s="26" t="str">
        <f aca="false">IF($A1532="","",U1532-W1532)</f>
        <v/>
      </c>
      <c r="Y1532" s="26" t="str">
        <f aca="false">IF($A1532="","",U1532-W1532-M1532)</f>
        <v/>
      </c>
      <c r="AB1532" s="27" t="str">
        <f aca="false">IF($A1532="","",IF($AK1532=1,'كشف المطالبة'!$D$5,'كشف المطالبة'!$D$6)*100)</f>
        <v/>
      </c>
      <c r="AK1532" s="28" t="str">
        <f aca="false">IF($A1532="","",IF(OR($Q1532=TRUE(),$Q1532="TRUE"),1,0))</f>
        <v/>
      </c>
      <c r="AL1532" s="28" t="str">
        <f aca="false">IF($N1532="","",IF(MATCH($N1532,$N$2:$N$3001,0)=ROWS($N$2:$N1532),$N1532,""))</f>
        <v/>
      </c>
    </row>
    <row r="1533" customFormat="false" ht="15" hidden="false" customHeight="false" outlineLevel="0" collapsed="false">
      <c r="E1533" s="25"/>
      <c r="M1533" s="26" t="str">
        <f aca="false">IF($A1533="","",$L1533*$U1533/100)</f>
        <v/>
      </c>
      <c r="W1533" s="26" t="str">
        <f aca="false">IF($A1533="","",U1533*AB1533/100)</f>
        <v/>
      </c>
      <c r="X1533" s="26" t="str">
        <f aca="false">IF($A1533="","",U1533-W1533)</f>
        <v/>
      </c>
      <c r="Y1533" s="26" t="str">
        <f aca="false">IF($A1533="","",U1533-W1533-M1533)</f>
        <v/>
      </c>
      <c r="AB1533" s="27" t="str">
        <f aca="false">IF($A1533="","",IF($AK1533=1,'كشف المطالبة'!$D$5,'كشف المطالبة'!$D$6)*100)</f>
        <v/>
      </c>
      <c r="AK1533" s="28" t="str">
        <f aca="false">IF($A1533="","",IF(OR($Q1533=TRUE(),$Q1533="TRUE"),1,0))</f>
        <v/>
      </c>
      <c r="AL1533" s="28" t="str">
        <f aca="false">IF($N1533="","",IF(MATCH($N1533,$N$2:$N$3001,0)=ROWS($N$2:$N1533),$N1533,""))</f>
        <v/>
      </c>
    </row>
    <row r="1534" customFormat="false" ht="15" hidden="false" customHeight="false" outlineLevel="0" collapsed="false">
      <c r="E1534" s="25"/>
      <c r="M1534" s="26" t="str">
        <f aca="false">IF($A1534="","",$L1534*$U1534/100)</f>
        <v/>
      </c>
      <c r="W1534" s="26" t="str">
        <f aca="false">IF($A1534="","",U1534*AB1534/100)</f>
        <v/>
      </c>
      <c r="X1534" s="26" t="str">
        <f aca="false">IF($A1534="","",U1534-W1534)</f>
        <v/>
      </c>
      <c r="Y1534" s="26" t="str">
        <f aca="false">IF($A1534="","",U1534-W1534-M1534)</f>
        <v/>
      </c>
      <c r="AB1534" s="27" t="str">
        <f aca="false">IF($A1534="","",IF($AK1534=1,'كشف المطالبة'!$D$5,'كشف المطالبة'!$D$6)*100)</f>
        <v/>
      </c>
      <c r="AK1534" s="28" t="str">
        <f aca="false">IF($A1534="","",IF(OR($Q1534=TRUE(),$Q1534="TRUE"),1,0))</f>
        <v/>
      </c>
      <c r="AL1534" s="28" t="str">
        <f aca="false">IF($N1534="","",IF(MATCH($N1534,$N$2:$N$3001,0)=ROWS($N$2:$N1534),$N1534,""))</f>
        <v/>
      </c>
    </row>
    <row r="1535" customFormat="false" ht="15" hidden="false" customHeight="false" outlineLevel="0" collapsed="false">
      <c r="E1535" s="25"/>
      <c r="M1535" s="26" t="str">
        <f aca="false">IF($A1535="","",$L1535*$U1535/100)</f>
        <v/>
      </c>
      <c r="W1535" s="26" t="str">
        <f aca="false">IF($A1535="","",U1535*AB1535/100)</f>
        <v/>
      </c>
      <c r="X1535" s="26" t="str">
        <f aca="false">IF($A1535="","",U1535-W1535)</f>
        <v/>
      </c>
      <c r="Y1535" s="26" t="str">
        <f aca="false">IF($A1535="","",U1535-W1535-M1535)</f>
        <v/>
      </c>
      <c r="AB1535" s="27" t="str">
        <f aca="false">IF($A1535="","",IF($AK1535=1,'كشف المطالبة'!$D$5,'كشف المطالبة'!$D$6)*100)</f>
        <v/>
      </c>
      <c r="AK1535" s="28" t="str">
        <f aca="false">IF($A1535="","",IF(OR($Q1535=TRUE(),$Q1535="TRUE"),1,0))</f>
        <v/>
      </c>
      <c r="AL1535" s="28" t="str">
        <f aca="false">IF($N1535="","",IF(MATCH($N1535,$N$2:$N$3001,0)=ROWS($N$2:$N1535),$N1535,""))</f>
        <v/>
      </c>
    </row>
    <row r="1536" customFormat="false" ht="15" hidden="false" customHeight="false" outlineLevel="0" collapsed="false">
      <c r="E1536" s="25"/>
      <c r="M1536" s="26" t="str">
        <f aca="false">IF($A1536="","",$L1536*$U1536/100)</f>
        <v/>
      </c>
      <c r="W1536" s="26" t="str">
        <f aca="false">IF($A1536="","",U1536*AB1536/100)</f>
        <v/>
      </c>
      <c r="X1536" s="26" t="str">
        <f aca="false">IF($A1536="","",U1536-W1536)</f>
        <v/>
      </c>
      <c r="Y1536" s="26" t="str">
        <f aca="false">IF($A1536="","",U1536-W1536-M1536)</f>
        <v/>
      </c>
      <c r="AB1536" s="27" t="str">
        <f aca="false">IF($A1536="","",IF($AK1536=1,'كشف المطالبة'!$D$5,'كشف المطالبة'!$D$6)*100)</f>
        <v/>
      </c>
      <c r="AK1536" s="28" t="str">
        <f aca="false">IF($A1536="","",IF(OR($Q1536=TRUE(),$Q1536="TRUE"),1,0))</f>
        <v/>
      </c>
      <c r="AL1536" s="28" t="str">
        <f aca="false">IF($N1536="","",IF(MATCH($N1536,$N$2:$N$3001,0)=ROWS($N$2:$N1536),$N1536,""))</f>
        <v/>
      </c>
    </row>
    <row r="1537" customFormat="false" ht="15" hidden="false" customHeight="false" outlineLevel="0" collapsed="false">
      <c r="E1537" s="25"/>
      <c r="M1537" s="26" t="str">
        <f aca="false">IF($A1537="","",$L1537*$U1537/100)</f>
        <v/>
      </c>
      <c r="W1537" s="26" t="str">
        <f aca="false">IF($A1537="","",U1537*AB1537/100)</f>
        <v/>
      </c>
      <c r="X1537" s="26" t="str">
        <f aca="false">IF($A1537="","",U1537-W1537)</f>
        <v/>
      </c>
      <c r="Y1537" s="26" t="str">
        <f aca="false">IF($A1537="","",U1537-W1537-M1537)</f>
        <v/>
      </c>
      <c r="AB1537" s="27" t="str">
        <f aca="false">IF($A1537="","",IF($AK1537=1,'كشف المطالبة'!$D$5,'كشف المطالبة'!$D$6)*100)</f>
        <v/>
      </c>
      <c r="AK1537" s="28" t="str">
        <f aca="false">IF($A1537="","",IF(OR($Q1537=TRUE(),$Q1537="TRUE"),1,0))</f>
        <v/>
      </c>
      <c r="AL1537" s="28" t="str">
        <f aca="false">IF($N1537="","",IF(MATCH($N1537,$N$2:$N$3001,0)=ROWS($N$2:$N1537),$N1537,""))</f>
        <v/>
      </c>
    </row>
    <row r="1538" customFormat="false" ht="15" hidden="false" customHeight="false" outlineLevel="0" collapsed="false">
      <c r="E1538" s="25"/>
      <c r="M1538" s="26" t="str">
        <f aca="false">IF($A1538="","",$L1538*$U1538/100)</f>
        <v/>
      </c>
      <c r="W1538" s="26" t="str">
        <f aca="false">IF($A1538="","",U1538*AB1538/100)</f>
        <v/>
      </c>
      <c r="X1538" s="26" t="str">
        <f aca="false">IF($A1538="","",U1538-W1538)</f>
        <v/>
      </c>
      <c r="Y1538" s="26" t="str">
        <f aca="false">IF($A1538="","",U1538-W1538-M1538)</f>
        <v/>
      </c>
      <c r="AB1538" s="27" t="str">
        <f aca="false">IF($A1538="","",IF($AK1538=1,'كشف المطالبة'!$D$5,'كشف المطالبة'!$D$6)*100)</f>
        <v/>
      </c>
      <c r="AK1538" s="28" t="str">
        <f aca="false">IF($A1538="","",IF(OR($Q1538=TRUE(),$Q1538="TRUE"),1,0))</f>
        <v/>
      </c>
      <c r="AL1538" s="28" t="str">
        <f aca="false">IF($N1538="","",IF(MATCH($N1538,$N$2:$N$3001,0)=ROWS($N$2:$N1538),$N1538,""))</f>
        <v/>
      </c>
    </row>
    <row r="1539" customFormat="false" ht="15" hidden="false" customHeight="false" outlineLevel="0" collapsed="false">
      <c r="E1539" s="25"/>
      <c r="M1539" s="26" t="str">
        <f aca="false">IF($A1539="","",$L1539*$U1539/100)</f>
        <v/>
      </c>
      <c r="W1539" s="26" t="str">
        <f aca="false">IF($A1539="","",U1539*AB1539/100)</f>
        <v/>
      </c>
      <c r="X1539" s="26" t="str">
        <f aca="false">IF($A1539="","",U1539-W1539)</f>
        <v/>
      </c>
      <c r="Y1539" s="26" t="str">
        <f aca="false">IF($A1539="","",U1539-W1539-M1539)</f>
        <v/>
      </c>
      <c r="AB1539" s="27" t="str">
        <f aca="false">IF($A1539="","",IF($AK1539=1,'كشف المطالبة'!$D$5,'كشف المطالبة'!$D$6)*100)</f>
        <v/>
      </c>
      <c r="AK1539" s="28" t="str">
        <f aca="false">IF($A1539="","",IF(OR($Q1539=TRUE(),$Q1539="TRUE"),1,0))</f>
        <v/>
      </c>
      <c r="AL1539" s="28" t="str">
        <f aca="false">IF($N1539="","",IF(MATCH($N1539,$N$2:$N$3001,0)=ROWS($N$2:$N1539),$N1539,""))</f>
        <v/>
      </c>
    </row>
    <row r="1540" customFormat="false" ht="15" hidden="false" customHeight="false" outlineLevel="0" collapsed="false">
      <c r="E1540" s="25"/>
      <c r="M1540" s="26" t="str">
        <f aca="false">IF($A1540="","",$L1540*$U1540/100)</f>
        <v/>
      </c>
      <c r="W1540" s="26" t="str">
        <f aca="false">IF($A1540="","",U1540*AB1540/100)</f>
        <v/>
      </c>
      <c r="X1540" s="26" t="str">
        <f aca="false">IF($A1540="","",U1540-W1540)</f>
        <v/>
      </c>
      <c r="Y1540" s="26" t="str">
        <f aca="false">IF($A1540="","",U1540-W1540-M1540)</f>
        <v/>
      </c>
      <c r="AB1540" s="27" t="str">
        <f aca="false">IF($A1540="","",IF($AK1540=1,'كشف المطالبة'!$D$5,'كشف المطالبة'!$D$6)*100)</f>
        <v/>
      </c>
      <c r="AK1540" s="28" t="str">
        <f aca="false">IF($A1540="","",IF(OR($Q1540=TRUE(),$Q1540="TRUE"),1,0))</f>
        <v/>
      </c>
      <c r="AL1540" s="28" t="str">
        <f aca="false">IF($N1540="","",IF(MATCH($N1540,$N$2:$N$3001,0)=ROWS($N$2:$N1540),$N1540,""))</f>
        <v/>
      </c>
    </row>
    <row r="1541" customFormat="false" ht="15" hidden="false" customHeight="false" outlineLevel="0" collapsed="false">
      <c r="E1541" s="25"/>
      <c r="M1541" s="26" t="str">
        <f aca="false">IF($A1541="","",$L1541*$U1541/100)</f>
        <v/>
      </c>
      <c r="W1541" s="26" t="str">
        <f aca="false">IF($A1541="","",U1541*AB1541/100)</f>
        <v/>
      </c>
      <c r="X1541" s="26" t="str">
        <f aca="false">IF($A1541="","",U1541-W1541)</f>
        <v/>
      </c>
      <c r="Y1541" s="26" t="str">
        <f aca="false">IF($A1541="","",U1541-W1541-M1541)</f>
        <v/>
      </c>
      <c r="AB1541" s="27" t="str">
        <f aca="false">IF($A1541="","",IF($AK1541=1,'كشف المطالبة'!$D$5,'كشف المطالبة'!$D$6)*100)</f>
        <v/>
      </c>
      <c r="AK1541" s="28" t="str">
        <f aca="false">IF($A1541="","",IF(OR($Q1541=TRUE(),$Q1541="TRUE"),1,0))</f>
        <v/>
      </c>
      <c r="AL1541" s="28" t="str">
        <f aca="false">IF($N1541="","",IF(MATCH($N1541,$N$2:$N$3001,0)=ROWS($N$2:$N1541),$N1541,""))</f>
        <v/>
      </c>
    </row>
    <row r="1542" customFormat="false" ht="15" hidden="false" customHeight="false" outlineLevel="0" collapsed="false">
      <c r="E1542" s="25"/>
      <c r="M1542" s="26" t="str">
        <f aca="false">IF($A1542="","",$L1542*$U1542/100)</f>
        <v/>
      </c>
      <c r="W1542" s="26" t="str">
        <f aca="false">IF($A1542="","",U1542*AB1542/100)</f>
        <v/>
      </c>
      <c r="X1542" s="26" t="str">
        <f aca="false">IF($A1542="","",U1542-W1542)</f>
        <v/>
      </c>
      <c r="Y1542" s="26" t="str">
        <f aca="false">IF($A1542="","",U1542-W1542-M1542)</f>
        <v/>
      </c>
      <c r="AB1542" s="27" t="str">
        <f aca="false">IF($A1542="","",IF($AK1542=1,'كشف المطالبة'!$D$5,'كشف المطالبة'!$D$6)*100)</f>
        <v/>
      </c>
      <c r="AK1542" s="28" t="str">
        <f aca="false">IF($A1542="","",IF(OR($Q1542=TRUE(),$Q1542="TRUE"),1,0))</f>
        <v/>
      </c>
      <c r="AL1542" s="28" t="str">
        <f aca="false">IF($N1542="","",IF(MATCH($N1542,$N$2:$N$3001,0)=ROWS($N$2:$N1542),$N1542,""))</f>
        <v/>
      </c>
    </row>
    <row r="1543" customFormat="false" ht="15" hidden="false" customHeight="false" outlineLevel="0" collapsed="false">
      <c r="E1543" s="25"/>
      <c r="M1543" s="26" t="str">
        <f aca="false">IF($A1543="","",$L1543*$U1543/100)</f>
        <v/>
      </c>
      <c r="W1543" s="26" t="str">
        <f aca="false">IF($A1543="","",U1543*AB1543/100)</f>
        <v/>
      </c>
      <c r="X1543" s="26" t="str">
        <f aca="false">IF($A1543="","",U1543-W1543)</f>
        <v/>
      </c>
      <c r="Y1543" s="26" t="str">
        <f aca="false">IF($A1543="","",U1543-W1543-M1543)</f>
        <v/>
      </c>
      <c r="AB1543" s="27" t="str">
        <f aca="false">IF($A1543="","",IF($AK1543=1,'كشف المطالبة'!$D$5,'كشف المطالبة'!$D$6)*100)</f>
        <v/>
      </c>
      <c r="AK1543" s="28" t="str">
        <f aca="false">IF($A1543="","",IF(OR($Q1543=TRUE(),$Q1543="TRUE"),1,0))</f>
        <v/>
      </c>
      <c r="AL1543" s="28" t="str">
        <f aca="false">IF($N1543="","",IF(MATCH($N1543,$N$2:$N$3001,0)=ROWS($N$2:$N1543),$N1543,""))</f>
        <v/>
      </c>
    </row>
    <row r="1544" customFormat="false" ht="15" hidden="false" customHeight="false" outlineLevel="0" collapsed="false">
      <c r="E1544" s="25"/>
      <c r="M1544" s="26" t="str">
        <f aca="false">IF($A1544="","",$L1544*$U1544/100)</f>
        <v/>
      </c>
      <c r="W1544" s="26" t="str">
        <f aca="false">IF($A1544="","",U1544*AB1544/100)</f>
        <v/>
      </c>
      <c r="X1544" s="26" t="str">
        <f aca="false">IF($A1544="","",U1544-W1544)</f>
        <v/>
      </c>
      <c r="Y1544" s="26" t="str">
        <f aca="false">IF($A1544="","",U1544-W1544-M1544)</f>
        <v/>
      </c>
      <c r="AB1544" s="27" t="str">
        <f aca="false">IF($A1544="","",IF($AK1544=1,'كشف المطالبة'!$D$5,'كشف المطالبة'!$D$6)*100)</f>
        <v/>
      </c>
      <c r="AK1544" s="28" t="str">
        <f aca="false">IF($A1544="","",IF(OR($Q1544=TRUE(),$Q1544="TRUE"),1,0))</f>
        <v/>
      </c>
      <c r="AL1544" s="28" t="str">
        <f aca="false">IF($N1544="","",IF(MATCH($N1544,$N$2:$N$3001,0)=ROWS($N$2:$N1544),$N1544,""))</f>
        <v/>
      </c>
    </row>
    <row r="1545" customFormat="false" ht="15" hidden="false" customHeight="false" outlineLevel="0" collapsed="false">
      <c r="E1545" s="25"/>
      <c r="M1545" s="26" t="str">
        <f aca="false">IF($A1545="","",$L1545*$U1545/100)</f>
        <v/>
      </c>
      <c r="W1545" s="26" t="str">
        <f aca="false">IF($A1545="","",U1545*AB1545/100)</f>
        <v/>
      </c>
      <c r="X1545" s="26" t="str">
        <f aca="false">IF($A1545="","",U1545-W1545)</f>
        <v/>
      </c>
      <c r="Y1545" s="26" t="str">
        <f aca="false">IF($A1545="","",U1545-W1545-M1545)</f>
        <v/>
      </c>
      <c r="AB1545" s="27" t="str">
        <f aca="false">IF($A1545="","",IF($AK1545=1,'كشف المطالبة'!$D$5,'كشف المطالبة'!$D$6)*100)</f>
        <v/>
      </c>
      <c r="AK1545" s="28" t="str">
        <f aca="false">IF($A1545="","",IF(OR($Q1545=TRUE(),$Q1545="TRUE"),1,0))</f>
        <v/>
      </c>
      <c r="AL1545" s="28" t="str">
        <f aca="false">IF($N1545="","",IF(MATCH($N1545,$N$2:$N$3001,0)=ROWS($N$2:$N1545),$N1545,""))</f>
        <v/>
      </c>
    </row>
    <row r="1546" customFormat="false" ht="15" hidden="false" customHeight="false" outlineLevel="0" collapsed="false">
      <c r="E1546" s="25"/>
      <c r="M1546" s="26" t="str">
        <f aca="false">IF($A1546="","",$L1546*$U1546/100)</f>
        <v/>
      </c>
      <c r="W1546" s="26" t="str">
        <f aca="false">IF($A1546="","",U1546*AB1546/100)</f>
        <v/>
      </c>
      <c r="X1546" s="26" t="str">
        <f aca="false">IF($A1546="","",U1546-W1546)</f>
        <v/>
      </c>
      <c r="Y1546" s="26" t="str">
        <f aca="false">IF($A1546="","",U1546-W1546-M1546)</f>
        <v/>
      </c>
      <c r="AB1546" s="27" t="str">
        <f aca="false">IF($A1546="","",IF($AK1546=1,'كشف المطالبة'!$D$5,'كشف المطالبة'!$D$6)*100)</f>
        <v/>
      </c>
      <c r="AK1546" s="28" t="str">
        <f aca="false">IF($A1546="","",IF(OR($Q1546=TRUE(),$Q1546="TRUE"),1,0))</f>
        <v/>
      </c>
      <c r="AL1546" s="28" t="str">
        <f aca="false">IF($N1546="","",IF(MATCH($N1546,$N$2:$N$3001,0)=ROWS($N$2:$N1546),$N1546,""))</f>
        <v/>
      </c>
    </row>
    <row r="1547" customFormat="false" ht="15" hidden="false" customHeight="false" outlineLevel="0" collapsed="false">
      <c r="E1547" s="25"/>
      <c r="M1547" s="26" t="str">
        <f aca="false">IF($A1547="","",$L1547*$U1547/100)</f>
        <v/>
      </c>
      <c r="W1547" s="26" t="str">
        <f aca="false">IF($A1547="","",U1547*AB1547/100)</f>
        <v/>
      </c>
      <c r="X1547" s="26" t="str">
        <f aca="false">IF($A1547="","",U1547-W1547)</f>
        <v/>
      </c>
      <c r="Y1547" s="26" t="str">
        <f aca="false">IF($A1547="","",U1547-W1547-M1547)</f>
        <v/>
      </c>
      <c r="AB1547" s="27" t="str">
        <f aca="false">IF($A1547="","",IF($AK1547=1,'كشف المطالبة'!$D$5,'كشف المطالبة'!$D$6)*100)</f>
        <v/>
      </c>
      <c r="AK1547" s="28" t="str">
        <f aca="false">IF($A1547="","",IF(OR($Q1547=TRUE(),$Q1547="TRUE"),1,0))</f>
        <v/>
      </c>
      <c r="AL1547" s="28" t="str">
        <f aca="false">IF($N1547="","",IF(MATCH($N1547,$N$2:$N$3001,0)=ROWS($N$2:$N1547),$N1547,""))</f>
        <v/>
      </c>
    </row>
    <row r="1548" customFormat="false" ht="15" hidden="false" customHeight="false" outlineLevel="0" collapsed="false">
      <c r="E1548" s="25"/>
      <c r="M1548" s="26" t="str">
        <f aca="false">IF($A1548="","",$L1548*$U1548/100)</f>
        <v/>
      </c>
      <c r="W1548" s="26" t="str">
        <f aca="false">IF($A1548="","",U1548*AB1548/100)</f>
        <v/>
      </c>
      <c r="X1548" s="26" t="str">
        <f aca="false">IF($A1548="","",U1548-W1548)</f>
        <v/>
      </c>
      <c r="Y1548" s="26" t="str">
        <f aca="false">IF($A1548="","",U1548-W1548-M1548)</f>
        <v/>
      </c>
      <c r="AB1548" s="27" t="str">
        <f aca="false">IF($A1548="","",IF($AK1548=1,'كشف المطالبة'!$D$5,'كشف المطالبة'!$D$6)*100)</f>
        <v/>
      </c>
      <c r="AK1548" s="28" t="str">
        <f aca="false">IF($A1548="","",IF(OR($Q1548=TRUE(),$Q1548="TRUE"),1,0))</f>
        <v/>
      </c>
      <c r="AL1548" s="28" t="str">
        <f aca="false">IF($N1548="","",IF(MATCH($N1548,$N$2:$N$3001,0)=ROWS($N$2:$N1548),$N1548,""))</f>
        <v/>
      </c>
    </row>
    <row r="1549" customFormat="false" ht="15" hidden="false" customHeight="false" outlineLevel="0" collapsed="false">
      <c r="E1549" s="25"/>
      <c r="M1549" s="26" t="str">
        <f aca="false">IF($A1549="","",$L1549*$U1549/100)</f>
        <v/>
      </c>
      <c r="W1549" s="26" t="str">
        <f aca="false">IF($A1549="","",U1549*AB1549/100)</f>
        <v/>
      </c>
      <c r="X1549" s="26" t="str">
        <f aca="false">IF($A1549="","",U1549-W1549)</f>
        <v/>
      </c>
      <c r="Y1549" s="26" t="str">
        <f aca="false">IF($A1549="","",U1549-W1549-M1549)</f>
        <v/>
      </c>
      <c r="AB1549" s="27" t="str">
        <f aca="false">IF($A1549="","",IF($AK1549=1,'كشف المطالبة'!$D$5,'كشف المطالبة'!$D$6)*100)</f>
        <v/>
      </c>
      <c r="AK1549" s="28" t="str">
        <f aca="false">IF($A1549="","",IF(OR($Q1549=TRUE(),$Q1549="TRUE"),1,0))</f>
        <v/>
      </c>
      <c r="AL1549" s="28" t="str">
        <f aca="false">IF($N1549="","",IF(MATCH($N1549,$N$2:$N$3001,0)=ROWS($N$2:$N1549),$N1549,""))</f>
        <v/>
      </c>
    </row>
    <row r="1550" customFormat="false" ht="15" hidden="false" customHeight="false" outlineLevel="0" collapsed="false">
      <c r="E1550" s="25"/>
      <c r="M1550" s="26" t="str">
        <f aca="false">IF($A1550="","",$L1550*$U1550/100)</f>
        <v/>
      </c>
      <c r="W1550" s="26" t="str">
        <f aca="false">IF($A1550="","",U1550*AB1550/100)</f>
        <v/>
      </c>
      <c r="X1550" s="26" t="str">
        <f aca="false">IF($A1550="","",U1550-W1550)</f>
        <v/>
      </c>
      <c r="Y1550" s="26" t="str">
        <f aca="false">IF($A1550="","",U1550-W1550-M1550)</f>
        <v/>
      </c>
      <c r="AB1550" s="27" t="str">
        <f aca="false">IF($A1550="","",IF($AK1550=1,'كشف المطالبة'!$D$5,'كشف المطالبة'!$D$6)*100)</f>
        <v/>
      </c>
      <c r="AK1550" s="28" t="str">
        <f aca="false">IF($A1550="","",IF(OR($Q1550=TRUE(),$Q1550="TRUE"),1,0))</f>
        <v/>
      </c>
      <c r="AL1550" s="28" t="str">
        <f aca="false">IF($N1550="","",IF(MATCH($N1550,$N$2:$N$3001,0)=ROWS($N$2:$N1550),$N1550,""))</f>
        <v/>
      </c>
    </row>
    <row r="1551" customFormat="false" ht="15" hidden="false" customHeight="false" outlineLevel="0" collapsed="false">
      <c r="E1551" s="25"/>
      <c r="M1551" s="26" t="str">
        <f aca="false">IF($A1551="","",$L1551*$U1551/100)</f>
        <v/>
      </c>
      <c r="W1551" s="26" t="str">
        <f aca="false">IF($A1551="","",U1551*AB1551/100)</f>
        <v/>
      </c>
      <c r="X1551" s="26" t="str">
        <f aca="false">IF($A1551="","",U1551-W1551)</f>
        <v/>
      </c>
      <c r="Y1551" s="26" t="str">
        <f aca="false">IF($A1551="","",U1551-W1551-M1551)</f>
        <v/>
      </c>
      <c r="AB1551" s="27" t="str">
        <f aca="false">IF($A1551="","",IF($AK1551=1,'كشف المطالبة'!$D$5,'كشف المطالبة'!$D$6)*100)</f>
        <v/>
      </c>
      <c r="AK1551" s="28" t="str">
        <f aca="false">IF($A1551="","",IF(OR($Q1551=TRUE(),$Q1551="TRUE"),1,0))</f>
        <v/>
      </c>
      <c r="AL1551" s="28" t="str">
        <f aca="false">IF($N1551="","",IF(MATCH($N1551,$N$2:$N$3001,0)=ROWS($N$2:$N1551),$N1551,""))</f>
        <v/>
      </c>
    </row>
    <row r="1552" customFormat="false" ht="15" hidden="false" customHeight="false" outlineLevel="0" collapsed="false">
      <c r="E1552" s="25"/>
      <c r="M1552" s="26" t="str">
        <f aca="false">IF($A1552="","",$L1552*$U1552/100)</f>
        <v/>
      </c>
      <c r="W1552" s="26" t="str">
        <f aca="false">IF($A1552="","",U1552*AB1552/100)</f>
        <v/>
      </c>
      <c r="X1552" s="26" t="str">
        <f aca="false">IF($A1552="","",U1552-W1552)</f>
        <v/>
      </c>
      <c r="Y1552" s="26" t="str">
        <f aca="false">IF($A1552="","",U1552-W1552-M1552)</f>
        <v/>
      </c>
      <c r="AB1552" s="27" t="str">
        <f aca="false">IF($A1552="","",IF($AK1552=1,'كشف المطالبة'!$D$5,'كشف المطالبة'!$D$6)*100)</f>
        <v/>
      </c>
      <c r="AK1552" s="28" t="str">
        <f aca="false">IF($A1552="","",IF(OR($Q1552=TRUE(),$Q1552="TRUE"),1,0))</f>
        <v/>
      </c>
      <c r="AL1552" s="28" t="str">
        <f aca="false">IF($N1552="","",IF(MATCH($N1552,$N$2:$N$3001,0)=ROWS($N$2:$N1552),$N1552,""))</f>
        <v/>
      </c>
    </row>
    <row r="1553" customFormat="false" ht="15" hidden="false" customHeight="false" outlineLevel="0" collapsed="false">
      <c r="E1553" s="25"/>
      <c r="M1553" s="26" t="str">
        <f aca="false">IF($A1553="","",$L1553*$U1553/100)</f>
        <v/>
      </c>
      <c r="W1553" s="26" t="str">
        <f aca="false">IF($A1553="","",U1553*AB1553/100)</f>
        <v/>
      </c>
      <c r="X1553" s="26" t="str">
        <f aca="false">IF($A1553="","",U1553-W1553)</f>
        <v/>
      </c>
      <c r="Y1553" s="26" t="str">
        <f aca="false">IF($A1553="","",U1553-W1553-M1553)</f>
        <v/>
      </c>
      <c r="AB1553" s="27" t="str">
        <f aca="false">IF($A1553="","",IF($AK1553=1,'كشف المطالبة'!$D$5,'كشف المطالبة'!$D$6)*100)</f>
        <v/>
      </c>
      <c r="AK1553" s="28" t="str">
        <f aca="false">IF($A1553="","",IF(OR($Q1553=TRUE(),$Q1553="TRUE"),1,0))</f>
        <v/>
      </c>
      <c r="AL1553" s="28" t="str">
        <f aca="false">IF($N1553="","",IF(MATCH($N1553,$N$2:$N$3001,0)=ROWS($N$2:$N1553),$N1553,""))</f>
        <v/>
      </c>
    </row>
    <row r="1554" customFormat="false" ht="15" hidden="false" customHeight="false" outlineLevel="0" collapsed="false">
      <c r="E1554" s="25"/>
      <c r="M1554" s="26" t="str">
        <f aca="false">IF($A1554="","",$L1554*$U1554/100)</f>
        <v/>
      </c>
      <c r="W1554" s="26" t="str">
        <f aca="false">IF($A1554="","",U1554*AB1554/100)</f>
        <v/>
      </c>
      <c r="X1554" s="26" t="str">
        <f aca="false">IF($A1554="","",U1554-W1554)</f>
        <v/>
      </c>
      <c r="Y1554" s="26" t="str">
        <f aca="false">IF($A1554="","",U1554-W1554-M1554)</f>
        <v/>
      </c>
      <c r="AB1554" s="27" t="str">
        <f aca="false">IF($A1554="","",IF($AK1554=1,'كشف المطالبة'!$D$5,'كشف المطالبة'!$D$6)*100)</f>
        <v/>
      </c>
      <c r="AK1554" s="28" t="str">
        <f aca="false">IF($A1554="","",IF(OR($Q1554=TRUE(),$Q1554="TRUE"),1,0))</f>
        <v/>
      </c>
      <c r="AL1554" s="28" t="str">
        <f aca="false">IF($N1554="","",IF(MATCH($N1554,$N$2:$N$3001,0)=ROWS($N$2:$N1554),$N1554,""))</f>
        <v/>
      </c>
    </row>
    <row r="1555" customFormat="false" ht="15" hidden="false" customHeight="false" outlineLevel="0" collapsed="false">
      <c r="E1555" s="25"/>
      <c r="M1555" s="26" t="str">
        <f aca="false">IF($A1555="","",$L1555*$U1555/100)</f>
        <v/>
      </c>
      <c r="W1555" s="26" t="str">
        <f aca="false">IF($A1555="","",U1555*AB1555/100)</f>
        <v/>
      </c>
      <c r="X1555" s="26" t="str">
        <f aca="false">IF($A1555="","",U1555-W1555)</f>
        <v/>
      </c>
      <c r="Y1555" s="26" t="str">
        <f aca="false">IF($A1555="","",U1555-W1555-M1555)</f>
        <v/>
      </c>
      <c r="AB1555" s="27" t="str">
        <f aca="false">IF($A1555="","",IF($AK1555=1,'كشف المطالبة'!$D$5,'كشف المطالبة'!$D$6)*100)</f>
        <v/>
      </c>
      <c r="AK1555" s="28" t="str">
        <f aca="false">IF($A1555="","",IF(OR($Q1555=TRUE(),$Q1555="TRUE"),1,0))</f>
        <v/>
      </c>
      <c r="AL1555" s="28" t="str">
        <f aca="false">IF($N1555="","",IF(MATCH($N1555,$N$2:$N$3001,0)=ROWS($N$2:$N1555),$N1555,""))</f>
        <v/>
      </c>
    </row>
    <row r="1556" customFormat="false" ht="15" hidden="false" customHeight="false" outlineLevel="0" collapsed="false">
      <c r="E1556" s="25"/>
      <c r="M1556" s="26" t="str">
        <f aca="false">IF($A1556="","",$L1556*$U1556/100)</f>
        <v/>
      </c>
      <c r="W1556" s="26" t="str">
        <f aca="false">IF($A1556="","",U1556*AB1556/100)</f>
        <v/>
      </c>
      <c r="X1556" s="26" t="str">
        <f aca="false">IF($A1556="","",U1556-W1556)</f>
        <v/>
      </c>
      <c r="Y1556" s="26" t="str">
        <f aca="false">IF($A1556="","",U1556-W1556-M1556)</f>
        <v/>
      </c>
      <c r="AB1556" s="27" t="str">
        <f aca="false">IF($A1556="","",IF($AK1556=1,'كشف المطالبة'!$D$5,'كشف المطالبة'!$D$6)*100)</f>
        <v/>
      </c>
      <c r="AK1556" s="28" t="str">
        <f aca="false">IF($A1556="","",IF(OR($Q1556=TRUE(),$Q1556="TRUE"),1,0))</f>
        <v/>
      </c>
      <c r="AL1556" s="28" t="str">
        <f aca="false">IF($N1556="","",IF(MATCH($N1556,$N$2:$N$3001,0)=ROWS($N$2:$N1556),$N1556,""))</f>
        <v/>
      </c>
    </row>
    <row r="1557" customFormat="false" ht="15" hidden="false" customHeight="false" outlineLevel="0" collapsed="false">
      <c r="E1557" s="25"/>
      <c r="M1557" s="26" t="str">
        <f aca="false">IF($A1557="","",$L1557*$U1557/100)</f>
        <v/>
      </c>
      <c r="W1557" s="26" t="str">
        <f aca="false">IF($A1557="","",U1557*AB1557/100)</f>
        <v/>
      </c>
      <c r="X1557" s="26" t="str">
        <f aca="false">IF($A1557="","",U1557-W1557)</f>
        <v/>
      </c>
      <c r="Y1557" s="26" t="str">
        <f aca="false">IF($A1557="","",U1557-W1557-M1557)</f>
        <v/>
      </c>
      <c r="AB1557" s="27" t="str">
        <f aca="false">IF($A1557="","",IF($AK1557=1,'كشف المطالبة'!$D$5,'كشف المطالبة'!$D$6)*100)</f>
        <v/>
      </c>
      <c r="AK1557" s="28" t="str">
        <f aca="false">IF($A1557="","",IF(OR($Q1557=TRUE(),$Q1557="TRUE"),1,0))</f>
        <v/>
      </c>
      <c r="AL1557" s="28" t="str">
        <f aca="false">IF($N1557="","",IF(MATCH($N1557,$N$2:$N$3001,0)=ROWS($N$2:$N1557),$N1557,""))</f>
        <v/>
      </c>
    </row>
    <row r="1558" customFormat="false" ht="15" hidden="false" customHeight="false" outlineLevel="0" collapsed="false">
      <c r="E1558" s="25"/>
      <c r="M1558" s="26" t="str">
        <f aca="false">IF($A1558="","",$L1558*$U1558/100)</f>
        <v/>
      </c>
      <c r="W1558" s="26" t="str">
        <f aca="false">IF($A1558="","",U1558*AB1558/100)</f>
        <v/>
      </c>
      <c r="X1558" s="26" t="str">
        <f aca="false">IF($A1558="","",U1558-W1558)</f>
        <v/>
      </c>
      <c r="Y1558" s="26" t="str">
        <f aca="false">IF($A1558="","",U1558-W1558-M1558)</f>
        <v/>
      </c>
      <c r="AB1558" s="27" t="str">
        <f aca="false">IF($A1558="","",IF($AK1558=1,'كشف المطالبة'!$D$5,'كشف المطالبة'!$D$6)*100)</f>
        <v/>
      </c>
      <c r="AK1558" s="28" t="str">
        <f aca="false">IF($A1558="","",IF(OR($Q1558=TRUE(),$Q1558="TRUE"),1,0))</f>
        <v/>
      </c>
      <c r="AL1558" s="28" t="str">
        <f aca="false">IF($N1558="","",IF(MATCH($N1558,$N$2:$N$3001,0)=ROWS($N$2:$N1558),$N1558,""))</f>
        <v/>
      </c>
    </row>
    <row r="1559" customFormat="false" ht="15" hidden="false" customHeight="false" outlineLevel="0" collapsed="false">
      <c r="E1559" s="25"/>
      <c r="M1559" s="26" t="str">
        <f aca="false">IF($A1559="","",$L1559*$U1559/100)</f>
        <v/>
      </c>
      <c r="W1559" s="26" t="str">
        <f aca="false">IF($A1559="","",U1559*AB1559/100)</f>
        <v/>
      </c>
      <c r="X1559" s="26" t="str">
        <f aca="false">IF($A1559="","",U1559-W1559)</f>
        <v/>
      </c>
      <c r="Y1559" s="26" t="str">
        <f aca="false">IF($A1559="","",U1559-W1559-M1559)</f>
        <v/>
      </c>
      <c r="AB1559" s="27" t="str">
        <f aca="false">IF($A1559="","",IF($AK1559=1,'كشف المطالبة'!$D$5,'كشف المطالبة'!$D$6)*100)</f>
        <v/>
      </c>
      <c r="AK1559" s="28" t="str">
        <f aca="false">IF($A1559="","",IF(OR($Q1559=TRUE(),$Q1559="TRUE"),1,0))</f>
        <v/>
      </c>
      <c r="AL1559" s="28" t="str">
        <f aca="false">IF($N1559="","",IF(MATCH($N1559,$N$2:$N$3001,0)=ROWS($N$2:$N1559),$N1559,""))</f>
        <v/>
      </c>
    </row>
    <row r="1560" customFormat="false" ht="15" hidden="false" customHeight="false" outlineLevel="0" collapsed="false">
      <c r="E1560" s="25"/>
      <c r="M1560" s="26" t="str">
        <f aca="false">IF($A1560="","",$L1560*$U1560/100)</f>
        <v/>
      </c>
      <c r="W1560" s="26" t="str">
        <f aca="false">IF($A1560="","",U1560*AB1560/100)</f>
        <v/>
      </c>
      <c r="X1560" s="26" t="str">
        <f aca="false">IF($A1560="","",U1560-W1560)</f>
        <v/>
      </c>
      <c r="Y1560" s="26" t="str">
        <f aca="false">IF($A1560="","",U1560-W1560-M1560)</f>
        <v/>
      </c>
      <c r="AB1560" s="27" t="str">
        <f aca="false">IF($A1560="","",IF($AK1560=1,'كشف المطالبة'!$D$5,'كشف المطالبة'!$D$6)*100)</f>
        <v/>
      </c>
      <c r="AK1560" s="28" t="str">
        <f aca="false">IF($A1560="","",IF(OR($Q1560=TRUE(),$Q1560="TRUE"),1,0))</f>
        <v/>
      </c>
      <c r="AL1560" s="28" t="str">
        <f aca="false">IF($N1560="","",IF(MATCH($N1560,$N$2:$N$3001,0)=ROWS($N$2:$N1560),$N1560,""))</f>
        <v/>
      </c>
    </row>
    <row r="1561" customFormat="false" ht="15" hidden="false" customHeight="false" outlineLevel="0" collapsed="false">
      <c r="E1561" s="25"/>
      <c r="M1561" s="26" t="str">
        <f aca="false">IF($A1561="","",$L1561*$U1561/100)</f>
        <v/>
      </c>
      <c r="W1561" s="26" t="str">
        <f aca="false">IF($A1561="","",U1561*AB1561/100)</f>
        <v/>
      </c>
      <c r="X1561" s="26" t="str">
        <f aca="false">IF($A1561="","",U1561-W1561)</f>
        <v/>
      </c>
      <c r="Y1561" s="26" t="str">
        <f aca="false">IF($A1561="","",U1561-W1561-M1561)</f>
        <v/>
      </c>
      <c r="AB1561" s="27" t="str">
        <f aca="false">IF($A1561="","",IF($AK1561=1,'كشف المطالبة'!$D$5,'كشف المطالبة'!$D$6)*100)</f>
        <v/>
      </c>
      <c r="AK1561" s="28" t="str">
        <f aca="false">IF($A1561="","",IF(OR($Q1561=TRUE(),$Q1561="TRUE"),1,0))</f>
        <v/>
      </c>
      <c r="AL1561" s="28" t="str">
        <f aca="false">IF($N1561="","",IF(MATCH($N1561,$N$2:$N$3001,0)=ROWS($N$2:$N1561),$N1561,""))</f>
        <v/>
      </c>
    </row>
    <row r="1562" customFormat="false" ht="15" hidden="false" customHeight="false" outlineLevel="0" collapsed="false">
      <c r="E1562" s="25"/>
      <c r="M1562" s="26" t="str">
        <f aca="false">IF($A1562="","",$L1562*$U1562/100)</f>
        <v/>
      </c>
      <c r="W1562" s="26" t="str">
        <f aca="false">IF($A1562="","",U1562*AB1562/100)</f>
        <v/>
      </c>
      <c r="X1562" s="26" t="str">
        <f aca="false">IF($A1562="","",U1562-W1562)</f>
        <v/>
      </c>
      <c r="Y1562" s="26" t="str">
        <f aca="false">IF($A1562="","",U1562-W1562-M1562)</f>
        <v/>
      </c>
      <c r="AB1562" s="27" t="str">
        <f aca="false">IF($A1562="","",IF($AK1562=1,'كشف المطالبة'!$D$5,'كشف المطالبة'!$D$6)*100)</f>
        <v/>
      </c>
      <c r="AK1562" s="28" t="str">
        <f aca="false">IF($A1562="","",IF(OR($Q1562=TRUE(),$Q1562="TRUE"),1,0))</f>
        <v/>
      </c>
      <c r="AL1562" s="28" t="str">
        <f aca="false">IF($N1562="","",IF(MATCH($N1562,$N$2:$N$3001,0)=ROWS($N$2:$N1562),$N1562,""))</f>
        <v/>
      </c>
    </row>
    <row r="1563" customFormat="false" ht="15" hidden="false" customHeight="false" outlineLevel="0" collapsed="false">
      <c r="E1563" s="25"/>
      <c r="M1563" s="26" t="str">
        <f aca="false">IF($A1563="","",$L1563*$U1563/100)</f>
        <v/>
      </c>
      <c r="W1563" s="26" t="str">
        <f aca="false">IF($A1563="","",U1563*AB1563/100)</f>
        <v/>
      </c>
      <c r="X1563" s="26" t="str">
        <f aca="false">IF($A1563="","",U1563-W1563)</f>
        <v/>
      </c>
      <c r="Y1563" s="26" t="str">
        <f aca="false">IF($A1563="","",U1563-W1563-M1563)</f>
        <v/>
      </c>
      <c r="AB1563" s="27" t="str">
        <f aca="false">IF($A1563="","",IF($AK1563=1,'كشف المطالبة'!$D$5,'كشف المطالبة'!$D$6)*100)</f>
        <v/>
      </c>
      <c r="AK1563" s="28" t="str">
        <f aca="false">IF($A1563="","",IF(OR($Q1563=TRUE(),$Q1563="TRUE"),1,0))</f>
        <v/>
      </c>
      <c r="AL1563" s="28" t="str">
        <f aca="false">IF($N1563="","",IF(MATCH($N1563,$N$2:$N$3001,0)=ROWS($N$2:$N1563),$N1563,""))</f>
        <v/>
      </c>
    </row>
    <row r="1564" customFormat="false" ht="15" hidden="false" customHeight="false" outlineLevel="0" collapsed="false">
      <c r="E1564" s="25"/>
      <c r="M1564" s="26" t="str">
        <f aca="false">IF($A1564="","",$L1564*$U1564/100)</f>
        <v/>
      </c>
      <c r="W1564" s="26" t="str">
        <f aca="false">IF($A1564="","",U1564*AB1564/100)</f>
        <v/>
      </c>
      <c r="X1564" s="26" t="str">
        <f aca="false">IF($A1564="","",U1564-W1564)</f>
        <v/>
      </c>
      <c r="Y1564" s="26" t="str">
        <f aca="false">IF($A1564="","",U1564-W1564-M1564)</f>
        <v/>
      </c>
      <c r="AB1564" s="27" t="str">
        <f aca="false">IF($A1564="","",IF($AK1564=1,'كشف المطالبة'!$D$5,'كشف المطالبة'!$D$6)*100)</f>
        <v/>
      </c>
      <c r="AK1564" s="28" t="str">
        <f aca="false">IF($A1564="","",IF(OR($Q1564=TRUE(),$Q1564="TRUE"),1,0))</f>
        <v/>
      </c>
      <c r="AL1564" s="28" t="str">
        <f aca="false">IF($N1564="","",IF(MATCH($N1564,$N$2:$N$3001,0)=ROWS($N$2:$N1564),$N1564,""))</f>
        <v/>
      </c>
    </row>
    <row r="1565" customFormat="false" ht="15" hidden="false" customHeight="false" outlineLevel="0" collapsed="false">
      <c r="E1565" s="25"/>
      <c r="M1565" s="26" t="str">
        <f aca="false">IF($A1565="","",$L1565*$U1565/100)</f>
        <v/>
      </c>
      <c r="W1565" s="26" t="str">
        <f aca="false">IF($A1565="","",U1565*AB1565/100)</f>
        <v/>
      </c>
      <c r="X1565" s="26" t="str">
        <f aca="false">IF($A1565="","",U1565-W1565)</f>
        <v/>
      </c>
      <c r="Y1565" s="26" t="str">
        <f aca="false">IF($A1565="","",U1565-W1565-M1565)</f>
        <v/>
      </c>
      <c r="AB1565" s="27" t="str">
        <f aca="false">IF($A1565="","",IF($AK1565=1,'كشف المطالبة'!$D$5,'كشف المطالبة'!$D$6)*100)</f>
        <v/>
      </c>
      <c r="AK1565" s="28" t="str">
        <f aca="false">IF($A1565="","",IF(OR($Q1565=TRUE(),$Q1565="TRUE"),1,0))</f>
        <v/>
      </c>
      <c r="AL1565" s="28" t="str">
        <f aca="false">IF($N1565="","",IF(MATCH($N1565,$N$2:$N$3001,0)=ROWS($N$2:$N1565),$N1565,""))</f>
        <v/>
      </c>
    </row>
    <row r="1566" customFormat="false" ht="15" hidden="false" customHeight="false" outlineLevel="0" collapsed="false">
      <c r="E1566" s="25"/>
      <c r="M1566" s="26" t="str">
        <f aca="false">IF($A1566="","",$L1566*$U1566/100)</f>
        <v/>
      </c>
      <c r="W1566" s="26" t="str">
        <f aca="false">IF($A1566="","",U1566*AB1566/100)</f>
        <v/>
      </c>
      <c r="X1566" s="26" t="str">
        <f aca="false">IF($A1566="","",U1566-W1566)</f>
        <v/>
      </c>
      <c r="Y1566" s="26" t="str">
        <f aca="false">IF($A1566="","",U1566-W1566-M1566)</f>
        <v/>
      </c>
      <c r="AB1566" s="27" t="str">
        <f aca="false">IF($A1566="","",IF($AK1566=1,'كشف المطالبة'!$D$5,'كشف المطالبة'!$D$6)*100)</f>
        <v/>
      </c>
      <c r="AK1566" s="28" t="str">
        <f aca="false">IF($A1566="","",IF(OR($Q1566=TRUE(),$Q1566="TRUE"),1,0))</f>
        <v/>
      </c>
      <c r="AL1566" s="28" t="str">
        <f aca="false">IF($N1566="","",IF(MATCH($N1566,$N$2:$N$3001,0)=ROWS($N$2:$N1566),$N1566,""))</f>
        <v/>
      </c>
    </row>
    <row r="1567" customFormat="false" ht="15" hidden="false" customHeight="false" outlineLevel="0" collapsed="false">
      <c r="E1567" s="25"/>
      <c r="M1567" s="26" t="str">
        <f aca="false">IF($A1567="","",$L1567*$U1567/100)</f>
        <v/>
      </c>
      <c r="W1567" s="26" t="str">
        <f aca="false">IF($A1567="","",U1567*AB1567/100)</f>
        <v/>
      </c>
      <c r="X1567" s="26" t="str">
        <f aca="false">IF($A1567="","",U1567-W1567)</f>
        <v/>
      </c>
      <c r="Y1567" s="26" t="str">
        <f aca="false">IF($A1567="","",U1567-W1567-M1567)</f>
        <v/>
      </c>
      <c r="AB1567" s="27" t="str">
        <f aca="false">IF($A1567="","",IF($AK1567=1,'كشف المطالبة'!$D$5,'كشف المطالبة'!$D$6)*100)</f>
        <v/>
      </c>
      <c r="AK1567" s="28" t="str">
        <f aca="false">IF($A1567="","",IF(OR($Q1567=TRUE(),$Q1567="TRUE"),1,0))</f>
        <v/>
      </c>
      <c r="AL1567" s="28" t="str">
        <f aca="false">IF($N1567="","",IF(MATCH($N1567,$N$2:$N$3001,0)=ROWS($N$2:$N1567),$N1567,""))</f>
        <v/>
      </c>
    </row>
    <row r="1568" customFormat="false" ht="15" hidden="false" customHeight="false" outlineLevel="0" collapsed="false">
      <c r="E1568" s="25"/>
      <c r="M1568" s="26" t="str">
        <f aca="false">IF($A1568="","",$L1568*$U1568/100)</f>
        <v/>
      </c>
      <c r="W1568" s="26" t="str">
        <f aca="false">IF($A1568="","",U1568*AB1568/100)</f>
        <v/>
      </c>
      <c r="X1568" s="26" t="str">
        <f aca="false">IF($A1568="","",U1568-W1568)</f>
        <v/>
      </c>
      <c r="Y1568" s="26" t="str">
        <f aca="false">IF($A1568="","",U1568-W1568-M1568)</f>
        <v/>
      </c>
      <c r="AB1568" s="27" t="str">
        <f aca="false">IF($A1568="","",IF($AK1568=1,'كشف المطالبة'!$D$5,'كشف المطالبة'!$D$6)*100)</f>
        <v/>
      </c>
      <c r="AK1568" s="28" t="str">
        <f aca="false">IF($A1568="","",IF(OR($Q1568=TRUE(),$Q1568="TRUE"),1,0))</f>
        <v/>
      </c>
      <c r="AL1568" s="28" t="str">
        <f aca="false">IF($N1568="","",IF(MATCH($N1568,$N$2:$N$3001,0)=ROWS($N$2:$N1568),$N1568,""))</f>
        <v/>
      </c>
    </row>
    <row r="1569" customFormat="false" ht="15" hidden="false" customHeight="false" outlineLevel="0" collapsed="false">
      <c r="E1569" s="25"/>
      <c r="M1569" s="26" t="str">
        <f aca="false">IF($A1569="","",$L1569*$U1569/100)</f>
        <v/>
      </c>
      <c r="W1569" s="26" t="str">
        <f aca="false">IF($A1569="","",U1569*AB1569/100)</f>
        <v/>
      </c>
      <c r="X1569" s="26" t="str">
        <f aca="false">IF($A1569="","",U1569-W1569)</f>
        <v/>
      </c>
      <c r="Y1569" s="26" t="str">
        <f aca="false">IF($A1569="","",U1569-W1569-M1569)</f>
        <v/>
      </c>
      <c r="AB1569" s="27" t="str">
        <f aca="false">IF($A1569="","",IF($AK1569=1,'كشف المطالبة'!$D$5,'كشف المطالبة'!$D$6)*100)</f>
        <v/>
      </c>
      <c r="AK1569" s="28" t="str">
        <f aca="false">IF($A1569="","",IF(OR($Q1569=TRUE(),$Q1569="TRUE"),1,0))</f>
        <v/>
      </c>
      <c r="AL1569" s="28" t="str">
        <f aca="false">IF($N1569="","",IF(MATCH($N1569,$N$2:$N$3001,0)=ROWS($N$2:$N1569),$N1569,""))</f>
        <v/>
      </c>
    </row>
    <row r="1570" customFormat="false" ht="15" hidden="false" customHeight="false" outlineLevel="0" collapsed="false">
      <c r="E1570" s="25"/>
      <c r="M1570" s="26" t="str">
        <f aca="false">IF($A1570="","",$L1570*$U1570/100)</f>
        <v/>
      </c>
      <c r="W1570" s="26" t="str">
        <f aca="false">IF($A1570="","",U1570*AB1570/100)</f>
        <v/>
      </c>
      <c r="X1570" s="26" t="str">
        <f aca="false">IF($A1570="","",U1570-W1570)</f>
        <v/>
      </c>
      <c r="Y1570" s="26" t="str">
        <f aca="false">IF($A1570="","",U1570-W1570-M1570)</f>
        <v/>
      </c>
      <c r="AB1570" s="27" t="str">
        <f aca="false">IF($A1570="","",IF($AK1570=1,'كشف المطالبة'!$D$5,'كشف المطالبة'!$D$6)*100)</f>
        <v/>
      </c>
      <c r="AK1570" s="28" t="str">
        <f aca="false">IF($A1570="","",IF(OR($Q1570=TRUE(),$Q1570="TRUE"),1,0))</f>
        <v/>
      </c>
      <c r="AL1570" s="28" t="str">
        <f aca="false">IF($N1570="","",IF(MATCH($N1570,$N$2:$N$3001,0)=ROWS($N$2:$N1570),$N1570,""))</f>
        <v/>
      </c>
    </row>
    <row r="1571" customFormat="false" ht="15" hidden="false" customHeight="false" outlineLevel="0" collapsed="false">
      <c r="E1571" s="25"/>
      <c r="M1571" s="26" t="str">
        <f aca="false">IF($A1571="","",$L1571*$U1571/100)</f>
        <v/>
      </c>
      <c r="W1571" s="26" t="str">
        <f aca="false">IF($A1571="","",U1571*AB1571/100)</f>
        <v/>
      </c>
      <c r="X1571" s="26" t="str">
        <f aca="false">IF($A1571="","",U1571-W1571)</f>
        <v/>
      </c>
      <c r="Y1571" s="26" t="str">
        <f aca="false">IF($A1571="","",U1571-W1571-M1571)</f>
        <v/>
      </c>
      <c r="AB1571" s="27" t="str">
        <f aca="false">IF($A1571="","",IF($AK1571=1,'كشف المطالبة'!$D$5,'كشف المطالبة'!$D$6)*100)</f>
        <v/>
      </c>
      <c r="AK1571" s="28" t="str">
        <f aca="false">IF($A1571="","",IF(OR($Q1571=TRUE(),$Q1571="TRUE"),1,0))</f>
        <v/>
      </c>
      <c r="AL1571" s="28" t="str">
        <f aca="false">IF($N1571="","",IF(MATCH($N1571,$N$2:$N$3001,0)=ROWS($N$2:$N1571),$N1571,""))</f>
        <v/>
      </c>
    </row>
    <row r="1572" customFormat="false" ht="15" hidden="false" customHeight="false" outlineLevel="0" collapsed="false">
      <c r="E1572" s="25"/>
      <c r="M1572" s="26" t="str">
        <f aca="false">IF($A1572="","",$L1572*$U1572/100)</f>
        <v/>
      </c>
      <c r="W1572" s="26" t="str">
        <f aca="false">IF($A1572="","",U1572*AB1572/100)</f>
        <v/>
      </c>
      <c r="X1572" s="26" t="str">
        <f aca="false">IF($A1572="","",U1572-W1572)</f>
        <v/>
      </c>
      <c r="Y1572" s="26" t="str">
        <f aca="false">IF($A1572="","",U1572-W1572-M1572)</f>
        <v/>
      </c>
      <c r="AB1572" s="27" t="str">
        <f aca="false">IF($A1572="","",IF($AK1572=1,'كشف المطالبة'!$D$5,'كشف المطالبة'!$D$6)*100)</f>
        <v/>
      </c>
      <c r="AK1572" s="28" t="str">
        <f aca="false">IF($A1572="","",IF(OR($Q1572=TRUE(),$Q1572="TRUE"),1,0))</f>
        <v/>
      </c>
      <c r="AL1572" s="28" t="str">
        <f aca="false">IF($N1572="","",IF(MATCH($N1572,$N$2:$N$3001,0)=ROWS($N$2:$N1572),$N1572,""))</f>
        <v/>
      </c>
    </row>
    <row r="1573" customFormat="false" ht="15" hidden="false" customHeight="false" outlineLevel="0" collapsed="false">
      <c r="E1573" s="25"/>
      <c r="M1573" s="26" t="str">
        <f aca="false">IF($A1573="","",$L1573*$U1573/100)</f>
        <v/>
      </c>
      <c r="W1573" s="26" t="str">
        <f aca="false">IF($A1573="","",U1573*AB1573/100)</f>
        <v/>
      </c>
      <c r="X1573" s="26" t="str">
        <f aca="false">IF($A1573="","",U1573-W1573)</f>
        <v/>
      </c>
      <c r="Y1573" s="26" t="str">
        <f aca="false">IF($A1573="","",U1573-W1573-M1573)</f>
        <v/>
      </c>
      <c r="AB1573" s="27" t="str">
        <f aca="false">IF($A1573="","",IF($AK1573=1,'كشف المطالبة'!$D$5,'كشف المطالبة'!$D$6)*100)</f>
        <v/>
      </c>
      <c r="AK1573" s="28" t="str">
        <f aca="false">IF($A1573="","",IF(OR($Q1573=TRUE(),$Q1573="TRUE"),1,0))</f>
        <v/>
      </c>
      <c r="AL1573" s="28" t="str">
        <f aca="false">IF($N1573="","",IF(MATCH($N1573,$N$2:$N$3001,0)=ROWS($N$2:$N1573),$N1573,""))</f>
        <v/>
      </c>
    </row>
    <row r="1574" customFormat="false" ht="15" hidden="false" customHeight="false" outlineLevel="0" collapsed="false">
      <c r="E1574" s="25"/>
      <c r="M1574" s="26" t="str">
        <f aca="false">IF($A1574="","",$L1574*$U1574/100)</f>
        <v/>
      </c>
      <c r="W1574" s="26" t="str">
        <f aca="false">IF($A1574="","",U1574*AB1574/100)</f>
        <v/>
      </c>
      <c r="X1574" s="26" t="str">
        <f aca="false">IF($A1574="","",U1574-W1574)</f>
        <v/>
      </c>
      <c r="Y1574" s="26" t="str">
        <f aca="false">IF($A1574="","",U1574-W1574-M1574)</f>
        <v/>
      </c>
      <c r="AB1574" s="27" t="str">
        <f aca="false">IF($A1574="","",IF($AK1574=1,'كشف المطالبة'!$D$5,'كشف المطالبة'!$D$6)*100)</f>
        <v/>
      </c>
      <c r="AK1574" s="28" t="str">
        <f aca="false">IF($A1574="","",IF(OR($Q1574=TRUE(),$Q1574="TRUE"),1,0))</f>
        <v/>
      </c>
      <c r="AL1574" s="28" t="str">
        <f aca="false">IF($N1574="","",IF(MATCH($N1574,$N$2:$N$3001,0)=ROWS($N$2:$N1574),$N1574,""))</f>
        <v/>
      </c>
    </row>
    <row r="1575" customFormat="false" ht="15" hidden="false" customHeight="false" outlineLevel="0" collapsed="false">
      <c r="E1575" s="25"/>
      <c r="M1575" s="26" t="str">
        <f aca="false">IF($A1575="","",$L1575*$U1575/100)</f>
        <v/>
      </c>
      <c r="W1575" s="26" t="str">
        <f aca="false">IF($A1575="","",U1575*AB1575/100)</f>
        <v/>
      </c>
      <c r="X1575" s="26" t="str">
        <f aca="false">IF($A1575="","",U1575-W1575)</f>
        <v/>
      </c>
      <c r="Y1575" s="26" t="str">
        <f aca="false">IF($A1575="","",U1575-W1575-M1575)</f>
        <v/>
      </c>
      <c r="AB1575" s="27" t="str">
        <f aca="false">IF($A1575="","",IF($AK1575=1,'كشف المطالبة'!$D$5,'كشف المطالبة'!$D$6)*100)</f>
        <v/>
      </c>
      <c r="AK1575" s="28" t="str">
        <f aca="false">IF($A1575="","",IF(OR($Q1575=TRUE(),$Q1575="TRUE"),1,0))</f>
        <v/>
      </c>
      <c r="AL1575" s="28" t="str">
        <f aca="false">IF($N1575="","",IF(MATCH($N1575,$N$2:$N$3001,0)=ROWS($N$2:$N1575),$N1575,""))</f>
        <v/>
      </c>
    </row>
    <row r="1576" customFormat="false" ht="15" hidden="false" customHeight="false" outlineLevel="0" collapsed="false">
      <c r="E1576" s="25"/>
      <c r="M1576" s="26" t="str">
        <f aca="false">IF($A1576="","",$L1576*$U1576/100)</f>
        <v/>
      </c>
      <c r="W1576" s="26" t="str">
        <f aca="false">IF($A1576="","",U1576*AB1576/100)</f>
        <v/>
      </c>
      <c r="X1576" s="26" t="str">
        <f aca="false">IF($A1576="","",U1576-W1576)</f>
        <v/>
      </c>
      <c r="Y1576" s="26" t="str">
        <f aca="false">IF($A1576="","",U1576-W1576-M1576)</f>
        <v/>
      </c>
      <c r="AB1576" s="27" t="str">
        <f aca="false">IF($A1576="","",IF($AK1576=1,'كشف المطالبة'!$D$5,'كشف المطالبة'!$D$6)*100)</f>
        <v/>
      </c>
      <c r="AK1576" s="28" t="str">
        <f aca="false">IF($A1576="","",IF(OR($Q1576=TRUE(),$Q1576="TRUE"),1,0))</f>
        <v/>
      </c>
      <c r="AL1576" s="28" t="str">
        <f aca="false">IF($N1576="","",IF(MATCH($N1576,$N$2:$N$3001,0)=ROWS($N$2:$N1576),$N1576,""))</f>
        <v/>
      </c>
    </row>
    <row r="1577" customFormat="false" ht="15" hidden="false" customHeight="false" outlineLevel="0" collapsed="false">
      <c r="E1577" s="25"/>
      <c r="M1577" s="26" t="str">
        <f aca="false">IF($A1577="","",$L1577*$U1577/100)</f>
        <v/>
      </c>
      <c r="W1577" s="26" t="str">
        <f aca="false">IF($A1577="","",U1577*AB1577/100)</f>
        <v/>
      </c>
      <c r="X1577" s="26" t="str">
        <f aca="false">IF($A1577="","",U1577-W1577)</f>
        <v/>
      </c>
      <c r="Y1577" s="26" t="str">
        <f aca="false">IF($A1577="","",U1577-W1577-M1577)</f>
        <v/>
      </c>
      <c r="AB1577" s="27" t="str">
        <f aca="false">IF($A1577="","",IF($AK1577=1,'كشف المطالبة'!$D$5,'كشف المطالبة'!$D$6)*100)</f>
        <v/>
      </c>
      <c r="AK1577" s="28" t="str">
        <f aca="false">IF($A1577="","",IF(OR($Q1577=TRUE(),$Q1577="TRUE"),1,0))</f>
        <v/>
      </c>
      <c r="AL1577" s="28" t="str">
        <f aca="false">IF($N1577="","",IF(MATCH($N1577,$N$2:$N$3001,0)=ROWS($N$2:$N1577),$N1577,""))</f>
        <v/>
      </c>
    </row>
    <row r="1578" customFormat="false" ht="15" hidden="false" customHeight="false" outlineLevel="0" collapsed="false">
      <c r="E1578" s="25"/>
      <c r="M1578" s="26" t="str">
        <f aca="false">IF($A1578="","",$L1578*$U1578/100)</f>
        <v/>
      </c>
      <c r="W1578" s="26" t="str">
        <f aca="false">IF($A1578="","",U1578*AB1578/100)</f>
        <v/>
      </c>
      <c r="X1578" s="26" t="str">
        <f aca="false">IF($A1578="","",U1578-W1578)</f>
        <v/>
      </c>
      <c r="Y1578" s="26" t="str">
        <f aca="false">IF($A1578="","",U1578-W1578-M1578)</f>
        <v/>
      </c>
      <c r="AB1578" s="27" t="str">
        <f aca="false">IF($A1578="","",IF($AK1578=1,'كشف المطالبة'!$D$5,'كشف المطالبة'!$D$6)*100)</f>
        <v/>
      </c>
      <c r="AK1578" s="28" t="str">
        <f aca="false">IF($A1578="","",IF(OR($Q1578=TRUE(),$Q1578="TRUE"),1,0))</f>
        <v/>
      </c>
      <c r="AL1578" s="28" t="str">
        <f aca="false">IF($N1578="","",IF(MATCH($N1578,$N$2:$N$3001,0)=ROWS($N$2:$N1578),$N1578,""))</f>
        <v/>
      </c>
    </row>
    <row r="1579" customFormat="false" ht="15" hidden="false" customHeight="false" outlineLevel="0" collapsed="false">
      <c r="E1579" s="25"/>
      <c r="M1579" s="26" t="str">
        <f aca="false">IF($A1579="","",$L1579*$U1579/100)</f>
        <v/>
      </c>
      <c r="W1579" s="26" t="str">
        <f aca="false">IF($A1579="","",U1579*AB1579/100)</f>
        <v/>
      </c>
      <c r="X1579" s="26" t="str">
        <f aca="false">IF($A1579="","",U1579-W1579)</f>
        <v/>
      </c>
      <c r="Y1579" s="26" t="str">
        <f aca="false">IF($A1579="","",U1579-W1579-M1579)</f>
        <v/>
      </c>
      <c r="AB1579" s="27" t="str">
        <f aca="false">IF($A1579="","",IF($AK1579=1,'كشف المطالبة'!$D$5,'كشف المطالبة'!$D$6)*100)</f>
        <v/>
      </c>
      <c r="AK1579" s="28" t="str">
        <f aca="false">IF($A1579="","",IF(OR($Q1579=TRUE(),$Q1579="TRUE"),1,0))</f>
        <v/>
      </c>
      <c r="AL1579" s="28" t="str">
        <f aca="false">IF($N1579="","",IF(MATCH($N1579,$N$2:$N$3001,0)=ROWS($N$2:$N1579),$N1579,""))</f>
        <v/>
      </c>
    </row>
    <row r="1580" customFormat="false" ht="15" hidden="false" customHeight="false" outlineLevel="0" collapsed="false">
      <c r="E1580" s="25"/>
      <c r="M1580" s="26" t="str">
        <f aca="false">IF($A1580="","",$L1580*$U1580/100)</f>
        <v/>
      </c>
      <c r="W1580" s="26" t="str">
        <f aca="false">IF($A1580="","",U1580*AB1580/100)</f>
        <v/>
      </c>
      <c r="X1580" s="26" t="str">
        <f aca="false">IF($A1580="","",U1580-W1580)</f>
        <v/>
      </c>
      <c r="Y1580" s="26" t="str">
        <f aca="false">IF($A1580="","",U1580-W1580-M1580)</f>
        <v/>
      </c>
      <c r="AB1580" s="27" t="str">
        <f aca="false">IF($A1580="","",IF($AK1580=1,'كشف المطالبة'!$D$5,'كشف المطالبة'!$D$6)*100)</f>
        <v/>
      </c>
      <c r="AK1580" s="28" t="str">
        <f aca="false">IF($A1580="","",IF(OR($Q1580=TRUE(),$Q1580="TRUE"),1,0))</f>
        <v/>
      </c>
      <c r="AL1580" s="28" t="str">
        <f aca="false">IF($N1580="","",IF(MATCH($N1580,$N$2:$N$3001,0)=ROWS($N$2:$N1580),$N1580,""))</f>
        <v/>
      </c>
    </row>
    <row r="1581" customFormat="false" ht="15" hidden="false" customHeight="false" outlineLevel="0" collapsed="false">
      <c r="E1581" s="25"/>
      <c r="M1581" s="26" t="str">
        <f aca="false">IF($A1581="","",$L1581*$U1581/100)</f>
        <v/>
      </c>
      <c r="W1581" s="26" t="str">
        <f aca="false">IF($A1581="","",U1581*AB1581/100)</f>
        <v/>
      </c>
      <c r="X1581" s="26" t="str">
        <f aca="false">IF($A1581="","",U1581-W1581)</f>
        <v/>
      </c>
      <c r="Y1581" s="26" t="str">
        <f aca="false">IF($A1581="","",U1581-W1581-M1581)</f>
        <v/>
      </c>
      <c r="AB1581" s="27" t="str">
        <f aca="false">IF($A1581="","",IF($AK1581=1,'كشف المطالبة'!$D$5,'كشف المطالبة'!$D$6)*100)</f>
        <v/>
      </c>
      <c r="AK1581" s="28" t="str">
        <f aca="false">IF($A1581="","",IF(OR($Q1581=TRUE(),$Q1581="TRUE"),1,0))</f>
        <v/>
      </c>
      <c r="AL1581" s="28" t="str">
        <f aca="false">IF($N1581="","",IF(MATCH($N1581,$N$2:$N$3001,0)=ROWS($N$2:$N1581),$N1581,""))</f>
        <v/>
      </c>
    </row>
    <row r="1582" customFormat="false" ht="15" hidden="false" customHeight="false" outlineLevel="0" collapsed="false">
      <c r="E1582" s="25"/>
      <c r="M1582" s="26" t="str">
        <f aca="false">IF($A1582="","",$L1582*$U1582/100)</f>
        <v/>
      </c>
      <c r="W1582" s="26" t="str">
        <f aca="false">IF($A1582="","",U1582*AB1582/100)</f>
        <v/>
      </c>
      <c r="X1582" s="26" t="str">
        <f aca="false">IF($A1582="","",U1582-W1582)</f>
        <v/>
      </c>
      <c r="Y1582" s="26" t="str">
        <f aca="false">IF($A1582="","",U1582-W1582-M1582)</f>
        <v/>
      </c>
      <c r="AB1582" s="27" t="str">
        <f aca="false">IF($A1582="","",IF($AK1582=1,'كشف المطالبة'!$D$5,'كشف المطالبة'!$D$6)*100)</f>
        <v/>
      </c>
      <c r="AK1582" s="28" t="str">
        <f aca="false">IF($A1582="","",IF(OR($Q1582=TRUE(),$Q1582="TRUE"),1,0))</f>
        <v/>
      </c>
      <c r="AL1582" s="28" t="str">
        <f aca="false">IF($N1582="","",IF(MATCH($N1582,$N$2:$N$3001,0)=ROWS($N$2:$N1582),$N1582,""))</f>
        <v/>
      </c>
    </row>
    <row r="1583" customFormat="false" ht="15" hidden="false" customHeight="false" outlineLevel="0" collapsed="false">
      <c r="E1583" s="25"/>
      <c r="M1583" s="26" t="str">
        <f aca="false">IF($A1583="","",$L1583*$U1583/100)</f>
        <v/>
      </c>
      <c r="W1583" s="26" t="str">
        <f aca="false">IF($A1583="","",U1583*AB1583/100)</f>
        <v/>
      </c>
      <c r="X1583" s="26" t="str">
        <f aca="false">IF($A1583="","",U1583-W1583)</f>
        <v/>
      </c>
      <c r="Y1583" s="26" t="str">
        <f aca="false">IF($A1583="","",U1583-W1583-M1583)</f>
        <v/>
      </c>
      <c r="AB1583" s="27" t="str">
        <f aca="false">IF($A1583="","",IF($AK1583=1,'كشف المطالبة'!$D$5,'كشف المطالبة'!$D$6)*100)</f>
        <v/>
      </c>
      <c r="AK1583" s="28" t="str">
        <f aca="false">IF($A1583="","",IF(OR($Q1583=TRUE(),$Q1583="TRUE"),1,0))</f>
        <v/>
      </c>
      <c r="AL1583" s="28" t="str">
        <f aca="false">IF($N1583="","",IF(MATCH($N1583,$N$2:$N$3001,0)=ROWS($N$2:$N1583),$N1583,""))</f>
        <v/>
      </c>
    </row>
    <row r="1584" customFormat="false" ht="15" hidden="false" customHeight="false" outlineLevel="0" collapsed="false">
      <c r="E1584" s="25"/>
      <c r="M1584" s="26" t="str">
        <f aca="false">IF($A1584="","",$L1584*$U1584/100)</f>
        <v/>
      </c>
      <c r="W1584" s="26" t="str">
        <f aca="false">IF($A1584="","",U1584*AB1584/100)</f>
        <v/>
      </c>
      <c r="X1584" s="26" t="str">
        <f aca="false">IF($A1584="","",U1584-W1584)</f>
        <v/>
      </c>
      <c r="Y1584" s="26" t="str">
        <f aca="false">IF($A1584="","",U1584-W1584-M1584)</f>
        <v/>
      </c>
      <c r="AB1584" s="27" t="str">
        <f aca="false">IF($A1584="","",IF($AK1584=1,'كشف المطالبة'!$D$5,'كشف المطالبة'!$D$6)*100)</f>
        <v/>
      </c>
      <c r="AK1584" s="28" t="str">
        <f aca="false">IF($A1584="","",IF(OR($Q1584=TRUE(),$Q1584="TRUE"),1,0))</f>
        <v/>
      </c>
      <c r="AL1584" s="28" t="str">
        <f aca="false">IF($N1584="","",IF(MATCH($N1584,$N$2:$N$3001,0)=ROWS($N$2:$N1584),$N1584,""))</f>
        <v/>
      </c>
    </row>
    <row r="1585" customFormat="false" ht="15" hidden="false" customHeight="false" outlineLevel="0" collapsed="false">
      <c r="E1585" s="25"/>
      <c r="M1585" s="26" t="str">
        <f aca="false">IF($A1585="","",$L1585*$U1585/100)</f>
        <v/>
      </c>
      <c r="W1585" s="26" t="str">
        <f aca="false">IF($A1585="","",U1585*AB1585/100)</f>
        <v/>
      </c>
      <c r="X1585" s="26" t="str">
        <f aca="false">IF($A1585="","",U1585-W1585)</f>
        <v/>
      </c>
      <c r="Y1585" s="26" t="str">
        <f aca="false">IF($A1585="","",U1585-W1585-M1585)</f>
        <v/>
      </c>
      <c r="AB1585" s="27" t="str">
        <f aca="false">IF($A1585="","",IF($AK1585=1,'كشف المطالبة'!$D$5,'كشف المطالبة'!$D$6)*100)</f>
        <v/>
      </c>
      <c r="AK1585" s="28" t="str">
        <f aca="false">IF($A1585="","",IF(OR($Q1585=TRUE(),$Q1585="TRUE"),1,0))</f>
        <v/>
      </c>
      <c r="AL1585" s="28" t="str">
        <f aca="false">IF($N1585="","",IF(MATCH($N1585,$N$2:$N$3001,0)=ROWS($N$2:$N1585),$N1585,""))</f>
        <v/>
      </c>
    </row>
    <row r="1586" customFormat="false" ht="15" hidden="false" customHeight="false" outlineLevel="0" collapsed="false">
      <c r="E1586" s="25"/>
      <c r="M1586" s="26" t="str">
        <f aca="false">IF($A1586="","",$L1586*$U1586/100)</f>
        <v/>
      </c>
      <c r="W1586" s="26" t="str">
        <f aca="false">IF($A1586="","",U1586*AB1586/100)</f>
        <v/>
      </c>
      <c r="X1586" s="26" t="str">
        <f aca="false">IF($A1586="","",U1586-W1586)</f>
        <v/>
      </c>
      <c r="Y1586" s="26" t="str">
        <f aca="false">IF($A1586="","",U1586-W1586-M1586)</f>
        <v/>
      </c>
      <c r="AB1586" s="27" t="str">
        <f aca="false">IF($A1586="","",IF($AK1586=1,'كشف المطالبة'!$D$5,'كشف المطالبة'!$D$6)*100)</f>
        <v/>
      </c>
      <c r="AK1586" s="28" t="str">
        <f aca="false">IF($A1586="","",IF(OR($Q1586=TRUE(),$Q1586="TRUE"),1,0))</f>
        <v/>
      </c>
      <c r="AL1586" s="28" t="str">
        <f aca="false">IF($N1586="","",IF(MATCH($N1586,$N$2:$N$3001,0)=ROWS($N$2:$N1586),$N1586,""))</f>
        <v/>
      </c>
    </row>
    <row r="1587" customFormat="false" ht="15" hidden="false" customHeight="false" outlineLevel="0" collapsed="false">
      <c r="E1587" s="25"/>
      <c r="M1587" s="26" t="str">
        <f aca="false">IF($A1587="","",$L1587*$U1587/100)</f>
        <v/>
      </c>
      <c r="W1587" s="26" t="str">
        <f aca="false">IF($A1587="","",U1587*AB1587/100)</f>
        <v/>
      </c>
      <c r="X1587" s="26" t="str">
        <f aca="false">IF($A1587="","",U1587-W1587)</f>
        <v/>
      </c>
      <c r="Y1587" s="26" t="str">
        <f aca="false">IF($A1587="","",U1587-W1587-M1587)</f>
        <v/>
      </c>
      <c r="AB1587" s="27" t="str">
        <f aca="false">IF($A1587="","",IF($AK1587=1,'كشف المطالبة'!$D$5,'كشف المطالبة'!$D$6)*100)</f>
        <v/>
      </c>
      <c r="AK1587" s="28" t="str">
        <f aca="false">IF($A1587="","",IF(OR($Q1587=TRUE(),$Q1587="TRUE"),1,0))</f>
        <v/>
      </c>
      <c r="AL1587" s="28" t="str">
        <f aca="false">IF($N1587="","",IF(MATCH($N1587,$N$2:$N$3001,0)=ROWS($N$2:$N1587),$N1587,""))</f>
        <v/>
      </c>
    </row>
    <row r="1588" customFormat="false" ht="15" hidden="false" customHeight="false" outlineLevel="0" collapsed="false">
      <c r="E1588" s="25"/>
      <c r="M1588" s="26" t="str">
        <f aca="false">IF($A1588="","",$L1588*$U1588/100)</f>
        <v/>
      </c>
      <c r="W1588" s="26" t="str">
        <f aca="false">IF($A1588="","",U1588*AB1588/100)</f>
        <v/>
      </c>
      <c r="X1588" s="26" t="str">
        <f aca="false">IF($A1588="","",U1588-W1588)</f>
        <v/>
      </c>
      <c r="Y1588" s="26" t="str">
        <f aca="false">IF($A1588="","",U1588-W1588-M1588)</f>
        <v/>
      </c>
      <c r="AB1588" s="27" t="str">
        <f aca="false">IF($A1588="","",IF($AK1588=1,'كشف المطالبة'!$D$5,'كشف المطالبة'!$D$6)*100)</f>
        <v/>
      </c>
      <c r="AK1588" s="28" t="str">
        <f aca="false">IF($A1588="","",IF(OR($Q1588=TRUE(),$Q1588="TRUE"),1,0))</f>
        <v/>
      </c>
      <c r="AL1588" s="28" t="str">
        <f aca="false">IF($N1588="","",IF(MATCH($N1588,$N$2:$N$3001,0)=ROWS($N$2:$N1588),$N1588,""))</f>
        <v/>
      </c>
    </row>
    <row r="1589" customFormat="false" ht="15" hidden="false" customHeight="false" outlineLevel="0" collapsed="false">
      <c r="E1589" s="25"/>
      <c r="M1589" s="26" t="str">
        <f aca="false">IF($A1589="","",$L1589*$U1589/100)</f>
        <v/>
      </c>
      <c r="W1589" s="26" t="str">
        <f aca="false">IF($A1589="","",U1589*AB1589/100)</f>
        <v/>
      </c>
      <c r="X1589" s="26" t="str">
        <f aca="false">IF($A1589="","",U1589-W1589)</f>
        <v/>
      </c>
      <c r="Y1589" s="26" t="str">
        <f aca="false">IF($A1589="","",U1589-W1589-M1589)</f>
        <v/>
      </c>
      <c r="AB1589" s="27" t="str">
        <f aca="false">IF($A1589="","",IF($AK1589=1,'كشف المطالبة'!$D$5,'كشف المطالبة'!$D$6)*100)</f>
        <v/>
      </c>
      <c r="AK1589" s="28" t="str">
        <f aca="false">IF($A1589="","",IF(OR($Q1589=TRUE(),$Q1589="TRUE"),1,0))</f>
        <v/>
      </c>
      <c r="AL1589" s="28" t="str">
        <f aca="false">IF($N1589="","",IF(MATCH($N1589,$N$2:$N$3001,0)=ROWS($N$2:$N1589),$N1589,""))</f>
        <v/>
      </c>
    </row>
    <row r="1590" customFormat="false" ht="15" hidden="false" customHeight="false" outlineLevel="0" collapsed="false">
      <c r="E1590" s="25"/>
      <c r="M1590" s="26" t="str">
        <f aca="false">IF($A1590="","",$L1590*$U1590/100)</f>
        <v/>
      </c>
      <c r="W1590" s="26" t="str">
        <f aca="false">IF($A1590="","",U1590*AB1590/100)</f>
        <v/>
      </c>
      <c r="X1590" s="26" t="str">
        <f aca="false">IF($A1590="","",U1590-W1590)</f>
        <v/>
      </c>
      <c r="Y1590" s="26" t="str">
        <f aca="false">IF($A1590="","",U1590-W1590-M1590)</f>
        <v/>
      </c>
      <c r="AB1590" s="27" t="str">
        <f aca="false">IF($A1590="","",IF($AK1590=1,'كشف المطالبة'!$D$5,'كشف المطالبة'!$D$6)*100)</f>
        <v/>
      </c>
      <c r="AK1590" s="28" t="str">
        <f aca="false">IF($A1590="","",IF(OR($Q1590=TRUE(),$Q1590="TRUE"),1,0))</f>
        <v/>
      </c>
      <c r="AL1590" s="28" t="str">
        <f aca="false">IF($N1590="","",IF(MATCH($N1590,$N$2:$N$3001,0)=ROWS($N$2:$N1590),$N1590,""))</f>
        <v/>
      </c>
    </row>
    <row r="1591" customFormat="false" ht="15" hidden="false" customHeight="false" outlineLevel="0" collapsed="false">
      <c r="E1591" s="25"/>
      <c r="M1591" s="26" t="str">
        <f aca="false">IF($A1591="","",$L1591*$U1591/100)</f>
        <v/>
      </c>
      <c r="W1591" s="26" t="str">
        <f aca="false">IF($A1591="","",U1591*AB1591/100)</f>
        <v/>
      </c>
      <c r="X1591" s="26" t="str">
        <f aca="false">IF($A1591="","",U1591-W1591)</f>
        <v/>
      </c>
      <c r="Y1591" s="26" t="str">
        <f aca="false">IF($A1591="","",U1591-W1591-M1591)</f>
        <v/>
      </c>
      <c r="AB1591" s="27" t="str">
        <f aca="false">IF($A1591="","",IF($AK1591=1,'كشف المطالبة'!$D$5,'كشف المطالبة'!$D$6)*100)</f>
        <v/>
      </c>
      <c r="AK1591" s="28" t="str">
        <f aca="false">IF($A1591="","",IF(OR($Q1591=TRUE(),$Q1591="TRUE"),1,0))</f>
        <v/>
      </c>
      <c r="AL1591" s="28" t="str">
        <f aca="false">IF($N1591="","",IF(MATCH($N1591,$N$2:$N$3001,0)=ROWS($N$2:$N1591),$N1591,""))</f>
        <v/>
      </c>
    </row>
    <row r="1592" customFormat="false" ht="15" hidden="false" customHeight="false" outlineLevel="0" collapsed="false">
      <c r="E1592" s="25"/>
      <c r="M1592" s="26" t="str">
        <f aca="false">IF($A1592="","",$L1592*$U1592/100)</f>
        <v/>
      </c>
      <c r="W1592" s="26" t="str">
        <f aca="false">IF($A1592="","",U1592*AB1592/100)</f>
        <v/>
      </c>
      <c r="X1592" s="26" t="str">
        <f aca="false">IF($A1592="","",U1592-W1592)</f>
        <v/>
      </c>
      <c r="Y1592" s="26" t="str">
        <f aca="false">IF($A1592="","",U1592-W1592-M1592)</f>
        <v/>
      </c>
      <c r="AB1592" s="27" t="str">
        <f aca="false">IF($A1592="","",IF($AK1592=1,'كشف المطالبة'!$D$5,'كشف المطالبة'!$D$6)*100)</f>
        <v/>
      </c>
      <c r="AK1592" s="28" t="str">
        <f aca="false">IF($A1592="","",IF(OR($Q1592=TRUE(),$Q1592="TRUE"),1,0))</f>
        <v/>
      </c>
      <c r="AL1592" s="28" t="str">
        <f aca="false">IF($N1592="","",IF(MATCH($N1592,$N$2:$N$3001,0)=ROWS($N$2:$N1592),$N1592,""))</f>
        <v/>
      </c>
    </row>
    <row r="1593" customFormat="false" ht="15" hidden="false" customHeight="false" outlineLevel="0" collapsed="false">
      <c r="E1593" s="25"/>
      <c r="M1593" s="26" t="str">
        <f aca="false">IF($A1593="","",$L1593*$U1593/100)</f>
        <v/>
      </c>
      <c r="W1593" s="26" t="str">
        <f aca="false">IF($A1593="","",U1593*AB1593/100)</f>
        <v/>
      </c>
      <c r="X1593" s="26" t="str">
        <f aca="false">IF($A1593="","",U1593-W1593)</f>
        <v/>
      </c>
      <c r="Y1593" s="26" t="str">
        <f aca="false">IF($A1593="","",U1593-W1593-M1593)</f>
        <v/>
      </c>
      <c r="AB1593" s="27" t="str">
        <f aca="false">IF($A1593="","",IF($AK1593=1,'كشف المطالبة'!$D$5,'كشف المطالبة'!$D$6)*100)</f>
        <v/>
      </c>
      <c r="AK1593" s="28" t="str">
        <f aca="false">IF($A1593="","",IF(OR($Q1593=TRUE(),$Q1593="TRUE"),1,0))</f>
        <v/>
      </c>
      <c r="AL1593" s="28" t="str">
        <f aca="false">IF($N1593="","",IF(MATCH($N1593,$N$2:$N$3001,0)=ROWS($N$2:$N1593),$N1593,""))</f>
        <v/>
      </c>
    </row>
    <row r="1594" customFormat="false" ht="15" hidden="false" customHeight="false" outlineLevel="0" collapsed="false">
      <c r="E1594" s="25"/>
      <c r="M1594" s="26" t="str">
        <f aca="false">IF($A1594="","",$L1594*$U1594/100)</f>
        <v/>
      </c>
      <c r="W1594" s="26" t="str">
        <f aca="false">IF($A1594="","",U1594*AB1594/100)</f>
        <v/>
      </c>
      <c r="X1594" s="26" t="str">
        <f aca="false">IF($A1594="","",U1594-W1594)</f>
        <v/>
      </c>
      <c r="Y1594" s="26" t="str">
        <f aca="false">IF($A1594="","",U1594-W1594-M1594)</f>
        <v/>
      </c>
      <c r="AB1594" s="27" t="str">
        <f aca="false">IF($A1594="","",IF($AK1594=1,'كشف المطالبة'!$D$5,'كشف المطالبة'!$D$6)*100)</f>
        <v/>
      </c>
      <c r="AK1594" s="28" t="str">
        <f aca="false">IF($A1594="","",IF(OR($Q1594=TRUE(),$Q1594="TRUE"),1,0))</f>
        <v/>
      </c>
      <c r="AL1594" s="28" t="str">
        <f aca="false">IF($N1594="","",IF(MATCH($N1594,$N$2:$N$3001,0)=ROWS($N$2:$N1594),$N1594,""))</f>
        <v/>
      </c>
    </row>
    <row r="1595" customFormat="false" ht="15" hidden="false" customHeight="false" outlineLevel="0" collapsed="false">
      <c r="E1595" s="25"/>
      <c r="M1595" s="26" t="str">
        <f aca="false">IF($A1595="","",$L1595*$U1595/100)</f>
        <v/>
      </c>
      <c r="W1595" s="26" t="str">
        <f aca="false">IF($A1595="","",U1595*AB1595/100)</f>
        <v/>
      </c>
      <c r="X1595" s="26" t="str">
        <f aca="false">IF($A1595="","",U1595-W1595)</f>
        <v/>
      </c>
      <c r="Y1595" s="26" t="str">
        <f aca="false">IF($A1595="","",U1595-W1595-M1595)</f>
        <v/>
      </c>
      <c r="AB1595" s="27" t="str">
        <f aca="false">IF($A1595="","",IF($AK1595=1,'كشف المطالبة'!$D$5,'كشف المطالبة'!$D$6)*100)</f>
        <v/>
      </c>
      <c r="AK1595" s="28" t="str">
        <f aca="false">IF($A1595="","",IF(OR($Q1595=TRUE(),$Q1595="TRUE"),1,0))</f>
        <v/>
      </c>
      <c r="AL1595" s="28" t="str">
        <f aca="false">IF($N1595="","",IF(MATCH($N1595,$N$2:$N$3001,0)=ROWS($N$2:$N1595),$N1595,""))</f>
        <v/>
      </c>
    </row>
    <row r="1596" customFormat="false" ht="15" hidden="false" customHeight="false" outlineLevel="0" collapsed="false">
      <c r="E1596" s="25"/>
      <c r="M1596" s="26" t="str">
        <f aca="false">IF($A1596="","",$L1596*$U1596/100)</f>
        <v/>
      </c>
      <c r="W1596" s="26" t="str">
        <f aca="false">IF($A1596="","",U1596*AB1596/100)</f>
        <v/>
      </c>
      <c r="X1596" s="26" t="str">
        <f aca="false">IF($A1596="","",U1596-W1596)</f>
        <v/>
      </c>
      <c r="Y1596" s="26" t="str">
        <f aca="false">IF($A1596="","",U1596-W1596-M1596)</f>
        <v/>
      </c>
      <c r="AB1596" s="27" t="str">
        <f aca="false">IF($A1596="","",IF($AK1596=1,'كشف المطالبة'!$D$5,'كشف المطالبة'!$D$6)*100)</f>
        <v/>
      </c>
      <c r="AK1596" s="28" t="str">
        <f aca="false">IF($A1596="","",IF(OR($Q1596=TRUE(),$Q1596="TRUE"),1,0))</f>
        <v/>
      </c>
      <c r="AL1596" s="28" t="str">
        <f aca="false">IF($N1596="","",IF(MATCH($N1596,$N$2:$N$3001,0)=ROWS($N$2:$N1596),$N1596,""))</f>
        <v/>
      </c>
    </row>
    <row r="1597" customFormat="false" ht="15" hidden="false" customHeight="false" outlineLevel="0" collapsed="false">
      <c r="E1597" s="25"/>
      <c r="M1597" s="26" t="str">
        <f aca="false">IF($A1597="","",$L1597*$U1597/100)</f>
        <v/>
      </c>
      <c r="W1597" s="26" t="str">
        <f aca="false">IF($A1597="","",U1597*AB1597/100)</f>
        <v/>
      </c>
      <c r="X1597" s="26" t="str">
        <f aca="false">IF($A1597="","",U1597-W1597)</f>
        <v/>
      </c>
      <c r="Y1597" s="26" t="str">
        <f aca="false">IF($A1597="","",U1597-W1597-M1597)</f>
        <v/>
      </c>
      <c r="AB1597" s="27" t="str">
        <f aca="false">IF($A1597="","",IF($AK1597=1,'كشف المطالبة'!$D$5,'كشف المطالبة'!$D$6)*100)</f>
        <v/>
      </c>
      <c r="AK1597" s="28" t="str">
        <f aca="false">IF($A1597="","",IF(OR($Q1597=TRUE(),$Q1597="TRUE"),1,0))</f>
        <v/>
      </c>
      <c r="AL1597" s="28" t="str">
        <f aca="false">IF($N1597="","",IF(MATCH($N1597,$N$2:$N$3001,0)=ROWS($N$2:$N1597),$N1597,""))</f>
        <v/>
      </c>
    </row>
    <row r="1598" customFormat="false" ht="15" hidden="false" customHeight="false" outlineLevel="0" collapsed="false">
      <c r="E1598" s="25"/>
      <c r="M1598" s="26" t="str">
        <f aca="false">IF($A1598="","",$L1598*$U1598/100)</f>
        <v/>
      </c>
      <c r="W1598" s="26" t="str">
        <f aca="false">IF($A1598="","",U1598*AB1598/100)</f>
        <v/>
      </c>
      <c r="X1598" s="26" t="str">
        <f aca="false">IF($A1598="","",U1598-W1598)</f>
        <v/>
      </c>
      <c r="Y1598" s="26" t="str">
        <f aca="false">IF($A1598="","",U1598-W1598-M1598)</f>
        <v/>
      </c>
      <c r="AB1598" s="27" t="str">
        <f aca="false">IF($A1598="","",IF($AK1598=1,'كشف المطالبة'!$D$5,'كشف المطالبة'!$D$6)*100)</f>
        <v/>
      </c>
      <c r="AK1598" s="28" t="str">
        <f aca="false">IF($A1598="","",IF(OR($Q1598=TRUE(),$Q1598="TRUE"),1,0))</f>
        <v/>
      </c>
      <c r="AL1598" s="28" t="str">
        <f aca="false">IF($N1598="","",IF(MATCH($N1598,$N$2:$N$3001,0)=ROWS($N$2:$N1598),$N1598,""))</f>
        <v/>
      </c>
    </row>
    <row r="1599" customFormat="false" ht="15" hidden="false" customHeight="false" outlineLevel="0" collapsed="false">
      <c r="E1599" s="25"/>
      <c r="M1599" s="26" t="str">
        <f aca="false">IF($A1599="","",$L1599*$U1599/100)</f>
        <v/>
      </c>
      <c r="W1599" s="26" t="str">
        <f aca="false">IF($A1599="","",U1599*AB1599/100)</f>
        <v/>
      </c>
      <c r="X1599" s="26" t="str">
        <f aca="false">IF($A1599="","",U1599-W1599)</f>
        <v/>
      </c>
      <c r="Y1599" s="26" t="str">
        <f aca="false">IF($A1599="","",U1599-W1599-M1599)</f>
        <v/>
      </c>
      <c r="AB1599" s="27" t="str">
        <f aca="false">IF($A1599="","",IF($AK1599=1,'كشف المطالبة'!$D$5,'كشف المطالبة'!$D$6)*100)</f>
        <v/>
      </c>
      <c r="AK1599" s="28" t="str">
        <f aca="false">IF($A1599="","",IF(OR($Q1599=TRUE(),$Q1599="TRUE"),1,0))</f>
        <v/>
      </c>
      <c r="AL1599" s="28" t="str">
        <f aca="false">IF($N1599="","",IF(MATCH($N1599,$N$2:$N$3001,0)=ROWS($N$2:$N1599),$N1599,""))</f>
        <v/>
      </c>
    </row>
    <row r="1600" customFormat="false" ht="15" hidden="false" customHeight="false" outlineLevel="0" collapsed="false">
      <c r="E1600" s="25"/>
      <c r="M1600" s="26" t="str">
        <f aca="false">IF($A1600="","",$L1600*$U1600/100)</f>
        <v/>
      </c>
      <c r="W1600" s="26" t="str">
        <f aca="false">IF($A1600="","",U1600*AB1600/100)</f>
        <v/>
      </c>
      <c r="X1600" s="26" t="str">
        <f aca="false">IF($A1600="","",U1600-W1600)</f>
        <v/>
      </c>
      <c r="Y1600" s="26" t="str">
        <f aca="false">IF($A1600="","",U1600-W1600-M1600)</f>
        <v/>
      </c>
      <c r="AB1600" s="27" t="str">
        <f aca="false">IF($A1600="","",IF($AK1600=1,'كشف المطالبة'!$D$5,'كشف المطالبة'!$D$6)*100)</f>
        <v/>
      </c>
      <c r="AK1600" s="28" t="str">
        <f aca="false">IF($A1600="","",IF(OR($Q1600=TRUE(),$Q1600="TRUE"),1,0))</f>
        <v/>
      </c>
      <c r="AL1600" s="28" t="str">
        <f aca="false">IF($N1600="","",IF(MATCH($N1600,$N$2:$N$3001,0)=ROWS($N$2:$N1600),$N1600,""))</f>
        <v/>
      </c>
    </row>
    <row r="1601" customFormat="false" ht="15" hidden="false" customHeight="false" outlineLevel="0" collapsed="false">
      <c r="E1601" s="25"/>
      <c r="M1601" s="26" t="str">
        <f aca="false">IF($A1601="","",$L1601*$U1601/100)</f>
        <v/>
      </c>
      <c r="W1601" s="26" t="str">
        <f aca="false">IF($A1601="","",U1601*AB1601/100)</f>
        <v/>
      </c>
      <c r="X1601" s="26" t="str">
        <f aca="false">IF($A1601="","",U1601-W1601)</f>
        <v/>
      </c>
      <c r="Y1601" s="26" t="str">
        <f aca="false">IF($A1601="","",U1601-W1601-M1601)</f>
        <v/>
      </c>
      <c r="AB1601" s="27" t="str">
        <f aca="false">IF($A1601="","",IF($AK1601=1,'كشف المطالبة'!$D$5,'كشف المطالبة'!$D$6)*100)</f>
        <v/>
      </c>
      <c r="AK1601" s="28" t="str">
        <f aca="false">IF($A1601="","",IF(OR($Q1601=TRUE(),$Q1601="TRUE"),1,0))</f>
        <v/>
      </c>
      <c r="AL1601" s="28" t="str">
        <f aca="false">IF($N1601="","",IF(MATCH($N1601,$N$2:$N$3001,0)=ROWS($N$2:$N1601),$N1601,""))</f>
        <v/>
      </c>
    </row>
    <row r="1602" customFormat="false" ht="15" hidden="false" customHeight="false" outlineLevel="0" collapsed="false">
      <c r="E1602" s="25"/>
      <c r="M1602" s="26" t="str">
        <f aca="false">IF($A1602="","",$L1602*$U1602/100)</f>
        <v/>
      </c>
      <c r="W1602" s="26" t="str">
        <f aca="false">IF($A1602="","",U1602*AB1602/100)</f>
        <v/>
      </c>
      <c r="X1602" s="26" t="str">
        <f aca="false">IF($A1602="","",U1602-W1602)</f>
        <v/>
      </c>
      <c r="Y1602" s="26" t="str">
        <f aca="false">IF($A1602="","",U1602-W1602-M1602)</f>
        <v/>
      </c>
      <c r="AB1602" s="27" t="str">
        <f aca="false">IF($A1602="","",IF($AK1602=1,'كشف المطالبة'!$D$5,'كشف المطالبة'!$D$6)*100)</f>
        <v/>
      </c>
      <c r="AK1602" s="28" t="str">
        <f aca="false">IF($A1602="","",IF(OR($Q1602=TRUE(),$Q1602="TRUE"),1,0))</f>
        <v/>
      </c>
      <c r="AL1602" s="28" t="str">
        <f aca="false">IF($N1602="","",IF(MATCH($N1602,$N$2:$N$3001,0)=ROWS($N$2:$N1602),$N1602,""))</f>
        <v/>
      </c>
    </row>
    <row r="1603" customFormat="false" ht="15" hidden="false" customHeight="false" outlineLevel="0" collapsed="false">
      <c r="E1603" s="25"/>
      <c r="M1603" s="26" t="str">
        <f aca="false">IF($A1603="","",$L1603*$U1603/100)</f>
        <v/>
      </c>
      <c r="W1603" s="26" t="str">
        <f aca="false">IF($A1603="","",U1603*AB1603/100)</f>
        <v/>
      </c>
      <c r="X1603" s="26" t="str">
        <f aca="false">IF($A1603="","",U1603-W1603)</f>
        <v/>
      </c>
      <c r="Y1603" s="26" t="str">
        <f aca="false">IF($A1603="","",U1603-W1603-M1603)</f>
        <v/>
      </c>
      <c r="AB1603" s="27" t="str">
        <f aca="false">IF($A1603="","",IF($AK1603=1,'كشف المطالبة'!$D$5,'كشف المطالبة'!$D$6)*100)</f>
        <v/>
      </c>
      <c r="AK1603" s="28" t="str">
        <f aca="false">IF($A1603="","",IF(OR($Q1603=TRUE(),$Q1603="TRUE"),1,0))</f>
        <v/>
      </c>
      <c r="AL1603" s="28" t="str">
        <f aca="false">IF($N1603="","",IF(MATCH($N1603,$N$2:$N$3001,0)=ROWS($N$2:$N1603),$N1603,""))</f>
        <v/>
      </c>
    </row>
    <row r="1604" customFormat="false" ht="15" hidden="false" customHeight="false" outlineLevel="0" collapsed="false">
      <c r="E1604" s="25"/>
      <c r="M1604" s="26" t="str">
        <f aca="false">IF($A1604="","",$L1604*$U1604/100)</f>
        <v/>
      </c>
      <c r="W1604" s="26" t="str">
        <f aca="false">IF($A1604="","",U1604*AB1604/100)</f>
        <v/>
      </c>
      <c r="X1604" s="26" t="str">
        <f aca="false">IF($A1604="","",U1604-W1604)</f>
        <v/>
      </c>
      <c r="Y1604" s="26" t="str">
        <f aca="false">IF($A1604="","",U1604-W1604-M1604)</f>
        <v/>
      </c>
      <c r="AB1604" s="27" t="str">
        <f aca="false">IF($A1604="","",IF($AK1604=1,'كشف المطالبة'!$D$5,'كشف المطالبة'!$D$6)*100)</f>
        <v/>
      </c>
      <c r="AK1604" s="28" t="str">
        <f aca="false">IF($A1604="","",IF(OR($Q1604=TRUE(),$Q1604="TRUE"),1,0))</f>
        <v/>
      </c>
      <c r="AL1604" s="28" t="str">
        <f aca="false">IF($N1604="","",IF(MATCH($N1604,$N$2:$N$3001,0)=ROWS($N$2:$N1604),$N1604,""))</f>
        <v/>
      </c>
    </row>
    <row r="1605" customFormat="false" ht="15" hidden="false" customHeight="false" outlineLevel="0" collapsed="false">
      <c r="E1605" s="25"/>
      <c r="M1605" s="26" t="str">
        <f aca="false">IF($A1605="","",$L1605*$U1605/100)</f>
        <v/>
      </c>
      <c r="W1605" s="26" t="str">
        <f aca="false">IF($A1605="","",U1605*AB1605/100)</f>
        <v/>
      </c>
      <c r="X1605" s="26" t="str">
        <f aca="false">IF($A1605="","",U1605-W1605)</f>
        <v/>
      </c>
      <c r="Y1605" s="26" t="str">
        <f aca="false">IF($A1605="","",U1605-W1605-M1605)</f>
        <v/>
      </c>
      <c r="AB1605" s="27" t="str">
        <f aca="false">IF($A1605="","",IF($AK1605=1,'كشف المطالبة'!$D$5,'كشف المطالبة'!$D$6)*100)</f>
        <v/>
      </c>
      <c r="AK1605" s="28" t="str">
        <f aca="false">IF($A1605="","",IF(OR($Q1605=TRUE(),$Q1605="TRUE"),1,0))</f>
        <v/>
      </c>
      <c r="AL1605" s="28" t="str">
        <f aca="false">IF($N1605="","",IF(MATCH($N1605,$N$2:$N$3001,0)=ROWS($N$2:$N1605),$N1605,""))</f>
        <v/>
      </c>
    </row>
    <row r="1606" customFormat="false" ht="15" hidden="false" customHeight="false" outlineLevel="0" collapsed="false">
      <c r="E1606" s="25"/>
      <c r="M1606" s="26" t="str">
        <f aca="false">IF($A1606="","",$L1606*$U1606/100)</f>
        <v/>
      </c>
      <c r="W1606" s="26" t="str">
        <f aca="false">IF($A1606="","",U1606*AB1606/100)</f>
        <v/>
      </c>
      <c r="X1606" s="26" t="str">
        <f aca="false">IF($A1606="","",U1606-W1606)</f>
        <v/>
      </c>
      <c r="Y1606" s="26" t="str">
        <f aca="false">IF($A1606="","",U1606-W1606-M1606)</f>
        <v/>
      </c>
      <c r="AB1606" s="27" t="str">
        <f aca="false">IF($A1606="","",IF($AK1606=1,'كشف المطالبة'!$D$5,'كشف المطالبة'!$D$6)*100)</f>
        <v/>
      </c>
      <c r="AK1606" s="28" t="str">
        <f aca="false">IF($A1606="","",IF(OR($Q1606=TRUE(),$Q1606="TRUE"),1,0))</f>
        <v/>
      </c>
      <c r="AL1606" s="28" t="str">
        <f aca="false">IF($N1606="","",IF(MATCH($N1606,$N$2:$N$3001,0)=ROWS($N$2:$N1606),$N1606,""))</f>
        <v/>
      </c>
    </row>
    <row r="1607" customFormat="false" ht="15" hidden="false" customHeight="false" outlineLevel="0" collapsed="false">
      <c r="E1607" s="25"/>
      <c r="M1607" s="26" t="str">
        <f aca="false">IF($A1607="","",$L1607*$U1607/100)</f>
        <v/>
      </c>
      <c r="W1607" s="26" t="str">
        <f aca="false">IF($A1607="","",U1607*AB1607/100)</f>
        <v/>
      </c>
      <c r="X1607" s="26" t="str">
        <f aca="false">IF($A1607="","",U1607-W1607)</f>
        <v/>
      </c>
      <c r="Y1607" s="26" t="str">
        <f aca="false">IF($A1607="","",U1607-W1607-M1607)</f>
        <v/>
      </c>
      <c r="AB1607" s="27" t="str">
        <f aca="false">IF($A1607="","",IF($AK1607=1,'كشف المطالبة'!$D$5,'كشف المطالبة'!$D$6)*100)</f>
        <v/>
      </c>
      <c r="AK1607" s="28" t="str">
        <f aca="false">IF($A1607="","",IF(OR($Q1607=TRUE(),$Q1607="TRUE"),1,0))</f>
        <v/>
      </c>
      <c r="AL1607" s="28" t="str">
        <f aca="false">IF($N1607="","",IF(MATCH($N1607,$N$2:$N$3001,0)=ROWS($N$2:$N1607),$N1607,""))</f>
        <v/>
      </c>
    </row>
    <row r="1608" customFormat="false" ht="15" hidden="false" customHeight="false" outlineLevel="0" collapsed="false">
      <c r="E1608" s="25"/>
      <c r="M1608" s="26" t="str">
        <f aca="false">IF($A1608="","",$L1608*$U1608/100)</f>
        <v/>
      </c>
      <c r="W1608" s="26" t="str">
        <f aca="false">IF($A1608="","",U1608*AB1608/100)</f>
        <v/>
      </c>
      <c r="X1608" s="26" t="str">
        <f aca="false">IF($A1608="","",U1608-W1608)</f>
        <v/>
      </c>
      <c r="Y1608" s="26" t="str">
        <f aca="false">IF($A1608="","",U1608-W1608-M1608)</f>
        <v/>
      </c>
      <c r="AB1608" s="27" t="str">
        <f aca="false">IF($A1608="","",IF($AK1608=1,'كشف المطالبة'!$D$5,'كشف المطالبة'!$D$6)*100)</f>
        <v/>
      </c>
      <c r="AK1608" s="28" t="str">
        <f aca="false">IF($A1608="","",IF(OR($Q1608=TRUE(),$Q1608="TRUE"),1,0))</f>
        <v/>
      </c>
      <c r="AL1608" s="28" t="str">
        <f aca="false">IF($N1608="","",IF(MATCH($N1608,$N$2:$N$3001,0)=ROWS($N$2:$N1608),$N1608,""))</f>
        <v/>
      </c>
    </row>
    <row r="1609" customFormat="false" ht="15" hidden="false" customHeight="false" outlineLevel="0" collapsed="false">
      <c r="E1609" s="25"/>
      <c r="M1609" s="26" t="str">
        <f aca="false">IF($A1609="","",$L1609*$U1609/100)</f>
        <v/>
      </c>
      <c r="W1609" s="26" t="str">
        <f aca="false">IF($A1609="","",U1609*AB1609/100)</f>
        <v/>
      </c>
      <c r="X1609" s="26" t="str">
        <f aca="false">IF($A1609="","",U1609-W1609)</f>
        <v/>
      </c>
      <c r="Y1609" s="26" t="str">
        <f aca="false">IF($A1609="","",U1609-W1609-M1609)</f>
        <v/>
      </c>
      <c r="AB1609" s="27" t="str">
        <f aca="false">IF($A1609="","",IF($AK1609=1,'كشف المطالبة'!$D$5,'كشف المطالبة'!$D$6)*100)</f>
        <v/>
      </c>
      <c r="AK1609" s="28" t="str">
        <f aca="false">IF($A1609="","",IF(OR($Q1609=TRUE(),$Q1609="TRUE"),1,0))</f>
        <v/>
      </c>
      <c r="AL1609" s="28" t="str">
        <f aca="false">IF($N1609="","",IF(MATCH($N1609,$N$2:$N$3001,0)=ROWS($N$2:$N1609),$N1609,""))</f>
        <v/>
      </c>
    </row>
    <row r="1610" customFormat="false" ht="15" hidden="false" customHeight="false" outlineLevel="0" collapsed="false">
      <c r="E1610" s="25"/>
      <c r="M1610" s="26" t="str">
        <f aca="false">IF($A1610="","",$L1610*$U1610/100)</f>
        <v/>
      </c>
      <c r="W1610" s="26" t="str">
        <f aca="false">IF($A1610="","",U1610*AB1610/100)</f>
        <v/>
      </c>
      <c r="X1610" s="26" t="str">
        <f aca="false">IF($A1610="","",U1610-W1610)</f>
        <v/>
      </c>
      <c r="Y1610" s="26" t="str">
        <f aca="false">IF($A1610="","",U1610-W1610-M1610)</f>
        <v/>
      </c>
      <c r="AB1610" s="27" t="str">
        <f aca="false">IF($A1610="","",IF($AK1610=1,'كشف المطالبة'!$D$5,'كشف المطالبة'!$D$6)*100)</f>
        <v/>
      </c>
      <c r="AK1610" s="28" t="str">
        <f aca="false">IF($A1610="","",IF(OR($Q1610=TRUE(),$Q1610="TRUE"),1,0))</f>
        <v/>
      </c>
      <c r="AL1610" s="28" t="str">
        <f aca="false">IF($N1610="","",IF(MATCH($N1610,$N$2:$N$3001,0)=ROWS($N$2:$N1610),$N1610,""))</f>
        <v/>
      </c>
    </row>
    <row r="1611" customFormat="false" ht="15" hidden="false" customHeight="false" outlineLevel="0" collapsed="false">
      <c r="E1611" s="25"/>
      <c r="M1611" s="26" t="str">
        <f aca="false">IF($A1611="","",$L1611*$U1611/100)</f>
        <v/>
      </c>
      <c r="W1611" s="26" t="str">
        <f aca="false">IF($A1611="","",U1611*AB1611/100)</f>
        <v/>
      </c>
      <c r="X1611" s="26" t="str">
        <f aca="false">IF($A1611="","",U1611-W1611)</f>
        <v/>
      </c>
      <c r="Y1611" s="26" t="str">
        <f aca="false">IF($A1611="","",U1611-W1611-M1611)</f>
        <v/>
      </c>
      <c r="AB1611" s="27" t="str">
        <f aca="false">IF($A1611="","",IF($AK1611=1,'كشف المطالبة'!$D$5,'كشف المطالبة'!$D$6)*100)</f>
        <v/>
      </c>
      <c r="AK1611" s="28" t="str">
        <f aca="false">IF($A1611="","",IF(OR($Q1611=TRUE(),$Q1611="TRUE"),1,0))</f>
        <v/>
      </c>
      <c r="AL1611" s="28" t="str">
        <f aca="false">IF($N1611="","",IF(MATCH($N1611,$N$2:$N$3001,0)=ROWS($N$2:$N1611),$N1611,""))</f>
        <v/>
      </c>
    </row>
    <row r="1612" customFormat="false" ht="15" hidden="false" customHeight="false" outlineLevel="0" collapsed="false">
      <c r="E1612" s="25"/>
      <c r="M1612" s="26" t="str">
        <f aca="false">IF($A1612="","",$L1612*$U1612/100)</f>
        <v/>
      </c>
      <c r="W1612" s="26" t="str">
        <f aca="false">IF($A1612="","",U1612*AB1612/100)</f>
        <v/>
      </c>
      <c r="X1612" s="26" t="str">
        <f aca="false">IF($A1612="","",U1612-W1612)</f>
        <v/>
      </c>
      <c r="Y1612" s="26" t="str">
        <f aca="false">IF($A1612="","",U1612-W1612-M1612)</f>
        <v/>
      </c>
      <c r="AB1612" s="27" t="str">
        <f aca="false">IF($A1612="","",IF($AK1612=1,'كشف المطالبة'!$D$5,'كشف المطالبة'!$D$6)*100)</f>
        <v/>
      </c>
      <c r="AK1612" s="28" t="str">
        <f aca="false">IF($A1612="","",IF(OR($Q1612=TRUE(),$Q1612="TRUE"),1,0))</f>
        <v/>
      </c>
      <c r="AL1612" s="28" t="str">
        <f aca="false">IF($N1612="","",IF(MATCH($N1612,$N$2:$N$3001,0)=ROWS($N$2:$N1612),$N1612,""))</f>
        <v/>
      </c>
    </row>
    <row r="1613" customFormat="false" ht="15" hidden="false" customHeight="false" outlineLevel="0" collapsed="false">
      <c r="E1613" s="25"/>
      <c r="M1613" s="26" t="str">
        <f aca="false">IF($A1613="","",$L1613*$U1613/100)</f>
        <v/>
      </c>
      <c r="W1613" s="26" t="str">
        <f aca="false">IF($A1613="","",U1613*AB1613/100)</f>
        <v/>
      </c>
      <c r="X1613" s="26" t="str">
        <f aca="false">IF($A1613="","",U1613-W1613)</f>
        <v/>
      </c>
      <c r="Y1613" s="26" t="str">
        <f aca="false">IF($A1613="","",U1613-W1613-M1613)</f>
        <v/>
      </c>
      <c r="AB1613" s="27" t="str">
        <f aca="false">IF($A1613="","",IF($AK1613=1,'كشف المطالبة'!$D$5,'كشف المطالبة'!$D$6)*100)</f>
        <v/>
      </c>
      <c r="AK1613" s="28" t="str">
        <f aca="false">IF($A1613="","",IF(OR($Q1613=TRUE(),$Q1613="TRUE"),1,0))</f>
        <v/>
      </c>
      <c r="AL1613" s="28" t="str">
        <f aca="false">IF($N1613="","",IF(MATCH($N1613,$N$2:$N$3001,0)=ROWS($N$2:$N1613),$N1613,""))</f>
        <v/>
      </c>
    </row>
    <row r="1614" customFormat="false" ht="15" hidden="false" customHeight="false" outlineLevel="0" collapsed="false">
      <c r="E1614" s="25"/>
      <c r="M1614" s="26" t="str">
        <f aca="false">IF($A1614="","",$L1614*$U1614/100)</f>
        <v/>
      </c>
      <c r="W1614" s="26" t="str">
        <f aca="false">IF($A1614="","",U1614*AB1614/100)</f>
        <v/>
      </c>
      <c r="X1614" s="26" t="str">
        <f aca="false">IF($A1614="","",U1614-W1614)</f>
        <v/>
      </c>
      <c r="Y1614" s="26" t="str">
        <f aca="false">IF($A1614="","",U1614-W1614-M1614)</f>
        <v/>
      </c>
      <c r="AB1614" s="27" t="str">
        <f aca="false">IF($A1614="","",IF($AK1614=1,'كشف المطالبة'!$D$5,'كشف المطالبة'!$D$6)*100)</f>
        <v/>
      </c>
      <c r="AK1614" s="28" t="str">
        <f aca="false">IF($A1614="","",IF(OR($Q1614=TRUE(),$Q1614="TRUE"),1,0))</f>
        <v/>
      </c>
      <c r="AL1614" s="28" t="str">
        <f aca="false">IF($N1614="","",IF(MATCH($N1614,$N$2:$N$3001,0)=ROWS($N$2:$N1614),$N1614,""))</f>
        <v/>
      </c>
    </row>
    <row r="1615" customFormat="false" ht="15" hidden="false" customHeight="false" outlineLevel="0" collapsed="false">
      <c r="E1615" s="25"/>
      <c r="M1615" s="26" t="str">
        <f aca="false">IF($A1615="","",$L1615*$U1615/100)</f>
        <v/>
      </c>
      <c r="W1615" s="26" t="str">
        <f aca="false">IF($A1615="","",U1615*AB1615/100)</f>
        <v/>
      </c>
      <c r="X1615" s="26" t="str">
        <f aca="false">IF($A1615="","",U1615-W1615)</f>
        <v/>
      </c>
      <c r="Y1615" s="26" t="str">
        <f aca="false">IF($A1615="","",U1615-W1615-M1615)</f>
        <v/>
      </c>
      <c r="AB1615" s="27" t="str">
        <f aca="false">IF($A1615="","",IF($AK1615=1,'كشف المطالبة'!$D$5,'كشف المطالبة'!$D$6)*100)</f>
        <v/>
      </c>
      <c r="AK1615" s="28" t="str">
        <f aca="false">IF($A1615="","",IF(OR($Q1615=TRUE(),$Q1615="TRUE"),1,0))</f>
        <v/>
      </c>
      <c r="AL1615" s="28" t="str">
        <f aca="false">IF($N1615="","",IF(MATCH($N1615,$N$2:$N$3001,0)=ROWS($N$2:$N1615),$N1615,""))</f>
        <v/>
      </c>
    </row>
    <row r="1616" customFormat="false" ht="15" hidden="false" customHeight="false" outlineLevel="0" collapsed="false">
      <c r="E1616" s="25"/>
      <c r="M1616" s="26" t="str">
        <f aca="false">IF($A1616="","",$L1616*$U1616/100)</f>
        <v/>
      </c>
      <c r="W1616" s="26" t="str">
        <f aca="false">IF($A1616="","",U1616*AB1616/100)</f>
        <v/>
      </c>
      <c r="X1616" s="26" t="str">
        <f aca="false">IF($A1616="","",U1616-W1616)</f>
        <v/>
      </c>
      <c r="Y1616" s="26" t="str">
        <f aca="false">IF($A1616="","",U1616-W1616-M1616)</f>
        <v/>
      </c>
      <c r="AB1616" s="27" t="str">
        <f aca="false">IF($A1616="","",IF($AK1616=1,'كشف المطالبة'!$D$5,'كشف المطالبة'!$D$6)*100)</f>
        <v/>
      </c>
      <c r="AK1616" s="28" t="str">
        <f aca="false">IF($A1616="","",IF(OR($Q1616=TRUE(),$Q1616="TRUE"),1,0))</f>
        <v/>
      </c>
      <c r="AL1616" s="28" t="str">
        <f aca="false">IF($N1616="","",IF(MATCH($N1616,$N$2:$N$3001,0)=ROWS($N$2:$N1616),$N1616,""))</f>
        <v/>
      </c>
    </row>
    <row r="1617" customFormat="false" ht="15" hidden="false" customHeight="false" outlineLevel="0" collapsed="false">
      <c r="E1617" s="25"/>
      <c r="M1617" s="26" t="str">
        <f aca="false">IF($A1617="","",$L1617*$U1617/100)</f>
        <v/>
      </c>
      <c r="W1617" s="26" t="str">
        <f aca="false">IF($A1617="","",U1617*AB1617/100)</f>
        <v/>
      </c>
      <c r="X1617" s="26" t="str">
        <f aca="false">IF($A1617="","",U1617-W1617)</f>
        <v/>
      </c>
      <c r="Y1617" s="26" t="str">
        <f aca="false">IF($A1617="","",U1617-W1617-M1617)</f>
        <v/>
      </c>
      <c r="AB1617" s="27" t="str">
        <f aca="false">IF($A1617="","",IF($AK1617=1,'كشف المطالبة'!$D$5,'كشف المطالبة'!$D$6)*100)</f>
        <v/>
      </c>
      <c r="AK1617" s="28" t="str">
        <f aca="false">IF($A1617="","",IF(OR($Q1617=TRUE(),$Q1617="TRUE"),1,0))</f>
        <v/>
      </c>
      <c r="AL1617" s="28" t="str">
        <f aca="false">IF($N1617="","",IF(MATCH($N1617,$N$2:$N$3001,0)=ROWS($N$2:$N1617),$N1617,""))</f>
        <v/>
      </c>
    </row>
    <row r="1618" customFormat="false" ht="15" hidden="false" customHeight="false" outlineLevel="0" collapsed="false">
      <c r="E1618" s="25"/>
      <c r="M1618" s="26" t="str">
        <f aca="false">IF($A1618="","",$L1618*$U1618/100)</f>
        <v/>
      </c>
      <c r="W1618" s="26" t="str">
        <f aca="false">IF($A1618="","",U1618*AB1618/100)</f>
        <v/>
      </c>
      <c r="X1618" s="26" t="str">
        <f aca="false">IF($A1618="","",U1618-W1618)</f>
        <v/>
      </c>
      <c r="Y1618" s="26" t="str">
        <f aca="false">IF($A1618="","",U1618-W1618-M1618)</f>
        <v/>
      </c>
      <c r="AB1618" s="27" t="str">
        <f aca="false">IF($A1618="","",IF($AK1618=1,'كشف المطالبة'!$D$5,'كشف المطالبة'!$D$6)*100)</f>
        <v/>
      </c>
      <c r="AK1618" s="28" t="str">
        <f aca="false">IF($A1618="","",IF(OR($Q1618=TRUE(),$Q1618="TRUE"),1,0))</f>
        <v/>
      </c>
      <c r="AL1618" s="28" t="str">
        <f aca="false">IF($N1618="","",IF(MATCH($N1618,$N$2:$N$3001,0)=ROWS($N$2:$N1618),$N1618,""))</f>
        <v/>
      </c>
    </row>
    <row r="1619" customFormat="false" ht="15" hidden="false" customHeight="false" outlineLevel="0" collapsed="false">
      <c r="E1619" s="25"/>
      <c r="M1619" s="26" t="str">
        <f aca="false">IF($A1619="","",$L1619*$U1619/100)</f>
        <v/>
      </c>
      <c r="W1619" s="26" t="str">
        <f aca="false">IF($A1619="","",U1619*AB1619/100)</f>
        <v/>
      </c>
      <c r="X1619" s="26" t="str">
        <f aca="false">IF($A1619="","",U1619-W1619)</f>
        <v/>
      </c>
      <c r="Y1619" s="26" t="str">
        <f aca="false">IF($A1619="","",U1619-W1619-M1619)</f>
        <v/>
      </c>
      <c r="AB1619" s="27" t="str">
        <f aca="false">IF($A1619="","",IF($AK1619=1,'كشف المطالبة'!$D$5,'كشف المطالبة'!$D$6)*100)</f>
        <v/>
      </c>
      <c r="AK1619" s="28" t="str">
        <f aca="false">IF($A1619="","",IF(OR($Q1619=TRUE(),$Q1619="TRUE"),1,0))</f>
        <v/>
      </c>
      <c r="AL1619" s="28" t="str">
        <f aca="false">IF($N1619="","",IF(MATCH($N1619,$N$2:$N$3001,0)=ROWS($N$2:$N1619),$N1619,""))</f>
        <v/>
      </c>
    </row>
    <row r="1620" customFormat="false" ht="15" hidden="false" customHeight="false" outlineLevel="0" collapsed="false">
      <c r="E1620" s="25"/>
      <c r="M1620" s="26" t="str">
        <f aca="false">IF($A1620="","",$L1620*$U1620/100)</f>
        <v/>
      </c>
      <c r="W1620" s="26" t="str">
        <f aca="false">IF($A1620="","",U1620*AB1620/100)</f>
        <v/>
      </c>
      <c r="X1620" s="26" t="str">
        <f aca="false">IF($A1620="","",U1620-W1620)</f>
        <v/>
      </c>
      <c r="Y1620" s="26" t="str">
        <f aca="false">IF($A1620="","",U1620-W1620-M1620)</f>
        <v/>
      </c>
      <c r="AB1620" s="27" t="str">
        <f aca="false">IF($A1620="","",IF($AK1620=1,'كشف المطالبة'!$D$5,'كشف المطالبة'!$D$6)*100)</f>
        <v/>
      </c>
      <c r="AK1620" s="28" t="str">
        <f aca="false">IF($A1620="","",IF(OR($Q1620=TRUE(),$Q1620="TRUE"),1,0))</f>
        <v/>
      </c>
      <c r="AL1620" s="28" t="str">
        <f aca="false">IF($N1620="","",IF(MATCH($N1620,$N$2:$N$3001,0)=ROWS($N$2:$N1620),$N1620,""))</f>
        <v/>
      </c>
    </row>
    <row r="1621" customFormat="false" ht="15" hidden="false" customHeight="false" outlineLevel="0" collapsed="false">
      <c r="E1621" s="25"/>
      <c r="M1621" s="26" t="str">
        <f aca="false">IF($A1621="","",$L1621*$U1621/100)</f>
        <v/>
      </c>
      <c r="W1621" s="26" t="str">
        <f aca="false">IF($A1621="","",U1621*AB1621/100)</f>
        <v/>
      </c>
      <c r="X1621" s="26" t="str">
        <f aca="false">IF($A1621="","",U1621-W1621)</f>
        <v/>
      </c>
      <c r="Y1621" s="26" t="str">
        <f aca="false">IF($A1621="","",U1621-W1621-M1621)</f>
        <v/>
      </c>
      <c r="AB1621" s="27" t="str">
        <f aca="false">IF($A1621="","",IF($AK1621=1,'كشف المطالبة'!$D$5,'كشف المطالبة'!$D$6)*100)</f>
        <v/>
      </c>
      <c r="AK1621" s="28" t="str">
        <f aca="false">IF($A1621="","",IF(OR($Q1621=TRUE(),$Q1621="TRUE"),1,0))</f>
        <v/>
      </c>
      <c r="AL1621" s="28" t="str">
        <f aca="false">IF($N1621="","",IF(MATCH($N1621,$N$2:$N$3001,0)=ROWS($N$2:$N1621),$N1621,""))</f>
        <v/>
      </c>
    </row>
    <row r="1622" customFormat="false" ht="15" hidden="false" customHeight="false" outlineLevel="0" collapsed="false">
      <c r="E1622" s="25"/>
      <c r="M1622" s="26" t="str">
        <f aca="false">IF($A1622="","",$L1622*$U1622/100)</f>
        <v/>
      </c>
      <c r="W1622" s="26" t="str">
        <f aca="false">IF($A1622="","",U1622*AB1622/100)</f>
        <v/>
      </c>
      <c r="X1622" s="26" t="str">
        <f aca="false">IF($A1622="","",U1622-W1622)</f>
        <v/>
      </c>
      <c r="Y1622" s="26" t="str">
        <f aca="false">IF($A1622="","",U1622-W1622-M1622)</f>
        <v/>
      </c>
      <c r="AB1622" s="27" t="str">
        <f aca="false">IF($A1622="","",IF($AK1622=1,'كشف المطالبة'!$D$5,'كشف المطالبة'!$D$6)*100)</f>
        <v/>
      </c>
      <c r="AK1622" s="28" t="str">
        <f aca="false">IF($A1622="","",IF(OR($Q1622=TRUE(),$Q1622="TRUE"),1,0))</f>
        <v/>
      </c>
      <c r="AL1622" s="28" t="str">
        <f aca="false">IF($N1622="","",IF(MATCH($N1622,$N$2:$N$3001,0)=ROWS($N$2:$N1622),$N1622,""))</f>
        <v/>
      </c>
    </row>
    <row r="1623" customFormat="false" ht="15" hidden="false" customHeight="false" outlineLevel="0" collapsed="false">
      <c r="E1623" s="25"/>
      <c r="M1623" s="26" t="str">
        <f aca="false">IF($A1623="","",$L1623*$U1623/100)</f>
        <v/>
      </c>
      <c r="W1623" s="26" t="str">
        <f aca="false">IF($A1623="","",U1623*AB1623/100)</f>
        <v/>
      </c>
      <c r="X1623" s="26" t="str">
        <f aca="false">IF($A1623="","",U1623-W1623)</f>
        <v/>
      </c>
      <c r="Y1623" s="26" t="str">
        <f aca="false">IF($A1623="","",U1623-W1623-M1623)</f>
        <v/>
      </c>
      <c r="AB1623" s="27" t="str">
        <f aca="false">IF($A1623="","",IF($AK1623=1,'كشف المطالبة'!$D$5,'كشف المطالبة'!$D$6)*100)</f>
        <v/>
      </c>
      <c r="AK1623" s="28" t="str">
        <f aca="false">IF($A1623="","",IF(OR($Q1623=TRUE(),$Q1623="TRUE"),1,0))</f>
        <v/>
      </c>
      <c r="AL1623" s="28" t="str">
        <f aca="false">IF($N1623="","",IF(MATCH($N1623,$N$2:$N$3001,0)=ROWS($N$2:$N1623),$N1623,""))</f>
        <v/>
      </c>
    </row>
    <row r="1624" customFormat="false" ht="15" hidden="false" customHeight="false" outlineLevel="0" collapsed="false">
      <c r="E1624" s="25"/>
      <c r="M1624" s="26" t="str">
        <f aca="false">IF($A1624="","",$L1624*$U1624/100)</f>
        <v/>
      </c>
      <c r="W1624" s="26" t="str">
        <f aca="false">IF($A1624="","",U1624*AB1624/100)</f>
        <v/>
      </c>
      <c r="X1624" s="26" t="str">
        <f aca="false">IF($A1624="","",U1624-W1624)</f>
        <v/>
      </c>
      <c r="Y1624" s="26" t="str">
        <f aca="false">IF($A1624="","",U1624-W1624-M1624)</f>
        <v/>
      </c>
      <c r="AB1624" s="27" t="str">
        <f aca="false">IF($A1624="","",IF($AK1624=1,'كشف المطالبة'!$D$5,'كشف المطالبة'!$D$6)*100)</f>
        <v/>
      </c>
      <c r="AK1624" s="28" t="str">
        <f aca="false">IF($A1624="","",IF(OR($Q1624=TRUE(),$Q1624="TRUE"),1,0))</f>
        <v/>
      </c>
      <c r="AL1624" s="28" t="str">
        <f aca="false">IF($N1624="","",IF(MATCH($N1624,$N$2:$N$3001,0)=ROWS($N$2:$N1624),$N1624,""))</f>
        <v/>
      </c>
    </row>
    <row r="1625" customFormat="false" ht="15" hidden="false" customHeight="false" outlineLevel="0" collapsed="false">
      <c r="E1625" s="25"/>
      <c r="M1625" s="26" t="str">
        <f aca="false">IF($A1625="","",$L1625*$U1625/100)</f>
        <v/>
      </c>
      <c r="W1625" s="26" t="str">
        <f aca="false">IF($A1625="","",U1625*AB1625/100)</f>
        <v/>
      </c>
      <c r="X1625" s="26" t="str">
        <f aca="false">IF($A1625="","",U1625-W1625)</f>
        <v/>
      </c>
      <c r="Y1625" s="26" t="str">
        <f aca="false">IF($A1625="","",U1625-W1625-M1625)</f>
        <v/>
      </c>
      <c r="AB1625" s="27" t="str">
        <f aca="false">IF($A1625="","",IF($AK1625=1,'كشف المطالبة'!$D$5,'كشف المطالبة'!$D$6)*100)</f>
        <v/>
      </c>
      <c r="AK1625" s="28" t="str">
        <f aca="false">IF($A1625="","",IF(OR($Q1625=TRUE(),$Q1625="TRUE"),1,0))</f>
        <v/>
      </c>
      <c r="AL1625" s="28" t="str">
        <f aca="false">IF($N1625="","",IF(MATCH($N1625,$N$2:$N$3001,0)=ROWS($N$2:$N1625),$N1625,""))</f>
        <v/>
      </c>
    </row>
    <row r="1626" customFormat="false" ht="15" hidden="false" customHeight="false" outlineLevel="0" collapsed="false">
      <c r="E1626" s="25"/>
      <c r="M1626" s="26" t="str">
        <f aca="false">IF($A1626="","",$L1626*$U1626/100)</f>
        <v/>
      </c>
      <c r="W1626" s="26" t="str">
        <f aca="false">IF($A1626="","",U1626*AB1626/100)</f>
        <v/>
      </c>
      <c r="X1626" s="26" t="str">
        <f aca="false">IF($A1626="","",U1626-W1626)</f>
        <v/>
      </c>
      <c r="Y1626" s="26" t="str">
        <f aca="false">IF($A1626="","",U1626-W1626-M1626)</f>
        <v/>
      </c>
      <c r="AB1626" s="27" t="str">
        <f aca="false">IF($A1626="","",IF($AK1626=1,'كشف المطالبة'!$D$5,'كشف المطالبة'!$D$6)*100)</f>
        <v/>
      </c>
      <c r="AK1626" s="28" t="str">
        <f aca="false">IF($A1626="","",IF(OR($Q1626=TRUE(),$Q1626="TRUE"),1,0))</f>
        <v/>
      </c>
      <c r="AL1626" s="28" t="str">
        <f aca="false">IF($N1626="","",IF(MATCH($N1626,$N$2:$N$3001,0)=ROWS($N$2:$N1626),$N1626,""))</f>
        <v/>
      </c>
    </row>
    <row r="1627" customFormat="false" ht="15" hidden="false" customHeight="false" outlineLevel="0" collapsed="false">
      <c r="E1627" s="25"/>
      <c r="M1627" s="26" t="str">
        <f aca="false">IF($A1627="","",$L1627*$U1627/100)</f>
        <v/>
      </c>
      <c r="W1627" s="26" t="str">
        <f aca="false">IF($A1627="","",U1627*AB1627/100)</f>
        <v/>
      </c>
      <c r="X1627" s="26" t="str">
        <f aca="false">IF($A1627="","",U1627-W1627)</f>
        <v/>
      </c>
      <c r="Y1627" s="26" t="str">
        <f aca="false">IF($A1627="","",U1627-W1627-M1627)</f>
        <v/>
      </c>
      <c r="AB1627" s="27" t="str">
        <f aca="false">IF($A1627="","",IF($AK1627=1,'كشف المطالبة'!$D$5,'كشف المطالبة'!$D$6)*100)</f>
        <v/>
      </c>
      <c r="AK1627" s="28" t="str">
        <f aca="false">IF($A1627="","",IF(OR($Q1627=TRUE(),$Q1627="TRUE"),1,0))</f>
        <v/>
      </c>
      <c r="AL1627" s="28" t="str">
        <f aca="false">IF($N1627="","",IF(MATCH($N1627,$N$2:$N$3001,0)=ROWS($N$2:$N1627),$N1627,""))</f>
        <v/>
      </c>
    </row>
    <row r="1628" customFormat="false" ht="15" hidden="false" customHeight="false" outlineLevel="0" collapsed="false">
      <c r="E1628" s="25"/>
      <c r="M1628" s="26" t="str">
        <f aca="false">IF($A1628="","",$L1628*$U1628/100)</f>
        <v/>
      </c>
      <c r="W1628" s="26" t="str">
        <f aca="false">IF($A1628="","",U1628*AB1628/100)</f>
        <v/>
      </c>
      <c r="X1628" s="26" t="str">
        <f aca="false">IF($A1628="","",U1628-W1628)</f>
        <v/>
      </c>
      <c r="Y1628" s="26" t="str">
        <f aca="false">IF($A1628="","",U1628-W1628-M1628)</f>
        <v/>
      </c>
      <c r="AB1628" s="27" t="str">
        <f aca="false">IF($A1628="","",IF($AK1628=1,'كشف المطالبة'!$D$5,'كشف المطالبة'!$D$6)*100)</f>
        <v/>
      </c>
      <c r="AK1628" s="28" t="str">
        <f aca="false">IF($A1628="","",IF(OR($Q1628=TRUE(),$Q1628="TRUE"),1,0))</f>
        <v/>
      </c>
      <c r="AL1628" s="28" t="str">
        <f aca="false">IF($N1628="","",IF(MATCH($N1628,$N$2:$N$3001,0)=ROWS($N$2:$N1628),$N1628,""))</f>
        <v/>
      </c>
    </row>
    <row r="1629" customFormat="false" ht="15" hidden="false" customHeight="false" outlineLevel="0" collapsed="false">
      <c r="E1629" s="25"/>
      <c r="M1629" s="26" t="str">
        <f aca="false">IF($A1629="","",$L1629*$U1629/100)</f>
        <v/>
      </c>
      <c r="W1629" s="26" t="str">
        <f aca="false">IF($A1629="","",U1629*AB1629/100)</f>
        <v/>
      </c>
      <c r="X1629" s="26" t="str">
        <f aca="false">IF($A1629="","",U1629-W1629)</f>
        <v/>
      </c>
      <c r="Y1629" s="26" t="str">
        <f aca="false">IF($A1629="","",U1629-W1629-M1629)</f>
        <v/>
      </c>
      <c r="AB1629" s="27" t="str">
        <f aca="false">IF($A1629="","",IF($AK1629=1,'كشف المطالبة'!$D$5,'كشف المطالبة'!$D$6)*100)</f>
        <v/>
      </c>
      <c r="AK1629" s="28" t="str">
        <f aca="false">IF($A1629="","",IF(OR($Q1629=TRUE(),$Q1629="TRUE"),1,0))</f>
        <v/>
      </c>
      <c r="AL1629" s="28" t="str">
        <f aca="false">IF($N1629="","",IF(MATCH($N1629,$N$2:$N$3001,0)=ROWS($N$2:$N1629),$N1629,""))</f>
        <v/>
      </c>
    </row>
    <row r="1630" customFormat="false" ht="15" hidden="false" customHeight="false" outlineLevel="0" collapsed="false">
      <c r="E1630" s="25"/>
      <c r="M1630" s="26" t="str">
        <f aca="false">IF($A1630="","",$L1630*$U1630/100)</f>
        <v/>
      </c>
      <c r="W1630" s="26" t="str">
        <f aca="false">IF($A1630="","",U1630*AB1630/100)</f>
        <v/>
      </c>
      <c r="X1630" s="26" t="str">
        <f aca="false">IF($A1630="","",U1630-W1630)</f>
        <v/>
      </c>
      <c r="Y1630" s="26" t="str">
        <f aca="false">IF($A1630="","",U1630-W1630-M1630)</f>
        <v/>
      </c>
      <c r="AB1630" s="27" t="str">
        <f aca="false">IF($A1630="","",IF($AK1630=1,'كشف المطالبة'!$D$5,'كشف المطالبة'!$D$6)*100)</f>
        <v/>
      </c>
      <c r="AK1630" s="28" t="str">
        <f aca="false">IF($A1630="","",IF(OR($Q1630=TRUE(),$Q1630="TRUE"),1,0))</f>
        <v/>
      </c>
      <c r="AL1630" s="28" t="str">
        <f aca="false">IF($N1630="","",IF(MATCH($N1630,$N$2:$N$3001,0)=ROWS($N$2:$N1630),$N1630,""))</f>
        <v/>
      </c>
    </row>
    <row r="1631" customFormat="false" ht="15" hidden="false" customHeight="false" outlineLevel="0" collapsed="false">
      <c r="E1631" s="25"/>
      <c r="M1631" s="26" t="str">
        <f aca="false">IF($A1631="","",$L1631*$U1631/100)</f>
        <v/>
      </c>
      <c r="W1631" s="26" t="str">
        <f aca="false">IF($A1631="","",U1631*AB1631/100)</f>
        <v/>
      </c>
      <c r="X1631" s="26" t="str">
        <f aca="false">IF($A1631="","",U1631-W1631)</f>
        <v/>
      </c>
      <c r="Y1631" s="26" t="str">
        <f aca="false">IF($A1631="","",U1631-W1631-M1631)</f>
        <v/>
      </c>
      <c r="AB1631" s="27" t="str">
        <f aca="false">IF($A1631="","",IF($AK1631=1,'كشف المطالبة'!$D$5,'كشف المطالبة'!$D$6)*100)</f>
        <v/>
      </c>
      <c r="AK1631" s="28" t="str">
        <f aca="false">IF($A1631="","",IF(OR($Q1631=TRUE(),$Q1631="TRUE"),1,0))</f>
        <v/>
      </c>
      <c r="AL1631" s="28" t="str">
        <f aca="false">IF($N1631="","",IF(MATCH($N1631,$N$2:$N$3001,0)=ROWS($N$2:$N1631),$N1631,""))</f>
        <v/>
      </c>
    </row>
    <row r="1632" customFormat="false" ht="15" hidden="false" customHeight="false" outlineLevel="0" collapsed="false">
      <c r="E1632" s="25"/>
      <c r="M1632" s="26" t="str">
        <f aca="false">IF($A1632="","",$L1632*$U1632/100)</f>
        <v/>
      </c>
      <c r="W1632" s="26" t="str">
        <f aca="false">IF($A1632="","",U1632*AB1632/100)</f>
        <v/>
      </c>
      <c r="X1632" s="26" t="str">
        <f aca="false">IF($A1632="","",U1632-W1632)</f>
        <v/>
      </c>
      <c r="Y1632" s="26" t="str">
        <f aca="false">IF($A1632="","",U1632-W1632-M1632)</f>
        <v/>
      </c>
      <c r="AB1632" s="27" t="str">
        <f aca="false">IF($A1632="","",IF($AK1632=1,'كشف المطالبة'!$D$5,'كشف المطالبة'!$D$6)*100)</f>
        <v/>
      </c>
      <c r="AK1632" s="28" t="str">
        <f aca="false">IF($A1632="","",IF(OR($Q1632=TRUE(),$Q1632="TRUE"),1,0))</f>
        <v/>
      </c>
      <c r="AL1632" s="28" t="str">
        <f aca="false">IF($N1632="","",IF(MATCH($N1632,$N$2:$N$3001,0)=ROWS($N$2:$N1632),$N1632,""))</f>
        <v/>
      </c>
    </row>
    <row r="1633" customFormat="false" ht="15" hidden="false" customHeight="false" outlineLevel="0" collapsed="false">
      <c r="E1633" s="25"/>
      <c r="M1633" s="26" t="str">
        <f aca="false">IF($A1633="","",$L1633*$U1633/100)</f>
        <v/>
      </c>
      <c r="W1633" s="26" t="str">
        <f aca="false">IF($A1633="","",U1633*AB1633/100)</f>
        <v/>
      </c>
      <c r="X1633" s="26" t="str">
        <f aca="false">IF($A1633="","",U1633-W1633)</f>
        <v/>
      </c>
      <c r="Y1633" s="26" t="str">
        <f aca="false">IF($A1633="","",U1633-W1633-M1633)</f>
        <v/>
      </c>
      <c r="AB1633" s="27" t="str">
        <f aca="false">IF($A1633="","",IF($AK1633=1,'كشف المطالبة'!$D$5,'كشف المطالبة'!$D$6)*100)</f>
        <v/>
      </c>
      <c r="AK1633" s="28" t="str">
        <f aca="false">IF($A1633="","",IF(OR($Q1633=TRUE(),$Q1633="TRUE"),1,0))</f>
        <v/>
      </c>
      <c r="AL1633" s="28" t="str">
        <f aca="false">IF($N1633="","",IF(MATCH($N1633,$N$2:$N$3001,0)=ROWS($N$2:$N1633),$N1633,""))</f>
        <v/>
      </c>
    </row>
    <row r="1634" customFormat="false" ht="15" hidden="false" customHeight="false" outlineLevel="0" collapsed="false">
      <c r="E1634" s="25"/>
      <c r="M1634" s="26" t="str">
        <f aca="false">IF($A1634="","",$L1634*$U1634/100)</f>
        <v/>
      </c>
      <c r="W1634" s="26" t="str">
        <f aca="false">IF($A1634="","",U1634*AB1634/100)</f>
        <v/>
      </c>
      <c r="X1634" s="26" t="str">
        <f aca="false">IF($A1634="","",U1634-W1634)</f>
        <v/>
      </c>
      <c r="Y1634" s="26" t="str">
        <f aca="false">IF($A1634="","",U1634-W1634-M1634)</f>
        <v/>
      </c>
      <c r="AB1634" s="27" t="str">
        <f aca="false">IF($A1634="","",IF($AK1634=1,'كشف المطالبة'!$D$5,'كشف المطالبة'!$D$6)*100)</f>
        <v/>
      </c>
      <c r="AK1634" s="28" t="str">
        <f aca="false">IF($A1634="","",IF(OR($Q1634=TRUE(),$Q1634="TRUE"),1,0))</f>
        <v/>
      </c>
      <c r="AL1634" s="28" t="str">
        <f aca="false">IF($N1634="","",IF(MATCH($N1634,$N$2:$N$3001,0)=ROWS($N$2:$N1634),$N1634,""))</f>
        <v/>
      </c>
    </row>
    <row r="1635" customFormat="false" ht="15" hidden="false" customHeight="false" outlineLevel="0" collapsed="false">
      <c r="E1635" s="25"/>
      <c r="M1635" s="26" t="str">
        <f aca="false">IF($A1635="","",$L1635*$U1635/100)</f>
        <v/>
      </c>
      <c r="W1635" s="26" t="str">
        <f aca="false">IF($A1635="","",U1635*AB1635/100)</f>
        <v/>
      </c>
      <c r="X1635" s="26" t="str">
        <f aca="false">IF($A1635="","",U1635-W1635)</f>
        <v/>
      </c>
      <c r="Y1635" s="26" t="str">
        <f aca="false">IF($A1635="","",U1635-W1635-M1635)</f>
        <v/>
      </c>
      <c r="AB1635" s="27" t="str">
        <f aca="false">IF($A1635="","",IF($AK1635=1,'كشف المطالبة'!$D$5,'كشف المطالبة'!$D$6)*100)</f>
        <v/>
      </c>
      <c r="AK1635" s="28" t="str">
        <f aca="false">IF($A1635="","",IF(OR($Q1635=TRUE(),$Q1635="TRUE"),1,0))</f>
        <v/>
      </c>
      <c r="AL1635" s="28" t="str">
        <f aca="false">IF($N1635="","",IF(MATCH($N1635,$N$2:$N$3001,0)=ROWS($N$2:$N1635),$N1635,""))</f>
        <v/>
      </c>
    </row>
    <row r="1636" customFormat="false" ht="15" hidden="false" customHeight="false" outlineLevel="0" collapsed="false">
      <c r="E1636" s="25"/>
      <c r="M1636" s="26" t="str">
        <f aca="false">IF($A1636="","",$L1636*$U1636/100)</f>
        <v/>
      </c>
      <c r="W1636" s="26" t="str">
        <f aca="false">IF($A1636="","",U1636*AB1636/100)</f>
        <v/>
      </c>
      <c r="X1636" s="26" t="str">
        <f aca="false">IF($A1636="","",U1636-W1636)</f>
        <v/>
      </c>
      <c r="Y1636" s="26" t="str">
        <f aca="false">IF($A1636="","",U1636-W1636-M1636)</f>
        <v/>
      </c>
      <c r="AB1636" s="27" t="str">
        <f aca="false">IF($A1636="","",IF($AK1636=1,'كشف المطالبة'!$D$5,'كشف المطالبة'!$D$6)*100)</f>
        <v/>
      </c>
      <c r="AK1636" s="28" t="str">
        <f aca="false">IF($A1636="","",IF(OR($Q1636=TRUE(),$Q1636="TRUE"),1,0))</f>
        <v/>
      </c>
      <c r="AL1636" s="28" t="str">
        <f aca="false">IF($N1636="","",IF(MATCH($N1636,$N$2:$N$3001,0)=ROWS($N$2:$N1636),$N1636,""))</f>
        <v/>
      </c>
    </row>
    <row r="1637" customFormat="false" ht="15" hidden="false" customHeight="false" outlineLevel="0" collapsed="false">
      <c r="E1637" s="25"/>
      <c r="M1637" s="26" t="str">
        <f aca="false">IF($A1637="","",$L1637*$U1637/100)</f>
        <v/>
      </c>
      <c r="W1637" s="26" t="str">
        <f aca="false">IF($A1637="","",U1637*AB1637/100)</f>
        <v/>
      </c>
      <c r="X1637" s="26" t="str">
        <f aca="false">IF($A1637="","",U1637-W1637)</f>
        <v/>
      </c>
      <c r="Y1637" s="26" t="str">
        <f aca="false">IF($A1637="","",U1637-W1637-M1637)</f>
        <v/>
      </c>
      <c r="AB1637" s="27" t="str">
        <f aca="false">IF($A1637="","",IF($AK1637=1,'كشف المطالبة'!$D$5,'كشف المطالبة'!$D$6)*100)</f>
        <v/>
      </c>
      <c r="AK1637" s="28" t="str">
        <f aca="false">IF($A1637="","",IF(OR($Q1637=TRUE(),$Q1637="TRUE"),1,0))</f>
        <v/>
      </c>
      <c r="AL1637" s="28" t="str">
        <f aca="false">IF($N1637="","",IF(MATCH($N1637,$N$2:$N$3001,0)=ROWS($N$2:$N1637),$N1637,""))</f>
        <v/>
      </c>
    </row>
    <row r="1638" customFormat="false" ht="15" hidden="false" customHeight="false" outlineLevel="0" collapsed="false">
      <c r="E1638" s="25"/>
      <c r="M1638" s="26" t="str">
        <f aca="false">IF($A1638="","",$L1638*$U1638/100)</f>
        <v/>
      </c>
      <c r="W1638" s="26" t="str">
        <f aca="false">IF($A1638="","",U1638*AB1638/100)</f>
        <v/>
      </c>
      <c r="X1638" s="26" t="str">
        <f aca="false">IF($A1638="","",U1638-W1638)</f>
        <v/>
      </c>
      <c r="Y1638" s="26" t="str">
        <f aca="false">IF($A1638="","",U1638-W1638-M1638)</f>
        <v/>
      </c>
      <c r="AB1638" s="27" t="str">
        <f aca="false">IF($A1638="","",IF($AK1638=1,'كشف المطالبة'!$D$5,'كشف المطالبة'!$D$6)*100)</f>
        <v/>
      </c>
      <c r="AK1638" s="28" t="str">
        <f aca="false">IF($A1638="","",IF(OR($Q1638=TRUE(),$Q1638="TRUE"),1,0))</f>
        <v/>
      </c>
      <c r="AL1638" s="28" t="str">
        <f aca="false">IF($N1638="","",IF(MATCH($N1638,$N$2:$N$3001,0)=ROWS($N$2:$N1638),$N1638,""))</f>
        <v/>
      </c>
    </row>
    <row r="1639" customFormat="false" ht="15" hidden="false" customHeight="false" outlineLevel="0" collapsed="false">
      <c r="E1639" s="25"/>
      <c r="M1639" s="26" t="str">
        <f aca="false">IF($A1639="","",$L1639*$U1639/100)</f>
        <v/>
      </c>
      <c r="W1639" s="26" t="str">
        <f aca="false">IF($A1639="","",U1639*AB1639/100)</f>
        <v/>
      </c>
      <c r="X1639" s="26" t="str">
        <f aca="false">IF($A1639="","",U1639-W1639)</f>
        <v/>
      </c>
      <c r="Y1639" s="26" t="str">
        <f aca="false">IF($A1639="","",U1639-W1639-M1639)</f>
        <v/>
      </c>
      <c r="AB1639" s="27" t="str">
        <f aca="false">IF($A1639="","",IF($AK1639=1,'كشف المطالبة'!$D$5,'كشف المطالبة'!$D$6)*100)</f>
        <v/>
      </c>
      <c r="AK1639" s="28" t="str">
        <f aca="false">IF($A1639="","",IF(OR($Q1639=TRUE(),$Q1639="TRUE"),1,0))</f>
        <v/>
      </c>
      <c r="AL1639" s="28" t="str">
        <f aca="false">IF($N1639="","",IF(MATCH($N1639,$N$2:$N$3001,0)=ROWS($N$2:$N1639),$N1639,""))</f>
        <v/>
      </c>
    </row>
    <row r="1640" customFormat="false" ht="15" hidden="false" customHeight="false" outlineLevel="0" collapsed="false">
      <c r="E1640" s="25"/>
      <c r="M1640" s="26" t="str">
        <f aca="false">IF($A1640="","",$L1640*$U1640/100)</f>
        <v/>
      </c>
      <c r="W1640" s="26" t="str">
        <f aca="false">IF($A1640="","",U1640*AB1640/100)</f>
        <v/>
      </c>
      <c r="X1640" s="26" t="str">
        <f aca="false">IF($A1640="","",U1640-W1640)</f>
        <v/>
      </c>
      <c r="Y1640" s="26" t="str">
        <f aca="false">IF($A1640="","",U1640-W1640-M1640)</f>
        <v/>
      </c>
      <c r="AB1640" s="27" t="str">
        <f aca="false">IF($A1640="","",IF($AK1640=1,'كشف المطالبة'!$D$5,'كشف المطالبة'!$D$6)*100)</f>
        <v/>
      </c>
      <c r="AK1640" s="28" t="str">
        <f aca="false">IF($A1640="","",IF(OR($Q1640=TRUE(),$Q1640="TRUE"),1,0))</f>
        <v/>
      </c>
      <c r="AL1640" s="28" t="str">
        <f aca="false">IF($N1640="","",IF(MATCH($N1640,$N$2:$N$3001,0)=ROWS($N$2:$N1640),$N1640,""))</f>
        <v/>
      </c>
    </row>
    <row r="1641" customFormat="false" ht="15" hidden="false" customHeight="false" outlineLevel="0" collapsed="false">
      <c r="E1641" s="25"/>
      <c r="M1641" s="26" t="str">
        <f aca="false">IF($A1641="","",$L1641*$U1641/100)</f>
        <v/>
      </c>
      <c r="W1641" s="26" t="str">
        <f aca="false">IF($A1641="","",U1641*AB1641/100)</f>
        <v/>
      </c>
      <c r="X1641" s="26" t="str">
        <f aca="false">IF($A1641="","",U1641-W1641)</f>
        <v/>
      </c>
      <c r="Y1641" s="26" t="str">
        <f aca="false">IF($A1641="","",U1641-W1641-M1641)</f>
        <v/>
      </c>
      <c r="AB1641" s="27" t="str">
        <f aca="false">IF($A1641="","",IF($AK1641=1,'كشف المطالبة'!$D$5,'كشف المطالبة'!$D$6)*100)</f>
        <v/>
      </c>
      <c r="AK1641" s="28" t="str">
        <f aca="false">IF($A1641="","",IF(OR($Q1641=TRUE(),$Q1641="TRUE"),1,0))</f>
        <v/>
      </c>
      <c r="AL1641" s="28" t="str">
        <f aca="false">IF($N1641="","",IF(MATCH($N1641,$N$2:$N$3001,0)=ROWS($N$2:$N1641),$N1641,""))</f>
        <v/>
      </c>
    </row>
    <row r="1642" customFormat="false" ht="15" hidden="false" customHeight="false" outlineLevel="0" collapsed="false">
      <c r="E1642" s="25"/>
      <c r="M1642" s="26" t="str">
        <f aca="false">IF($A1642="","",$L1642*$U1642/100)</f>
        <v/>
      </c>
      <c r="W1642" s="26" t="str">
        <f aca="false">IF($A1642="","",U1642*AB1642/100)</f>
        <v/>
      </c>
      <c r="X1642" s="26" t="str">
        <f aca="false">IF($A1642="","",U1642-W1642)</f>
        <v/>
      </c>
      <c r="Y1642" s="26" t="str">
        <f aca="false">IF($A1642="","",U1642-W1642-M1642)</f>
        <v/>
      </c>
      <c r="AB1642" s="27" t="str">
        <f aca="false">IF($A1642="","",IF($AK1642=1,'كشف المطالبة'!$D$5,'كشف المطالبة'!$D$6)*100)</f>
        <v/>
      </c>
      <c r="AK1642" s="28" t="str">
        <f aca="false">IF($A1642="","",IF(OR($Q1642=TRUE(),$Q1642="TRUE"),1,0))</f>
        <v/>
      </c>
      <c r="AL1642" s="28" t="str">
        <f aca="false">IF($N1642="","",IF(MATCH($N1642,$N$2:$N$3001,0)=ROWS($N$2:$N1642),$N1642,""))</f>
        <v/>
      </c>
    </row>
    <row r="1643" customFormat="false" ht="15" hidden="false" customHeight="false" outlineLevel="0" collapsed="false">
      <c r="E1643" s="25"/>
      <c r="M1643" s="26" t="str">
        <f aca="false">IF($A1643="","",$L1643*$U1643/100)</f>
        <v/>
      </c>
      <c r="W1643" s="26" t="str">
        <f aca="false">IF($A1643="","",U1643*AB1643/100)</f>
        <v/>
      </c>
      <c r="X1643" s="26" t="str">
        <f aca="false">IF($A1643="","",U1643-W1643)</f>
        <v/>
      </c>
      <c r="Y1643" s="26" t="str">
        <f aca="false">IF($A1643="","",U1643-W1643-M1643)</f>
        <v/>
      </c>
      <c r="AB1643" s="27" t="str">
        <f aca="false">IF($A1643="","",IF($AK1643=1,'كشف المطالبة'!$D$5,'كشف المطالبة'!$D$6)*100)</f>
        <v/>
      </c>
      <c r="AK1643" s="28" t="str">
        <f aca="false">IF($A1643="","",IF(OR($Q1643=TRUE(),$Q1643="TRUE"),1,0))</f>
        <v/>
      </c>
      <c r="AL1643" s="28" t="str">
        <f aca="false">IF($N1643="","",IF(MATCH($N1643,$N$2:$N$3001,0)=ROWS($N$2:$N1643),$N1643,""))</f>
        <v/>
      </c>
    </row>
    <row r="1644" customFormat="false" ht="15" hidden="false" customHeight="false" outlineLevel="0" collapsed="false">
      <c r="E1644" s="25"/>
      <c r="M1644" s="26" t="str">
        <f aca="false">IF($A1644="","",$L1644*$U1644/100)</f>
        <v/>
      </c>
      <c r="W1644" s="26" t="str">
        <f aca="false">IF($A1644="","",U1644*AB1644/100)</f>
        <v/>
      </c>
      <c r="X1644" s="26" t="str">
        <f aca="false">IF($A1644="","",U1644-W1644)</f>
        <v/>
      </c>
      <c r="Y1644" s="26" t="str">
        <f aca="false">IF($A1644="","",U1644-W1644-M1644)</f>
        <v/>
      </c>
      <c r="AB1644" s="27" t="str">
        <f aca="false">IF($A1644="","",IF($AK1644=1,'كشف المطالبة'!$D$5,'كشف المطالبة'!$D$6)*100)</f>
        <v/>
      </c>
      <c r="AK1644" s="28" t="str">
        <f aca="false">IF($A1644="","",IF(OR($Q1644=TRUE(),$Q1644="TRUE"),1,0))</f>
        <v/>
      </c>
      <c r="AL1644" s="28" t="str">
        <f aca="false">IF($N1644="","",IF(MATCH($N1644,$N$2:$N$3001,0)=ROWS($N$2:$N1644),$N1644,""))</f>
        <v/>
      </c>
    </row>
    <row r="1645" customFormat="false" ht="15" hidden="false" customHeight="false" outlineLevel="0" collapsed="false">
      <c r="E1645" s="25"/>
      <c r="M1645" s="26" t="str">
        <f aca="false">IF($A1645="","",$L1645*$U1645/100)</f>
        <v/>
      </c>
      <c r="W1645" s="26" t="str">
        <f aca="false">IF($A1645="","",U1645*AB1645/100)</f>
        <v/>
      </c>
      <c r="X1645" s="26" t="str">
        <f aca="false">IF($A1645="","",U1645-W1645)</f>
        <v/>
      </c>
      <c r="Y1645" s="26" t="str">
        <f aca="false">IF($A1645="","",U1645-W1645-M1645)</f>
        <v/>
      </c>
      <c r="AB1645" s="27" t="str">
        <f aca="false">IF($A1645="","",IF($AK1645=1,'كشف المطالبة'!$D$5,'كشف المطالبة'!$D$6)*100)</f>
        <v/>
      </c>
      <c r="AK1645" s="28" t="str">
        <f aca="false">IF($A1645="","",IF(OR($Q1645=TRUE(),$Q1645="TRUE"),1,0))</f>
        <v/>
      </c>
      <c r="AL1645" s="28" t="str">
        <f aca="false">IF($N1645="","",IF(MATCH($N1645,$N$2:$N$3001,0)=ROWS($N$2:$N1645),$N1645,""))</f>
        <v/>
      </c>
    </row>
    <row r="1646" customFormat="false" ht="15" hidden="false" customHeight="false" outlineLevel="0" collapsed="false">
      <c r="E1646" s="25"/>
      <c r="M1646" s="26" t="str">
        <f aca="false">IF($A1646="","",$L1646*$U1646/100)</f>
        <v/>
      </c>
      <c r="W1646" s="26" t="str">
        <f aca="false">IF($A1646="","",U1646*AB1646/100)</f>
        <v/>
      </c>
      <c r="X1646" s="26" t="str">
        <f aca="false">IF($A1646="","",U1646-W1646)</f>
        <v/>
      </c>
      <c r="Y1646" s="26" t="str">
        <f aca="false">IF($A1646="","",U1646-W1646-M1646)</f>
        <v/>
      </c>
      <c r="AB1646" s="27" t="str">
        <f aca="false">IF($A1646="","",IF($AK1646=1,'كشف المطالبة'!$D$5,'كشف المطالبة'!$D$6)*100)</f>
        <v/>
      </c>
      <c r="AK1646" s="28" t="str">
        <f aca="false">IF($A1646="","",IF(OR($Q1646=TRUE(),$Q1646="TRUE"),1,0))</f>
        <v/>
      </c>
      <c r="AL1646" s="28" t="str">
        <f aca="false">IF($N1646="","",IF(MATCH($N1646,$N$2:$N$3001,0)=ROWS($N$2:$N1646),$N1646,""))</f>
        <v/>
      </c>
    </row>
    <row r="1647" customFormat="false" ht="15" hidden="false" customHeight="false" outlineLevel="0" collapsed="false">
      <c r="E1647" s="25"/>
      <c r="M1647" s="26" t="str">
        <f aca="false">IF($A1647="","",$L1647*$U1647/100)</f>
        <v/>
      </c>
      <c r="W1647" s="26" t="str">
        <f aca="false">IF($A1647="","",U1647*AB1647/100)</f>
        <v/>
      </c>
      <c r="X1647" s="26" t="str">
        <f aca="false">IF($A1647="","",U1647-W1647)</f>
        <v/>
      </c>
      <c r="Y1647" s="26" t="str">
        <f aca="false">IF($A1647="","",U1647-W1647-M1647)</f>
        <v/>
      </c>
      <c r="AB1647" s="27" t="str">
        <f aca="false">IF($A1647="","",IF($AK1647=1,'كشف المطالبة'!$D$5,'كشف المطالبة'!$D$6)*100)</f>
        <v/>
      </c>
      <c r="AK1647" s="28" t="str">
        <f aca="false">IF($A1647="","",IF(OR($Q1647=TRUE(),$Q1647="TRUE"),1,0))</f>
        <v/>
      </c>
      <c r="AL1647" s="28" t="str">
        <f aca="false">IF($N1647="","",IF(MATCH($N1647,$N$2:$N$3001,0)=ROWS($N$2:$N1647),$N1647,""))</f>
        <v/>
      </c>
    </row>
    <row r="1648" customFormat="false" ht="15" hidden="false" customHeight="false" outlineLevel="0" collapsed="false">
      <c r="E1648" s="25"/>
      <c r="M1648" s="26" t="str">
        <f aca="false">IF($A1648="","",$L1648*$U1648/100)</f>
        <v/>
      </c>
      <c r="W1648" s="26" t="str">
        <f aca="false">IF($A1648="","",U1648*AB1648/100)</f>
        <v/>
      </c>
      <c r="X1648" s="26" t="str">
        <f aca="false">IF($A1648="","",U1648-W1648)</f>
        <v/>
      </c>
      <c r="Y1648" s="26" t="str">
        <f aca="false">IF($A1648="","",U1648-W1648-M1648)</f>
        <v/>
      </c>
      <c r="AB1648" s="27" t="str">
        <f aca="false">IF($A1648="","",IF($AK1648=1,'كشف المطالبة'!$D$5,'كشف المطالبة'!$D$6)*100)</f>
        <v/>
      </c>
      <c r="AK1648" s="28" t="str">
        <f aca="false">IF($A1648="","",IF(OR($Q1648=TRUE(),$Q1648="TRUE"),1,0))</f>
        <v/>
      </c>
      <c r="AL1648" s="28" t="str">
        <f aca="false">IF($N1648="","",IF(MATCH($N1648,$N$2:$N$3001,0)=ROWS($N$2:$N1648),$N1648,""))</f>
        <v/>
      </c>
    </row>
    <row r="1649" customFormat="false" ht="15" hidden="false" customHeight="false" outlineLevel="0" collapsed="false">
      <c r="E1649" s="25"/>
      <c r="M1649" s="26" t="str">
        <f aca="false">IF($A1649="","",$L1649*$U1649/100)</f>
        <v/>
      </c>
      <c r="W1649" s="26" t="str">
        <f aca="false">IF($A1649="","",U1649*AB1649/100)</f>
        <v/>
      </c>
      <c r="X1649" s="26" t="str">
        <f aca="false">IF($A1649="","",U1649-W1649)</f>
        <v/>
      </c>
      <c r="Y1649" s="26" t="str">
        <f aca="false">IF($A1649="","",U1649-W1649-M1649)</f>
        <v/>
      </c>
      <c r="AB1649" s="27" t="str">
        <f aca="false">IF($A1649="","",IF($AK1649=1,'كشف المطالبة'!$D$5,'كشف المطالبة'!$D$6)*100)</f>
        <v/>
      </c>
      <c r="AK1649" s="28" t="str">
        <f aca="false">IF($A1649="","",IF(OR($Q1649=TRUE(),$Q1649="TRUE"),1,0))</f>
        <v/>
      </c>
      <c r="AL1649" s="28" t="str">
        <f aca="false">IF($N1649="","",IF(MATCH($N1649,$N$2:$N$3001,0)=ROWS($N$2:$N1649),$N1649,""))</f>
        <v/>
      </c>
    </row>
    <row r="1650" customFormat="false" ht="15" hidden="false" customHeight="false" outlineLevel="0" collapsed="false">
      <c r="E1650" s="25"/>
      <c r="M1650" s="26" t="str">
        <f aca="false">IF($A1650="","",$L1650*$U1650/100)</f>
        <v/>
      </c>
      <c r="W1650" s="26" t="str">
        <f aca="false">IF($A1650="","",U1650*AB1650/100)</f>
        <v/>
      </c>
      <c r="X1650" s="26" t="str">
        <f aca="false">IF($A1650="","",U1650-W1650)</f>
        <v/>
      </c>
      <c r="Y1650" s="26" t="str">
        <f aca="false">IF($A1650="","",U1650-W1650-M1650)</f>
        <v/>
      </c>
      <c r="AB1650" s="27" t="str">
        <f aca="false">IF($A1650="","",IF($AK1650=1,'كشف المطالبة'!$D$5,'كشف المطالبة'!$D$6)*100)</f>
        <v/>
      </c>
      <c r="AK1650" s="28" t="str">
        <f aca="false">IF($A1650="","",IF(OR($Q1650=TRUE(),$Q1650="TRUE"),1,0))</f>
        <v/>
      </c>
      <c r="AL1650" s="28" t="str">
        <f aca="false">IF($N1650="","",IF(MATCH($N1650,$N$2:$N$3001,0)=ROWS($N$2:$N1650),$N1650,""))</f>
        <v/>
      </c>
    </row>
    <row r="1651" customFormat="false" ht="15" hidden="false" customHeight="false" outlineLevel="0" collapsed="false">
      <c r="E1651" s="25"/>
      <c r="M1651" s="26" t="str">
        <f aca="false">IF($A1651="","",$L1651*$U1651/100)</f>
        <v/>
      </c>
      <c r="W1651" s="26" t="str">
        <f aca="false">IF($A1651="","",U1651*AB1651/100)</f>
        <v/>
      </c>
      <c r="X1651" s="26" t="str">
        <f aca="false">IF($A1651="","",U1651-W1651)</f>
        <v/>
      </c>
      <c r="Y1651" s="26" t="str">
        <f aca="false">IF($A1651="","",U1651-W1651-M1651)</f>
        <v/>
      </c>
      <c r="AB1651" s="27" t="str">
        <f aca="false">IF($A1651="","",IF($AK1651=1,'كشف المطالبة'!$D$5,'كشف المطالبة'!$D$6)*100)</f>
        <v/>
      </c>
      <c r="AK1651" s="28" t="str">
        <f aca="false">IF($A1651="","",IF(OR($Q1651=TRUE(),$Q1651="TRUE"),1,0))</f>
        <v/>
      </c>
      <c r="AL1651" s="28" t="str">
        <f aca="false">IF($N1651="","",IF(MATCH($N1651,$N$2:$N$3001,0)=ROWS($N$2:$N1651),$N1651,""))</f>
        <v/>
      </c>
    </row>
    <row r="1652" customFormat="false" ht="15" hidden="false" customHeight="false" outlineLevel="0" collapsed="false">
      <c r="E1652" s="25"/>
      <c r="M1652" s="26" t="str">
        <f aca="false">IF($A1652="","",$L1652*$U1652/100)</f>
        <v/>
      </c>
      <c r="W1652" s="26" t="str">
        <f aca="false">IF($A1652="","",U1652*AB1652/100)</f>
        <v/>
      </c>
      <c r="X1652" s="26" t="str">
        <f aca="false">IF($A1652="","",U1652-W1652)</f>
        <v/>
      </c>
      <c r="Y1652" s="26" t="str">
        <f aca="false">IF($A1652="","",U1652-W1652-M1652)</f>
        <v/>
      </c>
      <c r="AB1652" s="27" t="str">
        <f aca="false">IF($A1652="","",IF($AK1652=1,'كشف المطالبة'!$D$5,'كشف المطالبة'!$D$6)*100)</f>
        <v/>
      </c>
      <c r="AK1652" s="28" t="str">
        <f aca="false">IF($A1652="","",IF(OR($Q1652=TRUE(),$Q1652="TRUE"),1,0))</f>
        <v/>
      </c>
      <c r="AL1652" s="28" t="str">
        <f aca="false">IF($N1652="","",IF(MATCH($N1652,$N$2:$N$3001,0)=ROWS($N$2:$N1652),$N1652,""))</f>
        <v/>
      </c>
    </row>
    <row r="1653" customFormat="false" ht="15" hidden="false" customHeight="false" outlineLevel="0" collapsed="false">
      <c r="E1653" s="25"/>
      <c r="M1653" s="26" t="str">
        <f aca="false">IF($A1653="","",$L1653*$U1653/100)</f>
        <v/>
      </c>
      <c r="W1653" s="26" t="str">
        <f aca="false">IF($A1653="","",U1653*AB1653/100)</f>
        <v/>
      </c>
      <c r="X1653" s="26" t="str">
        <f aca="false">IF($A1653="","",U1653-W1653)</f>
        <v/>
      </c>
      <c r="Y1653" s="26" t="str">
        <f aca="false">IF($A1653="","",U1653-W1653-M1653)</f>
        <v/>
      </c>
      <c r="AB1653" s="27" t="str">
        <f aca="false">IF($A1653="","",IF($AK1653=1,'كشف المطالبة'!$D$5,'كشف المطالبة'!$D$6)*100)</f>
        <v/>
      </c>
      <c r="AK1653" s="28" t="str">
        <f aca="false">IF($A1653="","",IF(OR($Q1653=TRUE(),$Q1653="TRUE"),1,0))</f>
        <v/>
      </c>
      <c r="AL1653" s="28" t="str">
        <f aca="false">IF($N1653="","",IF(MATCH($N1653,$N$2:$N$3001,0)=ROWS($N$2:$N1653),$N1653,""))</f>
        <v/>
      </c>
    </row>
    <row r="1654" customFormat="false" ht="15" hidden="false" customHeight="false" outlineLevel="0" collapsed="false">
      <c r="E1654" s="25"/>
      <c r="M1654" s="26" t="str">
        <f aca="false">IF($A1654="","",$L1654*$U1654/100)</f>
        <v/>
      </c>
      <c r="W1654" s="26" t="str">
        <f aca="false">IF($A1654="","",U1654*AB1654/100)</f>
        <v/>
      </c>
      <c r="X1654" s="26" t="str">
        <f aca="false">IF($A1654="","",U1654-W1654)</f>
        <v/>
      </c>
      <c r="Y1654" s="26" t="str">
        <f aca="false">IF($A1654="","",U1654-W1654-M1654)</f>
        <v/>
      </c>
      <c r="AB1654" s="27" t="str">
        <f aca="false">IF($A1654="","",IF($AK1654=1,'كشف المطالبة'!$D$5,'كشف المطالبة'!$D$6)*100)</f>
        <v/>
      </c>
      <c r="AK1654" s="28" t="str">
        <f aca="false">IF($A1654="","",IF(OR($Q1654=TRUE(),$Q1654="TRUE"),1,0))</f>
        <v/>
      </c>
      <c r="AL1654" s="28" t="str">
        <f aca="false">IF($N1654="","",IF(MATCH($N1654,$N$2:$N$3001,0)=ROWS($N$2:$N1654),$N1654,""))</f>
        <v/>
      </c>
    </row>
    <row r="1655" customFormat="false" ht="15" hidden="false" customHeight="false" outlineLevel="0" collapsed="false">
      <c r="E1655" s="25"/>
      <c r="M1655" s="26" t="str">
        <f aca="false">IF($A1655="","",$L1655*$U1655/100)</f>
        <v/>
      </c>
      <c r="W1655" s="26" t="str">
        <f aca="false">IF($A1655="","",U1655*AB1655/100)</f>
        <v/>
      </c>
      <c r="X1655" s="26" t="str">
        <f aca="false">IF($A1655="","",U1655-W1655)</f>
        <v/>
      </c>
      <c r="Y1655" s="26" t="str">
        <f aca="false">IF($A1655="","",U1655-W1655-M1655)</f>
        <v/>
      </c>
      <c r="AB1655" s="27" t="str">
        <f aca="false">IF($A1655="","",IF($AK1655=1,'كشف المطالبة'!$D$5,'كشف المطالبة'!$D$6)*100)</f>
        <v/>
      </c>
      <c r="AK1655" s="28" t="str">
        <f aca="false">IF($A1655="","",IF(OR($Q1655=TRUE(),$Q1655="TRUE"),1,0))</f>
        <v/>
      </c>
      <c r="AL1655" s="28" t="str">
        <f aca="false">IF($N1655="","",IF(MATCH($N1655,$N$2:$N$3001,0)=ROWS($N$2:$N1655),$N1655,""))</f>
        <v/>
      </c>
    </row>
    <row r="1656" customFormat="false" ht="15" hidden="false" customHeight="false" outlineLevel="0" collapsed="false">
      <c r="E1656" s="25"/>
      <c r="M1656" s="26" t="str">
        <f aca="false">IF($A1656="","",$L1656*$U1656/100)</f>
        <v/>
      </c>
      <c r="W1656" s="26" t="str">
        <f aca="false">IF($A1656="","",U1656*AB1656/100)</f>
        <v/>
      </c>
      <c r="X1656" s="26" t="str">
        <f aca="false">IF($A1656="","",U1656-W1656)</f>
        <v/>
      </c>
      <c r="Y1656" s="26" t="str">
        <f aca="false">IF($A1656="","",U1656-W1656-M1656)</f>
        <v/>
      </c>
      <c r="AB1656" s="27" t="str">
        <f aca="false">IF($A1656="","",IF($AK1656=1,'كشف المطالبة'!$D$5,'كشف المطالبة'!$D$6)*100)</f>
        <v/>
      </c>
      <c r="AK1656" s="28" t="str">
        <f aca="false">IF($A1656="","",IF(OR($Q1656=TRUE(),$Q1656="TRUE"),1,0))</f>
        <v/>
      </c>
      <c r="AL1656" s="28" t="str">
        <f aca="false">IF($N1656="","",IF(MATCH($N1656,$N$2:$N$3001,0)=ROWS($N$2:$N1656),$N1656,""))</f>
        <v/>
      </c>
    </row>
    <row r="1657" customFormat="false" ht="15" hidden="false" customHeight="false" outlineLevel="0" collapsed="false">
      <c r="E1657" s="25"/>
      <c r="M1657" s="26" t="str">
        <f aca="false">IF($A1657="","",$L1657*$U1657/100)</f>
        <v/>
      </c>
      <c r="W1657" s="26" t="str">
        <f aca="false">IF($A1657="","",U1657*AB1657/100)</f>
        <v/>
      </c>
      <c r="X1657" s="26" t="str">
        <f aca="false">IF($A1657="","",U1657-W1657)</f>
        <v/>
      </c>
      <c r="Y1657" s="26" t="str">
        <f aca="false">IF($A1657="","",U1657-W1657-M1657)</f>
        <v/>
      </c>
      <c r="AB1657" s="27" t="str">
        <f aca="false">IF($A1657="","",IF($AK1657=1,'كشف المطالبة'!$D$5,'كشف المطالبة'!$D$6)*100)</f>
        <v/>
      </c>
      <c r="AK1657" s="28" t="str">
        <f aca="false">IF($A1657="","",IF(OR($Q1657=TRUE(),$Q1657="TRUE"),1,0))</f>
        <v/>
      </c>
      <c r="AL1657" s="28" t="str">
        <f aca="false">IF($N1657="","",IF(MATCH($N1657,$N$2:$N$3001,0)=ROWS($N$2:$N1657),$N1657,""))</f>
        <v/>
      </c>
    </row>
    <row r="1658" customFormat="false" ht="15" hidden="false" customHeight="false" outlineLevel="0" collapsed="false">
      <c r="E1658" s="25"/>
      <c r="M1658" s="26" t="str">
        <f aca="false">IF($A1658="","",$L1658*$U1658/100)</f>
        <v/>
      </c>
      <c r="W1658" s="26" t="str">
        <f aca="false">IF($A1658="","",U1658*AB1658/100)</f>
        <v/>
      </c>
      <c r="X1658" s="26" t="str">
        <f aca="false">IF($A1658="","",U1658-W1658)</f>
        <v/>
      </c>
      <c r="Y1658" s="26" t="str">
        <f aca="false">IF($A1658="","",U1658-W1658-M1658)</f>
        <v/>
      </c>
      <c r="AB1658" s="27" t="str">
        <f aca="false">IF($A1658="","",IF($AK1658=1,'كشف المطالبة'!$D$5,'كشف المطالبة'!$D$6)*100)</f>
        <v/>
      </c>
      <c r="AK1658" s="28" t="str">
        <f aca="false">IF($A1658="","",IF(OR($Q1658=TRUE(),$Q1658="TRUE"),1,0))</f>
        <v/>
      </c>
      <c r="AL1658" s="28" t="str">
        <f aca="false">IF($N1658="","",IF(MATCH($N1658,$N$2:$N$3001,0)=ROWS($N$2:$N1658),$N1658,""))</f>
        <v/>
      </c>
    </row>
    <row r="1659" customFormat="false" ht="15" hidden="false" customHeight="false" outlineLevel="0" collapsed="false">
      <c r="E1659" s="25"/>
      <c r="M1659" s="26" t="str">
        <f aca="false">IF($A1659="","",$L1659*$U1659/100)</f>
        <v/>
      </c>
      <c r="W1659" s="26" t="str">
        <f aca="false">IF($A1659="","",U1659*AB1659/100)</f>
        <v/>
      </c>
      <c r="X1659" s="26" t="str">
        <f aca="false">IF($A1659="","",U1659-W1659)</f>
        <v/>
      </c>
      <c r="Y1659" s="26" t="str">
        <f aca="false">IF($A1659="","",U1659-W1659-M1659)</f>
        <v/>
      </c>
      <c r="AB1659" s="27" t="str">
        <f aca="false">IF($A1659="","",IF($AK1659=1,'كشف المطالبة'!$D$5,'كشف المطالبة'!$D$6)*100)</f>
        <v/>
      </c>
      <c r="AK1659" s="28" t="str">
        <f aca="false">IF($A1659="","",IF(OR($Q1659=TRUE(),$Q1659="TRUE"),1,0))</f>
        <v/>
      </c>
      <c r="AL1659" s="28" t="str">
        <f aca="false">IF($N1659="","",IF(MATCH($N1659,$N$2:$N$3001,0)=ROWS($N$2:$N1659),$N1659,""))</f>
        <v/>
      </c>
    </row>
    <row r="1660" customFormat="false" ht="15" hidden="false" customHeight="false" outlineLevel="0" collapsed="false">
      <c r="E1660" s="25"/>
      <c r="M1660" s="26" t="str">
        <f aca="false">IF($A1660="","",$L1660*$U1660/100)</f>
        <v/>
      </c>
      <c r="W1660" s="26" t="str">
        <f aca="false">IF($A1660="","",U1660*AB1660/100)</f>
        <v/>
      </c>
      <c r="X1660" s="26" t="str">
        <f aca="false">IF($A1660="","",U1660-W1660)</f>
        <v/>
      </c>
      <c r="Y1660" s="26" t="str">
        <f aca="false">IF($A1660="","",U1660-W1660-M1660)</f>
        <v/>
      </c>
      <c r="AB1660" s="27" t="str">
        <f aca="false">IF($A1660="","",IF($AK1660=1,'كشف المطالبة'!$D$5,'كشف المطالبة'!$D$6)*100)</f>
        <v/>
      </c>
      <c r="AK1660" s="28" t="str">
        <f aca="false">IF($A1660="","",IF(OR($Q1660=TRUE(),$Q1660="TRUE"),1,0))</f>
        <v/>
      </c>
      <c r="AL1660" s="28" t="str">
        <f aca="false">IF($N1660="","",IF(MATCH($N1660,$N$2:$N$3001,0)=ROWS($N$2:$N1660),$N1660,""))</f>
        <v/>
      </c>
    </row>
    <row r="1661" customFormat="false" ht="15" hidden="false" customHeight="false" outlineLevel="0" collapsed="false">
      <c r="E1661" s="25"/>
      <c r="M1661" s="26" t="str">
        <f aca="false">IF($A1661="","",$L1661*$U1661/100)</f>
        <v/>
      </c>
      <c r="W1661" s="26" t="str">
        <f aca="false">IF($A1661="","",U1661*AB1661/100)</f>
        <v/>
      </c>
      <c r="X1661" s="26" t="str">
        <f aca="false">IF($A1661="","",U1661-W1661)</f>
        <v/>
      </c>
      <c r="Y1661" s="26" t="str">
        <f aca="false">IF($A1661="","",U1661-W1661-M1661)</f>
        <v/>
      </c>
      <c r="AB1661" s="27" t="str">
        <f aca="false">IF($A1661="","",IF($AK1661=1,'كشف المطالبة'!$D$5,'كشف المطالبة'!$D$6)*100)</f>
        <v/>
      </c>
      <c r="AK1661" s="28" t="str">
        <f aca="false">IF($A1661="","",IF(OR($Q1661=TRUE(),$Q1661="TRUE"),1,0))</f>
        <v/>
      </c>
      <c r="AL1661" s="28" t="str">
        <f aca="false">IF($N1661="","",IF(MATCH($N1661,$N$2:$N$3001,0)=ROWS($N$2:$N1661),$N1661,""))</f>
        <v/>
      </c>
    </row>
    <row r="1662" customFormat="false" ht="15" hidden="false" customHeight="false" outlineLevel="0" collapsed="false">
      <c r="E1662" s="25"/>
      <c r="M1662" s="26" t="str">
        <f aca="false">IF($A1662="","",$L1662*$U1662/100)</f>
        <v/>
      </c>
      <c r="W1662" s="26" t="str">
        <f aca="false">IF($A1662="","",U1662*AB1662/100)</f>
        <v/>
      </c>
      <c r="X1662" s="26" t="str">
        <f aca="false">IF($A1662="","",U1662-W1662)</f>
        <v/>
      </c>
      <c r="Y1662" s="26" t="str">
        <f aca="false">IF($A1662="","",U1662-W1662-M1662)</f>
        <v/>
      </c>
      <c r="AB1662" s="27" t="str">
        <f aca="false">IF($A1662="","",IF($AK1662=1,'كشف المطالبة'!$D$5,'كشف المطالبة'!$D$6)*100)</f>
        <v/>
      </c>
      <c r="AK1662" s="28" t="str">
        <f aca="false">IF($A1662="","",IF(OR($Q1662=TRUE(),$Q1662="TRUE"),1,0))</f>
        <v/>
      </c>
      <c r="AL1662" s="28" t="str">
        <f aca="false">IF($N1662="","",IF(MATCH($N1662,$N$2:$N$3001,0)=ROWS($N$2:$N1662),$N1662,""))</f>
        <v/>
      </c>
    </row>
    <row r="1663" customFormat="false" ht="15" hidden="false" customHeight="false" outlineLevel="0" collapsed="false">
      <c r="E1663" s="25"/>
      <c r="M1663" s="26" t="str">
        <f aca="false">IF($A1663="","",$L1663*$U1663/100)</f>
        <v/>
      </c>
      <c r="W1663" s="26" t="str">
        <f aca="false">IF($A1663="","",U1663*AB1663/100)</f>
        <v/>
      </c>
      <c r="X1663" s="26" t="str">
        <f aca="false">IF($A1663="","",U1663-W1663)</f>
        <v/>
      </c>
      <c r="Y1663" s="26" t="str">
        <f aca="false">IF($A1663="","",U1663-W1663-M1663)</f>
        <v/>
      </c>
      <c r="AB1663" s="27" t="str">
        <f aca="false">IF($A1663="","",IF($AK1663=1,'كشف المطالبة'!$D$5,'كشف المطالبة'!$D$6)*100)</f>
        <v/>
      </c>
      <c r="AK1663" s="28" t="str">
        <f aca="false">IF($A1663="","",IF(OR($Q1663=TRUE(),$Q1663="TRUE"),1,0))</f>
        <v/>
      </c>
      <c r="AL1663" s="28" t="str">
        <f aca="false">IF($N1663="","",IF(MATCH($N1663,$N$2:$N$3001,0)=ROWS($N$2:$N1663),$N1663,""))</f>
        <v/>
      </c>
    </row>
    <row r="1664" customFormat="false" ht="15" hidden="false" customHeight="false" outlineLevel="0" collapsed="false">
      <c r="E1664" s="25"/>
      <c r="M1664" s="26" t="str">
        <f aca="false">IF($A1664="","",$L1664*$U1664/100)</f>
        <v/>
      </c>
      <c r="W1664" s="26" t="str">
        <f aca="false">IF($A1664="","",U1664*AB1664/100)</f>
        <v/>
      </c>
      <c r="X1664" s="26" t="str">
        <f aca="false">IF($A1664="","",U1664-W1664)</f>
        <v/>
      </c>
      <c r="Y1664" s="26" t="str">
        <f aca="false">IF($A1664="","",U1664-W1664-M1664)</f>
        <v/>
      </c>
      <c r="AB1664" s="27" t="str">
        <f aca="false">IF($A1664="","",IF($AK1664=1,'كشف المطالبة'!$D$5,'كشف المطالبة'!$D$6)*100)</f>
        <v/>
      </c>
      <c r="AK1664" s="28" t="str">
        <f aca="false">IF($A1664="","",IF(OR($Q1664=TRUE(),$Q1664="TRUE"),1,0))</f>
        <v/>
      </c>
      <c r="AL1664" s="28" t="str">
        <f aca="false">IF($N1664="","",IF(MATCH($N1664,$N$2:$N$3001,0)=ROWS($N$2:$N1664),$N1664,""))</f>
        <v/>
      </c>
    </row>
    <row r="1665" customFormat="false" ht="15" hidden="false" customHeight="false" outlineLevel="0" collapsed="false">
      <c r="E1665" s="25"/>
      <c r="M1665" s="26" t="str">
        <f aca="false">IF($A1665="","",$L1665*$U1665/100)</f>
        <v/>
      </c>
      <c r="W1665" s="26" t="str">
        <f aca="false">IF($A1665="","",U1665*AB1665/100)</f>
        <v/>
      </c>
      <c r="X1665" s="26" t="str">
        <f aca="false">IF($A1665="","",U1665-W1665)</f>
        <v/>
      </c>
      <c r="Y1665" s="26" t="str">
        <f aca="false">IF($A1665="","",U1665-W1665-M1665)</f>
        <v/>
      </c>
      <c r="AB1665" s="27" t="str">
        <f aca="false">IF($A1665="","",IF($AK1665=1,'كشف المطالبة'!$D$5,'كشف المطالبة'!$D$6)*100)</f>
        <v/>
      </c>
      <c r="AK1665" s="28" t="str">
        <f aca="false">IF($A1665="","",IF(OR($Q1665=TRUE(),$Q1665="TRUE"),1,0))</f>
        <v/>
      </c>
      <c r="AL1665" s="28" t="str">
        <f aca="false">IF($N1665="","",IF(MATCH($N1665,$N$2:$N$3001,0)=ROWS($N$2:$N1665),$N1665,""))</f>
        <v/>
      </c>
    </row>
    <row r="1666" customFormat="false" ht="15" hidden="false" customHeight="false" outlineLevel="0" collapsed="false">
      <c r="E1666" s="25"/>
      <c r="M1666" s="26" t="str">
        <f aca="false">IF($A1666="","",$L1666*$U1666/100)</f>
        <v/>
      </c>
      <c r="W1666" s="26" t="str">
        <f aca="false">IF($A1666="","",U1666*AB1666/100)</f>
        <v/>
      </c>
      <c r="X1666" s="26" t="str">
        <f aca="false">IF($A1666="","",U1666-W1666)</f>
        <v/>
      </c>
      <c r="Y1666" s="26" t="str">
        <f aca="false">IF($A1666="","",U1666-W1666-M1666)</f>
        <v/>
      </c>
      <c r="AB1666" s="27" t="str">
        <f aca="false">IF($A1666="","",IF($AK1666=1,'كشف المطالبة'!$D$5,'كشف المطالبة'!$D$6)*100)</f>
        <v/>
      </c>
      <c r="AK1666" s="28" t="str">
        <f aca="false">IF($A1666="","",IF(OR($Q1666=TRUE(),$Q1666="TRUE"),1,0))</f>
        <v/>
      </c>
      <c r="AL1666" s="28" t="str">
        <f aca="false">IF($N1666="","",IF(MATCH($N1666,$N$2:$N$3001,0)=ROWS($N$2:$N1666),$N1666,""))</f>
        <v/>
      </c>
    </row>
    <row r="1667" customFormat="false" ht="15" hidden="false" customHeight="false" outlineLevel="0" collapsed="false">
      <c r="E1667" s="25"/>
      <c r="M1667" s="26" t="str">
        <f aca="false">IF($A1667="","",$L1667*$U1667/100)</f>
        <v/>
      </c>
      <c r="W1667" s="26" t="str">
        <f aca="false">IF($A1667="","",U1667*AB1667/100)</f>
        <v/>
      </c>
      <c r="X1667" s="26" t="str">
        <f aca="false">IF($A1667="","",U1667-W1667)</f>
        <v/>
      </c>
      <c r="Y1667" s="26" t="str">
        <f aca="false">IF($A1667="","",U1667-W1667-M1667)</f>
        <v/>
      </c>
      <c r="AB1667" s="27" t="str">
        <f aca="false">IF($A1667="","",IF($AK1667=1,'كشف المطالبة'!$D$5,'كشف المطالبة'!$D$6)*100)</f>
        <v/>
      </c>
      <c r="AK1667" s="28" t="str">
        <f aca="false">IF($A1667="","",IF(OR($Q1667=TRUE(),$Q1667="TRUE"),1,0))</f>
        <v/>
      </c>
      <c r="AL1667" s="28" t="str">
        <f aca="false">IF($N1667="","",IF(MATCH($N1667,$N$2:$N$3001,0)=ROWS($N$2:$N1667),$N1667,""))</f>
        <v/>
      </c>
    </row>
    <row r="1668" customFormat="false" ht="15" hidden="false" customHeight="false" outlineLevel="0" collapsed="false">
      <c r="E1668" s="25"/>
      <c r="M1668" s="26" t="str">
        <f aca="false">IF($A1668="","",$L1668*$U1668/100)</f>
        <v/>
      </c>
      <c r="W1668" s="26" t="str">
        <f aca="false">IF($A1668="","",U1668*AB1668/100)</f>
        <v/>
      </c>
      <c r="X1668" s="26" t="str">
        <f aca="false">IF($A1668="","",U1668-W1668)</f>
        <v/>
      </c>
      <c r="Y1668" s="26" t="str">
        <f aca="false">IF($A1668="","",U1668-W1668-M1668)</f>
        <v/>
      </c>
      <c r="AB1668" s="27" t="str">
        <f aca="false">IF($A1668="","",IF($AK1668=1,'كشف المطالبة'!$D$5,'كشف المطالبة'!$D$6)*100)</f>
        <v/>
      </c>
      <c r="AK1668" s="28" t="str">
        <f aca="false">IF($A1668="","",IF(OR($Q1668=TRUE(),$Q1668="TRUE"),1,0))</f>
        <v/>
      </c>
      <c r="AL1668" s="28" t="str">
        <f aca="false">IF($N1668="","",IF(MATCH($N1668,$N$2:$N$3001,0)=ROWS($N$2:$N1668),$N1668,""))</f>
        <v/>
      </c>
    </row>
    <row r="1669" customFormat="false" ht="15" hidden="false" customHeight="false" outlineLevel="0" collapsed="false">
      <c r="E1669" s="25"/>
      <c r="M1669" s="26" t="str">
        <f aca="false">IF($A1669="","",$L1669*$U1669/100)</f>
        <v/>
      </c>
      <c r="W1669" s="26" t="str">
        <f aca="false">IF($A1669="","",U1669*AB1669/100)</f>
        <v/>
      </c>
      <c r="X1669" s="26" t="str">
        <f aca="false">IF($A1669="","",U1669-W1669)</f>
        <v/>
      </c>
      <c r="Y1669" s="26" t="str">
        <f aca="false">IF($A1669="","",U1669-W1669-M1669)</f>
        <v/>
      </c>
      <c r="AB1669" s="27" t="str">
        <f aca="false">IF($A1669="","",IF($AK1669=1,'كشف المطالبة'!$D$5,'كشف المطالبة'!$D$6)*100)</f>
        <v/>
      </c>
      <c r="AK1669" s="28" t="str">
        <f aca="false">IF($A1669="","",IF(OR($Q1669=TRUE(),$Q1669="TRUE"),1,0))</f>
        <v/>
      </c>
      <c r="AL1669" s="28" t="str">
        <f aca="false">IF($N1669="","",IF(MATCH($N1669,$N$2:$N$3001,0)=ROWS($N$2:$N1669),$N1669,""))</f>
        <v/>
      </c>
    </row>
    <row r="1670" customFormat="false" ht="15" hidden="false" customHeight="false" outlineLevel="0" collapsed="false">
      <c r="E1670" s="25"/>
      <c r="M1670" s="26" t="str">
        <f aca="false">IF($A1670="","",$L1670*$U1670/100)</f>
        <v/>
      </c>
      <c r="W1670" s="26" t="str">
        <f aca="false">IF($A1670="","",U1670*AB1670/100)</f>
        <v/>
      </c>
      <c r="X1670" s="26" t="str">
        <f aca="false">IF($A1670="","",U1670-W1670)</f>
        <v/>
      </c>
      <c r="Y1670" s="26" t="str">
        <f aca="false">IF($A1670="","",U1670-W1670-M1670)</f>
        <v/>
      </c>
      <c r="AB1670" s="27" t="str">
        <f aca="false">IF($A1670="","",IF($AK1670=1,'كشف المطالبة'!$D$5,'كشف المطالبة'!$D$6)*100)</f>
        <v/>
      </c>
      <c r="AK1670" s="28" t="str">
        <f aca="false">IF($A1670="","",IF(OR($Q1670=TRUE(),$Q1670="TRUE"),1,0))</f>
        <v/>
      </c>
      <c r="AL1670" s="28" t="str">
        <f aca="false">IF($N1670="","",IF(MATCH($N1670,$N$2:$N$3001,0)=ROWS($N$2:$N1670),$N1670,""))</f>
        <v/>
      </c>
    </row>
    <row r="1671" customFormat="false" ht="15" hidden="false" customHeight="false" outlineLevel="0" collapsed="false">
      <c r="E1671" s="25"/>
      <c r="M1671" s="26" t="str">
        <f aca="false">IF($A1671="","",$L1671*$U1671/100)</f>
        <v/>
      </c>
      <c r="W1671" s="26" t="str">
        <f aca="false">IF($A1671="","",U1671*AB1671/100)</f>
        <v/>
      </c>
      <c r="X1671" s="26" t="str">
        <f aca="false">IF($A1671="","",U1671-W1671)</f>
        <v/>
      </c>
      <c r="Y1671" s="26" t="str">
        <f aca="false">IF($A1671="","",U1671-W1671-M1671)</f>
        <v/>
      </c>
      <c r="AB1671" s="27" t="str">
        <f aca="false">IF($A1671="","",IF($AK1671=1,'كشف المطالبة'!$D$5,'كشف المطالبة'!$D$6)*100)</f>
        <v/>
      </c>
      <c r="AK1671" s="28" t="str">
        <f aca="false">IF($A1671="","",IF(OR($Q1671=TRUE(),$Q1671="TRUE"),1,0))</f>
        <v/>
      </c>
      <c r="AL1671" s="28" t="str">
        <f aca="false">IF($N1671="","",IF(MATCH($N1671,$N$2:$N$3001,0)=ROWS($N$2:$N1671),$N1671,""))</f>
        <v/>
      </c>
    </row>
    <row r="1672" customFormat="false" ht="15" hidden="false" customHeight="false" outlineLevel="0" collapsed="false">
      <c r="E1672" s="25"/>
      <c r="M1672" s="26" t="str">
        <f aca="false">IF($A1672="","",$L1672*$U1672/100)</f>
        <v/>
      </c>
      <c r="W1672" s="26" t="str">
        <f aca="false">IF($A1672="","",U1672*AB1672/100)</f>
        <v/>
      </c>
      <c r="X1672" s="26" t="str">
        <f aca="false">IF($A1672="","",U1672-W1672)</f>
        <v/>
      </c>
      <c r="Y1672" s="26" t="str">
        <f aca="false">IF($A1672="","",U1672-W1672-M1672)</f>
        <v/>
      </c>
      <c r="AB1672" s="27" t="str">
        <f aca="false">IF($A1672="","",IF($AK1672=1,'كشف المطالبة'!$D$5,'كشف المطالبة'!$D$6)*100)</f>
        <v/>
      </c>
      <c r="AK1672" s="28" t="str">
        <f aca="false">IF($A1672="","",IF(OR($Q1672=TRUE(),$Q1672="TRUE"),1,0))</f>
        <v/>
      </c>
      <c r="AL1672" s="28" t="str">
        <f aca="false">IF($N1672="","",IF(MATCH($N1672,$N$2:$N$3001,0)=ROWS($N$2:$N1672),$N1672,""))</f>
        <v/>
      </c>
    </row>
    <row r="1673" customFormat="false" ht="15" hidden="false" customHeight="false" outlineLevel="0" collapsed="false">
      <c r="E1673" s="25"/>
      <c r="M1673" s="26" t="str">
        <f aca="false">IF($A1673="","",$L1673*$U1673/100)</f>
        <v/>
      </c>
      <c r="W1673" s="26" t="str">
        <f aca="false">IF($A1673="","",U1673*AB1673/100)</f>
        <v/>
      </c>
      <c r="X1673" s="26" t="str">
        <f aca="false">IF($A1673="","",U1673-W1673)</f>
        <v/>
      </c>
      <c r="Y1673" s="26" t="str">
        <f aca="false">IF($A1673="","",U1673-W1673-M1673)</f>
        <v/>
      </c>
      <c r="AB1673" s="27" t="str">
        <f aca="false">IF($A1673="","",IF($AK1673=1,'كشف المطالبة'!$D$5,'كشف المطالبة'!$D$6)*100)</f>
        <v/>
      </c>
      <c r="AK1673" s="28" t="str">
        <f aca="false">IF($A1673="","",IF(OR($Q1673=TRUE(),$Q1673="TRUE"),1,0))</f>
        <v/>
      </c>
      <c r="AL1673" s="28" t="str">
        <f aca="false">IF($N1673="","",IF(MATCH($N1673,$N$2:$N$3001,0)=ROWS($N$2:$N1673),$N1673,""))</f>
        <v/>
      </c>
    </row>
    <row r="1674" customFormat="false" ht="15" hidden="false" customHeight="false" outlineLevel="0" collapsed="false">
      <c r="E1674" s="25"/>
      <c r="M1674" s="26" t="str">
        <f aca="false">IF($A1674="","",$L1674*$U1674/100)</f>
        <v/>
      </c>
      <c r="W1674" s="26" t="str">
        <f aca="false">IF($A1674="","",U1674*AB1674/100)</f>
        <v/>
      </c>
      <c r="X1674" s="26" t="str">
        <f aca="false">IF($A1674="","",U1674-W1674)</f>
        <v/>
      </c>
      <c r="Y1674" s="26" t="str">
        <f aca="false">IF($A1674="","",U1674-W1674-M1674)</f>
        <v/>
      </c>
      <c r="AB1674" s="27" t="str">
        <f aca="false">IF($A1674="","",IF($AK1674=1,'كشف المطالبة'!$D$5,'كشف المطالبة'!$D$6)*100)</f>
        <v/>
      </c>
      <c r="AK1674" s="28" t="str">
        <f aca="false">IF($A1674="","",IF(OR($Q1674=TRUE(),$Q1674="TRUE"),1,0))</f>
        <v/>
      </c>
      <c r="AL1674" s="28" t="str">
        <f aca="false">IF($N1674="","",IF(MATCH($N1674,$N$2:$N$3001,0)=ROWS($N$2:$N1674),$N1674,""))</f>
        <v/>
      </c>
    </row>
    <row r="1675" customFormat="false" ht="15" hidden="false" customHeight="false" outlineLevel="0" collapsed="false">
      <c r="E1675" s="25"/>
      <c r="M1675" s="26" t="str">
        <f aca="false">IF($A1675="","",$L1675*$U1675/100)</f>
        <v/>
      </c>
      <c r="W1675" s="26" t="str">
        <f aca="false">IF($A1675="","",U1675*AB1675/100)</f>
        <v/>
      </c>
      <c r="X1675" s="26" t="str">
        <f aca="false">IF($A1675="","",U1675-W1675)</f>
        <v/>
      </c>
      <c r="Y1675" s="26" t="str">
        <f aca="false">IF($A1675="","",U1675-W1675-M1675)</f>
        <v/>
      </c>
      <c r="AB1675" s="27" t="str">
        <f aca="false">IF($A1675="","",IF($AK1675=1,'كشف المطالبة'!$D$5,'كشف المطالبة'!$D$6)*100)</f>
        <v/>
      </c>
      <c r="AK1675" s="28" t="str">
        <f aca="false">IF($A1675="","",IF(OR($Q1675=TRUE(),$Q1675="TRUE"),1,0))</f>
        <v/>
      </c>
      <c r="AL1675" s="28" t="str">
        <f aca="false">IF($N1675="","",IF(MATCH($N1675,$N$2:$N$3001,0)=ROWS($N$2:$N1675),$N1675,""))</f>
        <v/>
      </c>
    </row>
    <row r="1676" customFormat="false" ht="15" hidden="false" customHeight="false" outlineLevel="0" collapsed="false">
      <c r="E1676" s="25"/>
      <c r="M1676" s="26" t="str">
        <f aca="false">IF($A1676="","",$L1676*$U1676/100)</f>
        <v/>
      </c>
      <c r="W1676" s="26" t="str">
        <f aca="false">IF($A1676="","",U1676*AB1676/100)</f>
        <v/>
      </c>
      <c r="X1676" s="26" t="str">
        <f aca="false">IF($A1676="","",U1676-W1676)</f>
        <v/>
      </c>
      <c r="Y1676" s="26" t="str">
        <f aca="false">IF($A1676="","",U1676-W1676-M1676)</f>
        <v/>
      </c>
      <c r="AB1676" s="27" t="str">
        <f aca="false">IF($A1676="","",IF($AK1676=1,'كشف المطالبة'!$D$5,'كشف المطالبة'!$D$6)*100)</f>
        <v/>
      </c>
      <c r="AK1676" s="28" t="str">
        <f aca="false">IF($A1676="","",IF(OR($Q1676=TRUE(),$Q1676="TRUE"),1,0))</f>
        <v/>
      </c>
      <c r="AL1676" s="28" t="str">
        <f aca="false">IF($N1676="","",IF(MATCH($N1676,$N$2:$N$3001,0)=ROWS($N$2:$N1676),$N1676,""))</f>
        <v/>
      </c>
    </row>
    <row r="1677" customFormat="false" ht="15" hidden="false" customHeight="false" outlineLevel="0" collapsed="false">
      <c r="E1677" s="25"/>
      <c r="M1677" s="26" t="str">
        <f aca="false">IF($A1677="","",$L1677*$U1677/100)</f>
        <v/>
      </c>
      <c r="W1677" s="26" t="str">
        <f aca="false">IF($A1677="","",U1677*AB1677/100)</f>
        <v/>
      </c>
      <c r="X1677" s="26" t="str">
        <f aca="false">IF($A1677="","",U1677-W1677)</f>
        <v/>
      </c>
      <c r="Y1677" s="26" t="str">
        <f aca="false">IF($A1677="","",U1677-W1677-M1677)</f>
        <v/>
      </c>
      <c r="AB1677" s="27" t="str">
        <f aca="false">IF($A1677="","",IF($AK1677=1,'كشف المطالبة'!$D$5,'كشف المطالبة'!$D$6)*100)</f>
        <v/>
      </c>
      <c r="AK1677" s="28" t="str">
        <f aca="false">IF($A1677="","",IF(OR($Q1677=TRUE(),$Q1677="TRUE"),1,0))</f>
        <v/>
      </c>
      <c r="AL1677" s="28" t="str">
        <f aca="false">IF($N1677="","",IF(MATCH($N1677,$N$2:$N$3001,0)=ROWS($N$2:$N1677),$N1677,""))</f>
        <v/>
      </c>
    </row>
    <row r="1678" customFormat="false" ht="15" hidden="false" customHeight="false" outlineLevel="0" collapsed="false">
      <c r="E1678" s="25"/>
      <c r="M1678" s="26" t="str">
        <f aca="false">IF($A1678="","",$L1678*$U1678/100)</f>
        <v/>
      </c>
      <c r="W1678" s="26" t="str">
        <f aca="false">IF($A1678="","",U1678*AB1678/100)</f>
        <v/>
      </c>
      <c r="X1678" s="26" t="str">
        <f aca="false">IF($A1678="","",U1678-W1678)</f>
        <v/>
      </c>
      <c r="Y1678" s="26" t="str">
        <f aca="false">IF($A1678="","",U1678-W1678-M1678)</f>
        <v/>
      </c>
      <c r="AB1678" s="27" t="str">
        <f aca="false">IF($A1678="","",IF($AK1678=1,'كشف المطالبة'!$D$5,'كشف المطالبة'!$D$6)*100)</f>
        <v/>
      </c>
      <c r="AK1678" s="28" t="str">
        <f aca="false">IF($A1678="","",IF(OR($Q1678=TRUE(),$Q1678="TRUE"),1,0))</f>
        <v/>
      </c>
      <c r="AL1678" s="28" t="str">
        <f aca="false">IF($N1678="","",IF(MATCH($N1678,$N$2:$N$3001,0)=ROWS($N$2:$N1678),$N1678,""))</f>
        <v/>
      </c>
    </row>
    <row r="1679" customFormat="false" ht="15" hidden="false" customHeight="false" outlineLevel="0" collapsed="false">
      <c r="E1679" s="25"/>
      <c r="M1679" s="26" t="str">
        <f aca="false">IF($A1679="","",$L1679*$U1679/100)</f>
        <v/>
      </c>
      <c r="W1679" s="26" t="str">
        <f aca="false">IF($A1679="","",U1679*AB1679/100)</f>
        <v/>
      </c>
      <c r="X1679" s="26" t="str">
        <f aca="false">IF($A1679="","",U1679-W1679)</f>
        <v/>
      </c>
      <c r="Y1679" s="26" t="str">
        <f aca="false">IF($A1679="","",U1679-W1679-M1679)</f>
        <v/>
      </c>
      <c r="AB1679" s="27" t="str">
        <f aca="false">IF($A1679="","",IF($AK1679=1,'كشف المطالبة'!$D$5,'كشف المطالبة'!$D$6)*100)</f>
        <v/>
      </c>
      <c r="AK1679" s="28" t="str">
        <f aca="false">IF($A1679="","",IF(OR($Q1679=TRUE(),$Q1679="TRUE"),1,0))</f>
        <v/>
      </c>
      <c r="AL1679" s="28" t="str">
        <f aca="false">IF($N1679="","",IF(MATCH($N1679,$N$2:$N$3001,0)=ROWS($N$2:$N1679),$N1679,""))</f>
        <v/>
      </c>
    </row>
    <row r="1680" customFormat="false" ht="15" hidden="false" customHeight="false" outlineLevel="0" collapsed="false">
      <c r="E1680" s="25"/>
      <c r="M1680" s="26" t="str">
        <f aca="false">IF($A1680="","",$L1680*$U1680/100)</f>
        <v/>
      </c>
      <c r="W1680" s="26" t="str">
        <f aca="false">IF($A1680="","",U1680*AB1680/100)</f>
        <v/>
      </c>
      <c r="X1680" s="26" t="str">
        <f aca="false">IF($A1680="","",U1680-W1680)</f>
        <v/>
      </c>
      <c r="Y1680" s="26" t="str">
        <f aca="false">IF($A1680="","",U1680-W1680-M1680)</f>
        <v/>
      </c>
      <c r="AB1680" s="27" t="str">
        <f aca="false">IF($A1680="","",IF($AK1680=1,'كشف المطالبة'!$D$5,'كشف المطالبة'!$D$6)*100)</f>
        <v/>
      </c>
      <c r="AK1680" s="28" t="str">
        <f aca="false">IF($A1680="","",IF(OR($Q1680=TRUE(),$Q1680="TRUE"),1,0))</f>
        <v/>
      </c>
      <c r="AL1680" s="28" t="str">
        <f aca="false">IF($N1680="","",IF(MATCH($N1680,$N$2:$N$3001,0)=ROWS($N$2:$N1680),$N1680,""))</f>
        <v/>
      </c>
    </row>
    <row r="1681" customFormat="false" ht="15" hidden="false" customHeight="false" outlineLevel="0" collapsed="false">
      <c r="E1681" s="25"/>
      <c r="M1681" s="26" t="str">
        <f aca="false">IF($A1681="","",$L1681*$U1681/100)</f>
        <v/>
      </c>
      <c r="W1681" s="26" t="str">
        <f aca="false">IF($A1681="","",U1681*AB1681/100)</f>
        <v/>
      </c>
      <c r="X1681" s="26" t="str">
        <f aca="false">IF($A1681="","",U1681-W1681)</f>
        <v/>
      </c>
      <c r="Y1681" s="26" t="str">
        <f aca="false">IF($A1681="","",U1681-W1681-M1681)</f>
        <v/>
      </c>
      <c r="AB1681" s="27" t="str">
        <f aca="false">IF($A1681="","",IF($AK1681=1,'كشف المطالبة'!$D$5,'كشف المطالبة'!$D$6)*100)</f>
        <v/>
      </c>
      <c r="AK1681" s="28" t="str">
        <f aca="false">IF($A1681="","",IF(OR($Q1681=TRUE(),$Q1681="TRUE"),1,0))</f>
        <v/>
      </c>
      <c r="AL1681" s="28" t="str">
        <f aca="false">IF($N1681="","",IF(MATCH($N1681,$N$2:$N$3001,0)=ROWS($N$2:$N1681),$N1681,""))</f>
        <v/>
      </c>
    </row>
    <row r="1682" customFormat="false" ht="15" hidden="false" customHeight="false" outlineLevel="0" collapsed="false">
      <c r="E1682" s="25"/>
      <c r="M1682" s="26" t="str">
        <f aca="false">IF($A1682="","",$L1682*$U1682/100)</f>
        <v/>
      </c>
      <c r="W1682" s="26" t="str">
        <f aca="false">IF($A1682="","",U1682*AB1682/100)</f>
        <v/>
      </c>
      <c r="X1682" s="26" t="str">
        <f aca="false">IF($A1682="","",U1682-W1682)</f>
        <v/>
      </c>
      <c r="Y1682" s="26" t="str">
        <f aca="false">IF($A1682="","",U1682-W1682-M1682)</f>
        <v/>
      </c>
      <c r="AB1682" s="27" t="str">
        <f aca="false">IF($A1682="","",IF($AK1682=1,'كشف المطالبة'!$D$5,'كشف المطالبة'!$D$6)*100)</f>
        <v/>
      </c>
      <c r="AK1682" s="28" t="str">
        <f aca="false">IF($A1682="","",IF(OR($Q1682=TRUE(),$Q1682="TRUE"),1,0))</f>
        <v/>
      </c>
      <c r="AL1682" s="28" t="str">
        <f aca="false">IF($N1682="","",IF(MATCH($N1682,$N$2:$N$3001,0)=ROWS($N$2:$N1682),$N1682,""))</f>
        <v/>
      </c>
    </row>
    <row r="1683" customFormat="false" ht="15" hidden="false" customHeight="false" outlineLevel="0" collapsed="false">
      <c r="E1683" s="25"/>
      <c r="M1683" s="26" t="str">
        <f aca="false">IF($A1683="","",$L1683*$U1683/100)</f>
        <v/>
      </c>
      <c r="W1683" s="26" t="str">
        <f aca="false">IF($A1683="","",U1683*AB1683/100)</f>
        <v/>
      </c>
      <c r="X1683" s="26" t="str">
        <f aca="false">IF($A1683="","",U1683-W1683)</f>
        <v/>
      </c>
      <c r="Y1683" s="26" t="str">
        <f aca="false">IF($A1683="","",U1683-W1683-M1683)</f>
        <v/>
      </c>
      <c r="AB1683" s="27" t="str">
        <f aca="false">IF($A1683="","",IF($AK1683=1,'كشف المطالبة'!$D$5,'كشف المطالبة'!$D$6)*100)</f>
        <v/>
      </c>
      <c r="AK1683" s="28" t="str">
        <f aca="false">IF($A1683="","",IF(OR($Q1683=TRUE(),$Q1683="TRUE"),1,0))</f>
        <v/>
      </c>
      <c r="AL1683" s="28" t="str">
        <f aca="false">IF($N1683="","",IF(MATCH($N1683,$N$2:$N$3001,0)=ROWS($N$2:$N1683),$N1683,""))</f>
        <v/>
      </c>
    </row>
    <row r="1684" customFormat="false" ht="15" hidden="false" customHeight="false" outlineLevel="0" collapsed="false">
      <c r="E1684" s="25"/>
      <c r="M1684" s="26" t="str">
        <f aca="false">IF($A1684="","",$L1684*$U1684/100)</f>
        <v/>
      </c>
      <c r="W1684" s="26" t="str">
        <f aca="false">IF($A1684="","",U1684*AB1684/100)</f>
        <v/>
      </c>
      <c r="X1684" s="26" t="str">
        <f aca="false">IF($A1684="","",U1684-W1684)</f>
        <v/>
      </c>
      <c r="Y1684" s="26" t="str">
        <f aca="false">IF($A1684="","",U1684-W1684-M1684)</f>
        <v/>
      </c>
      <c r="AB1684" s="27" t="str">
        <f aca="false">IF($A1684="","",IF($AK1684=1,'كشف المطالبة'!$D$5,'كشف المطالبة'!$D$6)*100)</f>
        <v/>
      </c>
      <c r="AK1684" s="28" t="str">
        <f aca="false">IF($A1684="","",IF(OR($Q1684=TRUE(),$Q1684="TRUE"),1,0))</f>
        <v/>
      </c>
      <c r="AL1684" s="28" t="str">
        <f aca="false">IF($N1684="","",IF(MATCH($N1684,$N$2:$N$3001,0)=ROWS($N$2:$N1684),$N1684,""))</f>
        <v/>
      </c>
    </row>
    <row r="1685" customFormat="false" ht="15" hidden="false" customHeight="false" outlineLevel="0" collapsed="false">
      <c r="E1685" s="25"/>
      <c r="M1685" s="26" t="str">
        <f aca="false">IF($A1685="","",$L1685*$U1685/100)</f>
        <v/>
      </c>
      <c r="W1685" s="26" t="str">
        <f aca="false">IF($A1685="","",U1685*AB1685/100)</f>
        <v/>
      </c>
      <c r="X1685" s="26" t="str">
        <f aca="false">IF($A1685="","",U1685-W1685)</f>
        <v/>
      </c>
      <c r="Y1685" s="26" t="str">
        <f aca="false">IF($A1685="","",U1685-W1685-M1685)</f>
        <v/>
      </c>
      <c r="AB1685" s="27" t="str">
        <f aca="false">IF($A1685="","",IF($AK1685=1,'كشف المطالبة'!$D$5,'كشف المطالبة'!$D$6)*100)</f>
        <v/>
      </c>
      <c r="AK1685" s="28" t="str">
        <f aca="false">IF($A1685="","",IF(OR($Q1685=TRUE(),$Q1685="TRUE"),1,0))</f>
        <v/>
      </c>
      <c r="AL1685" s="28" t="str">
        <f aca="false">IF($N1685="","",IF(MATCH($N1685,$N$2:$N$3001,0)=ROWS($N$2:$N1685),$N1685,""))</f>
        <v/>
      </c>
    </row>
    <row r="1686" customFormat="false" ht="15" hidden="false" customHeight="false" outlineLevel="0" collapsed="false">
      <c r="E1686" s="25"/>
      <c r="M1686" s="26" t="str">
        <f aca="false">IF($A1686="","",$L1686*$U1686/100)</f>
        <v/>
      </c>
      <c r="W1686" s="26" t="str">
        <f aca="false">IF($A1686="","",U1686*AB1686/100)</f>
        <v/>
      </c>
      <c r="X1686" s="26" t="str">
        <f aca="false">IF($A1686="","",U1686-W1686)</f>
        <v/>
      </c>
      <c r="Y1686" s="26" t="str">
        <f aca="false">IF($A1686="","",U1686-W1686-M1686)</f>
        <v/>
      </c>
      <c r="AB1686" s="27" t="str">
        <f aca="false">IF($A1686="","",IF($AK1686=1,'كشف المطالبة'!$D$5,'كشف المطالبة'!$D$6)*100)</f>
        <v/>
      </c>
      <c r="AK1686" s="28" t="str">
        <f aca="false">IF($A1686="","",IF(OR($Q1686=TRUE(),$Q1686="TRUE"),1,0))</f>
        <v/>
      </c>
      <c r="AL1686" s="28" t="str">
        <f aca="false">IF($N1686="","",IF(MATCH($N1686,$N$2:$N$3001,0)=ROWS($N$2:$N1686),$N1686,""))</f>
        <v/>
      </c>
    </row>
    <row r="1687" customFormat="false" ht="15" hidden="false" customHeight="false" outlineLevel="0" collapsed="false">
      <c r="E1687" s="25"/>
      <c r="M1687" s="26" t="str">
        <f aca="false">IF($A1687="","",$L1687*$U1687/100)</f>
        <v/>
      </c>
      <c r="W1687" s="26" t="str">
        <f aca="false">IF($A1687="","",U1687*AB1687/100)</f>
        <v/>
      </c>
      <c r="X1687" s="26" t="str">
        <f aca="false">IF($A1687="","",U1687-W1687)</f>
        <v/>
      </c>
      <c r="Y1687" s="26" t="str">
        <f aca="false">IF($A1687="","",U1687-W1687-M1687)</f>
        <v/>
      </c>
      <c r="AB1687" s="27" t="str">
        <f aca="false">IF($A1687="","",IF($AK1687=1,'كشف المطالبة'!$D$5,'كشف المطالبة'!$D$6)*100)</f>
        <v/>
      </c>
      <c r="AK1687" s="28" t="str">
        <f aca="false">IF($A1687="","",IF(OR($Q1687=TRUE(),$Q1687="TRUE"),1,0))</f>
        <v/>
      </c>
      <c r="AL1687" s="28" t="str">
        <f aca="false">IF($N1687="","",IF(MATCH($N1687,$N$2:$N$3001,0)=ROWS($N$2:$N1687),$N1687,""))</f>
        <v/>
      </c>
    </row>
    <row r="1688" customFormat="false" ht="15" hidden="false" customHeight="false" outlineLevel="0" collapsed="false">
      <c r="E1688" s="25"/>
      <c r="M1688" s="26" t="str">
        <f aca="false">IF($A1688="","",$L1688*$U1688/100)</f>
        <v/>
      </c>
      <c r="W1688" s="26" t="str">
        <f aca="false">IF($A1688="","",U1688*AB1688/100)</f>
        <v/>
      </c>
      <c r="X1688" s="26" t="str">
        <f aca="false">IF($A1688="","",U1688-W1688)</f>
        <v/>
      </c>
      <c r="Y1688" s="26" t="str">
        <f aca="false">IF($A1688="","",U1688-W1688-M1688)</f>
        <v/>
      </c>
      <c r="AB1688" s="27" t="str">
        <f aca="false">IF($A1688="","",IF($AK1688=1,'كشف المطالبة'!$D$5,'كشف المطالبة'!$D$6)*100)</f>
        <v/>
      </c>
      <c r="AK1688" s="28" t="str">
        <f aca="false">IF($A1688="","",IF(OR($Q1688=TRUE(),$Q1688="TRUE"),1,0))</f>
        <v/>
      </c>
      <c r="AL1688" s="28" t="str">
        <f aca="false">IF($N1688="","",IF(MATCH($N1688,$N$2:$N$3001,0)=ROWS($N$2:$N1688),$N1688,""))</f>
        <v/>
      </c>
    </row>
    <row r="1689" customFormat="false" ht="15" hidden="false" customHeight="false" outlineLevel="0" collapsed="false">
      <c r="E1689" s="25"/>
      <c r="M1689" s="26" t="str">
        <f aca="false">IF($A1689="","",$L1689*$U1689/100)</f>
        <v/>
      </c>
      <c r="W1689" s="26" t="str">
        <f aca="false">IF($A1689="","",U1689*AB1689/100)</f>
        <v/>
      </c>
      <c r="X1689" s="26" t="str">
        <f aca="false">IF($A1689="","",U1689-W1689)</f>
        <v/>
      </c>
      <c r="Y1689" s="26" t="str">
        <f aca="false">IF($A1689="","",U1689-W1689-M1689)</f>
        <v/>
      </c>
      <c r="AB1689" s="27" t="str">
        <f aca="false">IF($A1689="","",IF($AK1689=1,'كشف المطالبة'!$D$5,'كشف المطالبة'!$D$6)*100)</f>
        <v/>
      </c>
      <c r="AK1689" s="28" t="str">
        <f aca="false">IF($A1689="","",IF(OR($Q1689=TRUE(),$Q1689="TRUE"),1,0))</f>
        <v/>
      </c>
      <c r="AL1689" s="28" t="str">
        <f aca="false">IF($N1689="","",IF(MATCH($N1689,$N$2:$N$3001,0)=ROWS($N$2:$N1689),$N1689,""))</f>
        <v/>
      </c>
    </row>
    <row r="1690" customFormat="false" ht="15" hidden="false" customHeight="false" outlineLevel="0" collapsed="false">
      <c r="E1690" s="25"/>
      <c r="M1690" s="26" t="str">
        <f aca="false">IF($A1690="","",$L1690*$U1690/100)</f>
        <v/>
      </c>
      <c r="W1690" s="26" t="str">
        <f aca="false">IF($A1690="","",U1690*AB1690/100)</f>
        <v/>
      </c>
      <c r="X1690" s="26" t="str">
        <f aca="false">IF($A1690="","",U1690-W1690)</f>
        <v/>
      </c>
      <c r="Y1690" s="26" t="str">
        <f aca="false">IF($A1690="","",U1690-W1690-M1690)</f>
        <v/>
      </c>
      <c r="AB1690" s="27" t="str">
        <f aca="false">IF($A1690="","",IF($AK1690=1,'كشف المطالبة'!$D$5,'كشف المطالبة'!$D$6)*100)</f>
        <v/>
      </c>
      <c r="AK1690" s="28" t="str">
        <f aca="false">IF($A1690="","",IF(OR($Q1690=TRUE(),$Q1690="TRUE"),1,0))</f>
        <v/>
      </c>
      <c r="AL1690" s="28" t="str">
        <f aca="false">IF($N1690="","",IF(MATCH($N1690,$N$2:$N$3001,0)=ROWS($N$2:$N1690),$N1690,""))</f>
        <v/>
      </c>
    </row>
    <row r="1691" customFormat="false" ht="15" hidden="false" customHeight="false" outlineLevel="0" collapsed="false">
      <c r="E1691" s="25"/>
      <c r="M1691" s="26" t="str">
        <f aca="false">IF($A1691="","",$L1691*$U1691/100)</f>
        <v/>
      </c>
      <c r="W1691" s="26" t="str">
        <f aca="false">IF($A1691="","",U1691*AB1691/100)</f>
        <v/>
      </c>
      <c r="X1691" s="26" t="str">
        <f aca="false">IF($A1691="","",U1691-W1691)</f>
        <v/>
      </c>
      <c r="Y1691" s="26" t="str">
        <f aca="false">IF($A1691="","",U1691-W1691-M1691)</f>
        <v/>
      </c>
      <c r="AB1691" s="27" t="str">
        <f aca="false">IF($A1691="","",IF($AK1691=1,'كشف المطالبة'!$D$5,'كشف المطالبة'!$D$6)*100)</f>
        <v/>
      </c>
      <c r="AK1691" s="28" t="str">
        <f aca="false">IF($A1691="","",IF(OR($Q1691=TRUE(),$Q1691="TRUE"),1,0))</f>
        <v/>
      </c>
      <c r="AL1691" s="28" t="str">
        <f aca="false">IF($N1691="","",IF(MATCH($N1691,$N$2:$N$3001,0)=ROWS($N$2:$N1691),$N1691,""))</f>
        <v/>
      </c>
    </row>
    <row r="1692" customFormat="false" ht="15" hidden="false" customHeight="false" outlineLevel="0" collapsed="false">
      <c r="E1692" s="25"/>
      <c r="M1692" s="26" t="str">
        <f aca="false">IF($A1692="","",$L1692*$U1692/100)</f>
        <v/>
      </c>
      <c r="W1692" s="26" t="str">
        <f aca="false">IF($A1692="","",U1692*AB1692/100)</f>
        <v/>
      </c>
      <c r="X1692" s="26" t="str">
        <f aca="false">IF($A1692="","",U1692-W1692)</f>
        <v/>
      </c>
      <c r="Y1692" s="26" t="str">
        <f aca="false">IF($A1692="","",U1692-W1692-M1692)</f>
        <v/>
      </c>
      <c r="AB1692" s="27" t="str">
        <f aca="false">IF($A1692="","",IF($AK1692=1,'كشف المطالبة'!$D$5,'كشف المطالبة'!$D$6)*100)</f>
        <v/>
      </c>
      <c r="AK1692" s="28" t="str">
        <f aca="false">IF($A1692="","",IF(OR($Q1692=TRUE(),$Q1692="TRUE"),1,0))</f>
        <v/>
      </c>
      <c r="AL1692" s="28" t="str">
        <f aca="false">IF($N1692="","",IF(MATCH($N1692,$N$2:$N$3001,0)=ROWS($N$2:$N1692),$N1692,""))</f>
        <v/>
      </c>
    </row>
    <row r="1693" customFormat="false" ht="15" hidden="false" customHeight="false" outlineLevel="0" collapsed="false">
      <c r="E1693" s="25"/>
      <c r="M1693" s="26" t="str">
        <f aca="false">IF($A1693="","",$L1693*$U1693/100)</f>
        <v/>
      </c>
      <c r="W1693" s="26" t="str">
        <f aca="false">IF($A1693="","",U1693*AB1693/100)</f>
        <v/>
      </c>
      <c r="X1693" s="26" t="str">
        <f aca="false">IF($A1693="","",U1693-W1693)</f>
        <v/>
      </c>
      <c r="Y1693" s="26" t="str">
        <f aca="false">IF($A1693="","",U1693-W1693-M1693)</f>
        <v/>
      </c>
      <c r="AB1693" s="27" t="str">
        <f aca="false">IF($A1693="","",IF($AK1693=1,'كشف المطالبة'!$D$5,'كشف المطالبة'!$D$6)*100)</f>
        <v/>
      </c>
      <c r="AK1693" s="28" t="str">
        <f aca="false">IF($A1693="","",IF(OR($Q1693=TRUE(),$Q1693="TRUE"),1,0))</f>
        <v/>
      </c>
      <c r="AL1693" s="28" t="str">
        <f aca="false">IF($N1693="","",IF(MATCH($N1693,$N$2:$N$3001,0)=ROWS($N$2:$N1693),$N1693,""))</f>
        <v/>
      </c>
    </row>
    <row r="1694" customFormat="false" ht="15" hidden="false" customHeight="false" outlineLevel="0" collapsed="false">
      <c r="E1694" s="25"/>
      <c r="M1694" s="26" t="str">
        <f aca="false">IF($A1694="","",$L1694*$U1694/100)</f>
        <v/>
      </c>
      <c r="W1694" s="26" t="str">
        <f aca="false">IF($A1694="","",U1694*AB1694/100)</f>
        <v/>
      </c>
      <c r="X1694" s="26" t="str">
        <f aca="false">IF($A1694="","",U1694-W1694)</f>
        <v/>
      </c>
      <c r="Y1694" s="26" t="str">
        <f aca="false">IF($A1694="","",U1694-W1694-M1694)</f>
        <v/>
      </c>
      <c r="AB1694" s="27" t="str">
        <f aca="false">IF($A1694="","",IF($AK1694=1,'كشف المطالبة'!$D$5,'كشف المطالبة'!$D$6)*100)</f>
        <v/>
      </c>
      <c r="AK1694" s="28" t="str">
        <f aca="false">IF($A1694="","",IF(OR($Q1694=TRUE(),$Q1694="TRUE"),1,0))</f>
        <v/>
      </c>
      <c r="AL1694" s="28" t="str">
        <f aca="false">IF($N1694="","",IF(MATCH($N1694,$N$2:$N$3001,0)=ROWS($N$2:$N1694),$N1694,""))</f>
        <v/>
      </c>
    </row>
    <row r="1695" customFormat="false" ht="15" hidden="false" customHeight="false" outlineLevel="0" collapsed="false">
      <c r="E1695" s="25"/>
      <c r="M1695" s="26" t="str">
        <f aca="false">IF($A1695="","",$L1695*$U1695/100)</f>
        <v/>
      </c>
      <c r="W1695" s="26" t="str">
        <f aca="false">IF($A1695="","",U1695*AB1695/100)</f>
        <v/>
      </c>
      <c r="X1695" s="26" t="str">
        <f aca="false">IF($A1695="","",U1695-W1695)</f>
        <v/>
      </c>
      <c r="Y1695" s="26" t="str">
        <f aca="false">IF($A1695="","",U1695-W1695-M1695)</f>
        <v/>
      </c>
      <c r="AB1695" s="27" t="str">
        <f aca="false">IF($A1695="","",IF($AK1695=1,'كشف المطالبة'!$D$5,'كشف المطالبة'!$D$6)*100)</f>
        <v/>
      </c>
      <c r="AK1695" s="28" t="str">
        <f aca="false">IF($A1695="","",IF(OR($Q1695=TRUE(),$Q1695="TRUE"),1,0))</f>
        <v/>
      </c>
      <c r="AL1695" s="28" t="str">
        <f aca="false">IF($N1695="","",IF(MATCH($N1695,$N$2:$N$3001,0)=ROWS($N$2:$N1695),$N1695,""))</f>
        <v/>
      </c>
    </row>
    <row r="1696" customFormat="false" ht="15" hidden="false" customHeight="false" outlineLevel="0" collapsed="false">
      <c r="E1696" s="25"/>
      <c r="M1696" s="26" t="str">
        <f aca="false">IF($A1696="","",$L1696*$U1696/100)</f>
        <v/>
      </c>
      <c r="W1696" s="26" t="str">
        <f aca="false">IF($A1696="","",U1696*AB1696/100)</f>
        <v/>
      </c>
      <c r="X1696" s="26" t="str">
        <f aca="false">IF($A1696="","",U1696-W1696)</f>
        <v/>
      </c>
      <c r="Y1696" s="26" t="str">
        <f aca="false">IF($A1696="","",U1696-W1696-M1696)</f>
        <v/>
      </c>
      <c r="AB1696" s="27" t="str">
        <f aca="false">IF($A1696="","",IF($AK1696=1,'كشف المطالبة'!$D$5,'كشف المطالبة'!$D$6)*100)</f>
        <v/>
      </c>
      <c r="AK1696" s="28" t="str">
        <f aca="false">IF($A1696="","",IF(OR($Q1696=TRUE(),$Q1696="TRUE"),1,0))</f>
        <v/>
      </c>
      <c r="AL1696" s="28" t="str">
        <f aca="false">IF($N1696="","",IF(MATCH($N1696,$N$2:$N$3001,0)=ROWS($N$2:$N1696),$N1696,""))</f>
        <v/>
      </c>
    </row>
    <row r="1697" customFormat="false" ht="15" hidden="false" customHeight="false" outlineLevel="0" collapsed="false">
      <c r="E1697" s="25"/>
      <c r="M1697" s="26" t="str">
        <f aca="false">IF($A1697="","",$L1697*$U1697/100)</f>
        <v/>
      </c>
      <c r="W1697" s="26" t="str">
        <f aca="false">IF($A1697="","",U1697*AB1697/100)</f>
        <v/>
      </c>
      <c r="X1697" s="26" t="str">
        <f aca="false">IF($A1697="","",U1697-W1697)</f>
        <v/>
      </c>
      <c r="Y1697" s="26" t="str">
        <f aca="false">IF($A1697="","",U1697-W1697-M1697)</f>
        <v/>
      </c>
      <c r="AB1697" s="27" t="str">
        <f aca="false">IF($A1697="","",IF($AK1697=1,'كشف المطالبة'!$D$5,'كشف المطالبة'!$D$6)*100)</f>
        <v/>
      </c>
      <c r="AK1697" s="28" t="str">
        <f aca="false">IF($A1697="","",IF(OR($Q1697=TRUE(),$Q1697="TRUE"),1,0))</f>
        <v/>
      </c>
      <c r="AL1697" s="28" t="str">
        <f aca="false">IF($N1697="","",IF(MATCH($N1697,$N$2:$N$3001,0)=ROWS($N$2:$N1697),$N1697,""))</f>
        <v/>
      </c>
    </row>
    <row r="1698" customFormat="false" ht="15" hidden="false" customHeight="false" outlineLevel="0" collapsed="false">
      <c r="E1698" s="25"/>
      <c r="M1698" s="26" t="str">
        <f aca="false">IF($A1698="","",$L1698*$U1698/100)</f>
        <v/>
      </c>
      <c r="W1698" s="26" t="str">
        <f aca="false">IF($A1698="","",U1698*AB1698/100)</f>
        <v/>
      </c>
      <c r="X1698" s="26" t="str">
        <f aca="false">IF($A1698="","",U1698-W1698)</f>
        <v/>
      </c>
      <c r="Y1698" s="26" t="str">
        <f aca="false">IF($A1698="","",U1698-W1698-M1698)</f>
        <v/>
      </c>
      <c r="AB1698" s="27" t="str">
        <f aca="false">IF($A1698="","",IF($AK1698=1,'كشف المطالبة'!$D$5,'كشف المطالبة'!$D$6)*100)</f>
        <v/>
      </c>
      <c r="AK1698" s="28" t="str">
        <f aca="false">IF($A1698="","",IF(OR($Q1698=TRUE(),$Q1698="TRUE"),1,0))</f>
        <v/>
      </c>
      <c r="AL1698" s="28" t="str">
        <f aca="false">IF($N1698="","",IF(MATCH($N1698,$N$2:$N$3001,0)=ROWS($N$2:$N1698),$N1698,""))</f>
        <v/>
      </c>
    </row>
    <row r="1699" customFormat="false" ht="15" hidden="false" customHeight="false" outlineLevel="0" collapsed="false">
      <c r="E1699" s="25"/>
      <c r="M1699" s="26" t="str">
        <f aca="false">IF($A1699="","",$L1699*$U1699/100)</f>
        <v/>
      </c>
      <c r="W1699" s="26" t="str">
        <f aca="false">IF($A1699="","",U1699*AB1699/100)</f>
        <v/>
      </c>
      <c r="X1699" s="26" t="str">
        <f aca="false">IF($A1699="","",U1699-W1699)</f>
        <v/>
      </c>
      <c r="Y1699" s="26" t="str">
        <f aca="false">IF($A1699="","",U1699-W1699-M1699)</f>
        <v/>
      </c>
      <c r="AB1699" s="27" t="str">
        <f aca="false">IF($A1699="","",IF($AK1699=1,'كشف المطالبة'!$D$5,'كشف المطالبة'!$D$6)*100)</f>
        <v/>
      </c>
      <c r="AK1699" s="28" t="str">
        <f aca="false">IF($A1699="","",IF(OR($Q1699=TRUE(),$Q1699="TRUE"),1,0))</f>
        <v/>
      </c>
      <c r="AL1699" s="28" t="str">
        <f aca="false">IF($N1699="","",IF(MATCH($N1699,$N$2:$N$3001,0)=ROWS($N$2:$N1699),$N1699,""))</f>
        <v/>
      </c>
    </row>
    <row r="1700" customFormat="false" ht="15" hidden="false" customHeight="false" outlineLevel="0" collapsed="false">
      <c r="E1700" s="25"/>
      <c r="M1700" s="26" t="str">
        <f aca="false">IF($A1700="","",$L1700*$U1700/100)</f>
        <v/>
      </c>
      <c r="W1700" s="26" t="str">
        <f aca="false">IF($A1700="","",U1700*AB1700/100)</f>
        <v/>
      </c>
      <c r="X1700" s="26" t="str">
        <f aca="false">IF($A1700="","",U1700-W1700)</f>
        <v/>
      </c>
      <c r="Y1700" s="26" t="str">
        <f aca="false">IF($A1700="","",U1700-W1700-M1700)</f>
        <v/>
      </c>
      <c r="AB1700" s="27" t="str">
        <f aca="false">IF($A1700="","",IF($AK1700=1,'كشف المطالبة'!$D$5,'كشف المطالبة'!$D$6)*100)</f>
        <v/>
      </c>
      <c r="AK1700" s="28" t="str">
        <f aca="false">IF($A1700="","",IF(OR($Q1700=TRUE(),$Q1700="TRUE"),1,0))</f>
        <v/>
      </c>
      <c r="AL1700" s="28" t="str">
        <f aca="false">IF($N1700="","",IF(MATCH($N1700,$N$2:$N$3001,0)=ROWS($N$2:$N1700),$N1700,""))</f>
        <v/>
      </c>
    </row>
    <row r="1701" customFormat="false" ht="15" hidden="false" customHeight="false" outlineLevel="0" collapsed="false">
      <c r="E1701" s="25"/>
      <c r="M1701" s="26" t="str">
        <f aca="false">IF($A1701="","",$L1701*$U1701/100)</f>
        <v/>
      </c>
      <c r="W1701" s="26" t="str">
        <f aca="false">IF($A1701="","",U1701*AB1701/100)</f>
        <v/>
      </c>
      <c r="X1701" s="26" t="str">
        <f aca="false">IF($A1701="","",U1701-W1701)</f>
        <v/>
      </c>
      <c r="Y1701" s="26" t="str">
        <f aca="false">IF($A1701="","",U1701-W1701-M1701)</f>
        <v/>
      </c>
      <c r="AB1701" s="27" t="str">
        <f aca="false">IF($A1701="","",IF($AK1701=1,'كشف المطالبة'!$D$5,'كشف المطالبة'!$D$6)*100)</f>
        <v/>
      </c>
      <c r="AK1701" s="28" t="str">
        <f aca="false">IF($A1701="","",IF(OR($Q1701=TRUE(),$Q1701="TRUE"),1,0))</f>
        <v/>
      </c>
      <c r="AL1701" s="28" t="str">
        <f aca="false">IF($N1701="","",IF(MATCH($N1701,$N$2:$N$3001,0)=ROWS($N$2:$N1701),$N1701,""))</f>
        <v/>
      </c>
    </row>
    <row r="1702" customFormat="false" ht="15" hidden="false" customHeight="false" outlineLevel="0" collapsed="false">
      <c r="E1702" s="25"/>
      <c r="M1702" s="26" t="str">
        <f aca="false">IF($A1702="","",$L1702*$U1702/100)</f>
        <v/>
      </c>
      <c r="W1702" s="26" t="str">
        <f aca="false">IF($A1702="","",U1702*AB1702/100)</f>
        <v/>
      </c>
      <c r="X1702" s="26" t="str">
        <f aca="false">IF($A1702="","",U1702-W1702)</f>
        <v/>
      </c>
      <c r="Y1702" s="26" t="str">
        <f aca="false">IF($A1702="","",U1702-W1702-M1702)</f>
        <v/>
      </c>
      <c r="AB1702" s="27" t="str">
        <f aca="false">IF($A1702="","",IF($AK1702=1,'كشف المطالبة'!$D$5,'كشف المطالبة'!$D$6)*100)</f>
        <v/>
      </c>
      <c r="AK1702" s="28" t="str">
        <f aca="false">IF($A1702="","",IF(OR($Q1702=TRUE(),$Q1702="TRUE"),1,0))</f>
        <v/>
      </c>
      <c r="AL1702" s="28" t="str">
        <f aca="false">IF($N1702="","",IF(MATCH($N1702,$N$2:$N$3001,0)=ROWS($N$2:$N1702),$N1702,""))</f>
        <v/>
      </c>
    </row>
    <row r="1703" customFormat="false" ht="15" hidden="false" customHeight="false" outlineLevel="0" collapsed="false">
      <c r="E1703" s="25"/>
      <c r="M1703" s="26" t="str">
        <f aca="false">IF($A1703="","",$L1703*$U1703/100)</f>
        <v/>
      </c>
      <c r="W1703" s="26" t="str">
        <f aca="false">IF($A1703="","",U1703*AB1703/100)</f>
        <v/>
      </c>
      <c r="X1703" s="26" t="str">
        <f aca="false">IF($A1703="","",U1703-W1703)</f>
        <v/>
      </c>
      <c r="Y1703" s="26" t="str">
        <f aca="false">IF($A1703="","",U1703-W1703-M1703)</f>
        <v/>
      </c>
      <c r="AB1703" s="27" t="str">
        <f aca="false">IF($A1703="","",IF($AK1703=1,'كشف المطالبة'!$D$5,'كشف المطالبة'!$D$6)*100)</f>
        <v/>
      </c>
      <c r="AK1703" s="28" t="str">
        <f aca="false">IF($A1703="","",IF(OR($Q1703=TRUE(),$Q1703="TRUE"),1,0))</f>
        <v/>
      </c>
      <c r="AL1703" s="28" t="str">
        <f aca="false">IF($N1703="","",IF(MATCH($N1703,$N$2:$N$3001,0)=ROWS($N$2:$N1703),$N1703,""))</f>
        <v/>
      </c>
    </row>
    <row r="1704" customFormat="false" ht="15" hidden="false" customHeight="false" outlineLevel="0" collapsed="false">
      <c r="E1704" s="25"/>
      <c r="M1704" s="26" t="str">
        <f aca="false">IF($A1704="","",$L1704*$U1704/100)</f>
        <v/>
      </c>
      <c r="W1704" s="26" t="str">
        <f aca="false">IF($A1704="","",U1704*AB1704/100)</f>
        <v/>
      </c>
      <c r="X1704" s="26" t="str">
        <f aca="false">IF($A1704="","",U1704-W1704)</f>
        <v/>
      </c>
      <c r="Y1704" s="26" t="str">
        <f aca="false">IF($A1704="","",U1704-W1704-M1704)</f>
        <v/>
      </c>
      <c r="AB1704" s="27" t="str">
        <f aca="false">IF($A1704="","",IF($AK1704=1,'كشف المطالبة'!$D$5,'كشف المطالبة'!$D$6)*100)</f>
        <v/>
      </c>
      <c r="AK1704" s="28" t="str">
        <f aca="false">IF($A1704="","",IF(OR($Q1704=TRUE(),$Q1704="TRUE"),1,0))</f>
        <v/>
      </c>
      <c r="AL1704" s="28" t="str">
        <f aca="false">IF($N1704="","",IF(MATCH($N1704,$N$2:$N$3001,0)=ROWS($N$2:$N1704),$N1704,""))</f>
        <v/>
      </c>
    </row>
    <row r="1705" customFormat="false" ht="15" hidden="false" customHeight="false" outlineLevel="0" collapsed="false">
      <c r="E1705" s="25"/>
      <c r="M1705" s="26" t="str">
        <f aca="false">IF($A1705="","",$L1705*$U1705/100)</f>
        <v/>
      </c>
      <c r="W1705" s="26" t="str">
        <f aca="false">IF($A1705="","",U1705*AB1705/100)</f>
        <v/>
      </c>
      <c r="X1705" s="26" t="str">
        <f aca="false">IF($A1705="","",U1705-W1705)</f>
        <v/>
      </c>
      <c r="Y1705" s="26" t="str">
        <f aca="false">IF($A1705="","",U1705-W1705-M1705)</f>
        <v/>
      </c>
      <c r="AB1705" s="27" t="str">
        <f aca="false">IF($A1705="","",IF($AK1705=1,'كشف المطالبة'!$D$5,'كشف المطالبة'!$D$6)*100)</f>
        <v/>
      </c>
      <c r="AK1705" s="28" t="str">
        <f aca="false">IF($A1705="","",IF(OR($Q1705=TRUE(),$Q1705="TRUE"),1,0))</f>
        <v/>
      </c>
      <c r="AL1705" s="28" t="str">
        <f aca="false">IF($N1705="","",IF(MATCH($N1705,$N$2:$N$3001,0)=ROWS($N$2:$N1705),$N1705,""))</f>
        <v/>
      </c>
    </row>
    <row r="1706" customFormat="false" ht="15" hidden="false" customHeight="false" outlineLevel="0" collapsed="false">
      <c r="E1706" s="25"/>
      <c r="M1706" s="26" t="str">
        <f aca="false">IF($A1706="","",$L1706*$U1706/100)</f>
        <v/>
      </c>
      <c r="W1706" s="26" t="str">
        <f aca="false">IF($A1706="","",U1706*AB1706/100)</f>
        <v/>
      </c>
      <c r="X1706" s="26" t="str">
        <f aca="false">IF($A1706="","",U1706-W1706)</f>
        <v/>
      </c>
      <c r="Y1706" s="26" t="str">
        <f aca="false">IF($A1706="","",U1706-W1706-M1706)</f>
        <v/>
      </c>
      <c r="AB1706" s="27" t="str">
        <f aca="false">IF($A1706="","",IF($AK1706=1,'كشف المطالبة'!$D$5,'كشف المطالبة'!$D$6)*100)</f>
        <v/>
      </c>
      <c r="AK1706" s="28" t="str">
        <f aca="false">IF($A1706="","",IF(OR($Q1706=TRUE(),$Q1706="TRUE"),1,0))</f>
        <v/>
      </c>
      <c r="AL1706" s="28" t="str">
        <f aca="false">IF($N1706="","",IF(MATCH($N1706,$N$2:$N$3001,0)=ROWS($N$2:$N1706),$N1706,""))</f>
        <v/>
      </c>
    </row>
    <row r="1707" customFormat="false" ht="15" hidden="false" customHeight="false" outlineLevel="0" collapsed="false">
      <c r="E1707" s="25"/>
      <c r="M1707" s="26" t="str">
        <f aca="false">IF($A1707="","",$L1707*$U1707/100)</f>
        <v/>
      </c>
      <c r="W1707" s="26" t="str">
        <f aca="false">IF($A1707="","",U1707*AB1707/100)</f>
        <v/>
      </c>
      <c r="X1707" s="26" t="str">
        <f aca="false">IF($A1707="","",U1707-W1707)</f>
        <v/>
      </c>
      <c r="Y1707" s="26" t="str">
        <f aca="false">IF($A1707="","",U1707-W1707-M1707)</f>
        <v/>
      </c>
      <c r="AB1707" s="27" t="str">
        <f aca="false">IF($A1707="","",IF($AK1707=1,'كشف المطالبة'!$D$5,'كشف المطالبة'!$D$6)*100)</f>
        <v/>
      </c>
      <c r="AK1707" s="28" t="str">
        <f aca="false">IF($A1707="","",IF(OR($Q1707=TRUE(),$Q1707="TRUE"),1,0))</f>
        <v/>
      </c>
      <c r="AL1707" s="28" t="str">
        <f aca="false">IF($N1707="","",IF(MATCH($N1707,$N$2:$N$3001,0)=ROWS($N$2:$N1707),$N1707,""))</f>
        <v/>
      </c>
    </row>
    <row r="1708" customFormat="false" ht="15" hidden="false" customHeight="false" outlineLevel="0" collapsed="false">
      <c r="E1708" s="25"/>
      <c r="M1708" s="26" t="str">
        <f aca="false">IF($A1708="","",$L1708*$U1708/100)</f>
        <v/>
      </c>
      <c r="W1708" s="26" t="str">
        <f aca="false">IF($A1708="","",U1708*AB1708/100)</f>
        <v/>
      </c>
      <c r="X1708" s="26" t="str">
        <f aca="false">IF($A1708="","",U1708-W1708)</f>
        <v/>
      </c>
      <c r="Y1708" s="26" t="str">
        <f aca="false">IF($A1708="","",U1708-W1708-M1708)</f>
        <v/>
      </c>
      <c r="AB1708" s="27" t="str">
        <f aca="false">IF($A1708="","",IF($AK1708=1,'كشف المطالبة'!$D$5,'كشف المطالبة'!$D$6)*100)</f>
        <v/>
      </c>
      <c r="AK1708" s="28" t="str">
        <f aca="false">IF($A1708="","",IF(OR($Q1708=TRUE(),$Q1708="TRUE"),1,0))</f>
        <v/>
      </c>
      <c r="AL1708" s="28" t="str">
        <f aca="false">IF($N1708="","",IF(MATCH($N1708,$N$2:$N$3001,0)=ROWS($N$2:$N1708),$N1708,""))</f>
        <v/>
      </c>
    </row>
    <row r="1709" customFormat="false" ht="15" hidden="false" customHeight="false" outlineLevel="0" collapsed="false">
      <c r="E1709" s="25"/>
      <c r="M1709" s="26" t="str">
        <f aca="false">IF($A1709="","",$L1709*$U1709/100)</f>
        <v/>
      </c>
      <c r="W1709" s="26" t="str">
        <f aca="false">IF($A1709="","",U1709*AB1709/100)</f>
        <v/>
      </c>
      <c r="X1709" s="26" t="str">
        <f aca="false">IF($A1709="","",U1709-W1709)</f>
        <v/>
      </c>
      <c r="Y1709" s="26" t="str">
        <f aca="false">IF($A1709="","",U1709-W1709-M1709)</f>
        <v/>
      </c>
      <c r="AB1709" s="27" t="str">
        <f aca="false">IF($A1709="","",IF($AK1709=1,'كشف المطالبة'!$D$5,'كشف المطالبة'!$D$6)*100)</f>
        <v/>
      </c>
      <c r="AK1709" s="28" t="str">
        <f aca="false">IF($A1709="","",IF(OR($Q1709=TRUE(),$Q1709="TRUE"),1,0))</f>
        <v/>
      </c>
      <c r="AL1709" s="28" t="str">
        <f aca="false">IF($N1709="","",IF(MATCH($N1709,$N$2:$N$3001,0)=ROWS($N$2:$N1709),$N1709,""))</f>
        <v/>
      </c>
    </row>
    <row r="1710" customFormat="false" ht="15" hidden="false" customHeight="false" outlineLevel="0" collapsed="false">
      <c r="E1710" s="25"/>
      <c r="M1710" s="26" t="str">
        <f aca="false">IF($A1710="","",$L1710*$U1710/100)</f>
        <v/>
      </c>
      <c r="W1710" s="26" t="str">
        <f aca="false">IF($A1710="","",U1710*AB1710/100)</f>
        <v/>
      </c>
      <c r="X1710" s="26" t="str">
        <f aca="false">IF($A1710="","",U1710-W1710)</f>
        <v/>
      </c>
      <c r="Y1710" s="26" t="str">
        <f aca="false">IF($A1710="","",U1710-W1710-M1710)</f>
        <v/>
      </c>
      <c r="AB1710" s="27" t="str">
        <f aca="false">IF($A1710="","",IF($AK1710=1,'كشف المطالبة'!$D$5,'كشف المطالبة'!$D$6)*100)</f>
        <v/>
      </c>
      <c r="AK1710" s="28" t="str">
        <f aca="false">IF($A1710="","",IF(OR($Q1710=TRUE(),$Q1710="TRUE"),1,0))</f>
        <v/>
      </c>
      <c r="AL1710" s="28" t="str">
        <f aca="false">IF($N1710="","",IF(MATCH($N1710,$N$2:$N$3001,0)=ROWS($N$2:$N1710),$N1710,""))</f>
        <v/>
      </c>
    </row>
    <row r="1711" customFormat="false" ht="15" hidden="false" customHeight="false" outlineLevel="0" collapsed="false">
      <c r="E1711" s="25"/>
      <c r="M1711" s="26" t="str">
        <f aca="false">IF($A1711="","",$L1711*$U1711/100)</f>
        <v/>
      </c>
      <c r="W1711" s="26" t="str">
        <f aca="false">IF($A1711="","",U1711*AB1711/100)</f>
        <v/>
      </c>
      <c r="X1711" s="26" t="str">
        <f aca="false">IF($A1711="","",U1711-W1711)</f>
        <v/>
      </c>
      <c r="Y1711" s="26" t="str">
        <f aca="false">IF($A1711="","",U1711-W1711-M1711)</f>
        <v/>
      </c>
      <c r="AB1711" s="27" t="str">
        <f aca="false">IF($A1711="","",IF($AK1711=1,'كشف المطالبة'!$D$5,'كشف المطالبة'!$D$6)*100)</f>
        <v/>
      </c>
      <c r="AK1711" s="28" t="str">
        <f aca="false">IF($A1711="","",IF(OR($Q1711=TRUE(),$Q1711="TRUE"),1,0))</f>
        <v/>
      </c>
      <c r="AL1711" s="28" t="str">
        <f aca="false">IF($N1711="","",IF(MATCH($N1711,$N$2:$N$3001,0)=ROWS($N$2:$N1711),$N1711,""))</f>
        <v/>
      </c>
    </row>
    <row r="1712" customFormat="false" ht="15" hidden="false" customHeight="false" outlineLevel="0" collapsed="false">
      <c r="E1712" s="25"/>
      <c r="M1712" s="26" t="str">
        <f aca="false">IF($A1712="","",$L1712*$U1712/100)</f>
        <v/>
      </c>
      <c r="W1712" s="26" t="str">
        <f aca="false">IF($A1712="","",U1712*AB1712/100)</f>
        <v/>
      </c>
      <c r="X1712" s="26" t="str">
        <f aca="false">IF($A1712="","",U1712-W1712)</f>
        <v/>
      </c>
      <c r="Y1712" s="26" t="str">
        <f aca="false">IF($A1712="","",U1712-W1712-M1712)</f>
        <v/>
      </c>
      <c r="AB1712" s="27" t="str">
        <f aca="false">IF($A1712="","",IF($AK1712=1,'كشف المطالبة'!$D$5,'كشف المطالبة'!$D$6)*100)</f>
        <v/>
      </c>
      <c r="AK1712" s="28" t="str">
        <f aca="false">IF($A1712="","",IF(OR($Q1712=TRUE(),$Q1712="TRUE"),1,0))</f>
        <v/>
      </c>
      <c r="AL1712" s="28" t="str">
        <f aca="false">IF($N1712="","",IF(MATCH($N1712,$N$2:$N$3001,0)=ROWS($N$2:$N1712),$N1712,""))</f>
        <v/>
      </c>
    </row>
    <row r="1713" customFormat="false" ht="15" hidden="false" customHeight="false" outlineLevel="0" collapsed="false">
      <c r="E1713" s="25"/>
      <c r="M1713" s="26" t="str">
        <f aca="false">IF($A1713="","",$L1713*$U1713/100)</f>
        <v/>
      </c>
      <c r="W1713" s="26" t="str">
        <f aca="false">IF($A1713="","",U1713*AB1713/100)</f>
        <v/>
      </c>
      <c r="X1713" s="26" t="str">
        <f aca="false">IF($A1713="","",U1713-W1713)</f>
        <v/>
      </c>
      <c r="Y1713" s="26" t="str">
        <f aca="false">IF($A1713="","",U1713-W1713-M1713)</f>
        <v/>
      </c>
      <c r="AB1713" s="27" t="str">
        <f aca="false">IF($A1713="","",IF($AK1713=1,'كشف المطالبة'!$D$5,'كشف المطالبة'!$D$6)*100)</f>
        <v/>
      </c>
      <c r="AK1713" s="28" t="str">
        <f aca="false">IF($A1713="","",IF(OR($Q1713=TRUE(),$Q1713="TRUE"),1,0))</f>
        <v/>
      </c>
      <c r="AL1713" s="28" t="str">
        <f aca="false">IF($N1713="","",IF(MATCH($N1713,$N$2:$N$3001,0)=ROWS($N$2:$N1713),$N1713,""))</f>
        <v/>
      </c>
    </row>
    <row r="1714" customFormat="false" ht="15" hidden="false" customHeight="false" outlineLevel="0" collapsed="false">
      <c r="E1714" s="25"/>
      <c r="M1714" s="26" t="str">
        <f aca="false">IF($A1714="","",$L1714*$U1714/100)</f>
        <v/>
      </c>
      <c r="W1714" s="26" t="str">
        <f aca="false">IF($A1714="","",U1714*AB1714/100)</f>
        <v/>
      </c>
      <c r="X1714" s="26" t="str">
        <f aca="false">IF($A1714="","",U1714-W1714)</f>
        <v/>
      </c>
      <c r="Y1714" s="26" t="str">
        <f aca="false">IF($A1714="","",U1714-W1714-M1714)</f>
        <v/>
      </c>
      <c r="AB1714" s="27" t="str">
        <f aca="false">IF($A1714="","",IF($AK1714=1,'كشف المطالبة'!$D$5,'كشف المطالبة'!$D$6)*100)</f>
        <v/>
      </c>
      <c r="AK1714" s="28" t="str">
        <f aca="false">IF($A1714="","",IF(OR($Q1714=TRUE(),$Q1714="TRUE"),1,0))</f>
        <v/>
      </c>
      <c r="AL1714" s="28" t="str">
        <f aca="false">IF($N1714="","",IF(MATCH($N1714,$N$2:$N$3001,0)=ROWS($N$2:$N1714),$N1714,""))</f>
        <v/>
      </c>
    </row>
    <row r="1715" customFormat="false" ht="15" hidden="false" customHeight="false" outlineLevel="0" collapsed="false">
      <c r="E1715" s="25"/>
      <c r="M1715" s="26" t="str">
        <f aca="false">IF($A1715="","",$L1715*$U1715/100)</f>
        <v/>
      </c>
      <c r="W1715" s="26" t="str">
        <f aca="false">IF($A1715="","",U1715*AB1715/100)</f>
        <v/>
      </c>
      <c r="X1715" s="26" t="str">
        <f aca="false">IF($A1715="","",U1715-W1715)</f>
        <v/>
      </c>
      <c r="Y1715" s="26" t="str">
        <f aca="false">IF($A1715="","",U1715-W1715-M1715)</f>
        <v/>
      </c>
      <c r="AB1715" s="27" t="str">
        <f aca="false">IF($A1715="","",IF($AK1715=1,'كشف المطالبة'!$D$5,'كشف المطالبة'!$D$6)*100)</f>
        <v/>
      </c>
      <c r="AK1715" s="28" t="str">
        <f aca="false">IF($A1715="","",IF(OR($Q1715=TRUE(),$Q1715="TRUE"),1,0))</f>
        <v/>
      </c>
      <c r="AL1715" s="28" t="str">
        <f aca="false">IF($N1715="","",IF(MATCH($N1715,$N$2:$N$3001,0)=ROWS($N$2:$N1715),$N1715,""))</f>
        <v/>
      </c>
    </row>
    <row r="1716" customFormat="false" ht="15" hidden="false" customHeight="false" outlineLevel="0" collapsed="false">
      <c r="E1716" s="25"/>
      <c r="M1716" s="26" t="str">
        <f aca="false">IF($A1716="","",$L1716*$U1716/100)</f>
        <v/>
      </c>
      <c r="W1716" s="26" t="str">
        <f aca="false">IF($A1716="","",U1716*AB1716/100)</f>
        <v/>
      </c>
      <c r="X1716" s="26" t="str">
        <f aca="false">IF($A1716="","",U1716-W1716)</f>
        <v/>
      </c>
      <c r="Y1716" s="26" t="str">
        <f aca="false">IF($A1716="","",U1716-W1716-M1716)</f>
        <v/>
      </c>
      <c r="AB1716" s="27" t="str">
        <f aca="false">IF($A1716="","",IF($AK1716=1,'كشف المطالبة'!$D$5,'كشف المطالبة'!$D$6)*100)</f>
        <v/>
      </c>
      <c r="AK1716" s="28" t="str">
        <f aca="false">IF($A1716="","",IF(OR($Q1716=TRUE(),$Q1716="TRUE"),1,0))</f>
        <v/>
      </c>
      <c r="AL1716" s="28" t="str">
        <f aca="false">IF($N1716="","",IF(MATCH($N1716,$N$2:$N$3001,0)=ROWS($N$2:$N1716),$N1716,""))</f>
        <v/>
      </c>
    </row>
    <row r="1717" customFormat="false" ht="15" hidden="false" customHeight="false" outlineLevel="0" collapsed="false">
      <c r="E1717" s="25"/>
      <c r="M1717" s="26" t="str">
        <f aca="false">IF($A1717="","",$L1717*$U1717/100)</f>
        <v/>
      </c>
      <c r="W1717" s="26" t="str">
        <f aca="false">IF($A1717="","",U1717*AB1717/100)</f>
        <v/>
      </c>
      <c r="X1717" s="26" t="str">
        <f aca="false">IF($A1717="","",U1717-W1717)</f>
        <v/>
      </c>
      <c r="Y1717" s="26" t="str">
        <f aca="false">IF($A1717="","",U1717-W1717-M1717)</f>
        <v/>
      </c>
      <c r="AB1717" s="27" t="str">
        <f aca="false">IF($A1717="","",IF($AK1717=1,'كشف المطالبة'!$D$5,'كشف المطالبة'!$D$6)*100)</f>
        <v/>
      </c>
      <c r="AK1717" s="28" t="str">
        <f aca="false">IF($A1717="","",IF(OR($Q1717=TRUE(),$Q1717="TRUE"),1,0))</f>
        <v/>
      </c>
      <c r="AL1717" s="28" t="str">
        <f aca="false">IF($N1717="","",IF(MATCH($N1717,$N$2:$N$3001,0)=ROWS($N$2:$N1717),$N1717,""))</f>
        <v/>
      </c>
    </row>
    <row r="1718" customFormat="false" ht="15" hidden="false" customHeight="false" outlineLevel="0" collapsed="false">
      <c r="E1718" s="25"/>
      <c r="M1718" s="26" t="str">
        <f aca="false">IF($A1718="","",$L1718*$U1718/100)</f>
        <v/>
      </c>
      <c r="W1718" s="26" t="str">
        <f aca="false">IF($A1718="","",U1718*AB1718/100)</f>
        <v/>
      </c>
      <c r="X1718" s="26" t="str">
        <f aca="false">IF($A1718="","",U1718-W1718)</f>
        <v/>
      </c>
      <c r="Y1718" s="26" t="str">
        <f aca="false">IF($A1718="","",U1718-W1718-M1718)</f>
        <v/>
      </c>
      <c r="AB1718" s="27" t="str">
        <f aca="false">IF($A1718="","",IF($AK1718=1,'كشف المطالبة'!$D$5,'كشف المطالبة'!$D$6)*100)</f>
        <v/>
      </c>
      <c r="AK1718" s="28" t="str">
        <f aca="false">IF($A1718="","",IF(OR($Q1718=TRUE(),$Q1718="TRUE"),1,0))</f>
        <v/>
      </c>
      <c r="AL1718" s="28" t="str">
        <f aca="false">IF($N1718="","",IF(MATCH($N1718,$N$2:$N$3001,0)=ROWS($N$2:$N1718),$N1718,""))</f>
        <v/>
      </c>
    </row>
    <row r="1719" customFormat="false" ht="15" hidden="false" customHeight="false" outlineLevel="0" collapsed="false">
      <c r="E1719" s="25"/>
      <c r="M1719" s="26" t="str">
        <f aca="false">IF($A1719="","",$L1719*$U1719/100)</f>
        <v/>
      </c>
      <c r="W1719" s="26" t="str">
        <f aca="false">IF($A1719="","",U1719*AB1719/100)</f>
        <v/>
      </c>
      <c r="X1719" s="26" t="str">
        <f aca="false">IF($A1719="","",U1719-W1719)</f>
        <v/>
      </c>
      <c r="Y1719" s="26" t="str">
        <f aca="false">IF($A1719="","",U1719-W1719-M1719)</f>
        <v/>
      </c>
      <c r="AB1719" s="27" t="str">
        <f aca="false">IF($A1719="","",IF($AK1719=1,'كشف المطالبة'!$D$5,'كشف المطالبة'!$D$6)*100)</f>
        <v/>
      </c>
      <c r="AK1719" s="28" t="str">
        <f aca="false">IF($A1719="","",IF(OR($Q1719=TRUE(),$Q1719="TRUE"),1,0))</f>
        <v/>
      </c>
      <c r="AL1719" s="28" t="str">
        <f aca="false">IF($N1719="","",IF(MATCH($N1719,$N$2:$N$3001,0)=ROWS($N$2:$N1719),$N1719,""))</f>
        <v/>
      </c>
    </row>
    <row r="1720" customFormat="false" ht="15" hidden="false" customHeight="false" outlineLevel="0" collapsed="false">
      <c r="E1720" s="25"/>
      <c r="M1720" s="26" t="str">
        <f aca="false">IF($A1720="","",$L1720*$U1720/100)</f>
        <v/>
      </c>
      <c r="W1720" s="26" t="str">
        <f aca="false">IF($A1720="","",U1720*AB1720/100)</f>
        <v/>
      </c>
      <c r="X1720" s="26" t="str">
        <f aca="false">IF($A1720="","",U1720-W1720)</f>
        <v/>
      </c>
      <c r="Y1720" s="26" t="str">
        <f aca="false">IF($A1720="","",U1720-W1720-M1720)</f>
        <v/>
      </c>
      <c r="AB1720" s="27" t="str">
        <f aca="false">IF($A1720="","",IF($AK1720=1,'كشف المطالبة'!$D$5,'كشف المطالبة'!$D$6)*100)</f>
        <v/>
      </c>
      <c r="AK1720" s="28" t="str">
        <f aca="false">IF($A1720="","",IF(OR($Q1720=TRUE(),$Q1720="TRUE"),1,0))</f>
        <v/>
      </c>
      <c r="AL1720" s="28" t="str">
        <f aca="false">IF($N1720="","",IF(MATCH($N1720,$N$2:$N$3001,0)=ROWS($N$2:$N1720),$N1720,""))</f>
        <v/>
      </c>
    </row>
    <row r="1721" customFormat="false" ht="15" hidden="false" customHeight="false" outlineLevel="0" collapsed="false">
      <c r="E1721" s="25"/>
      <c r="M1721" s="26" t="str">
        <f aca="false">IF($A1721="","",$L1721*$U1721/100)</f>
        <v/>
      </c>
      <c r="W1721" s="26" t="str">
        <f aca="false">IF($A1721="","",U1721*AB1721/100)</f>
        <v/>
      </c>
      <c r="X1721" s="26" t="str">
        <f aca="false">IF($A1721="","",U1721-W1721)</f>
        <v/>
      </c>
      <c r="Y1721" s="26" t="str">
        <f aca="false">IF($A1721="","",U1721-W1721-M1721)</f>
        <v/>
      </c>
      <c r="AB1721" s="27" t="str">
        <f aca="false">IF($A1721="","",IF($AK1721=1,'كشف المطالبة'!$D$5,'كشف المطالبة'!$D$6)*100)</f>
        <v/>
      </c>
      <c r="AK1721" s="28" t="str">
        <f aca="false">IF($A1721="","",IF(OR($Q1721=TRUE(),$Q1721="TRUE"),1,0))</f>
        <v/>
      </c>
      <c r="AL1721" s="28" t="str">
        <f aca="false">IF($N1721="","",IF(MATCH($N1721,$N$2:$N$3001,0)=ROWS($N$2:$N1721),$N1721,""))</f>
        <v/>
      </c>
    </row>
    <row r="1722" customFormat="false" ht="15" hidden="false" customHeight="false" outlineLevel="0" collapsed="false">
      <c r="E1722" s="25"/>
      <c r="M1722" s="26" t="str">
        <f aca="false">IF($A1722="","",$L1722*$U1722/100)</f>
        <v/>
      </c>
      <c r="W1722" s="26" t="str">
        <f aca="false">IF($A1722="","",U1722*AB1722/100)</f>
        <v/>
      </c>
      <c r="X1722" s="26" t="str">
        <f aca="false">IF($A1722="","",U1722-W1722)</f>
        <v/>
      </c>
      <c r="Y1722" s="26" t="str">
        <f aca="false">IF($A1722="","",U1722-W1722-M1722)</f>
        <v/>
      </c>
      <c r="AB1722" s="27" t="str">
        <f aca="false">IF($A1722="","",IF($AK1722=1,'كشف المطالبة'!$D$5,'كشف المطالبة'!$D$6)*100)</f>
        <v/>
      </c>
      <c r="AK1722" s="28" t="str">
        <f aca="false">IF($A1722="","",IF(OR($Q1722=TRUE(),$Q1722="TRUE"),1,0))</f>
        <v/>
      </c>
      <c r="AL1722" s="28" t="str">
        <f aca="false">IF($N1722="","",IF(MATCH($N1722,$N$2:$N$3001,0)=ROWS($N$2:$N1722),$N1722,""))</f>
        <v/>
      </c>
    </row>
    <row r="1723" customFormat="false" ht="15" hidden="false" customHeight="false" outlineLevel="0" collapsed="false">
      <c r="E1723" s="25"/>
      <c r="M1723" s="26" t="str">
        <f aca="false">IF($A1723="","",$L1723*$U1723/100)</f>
        <v/>
      </c>
      <c r="W1723" s="26" t="str">
        <f aca="false">IF($A1723="","",U1723*AB1723/100)</f>
        <v/>
      </c>
      <c r="X1723" s="26" t="str">
        <f aca="false">IF($A1723="","",U1723-W1723)</f>
        <v/>
      </c>
      <c r="Y1723" s="26" t="str">
        <f aca="false">IF($A1723="","",U1723-W1723-M1723)</f>
        <v/>
      </c>
      <c r="AB1723" s="27" t="str">
        <f aca="false">IF($A1723="","",IF($AK1723=1,'كشف المطالبة'!$D$5,'كشف المطالبة'!$D$6)*100)</f>
        <v/>
      </c>
      <c r="AK1723" s="28" t="str">
        <f aca="false">IF($A1723="","",IF(OR($Q1723=TRUE(),$Q1723="TRUE"),1,0))</f>
        <v/>
      </c>
      <c r="AL1723" s="28" t="str">
        <f aca="false">IF($N1723="","",IF(MATCH($N1723,$N$2:$N$3001,0)=ROWS($N$2:$N1723),$N1723,""))</f>
        <v/>
      </c>
    </row>
    <row r="1724" customFormat="false" ht="15" hidden="false" customHeight="false" outlineLevel="0" collapsed="false">
      <c r="E1724" s="25"/>
      <c r="M1724" s="26" t="str">
        <f aca="false">IF($A1724="","",$L1724*$U1724/100)</f>
        <v/>
      </c>
      <c r="W1724" s="26" t="str">
        <f aca="false">IF($A1724="","",U1724*AB1724/100)</f>
        <v/>
      </c>
      <c r="X1724" s="26" t="str">
        <f aca="false">IF($A1724="","",U1724-W1724)</f>
        <v/>
      </c>
      <c r="Y1724" s="26" t="str">
        <f aca="false">IF($A1724="","",U1724-W1724-M1724)</f>
        <v/>
      </c>
      <c r="AB1724" s="27" t="str">
        <f aca="false">IF($A1724="","",IF($AK1724=1,'كشف المطالبة'!$D$5,'كشف المطالبة'!$D$6)*100)</f>
        <v/>
      </c>
      <c r="AK1724" s="28" t="str">
        <f aca="false">IF($A1724="","",IF(OR($Q1724=TRUE(),$Q1724="TRUE"),1,0))</f>
        <v/>
      </c>
      <c r="AL1724" s="28" t="str">
        <f aca="false">IF($N1724="","",IF(MATCH($N1724,$N$2:$N$3001,0)=ROWS($N$2:$N1724),$N1724,""))</f>
        <v/>
      </c>
    </row>
    <row r="1725" customFormat="false" ht="15" hidden="false" customHeight="false" outlineLevel="0" collapsed="false">
      <c r="E1725" s="25"/>
      <c r="M1725" s="26" t="str">
        <f aca="false">IF($A1725="","",$L1725*$U1725/100)</f>
        <v/>
      </c>
      <c r="W1725" s="26" t="str">
        <f aca="false">IF($A1725="","",U1725*AB1725/100)</f>
        <v/>
      </c>
      <c r="X1725" s="26" t="str">
        <f aca="false">IF($A1725="","",U1725-W1725)</f>
        <v/>
      </c>
      <c r="Y1725" s="26" t="str">
        <f aca="false">IF($A1725="","",U1725-W1725-M1725)</f>
        <v/>
      </c>
      <c r="AB1725" s="27" t="str">
        <f aca="false">IF($A1725="","",IF($AK1725=1,'كشف المطالبة'!$D$5,'كشف المطالبة'!$D$6)*100)</f>
        <v/>
      </c>
      <c r="AK1725" s="28" t="str">
        <f aca="false">IF($A1725="","",IF(OR($Q1725=TRUE(),$Q1725="TRUE"),1,0))</f>
        <v/>
      </c>
      <c r="AL1725" s="28" t="str">
        <f aca="false">IF($N1725="","",IF(MATCH($N1725,$N$2:$N$3001,0)=ROWS($N$2:$N1725),$N1725,""))</f>
        <v/>
      </c>
    </row>
    <row r="1726" customFormat="false" ht="15" hidden="false" customHeight="false" outlineLevel="0" collapsed="false">
      <c r="E1726" s="25"/>
      <c r="M1726" s="26" t="str">
        <f aca="false">IF($A1726="","",$L1726*$U1726/100)</f>
        <v/>
      </c>
      <c r="W1726" s="26" t="str">
        <f aca="false">IF($A1726="","",U1726*AB1726/100)</f>
        <v/>
      </c>
      <c r="X1726" s="26" t="str">
        <f aca="false">IF($A1726="","",U1726-W1726)</f>
        <v/>
      </c>
      <c r="Y1726" s="26" t="str">
        <f aca="false">IF($A1726="","",U1726-W1726-M1726)</f>
        <v/>
      </c>
      <c r="AB1726" s="27" t="str">
        <f aca="false">IF($A1726="","",IF($AK1726=1,'كشف المطالبة'!$D$5,'كشف المطالبة'!$D$6)*100)</f>
        <v/>
      </c>
      <c r="AK1726" s="28" t="str">
        <f aca="false">IF($A1726="","",IF(OR($Q1726=TRUE(),$Q1726="TRUE"),1,0))</f>
        <v/>
      </c>
      <c r="AL1726" s="28" t="str">
        <f aca="false">IF($N1726="","",IF(MATCH($N1726,$N$2:$N$3001,0)=ROWS($N$2:$N1726),$N1726,""))</f>
        <v/>
      </c>
    </row>
    <row r="1727" customFormat="false" ht="15" hidden="false" customHeight="false" outlineLevel="0" collapsed="false">
      <c r="E1727" s="25"/>
      <c r="M1727" s="26" t="str">
        <f aca="false">IF($A1727="","",$L1727*$U1727/100)</f>
        <v/>
      </c>
      <c r="W1727" s="26" t="str">
        <f aca="false">IF($A1727="","",U1727*AB1727/100)</f>
        <v/>
      </c>
      <c r="X1727" s="26" t="str">
        <f aca="false">IF($A1727="","",U1727-W1727)</f>
        <v/>
      </c>
      <c r="Y1727" s="26" t="str">
        <f aca="false">IF($A1727="","",U1727-W1727-M1727)</f>
        <v/>
      </c>
      <c r="AB1727" s="27" t="str">
        <f aca="false">IF($A1727="","",IF($AK1727=1,'كشف المطالبة'!$D$5,'كشف المطالبة'!$D$6)*100)</f>
        <v/>
      </c>
      <c r="AK1727" s="28" t="str">
        <f aca="false">IF($A1727="","",IF(OR($Q1727=TRUE(),$Q1727="TRUE"),1,0))</f>
        <v/>
      </c>
      <c r="AL1727" s="28" t="str">
        <f aca="false">IF($N1727="","",IF(MATCH($N1727,$N$2:$N$3001,0)=ROWS($N$2:$N1727),$N1727,""))</f>
        <v/>
      </c>
    </row>
    <row r="1728" customFormat="false" ht="15" hidden="false" customHeight="false" outlineLevel="0" collapsed="false">
      <c r="E1728" s="25"/>
      <c r="M1728" s="26" t="str">
        <f aca="false">IF($A1728="","",$L1728*$U1728/100)</f>
        <v/>
      </c>
      <c r="W1728" s="26" t="str">
        <f aca="false">IF($A1728="","",U1728*AB1728/100)</f>
        <v/>
      </c>
      <c r="X1728" s="26" t="str">
        <f aca="false">IF($A1728="","",U1728-W1728)</f>
        <v/>
      </c>
      <c r="Y1728" s="26" t="str">
        <f aca="false">IF($A1728="","",U1728-W1728-M1728)</f>
        <v/>
      </c>
      <c r="AB1728" s="27" t="str">
        <f aca="false">IF($A1728="","",IF($AK1728=1,'كشف المطالبة'!$D$5,'كشف المطالبة'!$D$6)*100)</f>
        <v/>
      </c>
      <c r="AK1728" s="28" t="str">
        <f aca="false">IF($A1728="","",IF(OR($Q1728=TRUE(),$Q1728="TRUE"),1,0))</f>
        <v/>
      </c>
      <c r="AL1728" s="28" t="str">
        <f aca="false">IF($N1728="","",IF(MATCH($N1728,$N$2:$N$3001,0)=ROWS($N$2:$N1728),$N1728,""))</f>
        <v/>
      </c>
    </row>
    <row r="1729" customFormat="false" ht="15" hidden="false" customHeight="false" outlineLevel="0" collapsed="false">
      <c r="E1729" s="25"/>
      <c r="M1729" s="26" t="str">
        <f aca="false">IF($A1729="","",$L1729*$U1729/100)</f>
        <v/>
      </c>
      <c r="W1729" s="26" t="str">
        <f aca="false">IF($A1729="","",U1729*AB1729/100)</f>
        <v/>
      </c>
      <c r="X1729" s="26" t="str">
        <f aca="false">IF($A1729="","",U1729-W1729)</f>
        <v/>
      </c>
      <c r="Y1729" s="26" t="str">
        <f aca="false">IF($A1729="","",U1729-W1729-M1729)</f>
        <v/>
      </c>
      <c r="AB1729" s="27" t="str">
        <f aca="false">IF($A1729="","",IF($AK1729=1,'كشف المطالبة'!$D$5,'كشف المطالبة'!$D$6)*100)</f>
        <v/>
      </c>
      <c r="AK1729" s="28" t="str">
        <f aca="false">IF($A1729="","",IF(OR($Q1729=TRUE(),$Q1729="TRUE"),1,0))</f>
        <v/>
      </c>
      <c r="AL1729" s="28" t="str">
        <f aca="false">IF($N1729="","",IF(MATCH($N1729,$N$2:$N$3001,0)=ROWS($N$2:$N1729),$N1729,""))</f>
        <v/>
      </c>
    </row>
    <row r="1730" customFormat="false" ht="15" hidden="false" customHeight="false" outlineLevel="0" collapsed="false">
      <c r="E1730" s="25"/>
      <c r="M1730" s="26" t="str">
        <f aca="false">IF($A1730="","",$L1730*$U1730/100)</f>
        <v/>
      </c>
      <c r="W1730" s="26" t="str">
        <f aca="false">IF($A1730="","",U1730*AB1730/100)</f>
        <v/>
      </c>
      <c r="X1730" s="26" t="str">
        <f aca="false">IF($A1730="","",U1730-W1730)</f>
        <v/>
      </c>
      <c r="Y1730" s="26" t="str">
        <f aca="false">IF($A1730="","",U1730-W1730-M1730)</f>
        <v/>
      </c>
      <c r="AB1730" s="27" t="str">
        <f aca="false">IF($A1730="","",IF($AK1730=1,'كشف المطالبة'!$D$5,'كشف المطالبة'!$D$6)*100)</f>
        <v/>
      </c>
      <c r="AK1730" s="28" t="str">
        <f aca="false">IF($A1730="","",IF(OR($Q1730=TRUE(),$Q1730="TRUE"),1,0))</f>
        <v/>
      </c>
      <c r="AL1730" s="28" t="str">
        <f aca="false">IF($N1730="","",IF(MATCH($N1730,$N$2:$N$3001,0)=ROWS($N$2:$N1730),$N1730,""))</f>
        <v/>
      </c>
    </row>
    <row r="1731" customFormat="false" ht="15" hidden="false" customHeight="false" outlineLevel="0" collapsed="false">
      <c r="E1731" s="25"/>
      <c r="M1731" s="26" t="str">
        <f aca="false">IF($A1731="","",$L1731*$U1731/100)</f>
        <v/>
      </c>
      <c r="W1731" s="26" t="str">
        <f aca="false">IF($A1731="","",U1731*AB1731/100)</f>
        <v/>
      </c>
      <c r="X1731" s="26" t="str">
        <f aca="false">IF($A1731="","",U1731-W1731)</f>
        <v/>
      </c>
      <c r="Y1731" s="26" t="str">
        <f aca="false">IF($A1731="","",U1731-W1731-M1731)</f>
        <v/>
      </c>
      <c r="AB1731" s="27" t="str">
        <f aca="false">IF($A1731="","",IF($AK1731=1,'كشف المطالبة'!$D$5,'كشف المطالبة'!$D$6)*100)</f>
        <v/>
      </c>
      <c r="AK1731" s="28" t="str">
        <f aca="false">IF($A1731="","",IF(OR($Q1731=TRUE(),$Q1731="TRUE"),1,0))</f>
        <v/>
      </c>
      <c r="AL1731" s="28" t="str">
        <f aca="false">IF($N1731="","",IF(MATCH($N1731,$N$2:$N$3001,0)=ROWS($N$2:$N1731),$N1731,""))</f>
        <v/>
      </c>
    </row>
    <row r="1732" customFormat="false" ht="15" hidden="false" customHeight="false" outlineLevel="0" collapsed="false">
      <c r="E1732" s="25"/>
      <c r="M1732" s="26" t="str">
        <f aca="false">IF($A1732="","",$L1732*$U1732/100)</f>
        <v/>
      </c>
      <c r="W1732" s="26" t="str">
        <f aca="false">IF($A1732="","",U1732*AB1732/100)</f>
        <v/>
      </c>
      <c r="X1732" s="26" t="str">
        <f aca="false">IF($A1732="","",U1732-W1732)</f>
        <v/>
      </c>
      <c r="Y1732" s="26" t="str">
        <f aca="false">IF($A1732="","",U1732-W1732-M1732)</f>
        <v/>
      </c>
      <c r="AB1732" s="27" t="str">
        <f aca="false">IF($A1732="","",IF($AK1732=1,'كشف المطالبة'!$D$5,'كشف المطالبة'!$D$6)*100)</f>
        <v/>
      </c>
      <c r="AK1732" s="28" t="str">
        <f aca="false">IF($A1732="","",IF(OR($Q1732=TRUE(),$Q1732="TRUE"),1,0))</f>
        <v/>
      </c>
      <c r="AL1732" s="28" t="str">
        <f aca="false">IF($N1732="","",IF(MATCH($N1732,$N$2:$N$3001,0)=ROWS($N$2:$N1732),$N1732,""))</f>
        <v/>
      </c>
    </row>
    <row r="1733" customFormat="false" ht="15" hidden="false" customHeight="false" outlineLevel="0" collapsed="false">
      <c r="E1733" s="25"/>
      <c r="M1733" s="26" t="str">
        <f aca="false">IF($A1733="","",$L1733*$U1733/100)</f>
        <v/>
      </c>
      <c r="W1733" s="26" t="str">
        <f aca="false">IF($A1733="","",U1733*AB1733/100)</f>
        <v/>
      </c>
      <c r="X1733" s="26" t="str">
        <f aca="false">IF($A1733="","",U1733-W1733)</f>
        <v/>
      </c>
      <c r="Y1733" s="26" t="str">
        <f aca="false">IF($A1733="","",U1733-W1733-M1733)</f>
        <v/>
      </c>
      <c r="AB1733" s="27" t="str">
        <f aca="false">IF($A1733="","",IF($AK1733=1,'كشف المطالبة'!$D$5,'كشف المطالبة'!$D$6)*100)</f>
        <v/>
      </c>
      <c r="AK1733" s="28" t="str">
        <f aca="false">IF($A1733="","",IF(OR($Q1733=TRUE(),$Q1733="TRUE"),1,0))</f>
        <v/>
      </c>
      <c r="AL1733" s="28" t="str">
        <f aca="false">IF($N1733="","",IF(MATCH($N1733,$N$2:$N$3001,0)=ROWS($N$2:$N1733),$N1733,""))</f>
        <v/>
      </c>
    </row>
    <row r="1734" customFormat="false" ht="15" hidden="false" customHeight="false" outlineLevel="0" collapsed="false">
      <c r="E1734" s="25"/>
      <c r="M1734" s="26" t="str">
        <f aca="false">IF($A1734="","",$L1734*$U1734/100)</f>
        <v/>
      </c>
      <c r="W1734" s="26" t="str">
        <f aca="false">IF($A1734="","",U1734*AB1734/100)</f>
        <v/>
      </c>
      <c r="X1734" s="26" t="str">
        <f aca="false">IF($A1734="","",U1734-W1734)</f>
        <v/>
      </c>
      <c r="Y1734" s="26" t="str">
        <f aca="false">IF($A1734="","",U1734-W1734-M1734)</f>
        <v/>
      </c>
      <c r="AB1734" s="27" t="str">
        <f aca="false">IF($A1734="","",IF($AK1734=1,'كشف المطالبة'!$D$5,'كشف المطالبة'!$D$6)*100)</f>
        <v/>
      </c>
      <c r="AK1734" s="28" t="str">
        <f aca="false">IF($A1734="","",IF(OR($Q1734=TRUE(),$Q1734="TRUE"),1,0))</f>
        <v/>
      </c>
      <c r="AL1734" s="28" t="str">
        <f aca="false">IF($N1734="","",IF(MATCH($N1734,$N$2:$N$3001,0)=ROWS($N$2:$N1734),$N1734,""))</f>
        <v/>
      </c>
    </row>
    <row r="1735" customFormat="false" ht="15" hidden="false" customHeight="false" outlineLevel="0" collapsed="false">
      <c r="E1735" s="25"/>
      <c r="M1735" s="26" t="str">
        <f aca="false">IF($A1735="","",$L1735*$U1735/100)</f>
        <v/>
      </c>
      <c r="W1735" s="26" t="str">
        <f aca="false">IF($A1735="","",U1735*AB1735/100)</f>
        <v/>
      </c>
      <c r="X1735" s="26" t="str">
        <f aca="false">IF($A1735="","",U1735-W1735)</f>
        <v/>
      </c>
      <c r="Y1735" s="26" t="str">
        <f aca="false">IF($A1735="","",U1735-W1735-M1735)</f>
        <v/>
      </c>
      <c r="AB1735" s="27" t="str">
        <f aca="false">IF($A1735="","",IF($AK1735=1,'كشف المطالبة'!$D$5,'كشف المطالبة'!$D$6)*100)</f>
        <v/>
      </c>
      <c r="AK1735" s="28" t="str">
        <f aca="false">IF($A1735="","",IF(OR($Q1735=TRUE(),$Q1735="TRUE"),1,0))</f>
        <v/>
      </c>
      <c r="AL1735" s="28" t="str">
        <f aca="false">IF($N1735="","",IF(MATCH($N1735,$N$2:$N$3001,0)=ROWS($N$2:$N1735),$N1735,""))</f>
        <v/>
      </c>
    </row>
    <row r="1736" customFormat="false" ht="15" hidden="false" customHeight="false" outlineLevel="0" collapsed="false">
      <c r="E1736" s="25"/>
      <c r="M1736" s="26" t="str">
        <f aca="false">IF($A1736="","",$L1736*$U1736/100)</f>
        <v/>
      </c>
      <c r="W1736" s="26" t="str">
        <f aca="false">IF($A1736="","",U1736*AB1736/100)</f>
        <v/>
      </c>
      <c r="X1736" s="26" t="str">
        <f aca="false">IF($A1736="","",U1736-W1736)</f>
        <v/>
      </c>
      <c r="Y1736" s="26" t="str">
        <f aca="false">IF($A1736="","",U1736-W1736-M1736)</f>
        <v/>
      </c>
      <c r="AB1736" s="27" t="str">
        <f aca="false">IF($A1736="","",IF($AK1736=1,'كشف المطالبة'!$D$5,'كشف المطالبة'!$D$6)*100)</f>
        <v/>
      </c>
      <c r="AK1736" s="28" t="str">
        <f aca="false">IF($A1736="","",IF(OR($Q1736=TRUE(),$Q1736="TRUE"),1,0))</f>
        <v/>
      </c>
      <c r="AL1736" s="28" t="str">
        <f aca="false">IF($N1736="","",IF(MATCH($N1736,$N$2:$N$3001,0)=ROWS($N$2:$N1736),$N1736,""))</f>
        <v/>
      </c>
    </row>
    <row r="1737" customFormat="false" ht="15" hidden="false" customHeight="false" outlineLevel="0" collapsed="false">
      <c r="E1737" s="25"/>
      <c r="M1737" s="26" t="str">
        <f aca="false">IF($A1737="","",$L1737*$U1737/100)</f>
        <v/>
      </c>
      <c r="W1737" s="26" t="str">
        <f aca="false">IF($A1737="","",U1737*AB1737/100)</f>
        <v/>
      </c>
      <c r="X1737" s="26" t="str">
        <f aca="false">IF($A1737="","",U1737-W1737)</f>
        <v/>
      </c>
      <c r="Y1737" s="26" t="str">
        <f aca="false">IF($A1737="","",U1737-W1737-M1737)</f>
        <v/>
      </c>
      <c r="AB1737" s="27" t="str">
        <f aca="false">IF($A1737="","",IF($AK1737=1,'كشف المطالبة'!$D$5,'كشف المطالبة'!$D$6)*100)</f>
        <v/>
      </c>
      <c r="AK1737" s="28" t="str">
        <f aca="false">IF($A1737="","",IF(OR($Q1737=TRUE(),$Q1737="TRUE"),1,0))</f>
        <v/>
      </c>
      <c r="AL1737" s="28" t="str">
        <f aca="false">IF($N1737="","",IF(MATCH($N1737,$N$2:$N$3001,0)=ROWS($N$2:$N1737),$N1737,""))</f>
        <v/>
      </c>
    </row>
    <row r="1738" customFormat="false" ht="15" hidden="false" customHeight="false" outlineLevel="0" collapsed="false">
      <c r="E1738" s="25"/>
      <c r="M1738" s="26" t="str">
        <f aca="false">IF($A1738="","",$L1738*$U1738/100)</f>
        <v/>
      </c>
      <c r="W1738" s="26" t="str">
        <f aca="false">IF($A1738="","",U1738*AB1738/100)</f>
        <v/>
      </c>
      <c r="X1738" s="26" t="str">
        <f aca="false">IF($A1738="","",U1738-W1738)</f>
        <v/>
      </c>
      <c r="Y1738" s="26" t="str">
        <f aca="false">IF($A1738="","",U1738-W1738-M1738)</f>
        <v/>
      </c>
      <c r="AB1738" s="27" t="str">
        <f aca="false">IF($A1738="","",IF($AK1738=1,'كشف المطالبة'!$D$5,'كشف المطالبة'!$D$6)*100)</f>
        <v/>
      </c>
      <c r="AK1738" s="28" t="str">
        <f aca="false">IF($A1738="","",IF(OR($Q1738=TRUE(),$Q1738="TRUE"),1,0))</f>
        <v/>
      </c>
      <c r="AL1738" s="28" t="str">
        <f aca="false">IF($N1738="","",IF(MATCH($N1738,$N$2:$N$3001,0)=ROWS($N$2:$N1738),$N1738,""))</f>
        <v/>
      </c>
    </row>
    <row r="1739" customFormat="false" ht="15" hidden="false" customHeight="false" outlineLevel="0" collapsed="false">
      <c r="E1739" s="25"/>
      <c r="M1739" s="26" t="str">
        <f aca="false">IF($A1739="","",$L1739*$U1739/100)</f>
        <v/>
      </c>
      <c r="W1739" s="26" t="str">
        <f aca="false">IF($A1739="","",U1739*AB1739/100)</f>
        <v/>
      </c>
      <c r="X1739" s="26" t="str">
        <f aca="false">IF($A1739="","",U1739-W1739)</f>
        <v/>
      </c>
      <c r="Y1739" s="26" t="str">
        <f aca="false">IF($A1739="","",U1739-W1739-M1739)</f>
        <v/>
      </c>
      <c r="AB1739" s="27" t="str">
        <f aca="false">IF($A1739="","",IF($AK1739=1,'كشف المطالبة'!$D$5,'كشف المطالبة'!$D$6)*100)</f>
        <v/>
      </c>
      <c r="AK1739" s="28" t="str">
        <f aca="false">IF($A1739="","",IF(OR($Q1739=TRUE(),$Q1739="TRUE"),1,0))</f>
        <v/>
      </c>
      <c r="AL1739" s="28" t="str">
        <f aca="false">IF($N1739="","",IF(MATCH($N1739,$N$2:$N$3001,0)=ROWS($N$2:$N1739),$N1739,""))</f>
        <v/>
      </c>
    </row>
    <row r="1740" customFormat="false" ht="15" hidden="false" customHeight="false" outlineLevel="0" collapsed="false">
      <c r="E1740" s="25"/>
      <c r="M1740" s="26" t="str">
        <f aca="false">IF($A1740="","",$L1740*$U1740/100)</f>
        <v/>
      </c>
      <c r="W1740" s="26" t="str">
        <f aca="false">IF($A1740="","",U1740*AB1740/100)</f>
        <v/>
      </c>
      <c r="X1740" s="26" t="str">
        <f aca="false">IF($A1740="","",U1740-W1740)</f>
        <v/>
      </c>
      <c r="Y1740" s="26" t="str">
        <f aca="false">IF($A1740="","",U1740-W1740-M1740)</f>
        <v/>
      </c>
      <c r="AB1740" s="27" t="str">
        <f aca="false">IF($A1740="","",IF($AK1740=1,'كشف المطالبة'!$D$5,'كشف المطالبة'!$D$6)*100)</f>
        <v/>
      </c>
      <c r="AK1740" s="28" t="str">
        <f aca="false">IF($A1740="","",IF(OR($Q1740=TRUE(),$Q1740="TRUE"),1,0))</f>
        <v/>
      </c>
      <c r="AL1740" s="28" t="str">
        <f aca="false">IF($N1740="","",IF(MATCH($N1740,$N$2:$N$3001,0)=ROWS($N$2:$N1740),$N1740,""))</f>
        <v/>
      </c>
    </row>
    <row r="1741" customFormat="false" ht="15" hidden="false" customHeight="false" outlineLevel="0" collapsed="false">
      <c r="E1741" s="25"/>
      <c r="M1741" s="26" t="str">
        <f aca="false">IF($A1741="","",$L1741*$U1741/100)</f>
        <v/>
      </c>
      <c r="W1741" s="26" t="str">
        <f aca="false">IF($A1741="","",U1741*AB1741/100)</f>
        <v/>
      </c>
      <c r="X1741" s="26" t="str">
        <f aca="false">IF($A1741="","",U1741-W1741)</f>
        <v/>
      </c>
      <c r="Y1741" s="26" t="str">
        <f aca="false">IF($A1741="","",U1741-W1741-M1741)</f>
        <v/>
      </c>
      <c r="AB1741" s="27" t="str">
        <f aca="false">IF($A1741="","",IF($AK1741=1,'كشف المطالبة'!$D$5,'كشف المطالبة'!$D$6)*100)</f>
        <v/>
      </c>
      <c r="AK1741" s="28" t="str">
        <f aca="false">IF($A1741="","",IF(OR($Q1741=TRUE(),$Q1741="TRUE"),1,0))</f>
        <v/>
      </c>
      <c r="AL1741" s="28" t="str">
        <f aca="false">IF($N1741="","",IF(MATCH($N1741,$N$2:$N$3001,0)=ROWS($N$2:$N1741),$N1741,""))</f>
        <v/>
      </c>
    </row>
    <row r="1742" customFormat="false" ht="15" hidden="false" customHeight="false" outlineLevel="0" collapsed="false">
      <c r="E1742" s="25"/>
      <c r="M1742" s="26" t="str">
        <f aca="false">IF($A1742="","",$L1742*$U1742/100)</f>
        <v/>
      </c>
      <c r="W1742" s="26" t="str">
        <f aca="false">IF($A1742="","",U1742*AB1742/100)</f>
        <v/>
      </c>
      <c r="X1742" s="26" t="str">
        <f aca="false">IF($A1742="","",U1742-W1742)</f>
        <v/>
      </c>
      <c r="Y1742" s="26" t="str">
        <f aca="false">IF($A1742="","",U1742-W1742-M1742)</f>
        <v/>
      </c>
      <c r="AB1742" s="27" t="str">
        <f aca="false">IF($A1742="","",IF($AK1742=1,'كشف المطالبة'!$D$5,'كشف المطالبة'!$D$6)*100)</f>
        <v/>
      </c>
      <c r="AK1742" s="28" t="str">
        <f aca="false">IF($A1742="","",IF(OR($Q1742=TRUE(),$Q1742="TRUE"),1,0))</f>
        <v/>
      </c>
      <c r="AL1742" s="28" t="str">
        <f aca="false">IF($N1742="","",IF(MATCH($N1742,$N$2:$N$3001,0)=ROWS($N$2:$N1742),$N1742,""))</f>
        <v/>
      </c>
    </row>
    <row r="1743" customFormat="false" ht="15" hidden="false" customHeight="false" outlineLevel="0" collapsed="false">
      <c r="E1743" s="25"/>
      <c r="M1743" s="26" t="str">
        <f aca="false">IF($A1743="","",$L1743*$U1743/100)</f>
        <v/>
      </c>
      <c r="W1743" s="26" t="str">
        <f aca="false">IF($A1743="","",U1743*AB1743/100)</f>
        <v/>
      </c>
      <c r="X1743" s="26" t="str">
        <f aca="false">IF($A1743="","",U1743-W1743)</f>
        <v/>
      </c>
      <c r="Y1743" s="26" t="str">
        <f aca="false">IF($A1743="","",U1743-W1743-M1743)</f>
        <v/>
      </c>
      <c r="AB1743" s="27" t="str">
        <f aca="false">IF($A1743="","",IF($AK1743=1,'كشف المطالبة'!$D$5,'كشف المطالبة'!$D$6)*100)</f>
        <v/>
      </c>
      <c r="AK1743" s="28" t="str">
        <f aca="false">IF($A1743="","",IF(OR($Q1743=TRUE(),$Q1743="TRUE"),1,0))</f>
        <v/>
      </c>
      <c r="AL1743" s="28" t="str">
        <f aca="false">IF($N1743="","",IF(MATCH($N1743,$N$2:$N$3001,0)=ROWS($N$2:$N1743),$N1743,""))</f>
        <v/>
      </c>
    </row>
    <row r="1744" customFormat="false" ht="15" hidden="false" customHeight="false" outlineLevel="0" collapsed="false">
      <c r="E1744" s="25"/>
      <c r="M1744" s="26" t="str">
        <f aca="false">IF($A1744="","",$L1744*$U1744/100)</f>
        <v/>
      </c>
      <c r="W1744" s="26" t="str">
        <f aca="false">IF($A1744="","",U1744*AB1744/100)</f>
        <v/>
      </c>
      <c r="X1744" s="26" t="str">
        <f aca="false">IF($A1744="","",U1744-W1744)</f>
        <v/>
      </c>
      <c r="Y1744" s="26" t="str">
        <f aca="false">IF($A1744="","",U1744-W1744-M1744)</f>
        <v/>
      </c>
      <c r="AB1744" s="27" t="str">
        <f aca="false">IF($A1744="","",IF($AK1744=1,'كشف المطالبة'!$D$5,'كشف المطالبة'!$D$6)*100)</f>
        <v/>
      </c>
      <c r="AK1744" s="28" t="str">
        <f aca="false">IF($A1744="","",IF(OR($Q1744=TRUE(),$Q1744="TRUE"),1,0))</f>
        <v/>
      </c>
      <c r="AL1744" s="28" t="str">
        <f aca="false">IF($N1744="","",IF(MATCH($N1744,$N$2:$N$3001,0)=ROWS($N$2:$N1744),$N1744,""))</f>
        <v/>
      </c>
    </row>
    <row r="1745" customFormat="false" ht="15" hidden="false" customHeight="false" outlineLevel="0" collapsed="false">
      <c r="E1745" s="25"/>
      <c r="M1745" s="26" t="str">
        <f aca="false">IF($A1745="","",$L1745*$U1745/100)</f>
        <v/>
      </c>
      <c r="W1745" s="26" t="str">
        <f aca="false">IF($A1745="","",U1745*AB1745/100)</f>
        <v/>
      </c>
      <c r="X1745" s="26" t="str">
        <f aca="false">IF($A1745="","",U1745-W1745)</f>
        <v/>
      </c>
      <c r="Y1745" s="26" t="str">
        <f aca="false">IF($A1745="","",U1745-W1745-M1745)</f>
        <v/>
      </c>
      <c r="AB1745" s="27" t="str">
        <f aca="false">IF($A1745="","",IF($AK1745=1,'كشف المطالبة'!$D$5,'كشف المطالبة'!$D$6)*100)</f>
        <v/>
      </c>
      <c r="AK1745" s="28" t="str">
        <f aca="false">IF($A1745="","",IF(OR($Q1745=TRUE(),$Q1745="TRUE"),1,0))</f>
        <v/>
      </c>
      <c r="AL1745" s="28" t="str">
        <f aca="false">IF($N1745="","",IF(MATCH($N1745,$N$2:$N$3001,0)=ROWS($N$2:$N1745),$N1745,""))</f>
        <v/>
      </c>
    </row>
    <row r="1746" customFormat="false" ht="15" hidden="false" customHeight="false" outlineLevel="0" collapsed="false">
      <c r="E1746" s="25"/>
      <c r="M1746" s="26" t="str">
        <f aca="false">IF($A1746="","",$L1746*$U1746/100)</f>
        <v/>
      </c>
      <c r="W1746" s="26" t="str">
        <f aca="false">IF($A1746="","",U1746*AB1746/100)</f>
        <v/>
      </c>
      <c r="X1746" s="26" t="str">
        <f aca="false">IF($A1746="","",U1746-W1746)</f>
        <v/>
      </c>
      <c r="Y1746" s="26" t="str">
        <f aca="false">IF($A1746="","",U1746-W1746-M1746)</f>
        <v/>
      </c>
      <c r="AB1746" s="27" t="str">
        <f aca="false">IF($A1746="","",IF($AK1746=1,'كشف المطالبة'!$D$5,'كشف المطالبة'!$D$6)*100)</f>
        <v/>
      </c>
      <c r="AK1746" s="28" t="str">
        <f aca="false">IF($A1746="","",IF(OR($Q1746=TRUE(),$Q1746="TRUE"),1,0))</f>
        <v/>
      </c>
      <c r="AL1746" s="28" t="str">
        <f aca="false">IF($N1746="","",IF(MATCH($N1746,$N$2:$N$3001,0)=ROWS($N$2:$N1746),$N1746,""))</f>
        <v/>
      </c>
    </row>
    <row r="1747" customFormat="false" ht="15" hidden="false" customHeight="false" outlineLevel="0" collapsed="false">
      <c r="E1747" s="25"/>
      <c r="M1747" s="26" t="str">
        <f aca="false">IF($A1747="","",$L1747*$U1747/100)</f>
        <v/>
      </c>
      <c r="W1747" s="26" t="str">
        <f aca="false">IF($A1747="","",U1747*AB1747/100)</f>
        <v/>
      </c>
      <c r="X1747" s="26" t="str">
        <f aca="false">IF($A1747="","",U1747-W1747)</f>
        <v/>
      </c>
      <c r="Y1747" s="26" t="str">
        <f aca="false">IF($A1747="","",U1747-W1747-M1747)</f>
        <v/>
      </c>
      <c r="AB1747" s="27" t="str">
        <f aca="false">IF($A1747="","",IF($AK1747=1,'كشف المطالبة'!$D$5,'كشف المطالبة'!$D$6)*100)</f>
        <v/>
      </c>
      <c r="AK1747" s="28" t="str">
        <f aca="false">IF($A1747="","",IF(OR($Q1747=TRUE(),$Q1747="TRUE"),1,0))</f>
        <v/>
      </c>
      <c r="AL1747" s="28" t="str">
        <f aca="false">IF($N1747="","",IF(MATCH($N1747,$N$2:$N$3001,0)=ROWS($N$2:$N1747),$N1747,""))</f>
        <v/>
      </c>
    </row>
    <row r="1748" customFormat="false" ht="15" hidden="false" customHeight="false" outlineLevel="0" collapsed="false">
      <c r="E1748" s="25"/>
      <c r="M1748" s="26" t="str">
        <f aca="false">IF($A1748="","",$L1748*$U1748/100)</f>
        <v/>
      </c>
      <c r="W1748" s="26" t="str">
        <f aca="false">IF($A1748="","",U1748*AB1748/100)</f>
        <v/>
      </c>
      <c r="X1748" s="26" t="str">
        <f aca="false">IF($A1748="","",U1748-W1748)</f>
        <v/>
      </c>
      <c r="Y1748" s="26" t="str">
        <f aca="false">IF($A1748="","",U1748-W1748-M1748)</f>
        <v/>
      </c>
      <c r="AB1748" s="27" t="str">
        <f aca="false">IF($A1748="","",IF($AK1748=1,'كشف المطالبة'!$D$5,'كشف المطالبة'!$D$6)*100)</f>
        <v/>
      </c>
      <c r="AK1748" s="28" t="str">
        <f aca="false">IF($A1748="","",IF(OR($Q1748=TRUE(),$Q1748="TRUE"),1,0))</f>
        <v/>
      </c>
      <c r="AL1748" s="28" t="str">
        <f aca="false">IF($N1748="","",IF(MATCH($N1748,$N$2:$N$3001,0)=ROWS($N$2:$N1748),$N1748,""))</f>
        <v/>
      </c>
    </row>
    <row r="1749" customFormat="false" ht="15" hidden="false" customHeight="false" outlineLevel="0" collapsed="false">
      <c r="E1749" s="25"/>
      <c r="M1749" s="26" t="str">
        <f aca="false">IF($A1749="","",$L1749*$U1749/100)</f>
        <v/>
      </c>
      <c r="W1749" s="26" t="str">
        <f aca="false">IF($A1749="","",U1749*AB1749/100)</f>
        <v/>
      </c>
      <c r="X1749" s="26" t="str">
        <f aca="false">IF($A1749="","",U1749-W1749)</f>
        <v/>
      </c>
      <c r="Y1749" s="26" t="str">
        <f aca="false">IF($A1749="","",U1749-W1749-M1749)</f>
        <v/>
      </c>
      <c r="AB1749" s="27" t="str">
        <f aca="false">IF($A1749="","",IF($AK1749=1,'كشف المطالبة'!$D$5,'كشف المطالبة'!$D$6)*100)</f>
        <v/>
      </c>
      <c r="AK1749" s="28" t="str">
        <f aca="false">IF($A1749="","",IF(OR($Q1749=TRUE(),$Q1749="TRUE"),1,0))</f>
        <v/>
      </c>
      <c r="AL1749" s="28" t="str">
        <f aca="false">IF($N1749="","",IF(MATCH($N1749,$N$2:$N$3001,0)=ROWS($N$2:$N1749),$N1749,""))</f>
        <v/>
      </c>
    </row>
    <row r="1750" customFormat="false" ht="15" hidden="false" customHeight="false" outlineLevel="0" collapsed="false">
      <c r="E1750" s="25"/>
      <c r="M1750" s="26" t="str">
        <f aca="false">IF($A1750="","",$L1750*$U1750/100)</f>
        <v/>
      </c>
      <c r="W1750" s="26" t="str">
        <f aca="false">IF($A1750="","",U1750*AB1750/100)</f>
        <v/>
      </c>
      <c r="X1750" s="26" t="str">
        <f aca="false">IF($A1750="","",U1750-W1750)</f>
        <v/>
      </c>
      <c r="Y1750" s="26" t="str">
        <f aca="false">IF($A1750="","",U1750-W1750-M1750)</f>
        <v/>
      </c>
      <c r="AB1750" s="27" t="str">
        <f aca="false">IF($A1750="","",IF($AK1750=1,'كشف المطالبة'!$D$5,'كشف المطالبة'!$D$6)*100)</f>
        <v/>
      </c>
      <c r="AK1750" s="28" t="str">
        <f aca="false">IF($A1750="","",IF(OR($Q1750=TRUE(),$Q1750="TRUE"),1,0))</f>
        <v/>
      </c>
      <c r="AL1750" s="28" t="str">
        <f aca="false">IF($N1750="","",IF(MATCH($N1750,$N$2:$N$3001,0)=ROWS($N$2:$N1750),$N1750,""))</f>
        <v/>
      </c>
    </row>
    <row r="1751" customFormat="false" ht="15" hidden="false" customHeight="false" outlineLevel="0" collapsed="false">
      <c r="E1751" s="25"/>
      <c r="M1751" s="26" t="str">
        <f aca="false">IF($A1751="","",$L1751*$U1751/100)</f>
        <v/>
      </c>
      <c r="W1751" s="26" t="str">
        <f aca="false">IF($A1751="","",U1751*AB1751/100)</f>
        <v/>
      </c>
      <c r="X1751" s="26" t="str">
        <f aca="false">IF($A1751="","",U1751-W1751)</f>
        <v/>
      </c>
      <c r="Y1751" s="26" t="str">
        <f aca="false">IF($A1751="","",U1751-W1751-M1751)</f>
        <v/>
      </c>
      <c r="AB1751" s="27" t="str">
        <f aca="false">IF($A1751="","",IF($AK1751=1,'كشف المطالبة'!$D$5,'كشف المطالبة'!$D$6)*100)</f>
        <v/>
      </c>
      <c r="AK1751" s="28" t="str">
        <f aca="false">IF($A1751="","",IF(OR($Q1751=TRUE(),$Q1751="TRUE"),1,0))</f>
        <v/>
      </c>
      <c r="AL1751" s="28" t="str">
        <f aca="false">IF($N1751="","",IF(MATCH($N1751,$N$2:$N$3001,0)=ROWS($N$2:$N1751),$N1751,""))</f>
        <v/>
      </c>
    </row>
    <row r="1752" customFormat="false" ht="15" hidden="false" customHeight="false" outlineLevel="0" collapsed="false">
      <c r="E1752" s="25"/>
      <c r="M1752" s="26" t="str">
        <f aca="false">IF($A1752="","",$L1752*$U1752/100)</f>
        <v/>
      </c>
      <c r="W1752" s="26" t="str">
        <f aca="false">IF($A1752="","",U1752*AB1752/100)</f>
        <v/>
      </c>
      <c r="X1752" s="26" t="str">
        <f aca="false">IF($A1752="","",U1752-W1752)</f>
        <v/>
      </c>
      <c r="Y1752" s="26" t="str">
        <f aca="false">IF($A1752="","",U1752-W1752-M1752)</f>
        <v/>
      </c>
      <c r="AB1752" s="27" t="str">
        <f aca="false">IF($A1752="","",IF($AK1752=1,'كشف المطالبة'!$D$5,'كشف المطالبة'!$D$6)*100)</f>
        <v/>
      </c>
      <c r="AK1752" s="28" t="str">
        <f aca="false">IF($A1752="","",IF(OR($Q1752=TRUE(),$Q1752="TRUE"),1,0))</f>
        <v/>
      </c>
      <c r="AL1752" s="28" t="str">
        <f aca="false">IF($N1752="","",IF(MATCH($N1752,$N$2:$N$3001,0)=ROWS($N$2:$N1752),$N1752,""))</f>
        <v/>
      </c>
    </row>
    <row r="1753" customFormat="false" ht="15" hidden="false" customHeight="false" outlineLevel="0" collapsed="false">
      <c r="E1753" s="25"/>
      <c r="M1753" s="26" t="str">
        <f aca="false">IF($A1753="","",$L1753*$U1753/100)</f>
        <v/>
      </c>
      <c r="W1753" s="26" t="str">
        <f aca="false">IF($A1753="","",U1753*AB1753/100)</f>
        <v/>
      </c>
      <c r="X1753" s="26" t="str">
        <f aca="false">IF($A1753="","",U1753-W1753)</f>
        <v/>
      </c>
      <c r="Y1753" s="26" t="str">
        <f aca="false">IF($A1753="","",U1753-W1753-M1753)</f>
        <v/>
      </c>
      <c r="AB1753" s="27" t="str">
        <f aca="false">IF($A1753="","",IF($AK1753=1,'كشف المطالبة'!$D$5,'كشف المطالبة'!$D$6)*100)</f>
        <v/>
      </c>
      <c r="AK1753" s="28" t="str">
        <f aca="false">IF($A1753="","",IF(OR($Q1753=TRUE(),$Q1753="TRUE"),1,0))</f>
        <v/>
      </c>
      <c r="AL1753" s="28" t="str">
        <f aca="false">IF($N1753="","",IF(MATCH($N1753,$N$2:$N$3001,0)=ROWS($N$2:$N1753),$N1753,""))</f>
        <v/>
      </c>
    </row>
    <row r="1754" customFormat="false" ht="15" hidden="false" customHeight="false" outlineLevel="0" collapsed="false">
      <c r="E1754" s="25"/>
      <c r="M1754" s="26" t="str">
        <f aca="false">IF($A1754="","",$L1754*$U1754/100)</f>
        <v/>
      </c>
      <c r="W1754" s="26" t="str">
        <f aca="false">IF($A1754="","",U1754*AB1754/100)</f>
        <v/>
      </c>
      <c r="X1754" s="26" t="str">
        <f aca="false">IF($A1754="","",U1754-W1754)</f>
        <v/>
      </c>
      <c r="Y1754" s="26" t="str">
        <f aca="false">IF($A1754="","",U1754-W1754-M1754)</f>
        <v/>
      </c>
      <c r="AB1754" s="27" t="str">
        <f aca="false">IF($A1754="","",IF($AK1754=1,'كشف المطالبة'!$D$5,'كشف المطالبة'!$D$6)*100)</f>
        <v/>
      </c>
      <c r="AK1754" s="28" t="str">
        <f aca="false">IF($A1754="","",IF(OR($Q1754=TRUE(),$Q1754="TRUE"),1,0))</f>
        <v/>
      </c>
      <c r="AL1754" s="28" t="str">
        <f aca="false">IF($N1754="","",IF(MATCH($N1754,$N$2:$N$3001,0)=ROWS($N$2:$N1754),$N1754,""))</f>
        <v/>
      </c>
    </row>
    <row r="1755" customFormat="false" ht="15" hidden="false" customHeight="false" outlineLevel="0" collapsed="false">
      <c r="E1755" s="25"/>
      <c r="M1755" s="26" t="str">
        <f aca="false">IF($A1755="","",$L1755*$U1755/100)</f>
        <v/>
      </c>
      <c r="W1755" s="26" t="str">
        <f aca="false">IF($A1755="","",U1755*AB1755/100)</f>
        <v/>
      </c>
      <c r="X1755" s="26" t="str">
        <f aca="false">IF($A1755="","",U1755-W1755)</f>
        <v/>
      </c>
      <c r="Y1755" s="26" t="str">
        <f aca="false">IF($A1755="","",U1755-W1755-M1755)</f>
        <v/>
      </c>
      <c r="AB1755" s="27" t="str">
        <f aca="false">IF($A1755="","",IF($AK1755=1,'كشف المطالبة'!$D$5,'كشف المطالبة'!$D$6)*100)</f>
        <v/>
      </c>
      <c r="AK1755" s="28" t="str">
        <f aca="false">IF($A1755="","",IF(OR($Q1755=TRUE(),$Q1755="TRUE"),1,0))</f>
        <v/>
      </c>
      <c r="AL1755" s="28" t="str">
        <f aca="false">IF($N1755="","",IF(MATCH($N1755,$N$2:$N$3001,0)=ROWS($N$2:$N1755),$N1755,""))</f>
        <v/>
      </c>
    </row>
    <row r="1756" customFormat="false" ht="15" hidden="false" customHeight="false" outlineLevel="0" collapsed="false">
      <c r="E1756" s="25"/>
      <c r="M1756" s="26" t="str">
        <f aca="false">IF($A1756="","",$L1756*$U1756/100)</f>
        <v/>
      </c>
      <c r="W1756" s="26" t="str">
        <f aca="false">IF($A1756="","",U1756*AB1756/100)</f>
        <v/>
      </c>
      <c r="X1756" s="26" t="str">
        <f aca="false">IF($A1756="","",U1756-W1756)</f>
        <v/>
      </c>
      <c r="Y1756" s="26" t="str">
        <f aca="false">IF($A1756="","",U1756-W1756-M1756)</f>
        <v/>
      </c>
      <c r="AB1756" s="27" t="str">
        <f aca="false">IF($A1756="","",IF($AK1756=1,'كشف المطالبة'!$D$5,'كشف المطالبة'!$D$6)*100)</f>
        <v/>
      </c>
      <c r="AK1756" s="28" t="str">
        <f aca="false">IF($A1756="","",IF(OR($Q1756=TRUE(),$Q1756="TRUE"),1,0))</f>
        <v/>
      </c>
      <c r="AL1756" s="28" t="str">
        <f aca="false">IF($N1756="","",IF(MATCH($N1756,$N$2:$N$3001,0)=ROWS($N$2:$N1756),$N1756,""))</f>
        <v/>
      </c>
    </row>
    <row r="1757" customFormat="false" ht="15" hidden="false" customHeight="false" outlineLevel="0" collapsed="false">
      <c r="E1757" s="25"/>
      <c r="M1757" s="26" t="str">
        <f aca="false">IF($A1757="","",$L1757*$U1757/100)</f>
        <v/>
      </c>
      <c r="W1757" s="26" t="str">
        <f aca="false">IF($A1757="","",U1757*AB1757/100)</f>
        <v/>
      </c>
      <c r="X1757" s="26" t="str">
        <f aca="false">IF($A1757="","",U1757-W1757)</f>
        <v/>
      </c>
      <c r="Y1757" s="26" t="str">
        <f aca="false">IF($A1757="","",U1757-W1757-M1757)</f>
        <v/>
      </c>
      <c r="AB1757" s="27" t="str">
        <f aca="false">IF($A1757="","",IF($AK1757=1,'كشف المطالبة'!$D$5,'كشف المطالبة'!$D$6)*100)</f>
        <v/>
      </c>
      <c r="AK1757" s="28" t="str">
        <f aca="false">IF($A1757="","",IF(OR($Q1757=TRUE(),$Q1757="TRUE"),1,0))</f>
        <v/>
      </c>
      <c r="AL1757" s="28" t="str">
        <f aca="false">IF($N1757="","",IF(MATCH($N1757,$N$2:$N$3001,0)=ROWS($N$2:$N1757),$N1757,""))</f>
        <v/>
      </c>
    </row>
    <row r="1758" customFormat="false" ht="15" hidden="false" customHeight="false" outlineLevel="0" collapsed="false">
      <c r="E1758" s="25"/>
      <c r="M1758" s="26" t="str">
        <f aca="false">IF($A1758="","",$L1758*$U1758/100)</f>
        <v/>
      </c>
      <c r="W1758" s="26" t="str">
        <f aca="false">IF($A1758="","",U1758*AB1758/100)</f>
        <v/>
      </c>
      <c r="X1758" s="26" t="str">
        <f aca="false">IF($A1758="","",U1758-W1758)</f>
        <v/>
      </c>
      <c r="Y1758" s="26" t="str">
        <f aca="false">IF($A1758="","",U1758-W1758-M1758)</f>
        <v/>
      </c>
      <c r="AB1758" s="27" t="str">
        <f aca="false">IF($A1758="","",IF($AK1758=1,'كشف المطالبة'!$D$5,'كشف المطالبة'!$D$6)*100)</f>
        <v/>
      </c>
      <c r="AK1758" s="28" t="str">
        <f aca="false">IF($A1758="","",IF(OR($Q1758=TRUE(),$Q1758="TRUE"),1,0))</f>
        <v/>
      </c>
      <c r="AL1758" s="28" t="str">
        <f aca="false">IF($N1758="","",IF(MATCH($N1758,$N$2:$N$3001,0)=ROWS($N$2:$N1758),$N1758,""))</f>
        <v/>
      </c>
    </row>
    <row r="1759" customFormat="false" ht="15" hidden="false" customHeight="false" outlineLevel="0" collapsed="false">
      <c r="E1759" s="25"/>
      <c r="M1759" s="26" t="str">
        <f aca="false">IF($A1759="","",$L1759*$U1759/100)</f>
        <v/>
      </c>
      <c r="W1759" s="26" t="str">
        <f aca="false">IF($A1759="","",U1759*AB1759/100)</f>
        <v/>
      </c>
      <c r="X1759" s="26" t="str">
        <f aca="false">IF($A1759="","",U1759-W1759)</f>
        <v/>
      </c>
      <c r="Y1759" s="26" t="str">
        <f aca="false">IF($A1759="","",U1759-W1759-M1759)</f>
        <v/>
      </c>
      <c r="AB1759" s="27" t="str">
        <f aca="false">IF($A1759="","",IF($AK1759=1,'كشف المطالبة'!$D$5,'كشف المطالبة'!$D$6)*100)</f>
        <v/>
      </c>
      <c r="AK1759" s="28" t="str">
        <f aca="false">IF($A1759="","",IF(OR($Q1759=TRUE(),$Q1759="TRUE"),1,0))</f>
        <v/>
      </c>
      <c r="AL1759" s="28" t="str">
        <f aca="false">IF($N1759="","",IF(MATCH($N1759,$N$2:$N$3001,0)=ROWS($N$2:$N1759),$N1759,""))</f>
        <v/>
      </c>
    </row>
    <row r="1760" customFormat="false" ht="15" hidden="false" customHeight="false" outlineLevel="0" collapsed="false">
      <c r="E1760" s="25"/>
      <c r="M1760" s="26" t="str">
        <f aca="false">IF($A1760="","",$L1760*$U1760/100)</f>
        <v/>
      </c>
      <c r="W1760" s="26" t="str">
        <f aca="false">IF($A1760="","",U1760*AB1760/100)</f>
        <v/>
      </c>
      <c r="X1760" s="26" t="str">
        <f aca="false">IF($A1760="","",U1760-W1760)</f>
        <v/>
      </c>
      <c r="Y1760" s="26" t="str">
        <f aca="false">IF($A1760="","",U1760-W1760-M1760)</f>
        <v/>
      </c>
      <c r="AB1760" s="27" t="str">
        <f aca="false">IF($A1760="","",IF($AK1760=1,'كشف المطالبة'!$D$5,'كشف المطالبة'!$D$6)*100)</f>
        <v/>
      </c>
      <c r="AK1760" s="28" t="str">
        <f aca="false">IF($A1760="","",IF(OR($Q1760=TRUE(),$Q1760="TRUE"),1,0))</f>
        <v/>
      </c>
      <c r="AL1760" s="28" t="str">
        <f aca="false">IF($N1760="","",IF(MATCH($N1760,$N$2:$N$3001,0)=ROWS($N$2:$N1760),$N1760,""))</f>
        <v/>
      </c>
    </row>
    <row r="1761" customFormat="false" ht="15" hidden="false" customHeight="false" outlineLevel="0" collapsed="false">
      <c r="E1761" s="25"/>
      <c r="M1761" s="26" t="str">
        <f aca="false">IF($A1761="","",$L1761*$U1761/100)</f>
        <v/>
      </c>
      <c r="W1761" s="26" t="str">
        <f aca="false">IF($A1761="","",U1761*AB1761/100)</f>
        <v/>
      </c>
      <c r="X1761" s="26" t="str">
        <f aca="false">IF($A1761="","",U1761-W1761)</f>
        <v/>
      </c>
      <c r="Y1761" s="26" t="str">
        <f aca="false">IF($A1761="","",U1761-W1761-M1761)</f>
        <v/>
      </c>
      <c r="AB1761" s="27" t="str">
        <f aca="false">IF($A1761="","",IF($AK1761=1,'كشف المطالبة'!$D$5,'كشف المطالبة'!$D$6)*100)</f>
        <v/>
      </c>
      <c r="AK1761" s="28" t="str">
        <f aca="false">IF($A1761="","",IF(OR($Q1761=TRUE(),$Q1761="TRUE"),1,0))</f>
        <v/>
      </c>
      <c r="AL1761" s="28" t="str">
        <f aca="false">IF($N1761="","",IF(MATCH($N1761,$N$2:$N$3001,0)=ROWS($N$2:$N1761),$N1761,""))</f>
        <v/>
      </c>
    </row>
    <row r="1762" customFormat="false" ht="15" hidden="false" customHeight="false" outlineLevel="0" collapsed="false">
      <c r="E1762" s="25"/>
      <c r="M1762" s="26" t="str">
        <f aca="false">IF($A1762="","",$L1762*$U1762/100)</f>
        <v/>
      </c>
      <c r="W1762" s="26" t="str">
        <f aca="false">IF($A1762="","",U1762*AB1762/100)</f>
        <v/>
      </c>
      <c r="X1762" s="26" t="str">
        <f aca="false">IF($A1762="","",U1762-W1762)</f>
        <v/>
      </c>
      <c r="Y1762" s="26" t="str">
        <f aca="false">IF($A1762="","",U1762-W1762-M1762)</f>
        <v/>
      </c>
      <c r="AB1762" s="27" t="str">
        <f aca="false">IF($A1762="","",IF($AK1762=1,'كشف المطالبة'!$D$5,'كشف المطالبة'!$D$6)*100)</f>
        <v/>
      </c>
      <c r="AK1762" s="28" t="str">
        <f aca="false">IF($A1762="","",IF(OR($Q1762=TRUE(),$Q1762="TRUE"),1,0))</f>
        <v/>
      </c>
      <c r="AL1762" s="28" t="str">
        <f aca="false">IF($N1762="","",IF(MATCH($N1762,$N$2:$N$3001,0)=ROWS($N$2:$N1762),$N1762,""))</f>
        <v/>
      </c>
    </row>
    <row r="1763" customFormat="false" ht="15" hidden="false" customHeight="false" outlineLevel="0" collapsed="false">
      <c r="E1763" s="25"/>
      <c r="M1763" s="26" t="str">
        <f aca="false">IF($A1763="","",$L1763*$U1763/100)</f>
        <v/>
      </c>
      <c r="W1763" s="26" t="str">
        <f aca="false">IF($A1763="","",U1763*AB1763/100)</f>
        <v/>
      </c>
      <c r="X1763" s="26" t="str">
        <f aca="false">IF($A1763="","",U1763-W1763)</f>
        <v/>
      </c>
      <c r="Y1763" s="26" t="str">
        <f aca="false">IF($A1763="","",U1763-W1763-M1763)</f>
        <v/>
      </c>
      <c r="AB1763" s="27" t="str">
        <f aca="false">IF($A1763="","",IF($AK1763=1,'كشف المطالبة'!$D$5,'كشف المطالبة'!$D$6)*100)</f>
        <v/>
      </c>
      <c r="AK1763" s="28" t="str">
        <f aca="false">IF($A1763="","",IF(OR($Q1763=TRUE(),$Q1763="TRUE"),1,0))</f>
        <v/>
      </c>
      <c r="AL1763" s="28" t="str">
        <f aca="false">IF($N1763="","",IF(MATCH($N1763,$N$2:$N$3001,0)=ROWS($N$2:$N1763),$N1763,""))</f>
        <v/>
      </c>
    </row>
    <row r="1764" customFormat="false" ht="15" hidden="false" customHeight="false" outlineLevel="0" collapsed="false">
      <c r="E1764" s="25"/>
      <c r="M1764" s="26" t="str">
        <f aca="false">IF($A1764="","",$L1764*$U1764/100)</f>
        <v/>
      </c>
      <c r="W1764" s="26" t="str">
        <f aca="false">IF($A1764="","",U1764*AB1764/100)</f>
        <v/>
      </c>
      <c r="X1764" s="26" t="str">
        <f aca="false">IF($A1764="","",U1764-W1764)</f>
        <v/>
      </c>
      <c r="Y1764" s="26" t="str">
        <f aca="false">IF($A1764="","",U1764-W1764-M1764)</f>
        <v/>
      </c>
      <c r="AB1764" s="27" t="str">
        <f aca="false">IF($A1764="","",IF($AK1764=1,'كشف المطالبة'!$D$5,'كشف المطالبة'!$D$6)*100)</f>
        <v/>
      </c>
      <c r="AK1764" s="28" t="str">
        <f aca="false">IF($A1764="","",IF(OR($Q1764=TRUE(),$Q1764="TRUE"),1,0))</f>
        <v/>
      </c>
      <c r="AL1764" s="28" t="str">
        <f aca="false">IF($N1764="","",IF(MATCH($N1764,$N$2:$N$3001,0)=ROWS($N$2:$N1764),$N1764,""))</f>
        <v/>
      </c>
    </row>
    <row r="1765" customFormat="false" ht="15" hidden="false" customHeight="false" outlineLevel="0" collapsed="false">
      <c r="E1765" s="25"/>
      <c r="M1765" s="26" t="str">
        <f aca="false">IF($A1765="","",$L1765*$U1765/100)</f>
        <v/>
      </c>
      <c r="W1765" s="26" t="str">
        <f aca="false">IF($A1765="","",U1765*AB1765/100)</f>
        <v/>
      </c>
      <c r="X1765" s="26" t="str">
        <f aca="false">IF($A1765="","",U1765-W1765)</f>
        <v/>
      </c>
      <c r="Y1765" s="26" t="str">
        <f aca="false">IF($A1765="","",U1765-W1765-M1765)</f>
        <v/>
      </c>
      <c r="AB1765" s="27" t="str">
        <f aca="false">IF($A1765="","",IF($AK1765=1,'كشف المطالبة'!$D$5,'كشف المطالبة'!$D$6)*100)</f>
        <v/>
      </c>
      <c r="AK1765" s="28" t="str">
        <f aca="false">IF($A1765="","",IF(OR($Q1765=TRUE(),$Q1765="TRUE"),1,0))</f>
        <v/>
      </c>
      <c r="AL1765" s="28" t="str">
        <f aca="false">IF($N1765="","",IF(MATCH($N1765,$N$2:$N$3001,0)=ROWS($N$2:$N1765),$N1765,""))</f>
        <v/>
      </c>
    </row>
    <row r="1766" customFormat="false" ht="15" hidden="false" customHeight="false" outlineLevel="0" collapsed="false">
      <c r="E1766" s="25"/>
      <c r="M1766" s="26" t="str">
        <f aca="false">IF($A1766="","",$L1766*$U1766/100)</f>
        <v/>
      </c>
      <c r="W1766" s="26" t="str">
        <f aca="false">IF($A1766="","",U1766*AB1766/100)</f>
        <v/>
      </c>
      <c r="X1766" s="26" t="str">
        <f aca="false">IF($A1766="","",U1766-W1766)</f>
        <v/>
      </c>
      <c r="Y1766" s="26" t="str">
        <f aca="false">IF($A1766="","",U1766-W1766-M1766)</f>
        <v/>
      </c>
      <c r="AB1766" s="27" t="str">
        <f aca="false">IF($A1766="","",IF($AK1766=1,'كشف المطالبة'!$D$5,'كشف المطالبة'!$D$6)*100)</f>
        <v/>
      </c>
      <c r="AK1766" s="28" t="str">
        <f aca="false">IF($A1766="","",IF(OR($Q1766=TRUE(),$Q1766="TRUE"),1,0))</f>
        <v/>
      </c>
      <c r="AL1766" s="28" t="str">
        <f aca="false">IF($N1766="","",IF(MATCH($N1766,$N$2:$N$3001,0)=ROWS($N$2:$N1766),$N1766,""))</f>
        <v/>
      </c>
    </row>
    <row r="1767" customFormat="false" ht="15" hidden="false" customHeight="false" outlineLevel="0" collapsed="false">
      <c r="E1767" s="25"/>
      <c r="M1767" s="26" t="str">
        <f aca="false">IF($A1767="","",$L1767*$U1767/100)</f>
        <v/>
      </c>
      <c r="W1767" s="26" t="str">
        <f aca="false">IF($A1767="","",U1767*AB1767/100)</f>
        <v/>
      </c>
      <c r="X1767" s="26" t="str">
        <f aca="false">IF($A1767="","",U1767-W1767)</f>
        <v/>
      </c>
      <c r="Y1767" s="26" t="str">
        <f aca="false">IF($A1767="","",U1767-W1767-M1767)</f>
        <v/>
      </c>
      <c r="AB1767" s="27" t="str">
        <f aca="false">IF($A1767="","",IF($AK1767=1,'كشف المطالبة'!$D$5,'كشف المطالبة'!$D$6)*100)</f>
        <v/>
      </c>
      <c r="AK1767" s="28" t="str">
        <f aca="false">IF($A1767="","",IF(OR($Q1767=TRUE(),$Q1767="TRUE"),1,0))</f>
        <v/>
      </c>
      <c r="AL1767" s="28" t="str">
        <f aca="false">IF($N1767="","",IF(MATCH($N1767,$N$2:$N$3001,0)=ROWS($N$2:$N1767),$N1767,""))</f>
        <v/>
      </c>
    </row>
    <row r="1768" customFormat="false" ht="15" hidden="false" customHeight="false" outlineLevel="0" collapsed="false">
      <c r="E1768" s="25"/>
      <c r="M1768" s="26" t="str">
        <f aca="false">IF($A1768="","",$L1768*$U1768/100)</f>
        <v/>
      </c>
      <c r="W1768" s="26" t="str">
        <f aca="false">IF($A1768="","",U1768*AB1768/100)</f>
        <v/>
      </c>
      <c r="X1768" s="26" t="str">
        <f aca="false">IF($A1768="","",U1768-W1768)</f>
        <v/>
      </c>
      <c r="Y1768" s="26" t="str">
        <f aca="false">IF($A1768="","",U1768-W1768-M1768)</f>
        <v/>
      </c>
      <c r="AB1768" s="27" t="str">
        <f aca="false">IF($A1768="","",IF($AK1768=1,'كشف المطالبة'!$D$5,'كشف المطالبة'!$D$6)*100)</f>
        <v/>
      </c>
      <c r="AK1768" s="28" t="str">
        <f aca="false">IF($A1768="","",IF(OR($Q1768=TRUE(),$Q1768="TRUE"),1,0))</f>
        <v/>
      </c>
      <c r="AL1768" s="28" t="str">
        <f aca="false">IF($N1768="","",IF(MATCH($N1768,$N$2:$N$3001,0)=ROWS($N$2:$N1768),$N1768,""))</f>
        <v/>
      </c>
    </row>
    <row r="1769" customFormat="false" ht="15" hidden="false" customHeight="false" outlineLevel="0" collapsed="false">
      <c r="E1769" s="25"/>
      <c r="M1769" s="26" t="str">
        <f aca="false">IF($A1769="","",$L1769*$U1769/100)</f>
        <v/>
      </c>
      <c r="W1769" s="26" t="str">
        <f aca="false">IF($A1769="","",U1769*AB1769/100)</f>
        <v/>
      </c>
      <c r="X1769" s="26" t="str">
        <f aca="false">IF($A1769="","",U1769-W1769)</f>
        <v/>
      </c>
      <c r="Y1769" s="26" t="str">
        <f aca="false">IF($A1769="","",U1769-W1769-M1769)</f>
        <v/>
      </c>
      <c r="AB1769" s="27" t="str">
        <f aca="false">IF($A1769="","",IF($AK1769=1,'كشف المطالبة'!$D$5,'كشف المطالبة'!$D$6)*100)</f>
        <v/>
      </c>
      <c r="AK1769" s="28" t="str">
        <f aca="false">IF($A1769="","",IF(OR($Q1769=TRUE(),$Q1769="TRUE"),1,0))</f>
        <v/>
      </c>
      <c r="AL1769" s="28" t="str">
        <f aca="false">IF($N1769="","",IF(MATCH($N1769,$N$2:$N$3001,0)=ROWS($N$2:$N1769),$N1769,""))</f>
        <v/>
      </c>
    </row>
    <row r="1770" customFormat="false" ht="15" hidden="false" customHeight="false" outlineLevel="0" collapsed="false">
      <c r="E1770" s="25"/>
      <c r="M1770" s="26" t="str">
        <f aca="false">IF($A1770="","",$L1770*$U1770/100)</f>
        <v/>
      </c>
      <c r="W1770" s="26" t="str">
        <f aca="false">IF($A1770="","",U1770*AB1770/100)</f>
        <v/>
      </c>
      <c r="X1770" s="26" t="str">
        <f aca="false">IF($A1770="","",U1770-W1770)</f>
        <v/>
      </c>
      <c r="Y1770" s="26" t="str">
        <f aca="false">IF($A1770="","",U1770-W1770-M1770)</f>
        <v/>
      </c>
      <c r="AB1770" s="27" t="str">
        <f aca="false">IF($A1770="","",IF($AK1770=1,'كشف المطالبة'!$D$5,'كشف المطالبة'!$D$6)*100)</f>
        <v/>
      </c>
      <c r="AK1770" s="28" t="str">
        <f aca="false">IF($A1770="","",IF(OR($Q1770=TRUE(),$Q1770="TRUE"),1,0))</f>
        <v/>
      </c>
      <c r="AL1770" s="28" t="str">
        <f aca="false">IF($N1770="","",IF(MATCH($N1770,$N$2:$N$3001,0)=ROWS($N$2:$N1770),$N1770,""))</f>
        <v/>
      </c>
    </row>
    <row r="1771" customFormat="false" ht="15" hidden="false" customHeight="false" outlineLevel="0" collapsed="false">
      <c r="E1771" s="25"/>
      <c r="M1771" s="26" t="str">
        <f aca="false">IF($A1771="","",$L1771*$U1771/100)</f>
        <v/>
      </c>
      <c r="W1771" s="26" t="str">
        <f aca="false">IF($A1771="","",U1771*AB1771/100)</f>
        <v/>
      </c>
      <c r="X1771" s="26" t="str">
        <f aca="false">IF($A1771="","",U1771-W1771)</f>
        <v/>
      </c>
      <c r="Y1771" s="26" t="str">
        <f aca="false">IF($A1771="","",U1771-W1771-M1771)</f>
        <v/>
      </c>
      <c r="AB1771" s="27" t="str">
        <f aca="false">IF($A1771="","",IF($AK1771=1,'كشف المطالبة'!$D$5,'كشف المطالبة'!$D$6)*100)</f>
        <v/>
      </c>
      <c r="AK1771" s="28" t="str">
        <f aca="false">IF($A1771="","",IF(OR($Q1771=TRUE(),$Q1771="TRUE"),1,0))</f>
        <v/>
      </c>
      <c r="AL1771" s="28" t="str">
        <f aca="false">IF($N1771="","",IF(MATCH($N1771,$N$2:$N$3001,0)=ROWS($N$2:$N1771),$N1771,""))</f>
        <v/>
      </c>
    </row>
    <row r="1772" customFormat="false" ht="15" hidden="false" customHeight="false" outlineLevel="0" collapsed="false">
      <c r="E1772" s="25"/>
      <c r="M1772" s="26" t="str">
        <f aca="false">IF($A1772="","",$L1772*$U1772/100)</f>
        <v/>
      </c>
      <c r="W1772" s="26" t="str">
        <f aca="false">IF($A1772="","",U1772*AB1772/100)</f>
        <v/>
      </c>
      <c r="X1772" s="26" t="str">
        <f aca="false">IF($A1772="","",U1772-W1772)</f>
        <v/>
      </c>
      <c r="Y1772" s="26" t="str">
        <f aca="false">IF($A1772="","",U1772-W1772-M1772)</f>
        <v/>
      </c>
      <c r="AB1772" s="27" t="str">
        <f aca="false">IF($A1772="","",IF($AK1772=1,'كشف المطالبة'!$D$5,'كشف المطالبة'!$D$6)*100)</f>
        <v/>
      </c>
      <c r="AK1772" s="28" t="str">
        <f aca="false">IF($A1772="","",IF(OR($Q1772=TRUE(),$Q1772="TRUE"),1,0))</f>
        <v/>
      </c>
      <c r="AL1772" s="28" t="str">
        <f aca="false">IF($N1772="","",IF(MATCH($N1772,$N$2:$N$3001,0)=ROWS($N$2:$N1772),$N1772,""))</f>
        <v/>
      </c>
    </row>
    <row r="1773" customFormat="false" ht="15" hidden="false" customHeight="false" outlineLevel="0" collapsed="false">
      <c r="E1773" s="25"/>
      <c r="M1773" s="26" t="str">
        <f aca="false">IF($A1773="","",$L1773*$U1773/100)</f>
        <v/>
      </c>
      <c r="W1773" s="26" t="str">
        <f aca="false">IF($A1773="","",U1773*AB1773/100)</f>
        <v/>
      </c>
      <c r="X1773" s="26" t="str">
        <f aca="false">IF($A1773="","",U1773-W1773)</f>
        <v/>
      </c>
      <c r="Y1773" s="26" t="str">
        <f aca="false">IF($A1773="","",U1773-W1773-M1773)</f>
        <v/>
      </c>
      <c r="AB1773" s="27" t="str">
        <f aca="false">IF($A1773="","",IF($AK1773=1,'كشف المطالبة'!$D$5,'كشف المطالبة'!$D$6)*100)</f>
        <v/>
      </c>
      <c r="AK1773" s="28" t="str">
        <f aca="false">IF($A1773="","",IF(OR($Q1773=TRUE(),$Q1773="TRUE"),1,0))</f>
        <v/>
      </c>
      <c r="AL1773" s="28" t="str">
        <f aca="false">IF($N1773="","",IF(MATCH($N1773,$N$2:$N$3001,0)=ROWS($N$2:$N1773),$N1773,""))</f>
        <v/>
      </c>
    </row>
    <row r="1774" customFormat="false" ht="15" hidden="false" customHeight="false" outlineLevel="0" collapsed="false">
      <c r="E1774" s="25"/>
      <c r="M1774" s="26" t="str">
        <f aca="false">IF($A1774="","",$L1774*$U1774/100)</f>
        <v/>
      </c>
      <c r="W1774" s="26" t="str">
        <f aca="false">IF($A1774="","",U1774*AB1774/100)</f>
        <v/>
      </c>
      <c r="X1774" s="26" t="str">
        <f aca="false">IF($A1774="","",U1774-W1774)</f>
        <v/>
      </c>
      <c r="Y1774" s="26" t="str">
        <f aca="false">IF($A1774="","",U1774-W1774-M1774)</f>
        <v/>
      </c>
      <c r="AB1774" s="27" t="str">
        <f aca="false">IF($A1774="","",IF($AK1774=1,'كشف المطالبة'!$D$5,'كشف المطالبة'!$D$6)*100)</f>
        <v/>
      </c>
      <c r="AK1774" s="28" t="str">
        <f aca="false">IF($A1774="","",IF(OR($Q1774=TRUE(),$Q1774="TRUE"),1,0))</f>
        <v/>
      </c>
      <c r="AL1774" s="28" t="str">
        <f aca="false">IF($N1774="","",IF(MATCH($N1774,$N$2:$N$3001,0)=ROWS($N$2:$N1774),$N1774,""))</f>
        <v/>
      </c>
    </row>
    <row r="1775" customFormat="false" ht="15" hidden="false" customHeight="false" outlineLevel="0" collapsed="false">
      <c r="E1775" s="25"/>
      <c r="M1775" s="26" t="str">
        <f aca="false">IF($A1775="","",$L1775*$U1775/100)</f>
        <v/>
      </c>
      <c r="W1775" s="26" t="str">
        <f aca="false">IF($A1775="","",U1775*AB1775/100)</f>
        <v/>
      </c>
      <c r="X1775" s="26" t="str">
        <f aca="false">IF($A1775="","",U1775-W1775)</f>
        <v/>
      </c>
      <c r="Y1775" s="26" t="str">
        <f aca="false">IF($A1775="","",U1775-W1775-M1775)</f>
        <v/>
      </c>
      <c r="AB1775" s="27" t="str">
        <f aca="false">IF($A1775="","",IF($AK1775=1,'كشف المطالبة'!$D$5,'كشف المطالبة'!$D$6)*100)</f>
        <v/>
      </c>
      <c r="AK1775" s="28" t="str">
        <f aca="false">IF($A1775="","",IF(OR($Q1775=TRUE(),$Q1775="TRUE"),1,0))</f>
        <v/>
      </c>
      <c r="AL1775" s="28" t="str">
        <f aca="false">IF($N1775="","",IF(MATCH($N1775,$N$2:$N$3001,0)=ROWS($N$2:$N1775),$N1775,""))</f>
        <v/>
      </c>
    </row>
    <row r="1776" customFormat="false" ht="15" hidden="false" customHeight="false" outlineLevel="0" collapsed="false">
      <c r="E1776" s="25"/>
      <c r="M1776" s="26" t="str">
        <f aca="false">IF($A1776="","",$L1776*$U1776/100)</f>
        <v/>
      </c>
      <c r="W1776" s="26" t="str">
        <f aca="false">IF($A1776="","",U1776*AB1776/100)</f>
        <v/>
      </c>
      <c r="X1776" s="26" t="str">
        <f aca="false">IF($A1776="","",U1776-W1776)</f>
        <v/>
      </c>
      <c r="Y1776" s="26" t="str">
        <f aca="false">IF($A1776="","",U1776-W1776-M1776)</f>
        <v/>
      </c>
      <c r="AB1776" s="27" t="str">
        <f aca="false">IF($A1776="","",IF($AK1776=1,'كشف المطالبة'!$D$5,'كشف المطالبة'!$D$6)*100)</f>
        <v/>
      </c>
      <c r="AK1776" s="28" t="str">
        <f aca="false">IF($A1776="","",IF(OR($Q1776=TRUE(),$Q1776="TRUE"),1,0))</f>
        <v/>
      </c>
      <c r="AL1776" s="28" t="str">
        <f aca="false">IF($N1776="","",IF(MATCH($N1776,$N$2:$N$3001,0)=ROWS($N$2:$N1776),$N1776,""))</f>
        <v/>
      </c>
    </row>
    <row r="1777" customFormat="false" ht="15" hidden="false" customHeight="false" outlineLevel="0" collapsed="false">
      <c r="E1777" s="25"/>
      <c r="M1777" s="26" t="str">
        <f aca="false">IF($A1777="","",$L1777*$U1777/100)</f>
        <v/>
      </c>
      <c r="W1777" s="26" t="str">
        <f aca="false">IF($A1777="","",U1777*AB1777/100)</f>
        <v/>
      </c>
      <c r="X1777" s="26" t="str">
        <f aca="false">IF($A1777="","",U1777-W1777)</f>
        <v/>
      </c>
      <c r="Y1777" s="26" t="str">
        <f aca="false">IF($A1777="","",U1777-W1777-M1777)</f>
        <v/>
      </c>
      <c r="AB1777" s="27" t="str">
        <f aca="false">IF($A1777="","",IF($AK1777=1,'كشف المطالبة'!$D$5,'كشف المطالبة'!$D$6)*100)</f>
        <v/>
      </c>
      <c r="AK1777" s="28" t="str">
        <f aca="false">IF($A1777="","",IF(OR($Q1777=TRUE(),$Q1777="TRUE"),1,0))</f>
        <v/>
      </c>
      <c r="AL1777" s="28" t="str">
        <f aca="false">IF($N1777="","",IF(MATCH($N1777,$N$2:$N$3001,0)=ROWS($N$2:$N1777),$N1777,""))</f>
        <v/>
      </c>
    </row>
    <row r="1778" customFormat="false" ht="15" hidden="false" customHeight="false" outlineLevel="0" collapsed="false">
      <c r="E1778" s="25"/>
      <c r="M1778" s="26" t="str">
        <f aca="false">IF($A1778="","",$L1778*$U1778/100)</f>
        <v/>
      </c>
      <c r="W1778" s="26" t="str">
        <f aca="false">IF($A1778="","",U1778*AB1778/100)</f>
        <v/>
      </c>
      <c r="X1778" s="26" t="str">
        <f aca="false">IF($A1778="","",U1778-W1778)</f>
        <v/>
      </c>
      <c r="Y1778" s="26" t="str">
        <f aca="false">IF($A1778="","",U1778-W1778-M1778)</f>
        <v/>
      </c>
      <c r="AB1778" s="27" t="str">
        <f aca="false">IF($A1778="","",IF($AK1778=1,'كشف المطالبة'!$D$5,'كشف المطالبة'!$D$6)*100)</f>
        <v/>
      </c>
      <c r="AK1778" s="28" t="str">
        <f aca="false">IF($A1778="","",IF(OR($Q1778=TRUE(),$Q1778="TRUE"),1,0))</f>
        <v/>
      </c>
      <c r="AL1778" s="28" t="str">
        <f aca="false">IF($N1778="","",IF(MATCH($N1778,$N$2:$N$3001,0)=ROWS($N$2:$N1778),$N1778,""))</f>
        <v/>
      </c>
    </row>
    <row r="1779" customFormat="false" ht="15" hidden="false" customHeight="false" outlineLevel="0" collapsed="false">
      <c r="E1779" s="25"/>
      <c r="M1779" s="26" t="str">
        <f aca="false">IF($A1779="","",$L1779*$U1779/100)</f>
        <v/>
      </c>
      <c r="W1779" s="26" t="str">
        <f aca="false">IF($A1779="","",U1779*AB1779/100)</f>
        <v/>
      </c>
      <c r="X1779" s="26" t="str">
        <f aca="false">IF($A1779="","",U1779-W1779)</f>
        <v/>
      </c>
      <c r="Y1779" s="26" t="str">
        <f aca="false">IF($A1779="","",U1779-W1779-M1779)</f>
        <v/>
      </c>
      <c r="AB1779" s="27" t="str">
        <f aca="false">IF($A1779="","",IF($AK1779=1,'كشف المطالبة'!$D$5,'كشف المطالبة'!$D$6)*100)</f>
        <v/>
      </c>
      <c r="AK1779" s="28" t="str">
        <f aca="false">IF($A1779="","",IF(OR($Q1779=TRUE(),$Q1779="TRUE"),1,0))</f>
        <v/>
      </c>
      <c r="AL1779" s="28" t="str">
        <f aca="false">IF($N1779="","",IF(MATCH($N1779,$N$2:$N$3001,0)=ROWS($N$2:$N1779),$N1779,""))</f>
        <v/>
      </c>
    </row>
    <row r="1780" customFormat="false" ht="15" hidden="false" customHeight="false" outlineLevel="0" collapsed="false">
      <c r="E1780" s="25"/>
      <c r="M1780" s="26" t="str">
        <f aca="false">IF($A1780="","",$L1780*$U1780/100)</f>
        <v/>
      </c>
      <c r="W1780" s="26" t="str">
        <f aca="false">IF($A1780="","",U1780*AB1780/100)</f>
        <v/>
      </c>
      <c r="X1780" s="26" t="str">
        <f aca="false">IF($A1780="","",U1780-W1780)</f>
        <v/>
      </c>
      <c r="Y1780" s="26" t="str">
        <f aca="false">IF($A1780="","",U1780-W1780-M1780)</f>
        <v/>
      </c>
      <c r="AB1780" s="27" t="str">
        <f aca="false">IF($A1780="","",IF($AK1780=1,'كشف المطالبة'!$D$5,'كشف المطالبة'!$D$6)*100)</f>
        <v/>
      </c>
      <c r="AK1780" s="28" t="str">
        <f aca="false">IF($A1780="","",IF(OR($Q1780=TRUE(),$Q1780="TRUE"),1,0))</f>
        <v/>
      </c>
      <c r="AL1780" s="28" t="str">
        <f aca="false">IF($N1780="","",IF(MATCH($N1780,$N$2:$N$3001,0)=ROWS($N$2:$N1780),$N1780,""))</f>
        <v/>
      </c>
    </row>
    <row r="1781" customFormat="false" ht="15" hidden="false" customHeight="false" outlineLevel="0" collapsed="false">
      <c r="E1781" s="25"/>
      <c r="M1781" s="26" t="str">
        <f aca="false">IF($A1781="","",$L1781*$U1781/100)</f>
        <v/>
      </c>
      <c r="W1781" s="26" t="str">
        <f aca="false">IF($A1781="","",U1781*AB1781/100)</f>
        <v/>
      </c>
      <c r="X1781" s="26" t="str">
        <f aca="false">IF($A1781="","",U1781-W1781)</f>
        <v/>
      </c>
      <c r="Y1781" s="26" t="str">
        <f aca="false">IF($A1781="","",U1781-W1781-M1781)</f>
        <v/>
      </c>
      <c r="AB1781" s="27" t="str">
        <f aca="false">IF($A1781="","",IF($AK1781=1,'كشف المطالبة'!$D$5,'كشف المطالبة'!$D$6)*100)</f>
        <v/>
      </c>
      <c r="AK1781" s="28" t="str">
        <f aca="false">IF($A1781="","",IF(OR($Q1781=TRUE(),$Q1781="TRUE"),1,0))</f>
        <v/>
      </c>
      <c r="AL1781" s="28" t="str">
        <f aca="false">IF($N1781="","",IF(MATCH($N1781,$N$2:$N$3001,0)=ROWS($N$2:$N1781),$N1781,""))</f>
        <v/>
      </c>
    </row>
    <row r="1782" customFormat="false" ht="15" hidden="false" customHeight="false" outlineLevel="0" collapsed="false">
      <c r="E1782" s="25"/>
      <c r="M1782" s="26" t="str">
        <f aca="false">IF($A1782="","",$L1782*$U1782/100)</f>
        <v/>
      </c>
      <c r="W1782" s="26" t="str">
        <f aca="false">IF($A1782="","",U1782*AB1782/100)</f>
        <v/>
      </c>
      <c r="X1782" s="26" t="str">
        <f aca="false">IF($A1782="","",U1782-W1782)</f>
        <v/>
      </c>
      <c r="Y1782" s="26" t="str">
        <f aca="false">IF($A1782="","",U1782-W1782-M1782)</f>
        <v/>
      </c>
      <c r="AB1782" s="27" t="str">
        <f aca="false">IF($A1782="","",IF($AK1782=1,'كشف المطالبة'!$D$5,'كشف المطالبة'!$D$6)*100)</f>
        <v/>
      </c>
      <c r="AK1782" s="28" t="str">
        <f aca="false">IF($A1782="","",IF(OR($Q1782=TRUE(),$Q1782="TRUE"),1,0))</f>
        <v/>
      </c>
      <c r="AL1782" s="28" t="str">
        <f aca="false">IF($N1782="","",IF(MATCH($N1782,$N$2:$N$3001,0)=ROWS($N$2:$N1782),$N1782,""))</f>
        <v/>
      </c>
    </row>
    <row r="1783" customFormat="false" ht="15" hidden="false" customHeight="false" outlineLevel="0" collapsed="false">
      <c r="E1783" s="25"/>
      <c r="M1783" s="26" t="str">
        <f aca="false">IF($A1783="","",$L1783*$U1783/100)</f>
        <v/>
      </c>
      <c r="W1783" s="26" t="str">
        <f aca="false">IF($A1783="","",U1783*AB1783/100)</f>
        <v/>
      </c>
      <c r="X1783" s="26" t="str">
        <f aca="false">IF($A1783="","",U1783-W1783)</f>
        <v/>
      </c>
      <c r="Y1783" s="26" t="str">
        <f aca="false">IF($A1783="","",U1783-W1783-M1783)</f>
        <v/>
      </c>
      <c r="AB1783" s="27" t="str">
        <f aca="false">IF($A1783="","",IF($AK1783=1,'كشف المطالبة'!$D$5,'كشف المطالبة'!$D$6)*100)</f>
        <v/>
      </c>
      <c r="AK1783" s="28" t="str">
        <f aca="false">IF($A1783="","",IF(OR($Q1783=TRUE(),$Q1783="TRUE"),1,0))</f>
        <v/>
      </c>
      <c r="AL1783" s="28" t="str">
        <f aca="false">IF($N1783="","",IF(MATCH($N1783,$N$2:$N$3001,0)=ROWS($N$2:$N1783),$N1783,""))</f>
        <v/>
      </c>
    </row>
    <row r="1784" customFormat="false" ht="15" hidden="false" customHeight="false" outlineLevel="0" collapsed="false">
      <c r="E1784" s="25"/>
      <c r="M1784" s="26" t="str">
        <f aca="false">IF($A1784="","",$L1784*$U1784/100)</f>
        <v/>
      </c>
      <c r="W1784" s="26" t="str">
        <f aca="false">IF($A1784="","",U1784*AB1784/100)</f>
        <v/>
      </c>
      <c r="X1784" s="26" t="str">
        <f aca="false">IF($A1784="","",U1784-W1784)</f>
        <v/>
      </c>
      <c r="Y1784" s="26" t="str">
        <f aca="false">IF($A1784="","",U1784-W1784-M1784)</f>
        <v/>
      </c>
      <c r="AB1784" s="27" t="str">
        <f aca="false">IF($A1784="","",IF($AK1784=1,'كشف المطالبة'!$D$5,'كشف المطالبة'!$D$6)*100)</f>
        <v/>
      </c>
      <c r="AK1784" s="28" t="str">
        <f aca="false">IF($A1784="","",IF(OR($Q1784=TRUE(),$Q1784="TRUE"),1,0))</f>
        <v/>
      </c>
      <c r="AL1784" s="28" t="str">
        <f aca="false">IF($N1784="","",IF(MATCH($N1784,$N$2:$N$3001,0)=ROWS($N$2:$N1784),$N1784,""))</f>
        <v/>
      </c>
    </row>
    <row r="1785" customFormat="false" ht="15" hidden="false" customHeight="false" outlineLevel="0" collapsed="false">
      <c r="E1785" s="25"/>
      <c r="M1785" s="26" t="str">
        <f aca="false">IF($A1785="","",$L1785*$U1785/100)</f>
        <v/>
      </c>
      <c r="W1785" s="26" t="str">
        <f aca="false">IF($A1785="","",U1785*AB1785/100)</f>
        <v/>
      </c>
      <c r="X1785" s="26" t="str">
        <f aca="false">IF($A1785="","",U1785-W1785)</f>
        <v/>
      </c>
      <c r="Y1785" s="26" t="str">
        <f aca="false">IF($A1785="","",U1785-W1785-M1785)</f>
        <v/>
      </c>
      <c r="AB1785" s="27" t="str">
        <f aca="false">IF($A1785="","",IF($AK1785=1,'كشف المطالبة'!$D$5,'كشف المطالبة'!$D$6)*100)</f>
        <v/>
      </c>
      <c r="AK1785" s="28" t="str">
        <f aca="false">IF($A1785="","",IF(OR($Q1785=TRUE(),$Q1785="TRUE"),1,0))</f>
        <v/>
      </c>
      <c r="AL1785" s="28" t="str">
        <f aca="false">IF($N1785="","",IF(MATCH($N1785,$N$2:$N$3001,0)=ROWS($N$2:$N1785),$N1785,""))</f>
        <v/>
      </c>
    </row>
    <row r="1786" customFormat="false" ht="15" hidden="false" customHeight="false" outlineLevel="0" collapsed="false">
      <c r="E1786" s="25"/>
      <c r="M1786" s="26" t="str">
        <f aca="false">IF($A1786="","",$L1786*$U1786/100)</f>
        <v/>
      </c>
      <c r="W1786" s="26" t="str">
        <f aca="false">IF($A1786="","",U1786*AB1786/100)</f>
        <v/>
      </c>
      <c r="X1786" s="26" t="str">
        <f aca="false">IF($A1786="","",U1786-W1786)</f>
        <v/>
      </c>
      <c r="Y1786" s="26" t="str">
        <f aca="false">IF($A1786="","",U1786-W1786-M1786)</f>
        <v/>
      </c>
      <c r="AB1786" s="27" t="str">
        <f aca="false">IF($A1786="","",IF($AK1786=1,'كشف المطالبة'!$D$5,'كشف المطالبة'!$D$6)*100)</f>
        <v/>
      </c>
      <c r="AK1786" s="28" t="str">
        <f aca="false">IF($A1786="","",IF(OR($Q1786=TRUE(),$Q1786="TRUE"),1,0))</f>
        <v/>
      </c>
      <c r="AL1786" s="28" t="str">
        <f aca="false">IF($N1786="","",IF(MATCH($N1786,$N$2:$N$3001,0)=ROWS($N$2:$N1786),$N1786,""))</f>
        <v/>
      </c>
    </row>
    <row r="1787" customFormat="false" ht="15" hidden="false" customHeight="false" outlineLevel="0" collapsed="false">
      <c r="E1787" s="25"/>
      <c r="M1787" s="26" t="str">
        <f aca="false">IF($A1787="","",$L1787*$U1787/100)</f>
        <v/>
      </c>
      <c r="W1787" s="26" t="str">
        <f aca="false">IF($A1787="","",U1787*AB1787/100)</f>
        <v/>
      </c>
      <c r="X1787" s="26" t="str">
        <f aca="false">IF($A1787="","",U1787-W1787)</f>
        <v/>
      </c>
      <c r="Y1787" s="26" t="str">
        <f aca="false">IF($A1787="","",U1787-W1787-M1787)</f>
        <v/>
      </c>
      <c r="AB1787" s="27" t="str">
        <f aca="false">IF($A1787="","",IF($AK1787=1,'كشف المطالبة'!$D$5,'كشف المطالبة'!$D$6)*100)</f>
        <v/>
      </c>
      <c r="AK1787" s="28" t="str">
        <f aca="false">IF($A1787="","",IF(OR($Q1787=TRUE(),$Q1787="TRUE"),1,0))</f>
        <v/>
      </c>
      <c r="AL1787" s="28" t="str">
        <f aca="false">IF($N1787="","",IF(MATCH($N1787,$N$2:$N$3001,0)=ROWS($N$2:$N1787),$N1787,""))</f>
        <v/>
      </c>
    </row>
    <row r="1788" customFormat="false" ht="15" hidden="false" customHeight="false" outlineLevel="0" collapsed="false">
      <c r="E1788" s="25"/>
      <c r="M1788" s="26" t="str">
        <f aca="false">IF($A1788="","",$L1788*$U1788/100)</f>
        <v/>
      </c>
      <c r="W1788" s="26" t="str">
        <f aca="false">IF($A1788="","",U1788*AB1788/100)</f>
        <v/>
      </c>
      <c r="X1788" s="26" t="str">
        <f aca="false">IF($A1788="","",U1788-W1788)</f>
        <v/>
      </c>
      <c r="Y1788" s="26" t="str">
        <f aca="false">IF($A1788="","",U1788-W1788-M1788)</f>
        <v/>
      </c>
      <c r="AB1788" s="27" t="str">
        <f aca="false">IF($A1788="","",IF($AK1788=1,'كشف المطالبة'!$D$5,'كشف المطالبة'!$D$6)*100)</f>
        <v/>
      </c>
      <c r="AK1788" s="28" t="str">
        <f aca="false">IF($A1788="","",IF(OR($Q1788=TRUE(),$Q1788="TRUE"),1,0))</f>
        <v/>
      </c>
      <c r="AL1788" s="28" t="str">
        <f aca="false">IF($N1788="","",IF(MATCH($N1788,$N$2:$N$3001,0)=ROWS($N$2:$N1788),$N1788,""))</f>
        <v/>
      </c>
    </row>
    <row r="1789" customFormat="false" ht="15" hidden="false" customHeight="false" outlineLevel="0" collapsed="false">
      <c r="E1789" s="25"/>
      <c r="M1789" s="26" t="str">
        <f aca="false">IF($A1789="","",$L1789*$U1789/100)</f>
        <v/>
      </c>
      <c r="W1789" s="26" t="str">
        <f aca="false">IF($A1789="","",U1789*AB1789/100)</f>
        <v/>
      </c>
      <c r="X1789" s="26" t="str">
        <f aca="false">IF($A1789="","",U1789-W1789)</f>
        <v/>
      </c>
      <c r="Y1789" s="26" t="str">
        <f aca="false">IF($A1789="","",U1789-W1789-M1789)</f>
        <v/>
      </c>
      <c r="AB1789" s="27" t="str">
        <f aca="false">IF($A1789="","",IF($AK1789=1,'كشف المطالبة'!$D$5,'كشف المطالبة'!$D$6)*100)</f>
        <v/>
      </c>
      <c r="AK1789" s="28" t="str">
        <f aca="false">IF($A1789="","",IF(OR($Q1789=TRUE(),$Q1789="TRUE"),1,0))</f>
        <v/>
      </c>
      <c r="AL1789" s="28" t="str">
        <f aca="false">IF($N1789="","",IF(MATCH($N1789,$N$2:$N$3001,0)=ROWS($N$2:$N1789),$N1789,""))</f>
        <v/>
      </c>
    </row>
    <row r="1790" customFormat="false" ht="15" hidden="false" customHeight="false" outlineLevel="0" collapsed="false">
      <c r="E1790" s="25"/>
      <c r="M1790" s="26" t="str">
        <f aca="false">IF($A1790="","",$L1790*$U1790/100)</f>
        <v/>
      </c>
      <c r="W1790" s="26" t="str">
        <f aca="false">IF($A1790="","",U1790*AB1790/100)</f>
        <v/>
      </c>
      <c r="X1790" s="26" t="str">
        <f aca="false">IF($A1790="","",U1790-W1790)</f>
        <v/>
      </c>
      <c r="Y1790" s="26" t="str">
        <f aca="false">IF($A1790="","",U1790-W1790-M1790)</f>
        <v/>
      </c>
      <c r="AB1790" s="27" t="str">
        <f aca="false">IF($A1790="","",IF($AK1790=1,'كشف المطالبة'!$D$5,'كشف المطالبة'!$D$6)*100)</f>
        <v/>
      </c>
      <c r="AK1790" s="28" t="str">
        <f aca="false">IF($A1790="","",IF(OR($Q1790=TRUE(),$Q1790="TRUE"),1,0))</f>
        <v/>
      </c>
      <c r="AL1790" s="28" t="str">
        <f aca="false">IF($N1790="","",IF(MATCH($N1790,$N$2:$N$3001,0)=ROWS($N$2:$N1790),$N1790,""))</f>
        <v/>
      </c>
    </row>
    <row r="1791" customFormat="false" ht="15" hidden="false" customHeight="false" outlineLevel="0" collapsed="false">
      <c r="E1791" s="25"/>
      <c r="M1791" s="26" t="str">
        <f aca="false">IF($A1791="","",$L1791*$U1791/100)</f>
        <v/>
      </c>
      <c r="W1791" s="26" t="str">
        <f aca="false">IF($A1791="","",U1791*AB1791/100)</f>
        <v/>
      </c>
      <c r="X1791" s="26" t="str">
        <f aca="false">IF($A1791="","",U1791-W1791)</f>
        <v/>
      </c>
      <c r="Y1791" s="26" t="str">
        <f aca="false">IF($A1791="","",U1791-W1791-M1791)</f>
        <v/>
      </c>
      <c r="AB1791" s="27" t="str">
        <f aca="false">IF($A1791="","",IF($AK1791=1,'كشف المطالبة'!$D$5,'كشف المطالبة'!$D$6)*100)</f>
        <v/>
      </c>
      <c r="AK1791" s="28" t="str">
        <f aca="false">IF($A1791="","",IF(OR($Q1791=TRUE(),$Q1791="TRUE"),1,0))</f>
        <v/>
      </c>
      <c r="AL1791" s="28" t="str">
        <f aca="false">IF($N1791="","",IF(MATCH($N1791,$N$2:$N$3001,0)=ROWS($N$2:$N1791),$N1791,""))</f>
        <v/>
      </c>
    </row>
    <row r="1792" customFormat="false" ht="15" hidden="false" customHeight="false" outlineLevel="0" collapsed="false">
      <c r="E1792" s="25"/>
      <c r="M1792" s="26" t="str">
        <f aca="false">IF($A1792="","",$L1792*$U1792/100)</f>
        <v/>
      </c>
      <c r="W1792" s="26" t="str">
        <f aca="false">IF($A1792="","",U1792*AB1792/100)</f>
        <v/>
      </c>
      <c r="X1792" s="26" t="str">
        <f aca="false">IF($A1792="","",U1792-W1792)</f>
        <v/>
      </c>
      <c r="Y1792" s="26" t="str">
        <f aca="false">IF($A1792="","",U1792-W1792-M1792)</f>
        <v/>
      </c>
      <c r="AB1792" s="27" t="str">
        <f aca="false">IF($A1792="","",IF($AK1792=1,'كشف المطالبة'!$D$5,'كشف المطالبة'!$D$6)*100)</f>
        <v/>
      </c>
      <c r="AK1792" s="28" t="str">
        <f aca="false">IF($A1792="","",IF(OR($Q1792=TRUE(),$Q1792="TRUE"),1,0))</f>
        <v/>
      </c>
      <c r="AL1792" s="28" t="str">
        <f aca="false">IF($N1792="","",IF(MATCH($N1792,$N$2:$N$3001,0)=ROWS($N$2:$N1792),$N1792,""))</f>
        <v/>
      </c>
    </row>
    <row r="1793" customFormat="false" ht="15" hidden="false" customHeight="false" outlineLevel="0" collapsed="false">
      <c r="E1793" s="25"/>
      <c r="M1793" s="26" t="str">
        <f aca="false">IF($A1793="","",$L1793*$U1793/100)</f>
        <v/>
      </c>
      <c r="W1793" s="26" t="str">
        <f aca="false">IF($A1793="","",U1793*AB1793/100)</f>
        <v/>
      </c>
      <c r="X1793" s="26" t="str">
        <f aca="false">IF($A1793="","",U1793-W1793)</f>
        <v/>
      </c>
      <c r="Y1793" s="26" t="str">
        <f aca="false">IF($A1793="","",U1793-W1793-M1793)</f>
        <v/>
      </c>
      <c r="AB1793" s="27" t="str">
        <f aca="false">IF($A1793="","",IF($AK1793=1,'كشف المطالبة'!$D$5,'كشف المطالبة'!$D$6)*100)</f>
        <v/>
      </c>
      <c r="AK1793" s="28" t="str">
        <f aca="false">IF($A1793="","",IF(OR($Q1793=TRUE(),$Q1793="TRUE"),1,0))</f>
        <v/>
      </c>
      <c r="AL1793" s="28" t="str">
        <f aca="false">IF($N1793="","",IF(MATCH($N1793,$N$2:$N$3001,0)=ROWS($N$2:$N1793),$N1793,""))</f>
        <v/>
      </c>
    </row>
    <row r="1794" customFormat="false" ht="15" hidden="false" customHeight="false" outlineLevel="0" collapsed="false">
      <c r="E1794" s="25"/>
      <c r="M1794" s="26" t="str">
        <f aca="false">IF($A1794="","",$L1794*$U1794/100)</f>
        <v/>
      </c>
      <c r="W1794" s="26" t="str">
        <f aca="false">IF($A1794="","",U1794*AB1794/100)</f>
        <v/>
      </c>
      <c r="X1794" s="26" t="str">
        <f aca="false">IF($A1794="","",U1794-W1794)</f>
        <v/>
      </c>
      <c r="Y1794" s="26" t="str">
        <f aca="false">IF($A1794="","",U1794-W1794-M1794)</f>
        <v/>
      </c>
      <c r="AB1794" s="27" t="str">
        <f aca="false">IF($A1794="","",IF($AK1794=1,'كشف المطالبة'!$D$5,'كشف المطالبة'!$D$6)*100)</f>
        <v/>
      </c>
      <c r="AK1794" s="28" t="str">
        <f aca="false">IF($A1794="","",IF(OR($Q1794=TRUE(),$Q1794="TRUE"),1,0))</f>
        <v/>
      </c>
      <c r="AL1794" s="28" t="str">
        <f aca="false">IF($N1794="","",IF(MATCH($N1794,$N$2:$N$3001,0)=ROWS($N$2:$N1794),$N1794,""))</f>
        <v/>
      </c>
    </row>
    <row r="1795" customFormat="false" ht="15" hidden="false" customHeight="false" outlineLevel="0" collapsed="false">
      <c r="E1795" s="25"/>
      <c r="M1795" s="26" t="str">
        <f aca="false">IF($A1795="","",$L1795*$U1795/100)</f>
        <v/>
      </c>
      <c r="W1795" s="26" t="str">
        <f aca="false">IF($A1795="","",U1795*AB1795/100)</f>
        <v/>
      </c>
      <c r="X1795" s="26" t="str">
        <f aca="false">IF($A1795="","",U1795-W1795)</f>
        <v/>
      </c>
      <c r="Y1795" s="26" t="str">
        <f aca="false">IF($A1795="","",U1795-W1795-M1795)</f>
        <v/>
      </c>
      <c r="AB1795" s="27" t="str">
        <f aca="false">IF($A1795="","",IF($AK1795=1,'كشف المطالبة'!$D$5,'كشف المطالبة'!$D$6)*100)</f>
        <v/>
      </c>
      <c r="AK1795" s="28" t="str">
        <f aca="false">IF($A1795="","",IF(OR($Q1795=TRUE(),$Q1795="TRUE"),1,0))</f>
        <v/>
      </c>
      <c r="AL1795" s="28" t="str">
        <f aca="false">IF($N1795="","",IF(MATCH($N1795,$N$2:$N$3001,0)=ROWS($N$2:$N1795),$N1795,""))</f>
        <v/>
      </c>
    </row>
    <row r="1796" customFormat="false" ht="15" hidden="false" customHeight="false" outlineLevel="0" collapsed="false">
      <c r="E1796" s="25"/>
      <c r="M1796" s="26" t="str">
        <f aca="false">IF($A1796="","",$L1796*$U1796/100)</f>
        <v/>
      </c>
      <c r="W1796" s="26" t="str">
        <f aca="false">IF($A1796="","",U1796*AB1796/100)</f>
        <v/>
      </c>
      <c r="X1796" s="26" t="str">
        <f aca="false">IF($A1796="","",U1796-W1796)</f>
        <v/>
      </c>
      <c r="Y1796" s="26" t="str">
        <f aca="false">IF($A1796="","",U1796-W1796-M1796)</f>
        <v/>
      </c>
      <c r="AB1796" s="27" t="str">
        <f aca="false">IF($A1796="","",IF($AK1796=1,'كشف المطالبة'!$D$5,'كشف المطالبة'!$D$6)*100)</f>
        <v/>
      </c>
      <c r="AK1796" s="28" t="str">
        <f aca="false">IF($A1796="","",IF(OR($Q1796=TRUE(),$Q1796="TRUE"),1,0))</f>
        <v/>
      </c>
      <c r="AL1796" s="28" t="str">
        <f aca="false">IF($N1796="","",IF(MATCH($N1796,$N$2:$N$3001,0)=ROWS($N$2:$N1796),$N1796,""))</f>
        <v/>
      </c>
    </row>
    <row r="1797" customFormat="false" ht="15" hidden="false" customHeight="false" outlineLevel="0" collapsed="false">
      <c r="E1797" s="25"/>
      <c r="M1797" s="26" t="str">
        <f aca="false">IF($A1797="","",$L1797*$U1797/100)</f>
        <v/>
      </c>
      <c r="W1797" s="26" t="str">
        <f aca="false">IF($A1797="","",U1797*AB1797/100)</f>
        <v/>
      </c>
      <c r="X1797" s="26" t="str">
        <f aca="false">IF($A1797="","",U1797-W1797)</f>
        <v/>
      </c>
      <c r="Y1797" s="26" t="str">
        <f aca="false">IF($A1797="","",U1797-W1797-M1797)</f>
        <v/>
      </c>
      <c r="AB1797" s="27" t="str">
        <f aca="false">IF($A1797="","",IF($AK1797=1,'كشف المطالبة'!$D$5,'كشف المطالبة'!$D$6)*100)</f>
        <v/>
      </c>
      <c r="AK1797" s="28" t="str">
        <f aca="false">IF($A1797="","",IF(OR($Q1797=TRUE(),$Q1797="TRUE"),1,0))</f>
        <v/>
      </c>
      <c r="AL1797" s="28" t="str">
        <f aca="false">IF($N1797="","",IF(MATCH($N1797,$N$2:$N$3001,0)=ROWS($N$2:$N1797),$N1797,""))</f>
        <v/>
      </c>
    </row>
    <row r="1798" customFormat="false" ht="15" hidden="false" customHeight="false" outlineLevel="0" collapsed="false">
      <c r="E1798" s="25"/>
      <c r="M1798" s="26" t="str">
        <f aca="false">IF($A1798="","",$L1798*$U1798/100)</f>
        <v/>
      </c>
      <c r="W1798" s="26" t="str">
        <f aca="false">IF($A1798="","",U1798*AB1798/100)</f>
        <v/>
      </c>
      <c r="X1798" s="26" t="str">
        <f aca="false">IF($A1798="","",U1798-W1798)</f>
        <v/>
      </c>
      <c r="Y1798" s="26" t="str">
        <f aca="false">IF($A1798="","",U1798-W1798-M1798)</f>
        <v/>
      </c>
      <c r="AB1798" s="27" t="str">
        <f aca="false">IF($A1798="","",IF($AK1798=1,'كشف المطالبة'!$D$5,'كشف المطالبة'!$D$6)*100)</f>
        <v/>
      </c>
      <c r="AK1798" s="28" t="str">
        <f aca="false">IF($A1798="","",IF(OR($Q1798=TRUE(),$Q1798="TRUE"),1,0))</f>
        <v/>
      </c>
      <c r="AL1798" s="28" t="str">
        <f aca="false">IF($N1798="","",IF(MATCH($N1798,$N$2:$N$3001,0)=ROWS($N$2:$N1798),$N1798,""))</f>
        <v/>
      </c>
    </row>
    <row r="1799" customFormat="false" ht="15" hidden="false" customHeight="false" outlineLevel="0" collapsed="false">
      <c r="E1799" s="25"/>
      <c r="M1799" s="26" t="str">
        <f aca="false">IF($A1799="","",$L1799*$U1799/100)</f>
        <v/>
      </c>
      <c r="W1799" s="26" t="str">
        <f aca="false">IF($A1799="","",U1799*AB1799/100)</f>
        <v/>
      </c>
      <c r="X1799" s="26" t="str">
        <f aca="false">IF($A1799="","",U1799-W1799)</f>
        <v/>
      </c>
      <c r="Y1799" s="26" t="str">
        <f aca="false">IF($A1799="","",U1799-W1799-M1799)</f>
        <v/>
      </c>
      <c r="AB1799" s="27" t="str">
        <f aca="false">IF($A1799="","",IF($AK1799=1,'كشف المطالبة'!$D$5,'كشف المطالبة'!$D$6)*100)</f>
        <v/>
      </c>
      <c r="AK1799" s="28" t="str">
        <f aca="false">IF($A1799="","",IF(OR($Q1799=TRUE(),$Q1799="TRUE"),1,0))</f>
        <v/>
      </c>
      <c r="AL1799" s="28" t="str">
        <f aca="false">IF($N1799="","",IF(MATCH($N1799,$N$2:$N$3001,0)=ROWS($N$2:$N1799),$N1799,""))</f>
        <v/>
      </c>
    </row>
    <row r="1800" customFormat="false" ht="15" hidden="false" customHeight="false" outlineLevel="0" collapsed="false">
      <c r="E1800" s="25"/>
      <c r="M1800" s="26" t="str">
        <f aca="false">IF($A1800="","",$L1800*$U1800/100)</f>
        <v/>
      </c>
      <c r="W1800" s="26" t="str">
        <f aca="false">IF($A1800="","",U1800*AB1800/100)</f>
        <v/>
      </c>
      <c r="X1800" s="26" t="str">
        <f aca="false">IF($A1800="","",U1800-W1800)</f>
        <v/>
      </c>
      <c r="Y1800" s="26" t="str">
        <f aca="false">IF($A1800="","",U1800-W1800-M1800)</f>
        <v/>
      </c>
      <c r="AB1800" s="27" t="str">
        <f aca="false">IF($A1800="","",IF($AK1800=1,'كشف المطالبة'!$D$5,'كشف المطالبة'!$D$6)*100)</f>
        <v/>
      </c>
      <c r="AK1800" s="28" t="str">
        <f aca="false">IF($A1800="","",IF(OR($Q1800=TRUE(),$Q1800="TRUE"),1,0))</f>
        <v/>
      </c>
      <c r="AL1800" s="28" t="str">
        <f aca="false">IF($N1800="","",IF(MATCH($N1800,$N$2:$N$3001,0)=ROWS($N$2:$N1800),$N1800,""))</f>
        <v/>
      </c>
    </row>
    <row r="1801" customFormat="false" ht="15" hidden="false" customHeight="false" outlineLevel="0" collapsed="false">
      <c r="E1801" s="25"/>
      <c r="M1801" s="26" t="str">
        <f aca="false">IF($A1801="","",$L1801*$U1801/100)</f>
        <v/>
      </c>
      <c r="W1801" s="26" t="str">
        <f aca="false">IF($A1801="","",U1801*AB1801/100)</f>
        <v/>
      </c>
      <c r="X1801" s="26" t="str">
        <f aca="false">IF($A1801="","",U1801-W1801)</f>
        <v/>
      </c>
      <c r="Y1801" s="26" t="str">
        <f aca="false">IF($A1801="","",U1801-W1801-M1801)</f>
        <v/>
      </c>
      <c r="AB1801" s="27" t="str">
        <f aca="false">IF($A1801="","",IF($AK1801=1,'كشف المطالبة'!$D$5,'كشف المطالبة'!$D$6)*100)</f>
        <v/>
      </c>
      <c r="AK1801" s="28" t="str">
        <f aca="false">IF($A1801="","",IF(OR($Q1801=TRUE(),$Q1801="TRUE"),1,0))</f>
        <v/>
      </c>
      <c r="AL1801" s="28" t="str">
        <f aca="false">IF($N1801="","",IF(MATCH($N1801,$N$2:$N$3001,0)=ROWS($N$2:$N1801),$N1801,""))</f>
        <v/>
      </c>
    </row>
    <row r="1802" customFormat="false" ht="15" hidden="false" customHeight="false" outlineLevel="0" collapsed="false">
      <c r="E1802" s="25"/>
      <c r="M1802" s="26" t="str">
        <f aca="false">IF($A1802="","",$L1802*$U1802/100)</f>
        <v/>
      </c>
      <c r="W1802" s="26" t="str">
        <f aca="false">IF($A1802="","",U1802*AB1802/100)</f>
        <v/>
      </c>
      <c r="X1802" s="26" t="str">
        <f aca="false">IF($A1802="","",U1802-W1802)</f>
        <v/>
      </c>
      <c r="Y1802" s="26" t="str">
        <f aca="false">IF($A1802="","",U1802-W1802-M1802)</f>
        <v/>
      </c>
      <c r="AB1802" s="27" t="str">
        <f aca="false">IF($A1802="","",IF($AK1802=1,'كشف المطالبة'!$D$5,'كشف المطالبة'!$D$6)*100)</f>
        <v/>
      </c>
      <c r="AK1802" s="28" t="str">
        <f aca="false">IF($A1802="","",IF(OR($Q1802=TRUE(),$Q1802="TRUE"),1,0))</f>
        <v/>
      </c>
      <c r="AL1802" s="28" t="str">
        <f aca="false">IF($N1802="","",IF(MATCH($N1802,$N$2:$N$3001,0)=ROWS($N$2:$N1802),$N1802,""))</f>
        <v/>
      </c>
    </row>
    <row r="1803" customFormat="false" ht="15" hidden="false" customHeight="false" outlineLevel="0" collapsed="false">
      <c r="E1803" s="25"/>
      <c r="M1803" s="26" t="str">
        <f aca="false">IF($A1803="","",$L1803*$U1803/100)</f>
        <v/>
      </c>
      <c r="W1803" s="26" t="str">
        <f aca="false">IF($A1803="","",U1803*AB1803/100)</f>
        <v/>
      </c>
      <c r="X1803" s="26" t="str">
        <f aca="false">IF($A1803="","",U1803-W1803)</f>
        <v/>
      </c>
      <c r="Y1803" s="26" t="str">
        <f aca="false">IF($A1803="","",U1803-W1803-M1803)</f>
        <v/>
      </c>
      <c r="AB1803" s="27" t="str">
        <f aca="false">IF($A1803="","",IF($AK1803=1,'كشف المطالبة'!$D$5,'كشف المطالبة'!$D$6)*100)</f>
        <v/>
      </c>
      <c r="AK1803" s="28" t="str">
        <f aca="false">IF($A1803="","",IF(OR($Q1803=TRUE(),$Q1803="TRUE"),1,0))</f>
        <v/>
      </c>
      <c r="AL1803" s="28" t="str">
        <f aca="false">IF($N1803="","",IF(MATCH($N1803,$N$2:$N$3001,0)=ROWS($N$2:$N1803),$N1803,""))</f>
        <v/>
      </c>
    </row>
    <row r="1804" customFormat="false" ht="15" hidden="false" customHeight="false" outlineLevel="0" collapsed="false">
      <c r="E1804" s="25"/>
      <c r="M1804" s="26" t="str">
        <f aca="false">IF($A1804="","",$L1804*$U1804/100)</f>
        <v/>
      </c>
      <c r="W1804" s="26" t="str">
        <f aca="false">IF($A1804="","",U1804*AB1804/100)</f>
        <v/>
      </c>
      <c r="X1804" s="26" t="str">
        <f aca="false">IF($A1804="","",U1804-W1804)</f>
        <v/>
      </c>
      <c r="Y1804" s="26" t="str">
        <f aca="false">IF($A1804="","",U1804-W1804-M1804)</f>
        <v/>
      </c>
      <c r="AB1804" s="27" t="str">
        <f aca="false">IF($A1804="","",IF($AK1804=1,'كشف المطالبة'!$D$5,'كشف المطالبة'!$D$6)*100)</f>
        <v/>
      </c>
      <c r="AK1804" s="28" t="str">
        <f aca="false">IF($A1804="","",IF(OR($Q1804=TRUE(),$Q1804="TRUE"),1,0))</f>
        <v/>
      </c>
      <c r="AL1804" s="28" t="str">
        <f aca="false">IF($N1804="","",IF(MATCH($N1804,$N$2:$N$3001,0)=ROWS($N$2:$N1804),$N1804,""))</f>
        <v/>
      </c>
    </row>
    <row r="1805" customFormat="false" ht="15" hidden="false" customHeight="false" outlineLevel="0" collapsed="false">
      <c r="E1805" s="25"/>
      <c r="M1805" s="26" t="str">
        <f aca="false">IF($A1805="","",$L1805*$U1805/100)</f>
        <v/>
      </c>
      <c r="W1805" s="26" t="str">
        <f aca="false">IF($A1805="","",U1805*AB1805/100)</f>
        <v/>
      </c>
      <c r="X1805" s="26" t="str">
        <f aca="false">IF($A1805="","",U1805-W1805)</f>
        <v/>
      </c>
      <c r="Y1805" s="26" t="str">
        <f aca="false">IF($A1805="","",U1805-W1805-M1805)</f>
        <v/>
      </c>
      <c r="AB1805" s="27" t="str">
        <f aca="false">IF($A1805="","",IF($AK1805=1,'كشف المطالبة'!$D$5,'كشف المطالبة'!$D$6)*100)</f>
        <v/>
      </c>
      <c r="AK1805" s="28" t="str">
        <f aca="false">IF($A1805="","",IF(OR($Q1805=TRUE(),$Q1805="TRUE"),1,0))</f>
        <v/>
      </c>
      <c r="AL1805" s="28" t="str">
        <f aca="false">IF($N1805="","",IF(MATCH($N1805,$N$2:$N$3001,0)=ROWS($N$2:$N1805),$N1805,""))</f>
        <v/>
      </c>
    </row>
    <row r="1806" customFormat="false" ht="15" hidden="false" customHeight="false" outlineLevel="0" collapsed="false">
      <c r="E1806" s="25"/>
      <c r="M1806" s="26" t="str">
        <f aca="false">IF($A1806="","",$L1806*$U1806/100)</f>
        <v/>
      </c>
      <c r="W1806" s="26" t="str">
        <f aca="false">IF($A1806="","",U1806*AB1806/100)</f>
        <v/>
      </c>
      <c r="X1806" s="26" t="str">
        <f aca="false">IF($A1806="","",U1806-W1806)</f>
        <v/>
      </c>
      <c r="Y1806" s="26" t="str">
        <f aca="false">IF($A1806="","",U1806-W1806-M1806)</f>
        <v/>
      </c>
      <c r="AB1806" s="27" t="str">
        <f aca="false">IF($A1806="","",IF($AK1806=1,'كشف المطالبة'!$D$5,'كشف المطالبة'!$D$6)*100)</f>
        <v/>
      </c>
      <c r="AK1806" s="28" t="str">
        <f aca="false">IF($A1806="","",IF(OR($Q1806=TRUE(),$Q1806="TRUE"),1,0))</f>
        <v/>
      </c>
      <c r="AL1806" s="28" t="str">
        <f aca="false">IF($N1806="","",IF(MATCH($N1806,$N$2:$N$3001,0)=ROWS($N$2:$N1806),$N1806,""))</f>
        <v/>
      </c>
    </row>
    <row r="1807" customFormat="false" ht="15" hidden="false" customHeight="false" outlineLevel="0" collapsed="false">
      <c r="E1807" s="25"/>
      <c r="M1807" s="26" t="str">
        <f aca="false">IF($A1807="","",$L1807*$U1807/100)</f>
        <v/>
      </c>
      <c r="W1807" s="26" t="str">
        <f aca="false">IF($A1807="","",U1807*AB1807/100)</f>
        <v/>
      </c>
      <c r="X1807" s="26" t="str">
        <f aca="false">IF($A1807="","",U1807-W1807)</f>
        <v/>
      </c>
      <c r="Y1807" s="26" t="str">
        <f aca="false">IF($A1807="","",U1807-W1807-M1807)</f>
        <v/>
      </c>
      <c r="AB1807" s="27" t="str">
        <f aca="false">IF($A1807="","",IF($AK1807=1,'كشف المطالبة'!$D$5,'كشف المطالبة'!$D$6)*100)</f>
        <v/>
      </c>
      <c r="AK1807" s="28" t="str">
        <f aca="false">IF($A1807="","",IF(OR($Q1807=TRUE(),$Q1807="TRUE"),1,0))</f>
        <v/>
      </c>
      <c r="AL1807" s="28" t="str">
        <f aca="false">IF($N1807="","",IF(MATCH($N1807,$N$2:$N$3001,0)=ROWS($N$2:$N1807),$N1807,""))</f>
        <v/>
      </c>
    </row>
    <row r="1808" customFormat="false" ht="15" hidden="false" customHeight="false" outlineLevel="0" collapsed="false">
      <c r="E1808" s="25"/>
      <c r="M1808" s="26" t="str">
        <f aca="false">IF($A1808="","",$L1808*$U1808/100)</f>
        <v/>
      </c>
      <c r="W1808" s="26" t="str">
        <f aca="false">IF($A1808="","",U1808*AB1808/100)</f>
        <v/>
      </c>
      <c r="X1808" s="26" t="str">
        <f aca="false">IF($A1808="","",U1808-W1808)</f>
        <v/>
      </c>
      <c r="Y1808" s="26" t="str">
        <f aca="false">IF($A1808="","",U1808-W1808-M1808)</f>
        <v/>
      </c>
      <c r="AB1808" s="27" t="str">
        <f aca="false">IF($A1808="","",IF($AK1808=1,'كشف المطالبة'!$D$5,'كشف المطالبة'!$D$6)*100)</f>
        <v/>
      </c>
      <c r="AK1808" s="28" t="str">
        <f aca="false">IF($A1808="","",IF(OR($Q1808=TRUE(),$Q1808="TRUE"),1,0))</f>
        <v/>
      </c>
      <c r="AL1808" s="28" t="str">
        <f aca="false">IF($N1808="","",IF(MATCH($N1808,$N$2:$N$3001,0)=ROWS($N$2:$N1808),$N1808,""))</f>
        <v/>
      </c>
    </row>
    <row r="1809" customFormat="false" ht="15" hidden="false" customHeight="false" outlineLevel="0" collapsed="false">
      <c r="E1809" s="25"/>
      <c r="M1809" s="26" t="str">
        <f aca="false">IF($A1809="","",$L1809*$U1809/100)</f>
        <v/>
      </c>
      <c r="W1809" s="26" t="str">
        <f aca="false">IF($A1809="","",U1809*AB1809/100)</f>
        <v/>
      </c>
      <c r="X1809" s="26" t="str">
        <f aca="false">IF($A1809="","",U1809-W1809)</f>
        <v/>
      </c>
      <c r="Y1809" s="26" t="str">
        <f aca="false">IF($A1809="","",U1809-W1809-M1809)</f>
        <v/>
      </c>
      <c r="AB1809" s="27" t="str">
        <f aca="false">IF($A1809="","",IF($AK1809=1,'كشف المطالبة'!$D$5,'كشف المطالبة'!$D$6)*100)</f>
        <v/>
      </c>
      <c r="AK1809" s="28" t="str">
        <f aca="false">IF($A1809="","",IF(OR($Q1809=TRUE(),$Q1809="TRUE"),1,0))</f>
        <v/>
      </c>
      <c r="AL1809" s="28" t="str">
        <f aca="false">IF($N1809="","",IF(MATCH($N1809,$N$2:$N$3001,0)=ROWS($N$2:$N1809),$N1809,""))</f>
        <v/>
      </c>
    </row>
    <row r="1810" customFormat="false" ht="15" hidden="false" customHeight="false" outlineLevel="0" collapsed="false">
      <c r="E1810" s="25"/>
      <c r="M1810" s="26" t="str">
        <f aca="false">IF($A1810="","",$L1810*$U1810/100)</f>
        <v/>
      </c>
      <c r="W1810" s="26" t="str">
        <f aca="false">IF($A1810="","",U1810*AB1810/100)</f>
        <v/>
      </c>
      <c r="X1810" s="26" t="str">
        <f aca="false">IF($A1810="","",U1810-W1810)</f>
        <v/>
      </c>
      <c r="Y1810" s="26" t="str">
        <f aca="false">IF($A1810="","",U1810-W1810-M1810)</f>
        <v/>
      </c>
      <c r="AB1810" s="27" t="str">
        <f aca="false">IF($A1810="","",IF($AK1810=1,'كشف المطالبة'!$D$5,'كشف المطالبة'!$D$6)*100)</f>
        <v/>
      </c>
      <c r="AK1810" s="28" t="str">
        <f aca="false">IF($A1810="","",IF(OR($Q1810=TRUE(),$Q1810="TRUE"),1,0))</f>
        <v/>
      </c>
      <c r="AL1810" s="28" t="str">
        <f aca="false">IF($N1810="","",IF(MATCH($N1810,$N$2:$N$3001,0)=ROWS($N$2:$N1810),$N1810,""))</f>
        <v/>
      </c>
    </row>
    <row r="1811" customFormat="false" ht="15" hidden="false" customHeight="false" outlineLevel="0" collapsed="false">
      <c r="E1811" s="25"/>
      <c r="M1811" s="26" t="str">
        <f aca="false">IF($A1811="","",$L1811*$U1811/100)</f>
        <v/>
      </c>
      <c r="W1811" s="26" t="str">
        <f aca="false">IF($A1811="","",U1811*AB1811/100)</f>
        <v/>
      </c>
      <c r="X1811" s="26" t="str">
        <f aca="false">IF($A1811="","",U1811-W1811)</f>
        <v/>
      </c>
      <c r="Y1811" s="26" t="str">
        <f aca="false">IF($A1811="","",U1811-W1811-M1811)</f>
        <v/>
      </c>
      <c r="AB1811" s="27" t="str">
        <f aca="false">IF($A1811="","",IF($AK1811=1,'كشف المطالبة'!$D$5,'كشف المطالبة'!$D$6)*100)</f>
        <v/>
      </c>
      <c r="AK1811" s="28" t="str">
        <f aca="false">IF($A1811="","",IF(OR($Q1811=TRUE(),$Q1811="TRUE"),1,0))</f>
        <v/>
      </c>
      <c r="AL1811" s="28" t="str">
        <f aca="false">IF($N1811="","",IF(MATCH($N1811,$N$2:$N$3001,0)=ROWS($N$2:$N1811),$N1811,""))</f>
        <v/>
      </c>
    </row>
    <row r="1812" customFormat="false" ht="15" hidden="false" customHeight="false" outlineLevel="0" collapsed="false">
      <c r="E1812" s="25"/>
      <c r="M1812" s="26" t="str">
        <f aca="false">IF($A1812="","",$L1812*$U1812/100)</f>
        <v/>
      </c>
      <c r="W1812" s="26" t="str">
        <f aca="false">IF($A1812="","",U1812*AB1812/100)</f>
        <v/>
      </c>
      <c r="X1812" s="26" t="str">
        <f aca="false">IF($A1812="","",U1812-W1812)</f>
        <v/>
      </c>
      <c r="Y1812" s="26" t="str">
        <f aca="false">IF($A1812="","",U1812-W1812-M1812)</f>
        <v/>
      </c>
      <c r="AB1812" s="27" t="str">
        <f aca="false">IF($A1812="","",IF($AK1812=1,'كشف المطالبة'!$D$5,'كشف المطالبة'!$D$6)*100)</f>
        <v/>
      </c>
      <c r="AK1812" s="28" t="str">
        <f aca="false">IF($A1812="","",IF(OR($Q1812=TRUE(),$Q1812="TRUE"),1,0))</f>
        <v/>
      </c>
      <c r="AL1812" s="28" t="str">
        <f aca="false">IF($N1812="","",IF(MATCH($N1812,$N$2:$N$3001,0)=ROWS($N$2:$N1812),$N1812,""))</f>
        <v/>
      </c>
    </row>
    <row r="1813" customFormat="false" ht="15" hidden="false" customHeight="false" outlineLevel="0" collapsed="false">
      <c r="E1813" s="25"/>
      <c r="M1813" s="26" t="str">
        <f aca="false">IF($A1813="","",$L1813*$U1813/100)</f>
        <v/>
      </c>
      <c r="W1813" s="26" t="str">
        <f aca="false">IF($A1813="","",U1813*AB1813/100)</f>
        <v/>
      </c>
      <c r="X1813" s="26" t="str">
        <f aca="false">IF($A1813="","",U1813-W1813)</f>
        <v/>
      </c>
      <c r="Y1813" s="26" t="str">
        <f aca="false">IF($A1813="","",U1813-W1813-M1813)</f>
        <v/>
      </c>
      <c r="AB1813" s="27" t="str">
        <f aca="false">IF($A1813="","",IF($AK1813=1,'كشف المطالبة'!$D$5,'كشف المطالبة'!$D$6)*100)</f>
        <v/>
      </c>
      <c r="AK1813" s="28" t="str">
        <f aca="false">IF($A1813="","",IF(OR($Q1813=TRUE(),$Q1813="TRUE"),1,0))</f>
        <v/>
      </c>
      <c r="AL1813" s="28" t="str">
        <f aca="false">IF($N1813="","",IF(MATCH($N1813,$N$2:$N$3001,0)=ROWS($N$2:$N1813),$N1813,""))</f>
        <v/>
      </c>
    </row>
    <row r="1814" customFormat="false" ht="15" hidden="false" customHeight="false" outlineLevel="0" collapsed="false">
      <c r="E1814" s="25"/>
      <c r="M1814" s="26" t="str">
        <f aca="false">IF($A1814="","",$L1814*$U1814/100)</f>
        <v/>
      </c>
      <c r="W1814" s="26" t="str">
        <f aca="false">IF($A1814="","",U1814*AB1814/100)</f>
        <v/>
      </c>
      <c r="X1814" s="26" t="str">
        <f aca="false">IF($A1814="","",U1814-W1814)</f>
        <v/>
      </c>
      <c r="Y1814" s="26" t="str">
        <f aca="false">IF($A1814="","",U1814-W1814-M1814)</f>
        <v/>
      </c>
      <c r="AB1814" s="27" t="str">
        <f aca="false">IF($A1814="","",IF($AK1814=1,'كشف المطالبة'!$D$5,'كشف المطالبة'!$D$6)*100)</f>
        <v/>
      </c>
      <c r="AK1814" s="28" t="str">
        <f aca="false">IF($A1814="","",IF(OR($Q1814=TRUE(),$Q1814="TRUE"),1,0))</f>
        <v/>
      </c>
      <c r="AL1814" s="28" t="str">
        <f aca="false">IF($N1814="","",IF(MATCH($N1814,$N$2:$N$3001,0)=ROWS($N$2:$N1814),$N1814,""))</f>
        <v/>
      </c>
    </row>
    <row r="1815" customFormat="false" ht="15" hidden="false" customHeight="false" outlineLevel="0" collapsed="false">
      <c r="E1815" s="25"/>
      <c r="M1815" s="26" t="str">
        <f aca="false">IF($A1815="","",$L1815*$U1815/100)</f>
        <v/>
      </c>
      <c r="W1815" s="26" t="str">
        <f aca="false">IF($A1815="","",U1815*AB1815/100)</f>
        <v/>
      </c>
      <c r="X1815" s="26" t="str">
        <f aca="false">IF($A1815="","",U1815-W1815)</f>
        <v/>
      </c>
      <c r="Y1815" s="26" t="str">
        <f aca="false">IF($A1815="","",U1815-W1815-M1815)</f>
        <v/>
      </c>
      <c r="AB1815" s="27" t="str">
        <f aca="false">IF($A1815="","",IF($AK1815=1,'كشف المطالبة'!$D$5,'كشف المطالبة'!$D$6)*100)</f>
        <v/>
      </c>
      <c r="AK1815" s="28" t="str">
        <f aca="false">IF($A1815="","",IF(OR($Q1815=TRUE(),$Q1815="TRUE"),1,0))</f>
        <v/>
      </c>
      <c r="AL1815" s="28" t="str">
        <f aca="false">IF($N1815="","",IF(MATCH($N1815,$N$2:$N$3001,0)=ROWS($N$2:$N1815),$N1815,""))</f>
        <v/>
      </c>
    </row>
    <row r="1816" customFormat="false" ht="15" hidden="false" customHeight="false" outlineLevel="0" collapsed="false">
      <c r="E1816" s="25"/>
      <c r="M1816" s="26" t="str">
        <f aca="false">IF($A1816="","",$L1816*$U1816/100)</f>
        <v/>
      </c>
      <c r="W1816" s="26" t="str">
        <f aca="false">IF($A1816="","",U1816*AB1816/100)</f>
        <v/>
      </c>
      <c r="X1816" s="26" t="str">
        <f aca="false">IF($A1816="","",U1816-W1816)</f>
        <v/>
      </c>
      <c r="Y1816" s="26" t="str">
        <f aca="false">IF($A1816="","",U1816-W1816-M1816)</f>
        <v/>
      </c>
      <c r="AB1816" s="27" t="str">
        <f aca="false">IF($A1816="","",IF($AK1816=1,'كشف المطالبة'!$D$5,'كشف المطالبة'!$D$6)*100)</f>
        <v/>
      </c>
      <c r="AK1816" s="28" t="str">
        <f aca="false">IF($A1816="","",IF(OR($Q1816=TRUE(),$Q1816="TRUE"),1,0))</f>
        <v/>
      </c>
      <c r="AL1816" s="28" t="str">
        <f aca="false">IF($N1816="","",IF(MATCH($N1816,$N$2:$N$3001,0)=ROWS($N$2:$N1816),$N1816,""))</f>
        <v/>
      </c>
    </row>
    <row r="1817" customFormat="false" ht="15" hidden="false" customHeight="false" outlineLevel="0" collapsed="false">
      <c r="E1817" s="25"/>
      <c r="M1817" s="26" t="str">
        <f aca="false">IF($A1817="","",$L1817*$U1817/100)</f>
        <v/>
      </c>
      <c r="W1817" s="26" t="str">
        <f aca="false">IF($A1817="","",U1817*AB1817/100)</f>
        <v/>
      </c>
      <c r="X1817" s="26" t="str">
        <f aca="false">IF($A1817="","",U1817-W1817)</f>
        <v/>
      </c>
      <c r="Y1817" s="26" t="str">
        <f aca="false">IF($A1817="","",U1817-W1817-M1817)</f>
        <v/>
      </c>
      <c r="AB1817" s="27" t="str">
        <f aca="false">IF($A1817="","",IF($AK1817=1,'كشف المطالبة'!$D$5,'كشف المطالبة'!$D$6)*100)</f>
        <v/>
      </c>
      <c r="AK1817" s="28" t="str">
        <f aca="false">IF($A1817="","",IF(OR($Q1817=TRUE(),$Q1817="TRUE"),1,0))</f>
        <v/>
      </c>
      <c r="AL1817" s="28" t="str">
        <f aca="false">IF($N1817="","",IF(MATCH($N1817,$N$2:$N$3001,0)=ROWS($N$2:$N1817),$N1817,""))</f>
        <v/>
      </c>
    </row>
    <row r="1818" customFormat="false" ht="15" hidden="false" customHeight="false" outlineLevel="0" collapsed="false">
      <c r="E1818" s="25"/>
      <c r="M1818" s="26" t="str">
        <f aca="false">IF($A1818="","",$L1818*$U1818/100)</f>
        <v/>
      </c>
      <c r="W1818" s="26" t="str">
        <f aca="false">IF($A1818="","",U1818*AB1818/100)</f>
        <v/>
      </c>
      <c r="X1818" s="26" t="str">
        <f aca="false">IF($A1818="","",U1818-W1818)</f>
        <v/>
      </c>
      <c r="Y1818" s="26" t="str">
        <f aca="false">IF($A1818="","",U1818-W1818-M1818)</f>
        <v/>
      </c>
      <c r="AB1818" s="27" t="str">
        <f aca="false">IF($A1818="","",IF($AK1818=1,'كشف المطالبة'!$D$5,'كشف المطالبة'!$D$6)*100)</f>
        <v/>
      </c>
      <c r="AK1818" s="28" t="str">
        <f aca="false">IF($A1818="","",IF(OR($Q1818=TRUE(),$Q1818="TRUE"),1,0))</f>
        <v/>
      </c>
      <c r="AL1818" s="28" t="str">
        <f aca="false">IF($N1818="","",IF(MATCH($N1818,$N$2:$N$3001,0)=ROWS($N$2:$N1818),$N1818,""))</f>
        <v/>
      </c>
    </row>
    <row r="1819" customFormat="false" ht="15" hidden="false" customHeight="false" outlineLevel="0" collapsed="false">
      <c r="E1819" s="25"/>
      <c r="M1819" s="26" t="str">
        <f aca="false">IF($A1819="","",$L1819*$U1819/100)</f>
        <v/>
      </c>
      <c r="W1819" s="26" t="str">
        <f aca="false">IF($A1819="","",U1819*AB1819/100)</f>
        <v/>
      </c>
      <c r="X1819" s="26" t="str">
        <f aca="false">IF($A1819="","",U1819-W1819)</f>
        <v/>
      </c>
      <c r="Y1819" s="26" t="str">
        <f aca="false">IF($A1819="","",U1819-W1819-M1819)</f>
        <v/>
      </c>
      <c r="AB1819" s="27" t="str">
        <f aca="false">IF($A1819="","",IF($AK1819=1,'كشف المطالبة'!$D$5,'كشف المطالبة'!$D$6)*100)</f>
        <v/>
      </c>
      <c r="AK1819" s="28" t="str">
        <f aca="false">IF($A1819="","",IF(OR($Q1819=TRUE(),$Q1819="TRUE"),1,0))</f>
        <v/>
      </c>
      <c r="AL1819" s="28" t="str">
        <f aca="false">IF($N1819="","",IF(MATCH($N1819,$N$2:$N$3001,0)=ROWS($N$2:$N1819),$N1819,""))</f>
        <v/>
      </c>
    </row>
    <row r="1820" customFormat="false" ht="15" hidden="false" customHeight="false" outlineLevel="0" collapsed="false">
      <c r="E1820" s="25"/>
      <c r="M1820" s="26" t="str">
        <f aca="false">IF($A1820="","",$L1820*$U1820/100)</f>
        <v/>
      </c>
      <c r="W1820" s="26" t="str">
        <f aca="false">IF($A1820="","",U1820*AB1820/100)</f>
        <v/>
      </c>
      <c r="X1820" s="26" t="str">
        <f aca="false">IF($A1820="","",U1820-W1820)</f>
        <v/>
      </c>
      <c r="Y1820" s="26" t="str">
        <f aca="false">IF($A1820="","",U1820-W1820-M1820)</f>
        <v/>
      </c>
      <c r="AB1820" s="27" t="str">
        <f aca="false">IF($A1820="","",IF($AK1820=1,'كشف المطالبة'!$D$5,'كشف المطالبة'!$D$6)*100)</f>
        <v/>
      </c>
      <c r="AK1820" s="28" t="str">
        <f aca="false">IF($A1820="","",IF(OR($Q1820=TRUE(),$Q1820="TRUE"),1,0))</f>
        <v/>
      </c>
      <c r="AL1820" s="28" t="str">
        <f aca="false">IF($N1820="","",IF(MATCH($N1820,$N$2:$N$3001,0)=ROWS($N$2:$N1820),$N1820,""))</f>
        <v/>
      </c>
    </row>
    <row r="1821" customFormat="false" ht="15" hidden="false" customHeight="false" outlineLevel="0" collapsed="false">
      <c r="E1821" s="25"/>
      <c r="M1821" s="26" t="str">
        <f aca="false">IF($A1821="","",$L1821*$U1821/100)</f>
        <v/>
      </c>
      <c r="W1821" s="26" t="str">
        <f aca="false">IF($A1821="","",U1821*AB1821/100)</f>
        <v/>
      </c>
      <c r="X1821" s="26" t="str">
        <f aca="false">IF($A1821="","",U1821-W1821)</f>
        <v/>
      </c>
      <c r="Y1821" s="26" t="str">
        <f aca="false">IF($A1821="","",U1821-W1821-M1821)</f>
        <v/>
      </c>
      <c r="AB1821" s="27" t="str">
        <f aca="false">IF($A1821="","",IF($AK1821=1,'كشف المطالبة'!$D$5,'كشف المطالبة'!$D$6)*100)</f>
        <v/>
      </c>
      <c r="AK1821" s="28" t="str">
        <f aca="false">IF($A1821="","",IF(OR($Q1821=TRUE(),$Q1821="TRUE"),1,0))</f>
        <v/>
      </c>
      <c r="AL1821" s="28" t="str">
        <f aca="false">IF($N1821="","",IF(MATCH($N1821,$N$2:$N$3001,0)=ROWS($N$2:$N1821),$N1821,""))</f>
        <v/>
      </c>
    </row>
    <row r="1822" customFormat="false" ht="15" hidden="false" customHeight="false" outlineLevel="0" collapsed="false">
      <c r="E1822" s="25"/>
      <c r="M1822" s="26" t="str">
        <f aca="false">IF($A1822="","",$L1822*$U1822/100)</f>
        <v/>
      </c>
      <c r="W1822" s="26" t="str">
        <f aca="false">IF($A1822="","",U1822*AB1822/100)</f>
        <v/>
      </c>
      <c r="X1822" s="26" t="str">
        <f aca="false">IF($A1822="","",U1822-W1822)</f>
        <v/>
      </c>
      <c r="Y1822" s="26" t="str">
        <f aca="false">IF($A1822="","",U1822-W1822-M1822)</f>
        <v/>
      </c>
      <c r="AB1822" s="27" t="str">
        <f aca="false">IF($A1822="","",IF($AK1822=1,'كشف المطالبة'!$D$5,'كشف المطالبة'!$D$6)*100)</f>
        <v/>
      </c>
      <c r="AK1822" s="28" t="str">
        <f aca="false">IF($A1822="","",IF(OR($Q1822=TRUE(),$Q1822="TRUE"),1,0))</f>
        <v/>
      </c>
      <c r="AL1822" s="28" t="str">
        <f aca="false">IF($N1822="","",IF(MATCH($N1822,$N$2:$N$3001,0)=ROWS($N$2:$N1822),$N1822,""))</f>
        <v/>
      </c>
    </row>
    <row r="1823" customFormat="false" ht="15" hidden="false" customHeight="false" outlineLevel="0" collapsed="false">
      <c r="E1823" s="25"/>
      <c r="M1823" s="26" t="str">
        <f aca="false">IF($A1823="","",$L1823*$U1823/100)</f>
        <v/>
      </c>
      <c r="W1823" s="26" t="str">
        <f aca="false">IF($A1823="","",U1823*AB1823/100)</f>
        <v/>
      </c>
      <c r="X1823" s="26" t="str">
        <f aca="false">IF($A1823="","",U1823-W1823)</f>
        <v/>
      </c>
      <c r="Y1823" s="26" t="str">
        <f aca="false">IF($A1823="","",U1823-W1823-M1823)</f>
        <v/>
      </c>
      <c r="AB1823" s="27" t="str">
        <f aca="false">IF($A1823="","",IF($AK1823=1,'كشف المطالبة'!$D$5,'كشف المطالبة'!$D$6)*100)</f>
        <v/>
      </c>
      <c r="AK1823" s="28" t="str">
        <f aca="false">IF($A1823="","",IF(OR($Q1823=TRUE(),$Q1823="TRUE"),1,0))</f>
        <v/>
      </c>
      <c r="AL1823" s="28" t="str">
        <f aca="false">IF($N1823="","",IF(MATCH($N1823,$N$2:$N$3001,0)=ROWS($N$2:$N1823),$N1823,""))</f>
        <v/>
      </c>
    </row>
    <row r="1824" customFormat="false" ht="15" hidden="false" customHeight="false" outlineLevel="0" collapsed="false">
      <c r="E1824" s="25"/>
      <c r="M1824" s="26" t="str">
        <f aca="false">IF($A1824="","",$L1824*$U1824/100)</f>
        <v/>
      </c>
      <c r="W1824" s="26" t="str">
        <f aca="false">IF($A1824="","",U1824*AB1824/100)</f>
        <v/>
      </c>
      <c r="X1824" s="26" t="str">
        <f aca="false">IF($A1824="","",U1824-W1824)</f>
        <v/>
      </c>
      <c r="Y1824" s="26" t="str">
        <f aca="false">IF($A1824="","",U1824-W1824-M1824)</f>
        <v/>
      </c>
      <c r="AB1824" s="27" t="str">
        <f aca="false">IF($A1824="","",IF($AK1824=1,'كشف المطالبة'!$D$5,'كشف المطالبة'!$D$6)*100)</f>
        <v/>
      </c>
      <c r="AK1824" s="28" t="str">
        <f aca="false">IF($A1824="","",IF(OR($Q1824=TRUE(),$Q1824="TRUE"),1,0))</f>
        <v/>
      </c>
      <c r="AL1824" s="28" t="str">
        <f aca="false">IF($N1824="","",IF(MATCH($N1824,$N$2:$N$3001,0)=ROWS($N$2:$N1824),$N1824,""))</f>
        <v/>
      </c>
    </row>
    <row r="1825" customFormat="false" ht="15" hidden="false" customHeight="false" outlineLevel="0" collapsed="false">
      <c r="E1825" s="25"/>
      <c r="M1825" s="26" t="str">
        <f aca="false">IF($A1825="","",$L1825*$U1825/100)</f>
        <v/>
      </c>
      <c r="W1825" s="26" t="str">
        <f aca="false">IF($A1825="","",U1825*AB1825/100)</f>
        <v/>
      </c>
      <c r="X1825" s="26" t="str">
        <f aca="false">IF($A1825="","",U1825-W1825)</f>
        <v/>
      </c>
      <c r="Y1825" s="26" t="str">
        <f aca="false">IF($A1825="","",U1825-W1825-M1825)</f>
        <v/>
      </c>
      <c r="AB1825" s="27" t="str">
        <f aca="false">IF($A1825="","",IF($AK1825=1,'كشف المطالبة'!$D$5,'كشف المطالبة'!$D$6)*100)</f>
        <v/>
      </c>
      <c r="AK1825" s="28" t="str">
        <f aca="false">IF($A1825="","",IF(OR($Q1825=TRUE(),$Q1825="TRUE"),1,0))</f>
        <v/>
      </c>
      <c r="AL1825" s="28" t="str">
        <f aca="false">IF($N1825="","",IF(MATCH($N1825,$N$2:$N$3001,0)=ROWS($N$2:$N1825),$N1825,""))</f>
        <v/>
      </c>
    </row>
    <row r="1826" customFormat="false" ht="15" hidden="false" customHeight="false" outlineLevel="0" collapsed="false">
      <c r="E1826" s="25"/>
      <c r="M1826" s="26" t="str">
        <f aca="false">IF($A1826="","",$L1826*$U1826/100)</f>
        <v/>
      </c>
      <c r="W1826" s="26" t="str">
        <f aca="false">IF($A1826="","",U1826*AB1826/100)</f>
        <v/>
      </c>
      <c r="X1826" s="26" t="str">
        <f aca="false">IF($A1826="","",U1826-W1826)</f>
        <v/>
      </c>
      <c r="Y1826" s="26" t="str">
        <f aca="false">IF($A1826="","",U1826-W1826-M1826)</f>
        <v/>
      </c>
      <c r="AB1826" s="27" t="str">
        <f aca="false">IF($A1826="","",IF($AK1826=1,'كشف المطالبة'!$D$5,'كشف المطالبة'!$D$6)*100)</f>
        <v/>
      </c>
      <c r="AK1826" s="28" t="str">
        <f aca="false">IF($A1826="","",IF(OR($Q1826=TRUE(),$Q1826="TRUE"),1,0))</f>
        <v/>
      </c>
      <c r="AL1826" s="28" t="str">
        <f aca="false">IF($N1826="","",IF(MATCH($N1826,$N$2:$N$3001,0)=ROWS($N$2:$N1826),$N1826,""))</f>
        <v/>
      </c>
    </row>
    <row r="1827" customFormat="false" ht="15" hidden="false" customHeight="false" outlineLevel="0" collapsed="false">
      <c r="E1827" s="25"/>
      <c r="M1827" s="26" t="str">
        <f aca="false">IF($A1827="","",$L1827*$U1827/100)</f>
        <v/>
      </c>
      <c r="W1827" s="26" t="str">
        <f aca="false">IF($A1827="","",U1827*AB1827/100)</f>
        <v/>
      </c>
      <c r="X1827" s="26" t="str">
        <f aca="false">IF($A1827="","",U1827-W1827)</f>
        <v/>
      </c>
      <c r="Y1827" s="26" t="str">
        <f aca="false">IF($A1827="","",U1827-W1827-M1827)</f>
        <v/>
      </c>
      <c r="AB1827" s="27" t="str">
        <f aca="false">IF($A1827="","",IF($AK1827=1,'كشف المطالبة'!$D$5,'كشف المطالبة'!$D$6)*100)</f>
        <v/>
      </c>
      <c r="AK1827" s="28" t="str">
        <f aca="false">IF($A1827="","",IF(OR($Q1827=TRUE(),$Q1827="TRUE"),1,0))</f>
        <v/>
      </c>
      <c r="AL1827" s="28" t="str">
        <f aca="false">IF($N1827="","",IF(MATCH($N1827,$N$2:$N$3001,0)=ROWS($N$2:$N1827),$N1827,""))</f>
        <v/>
      </c>
    </row>
    <row r="1828" customFormat="false" ht="15" hidden="false" customHeight="false" outlineLevel="0" collapsed="false">
      <c r="E1828" s="25"/>
      <c r="M1828" s="26" t="str">
        <f aca="false">IF($A1828="","",$L1828*$U1828/100)</f>
        <v/>
      </c>
      <c r="W1828" s="26" t="str">
        <f aca="false">IF($A1828="","",U1828*AB1828/100)</f>
        <v/>
      </c>
      <c r="X1828" s="26" t="str">
        <f aca="false">IF($A1828="","",U1828-W1828)</f>
        <v/>
      </c>
      <c r="Y1828" s="26" t="str">
        <f aca="false">IF($A1828="","",U1828-W1828-M1828)</f>
        <v/>
      </c>
      <c r="AB1828" s="27" t="str">
        <f aca="false">IF($A1828="","",IF($AK1828=1,'كشف المطالبة'!$D$5,'كشف المطالبة'!$D$6)*100)</f>
        <v/>
      </c>
      <c r="AK1828" s="28" t="str">
        <f aca="false">IF($A1828="","",IF(OR($Q1828=TRUE(),$Q1828="TRUE"),1,0))</f>
        <v/>
      </c>
      <c r="AL1828" s="28" t="str">
        <f aca="false">IF($N1828="","",IF(MATCH($N1828,$N$2:$N$3001,0)=ROWS($N$2:$N1828),$N1828,""))</f>
        <v/>
      </c>
    </row>
    <row r="1829" customFormat="false" ht="15" hidden="false" customHeight="false" outlineLevel="0" collapsed="false">
      <c r="E1829" s="25"/>
      <c r="M1829" s="26" t="str">
        <f aca="false">IF($A1829="","",$L1829*$U1829/100)</f>
        <v/>
      </c>
      <c r="W1829" s="26" t="str">
        <f aca="false">IF($A1829="","",U1829*AB1829/100)</f>
        <v/>
      </c>
      <c r="X1829" s="26" t="str">
        <f aca="false">IF($A1829="","",U1829-W1829)</f>
        <v/>
      </c>
      <c r="Y1829" s="26" t="str">
        <f aca="false">IF($A1829="","",U1829-W1829-M1829)</f>
        <v/>
      </c>
      <c r="AB1829" s="27" t="str">
        <f aca="false">IF($A1829="","",IF($AK1829=1,'كشف المطالبة'!$D$5,'كشف المطالبة'!$D$6)*100)</f>
        <v/>
      </c>
      <c r="AK1829" s="28" t="str">
        <f aca="false">IF($A1829="","",IF(OR($Q1829=TRUE(),$Q1829="TRUE"),1,0))</f>
        <v/>
      </c>
      <c r="AL1829" s="28" t="str">
        <f aca="false">IF($N1829="","",IF(MATCH($N1829,$N$2:$N$3001,0)=ROWS($N$2:$N1829),$N1829,""))</f>
        <v/>
      </c>
    </row>
    <row r="1830" customFormat="false" ht="15" hidden="false" customHeight="false" outlineLevel="0" collapsed="false">
      <c r="E1830" s="25"/>
      <c r="M1830" s="26" t="str">
        <f aca="false">IF($A1830="","",$L1830*$U1830/100)</f>
        <v/>
      </c>
      <c r="W1830" s="26" t="str">
        <f aca="false">IF($A1830="","",U1830*AB1830/100)</f>
        <v/>
      </c>
      <c r="X1830" s="26" t="str">
        <f aca="false">IF($A1830="","",U1830-W1830)</f>
        <v/>
      </c>
      <c r="Y1830" s="26" t="str">
        <f aca="false">IF($A1830="","",U1830-W1830-M1830)</f>
        <v/>
      </c>
      <c r="AB1830" s="27" t="str">
        <f aca="false">IF($A1830="","",IF($AK1830=1,'كشف المطالبة'!$D$5,'كشف المطالبة'!$D$6)*100)</f>
        <v/>
      </c>
      <c r="AK1830" s="28" t="str">
        <f aca="false">IF($A1830="","",IF(OR($Q1830=TRUE(),$Q1830="TRUE"),1,0))</f>
        <v/>
      </c>
      <c r="AL1830" s="28" t="str">
        <f aca="false">IF($N1830="","",IF(MATCH($N1830,$N$2:$N$3001,0)=ROWS($N$2:$N1830),$N1830,""))</f>
        <v/>
      </c>
    </row>
    <row r="1831" customFormat="false" ht="15" hidden="false" customHeight="false" outlineLevel="0" collapsed="false">
      <c r="E1831" s="25"/>
      <c r="M1831" s="26" t="str">
        <f aca="false">IF($A1831="","",$L1831*$U1831/100)</f>
        <v/>
      </c>
      <c r="W1831" s="26" t="str">
        <f aca="false">IF($A1831="","",U1831*AB1831/100)</f>
        <v/>
      </c>
      <c r="X1831" s="26" t="str">
        <f aca="false">IF($A1831="","",U1831-W1831)</f>
        <v/>
      </c>
      <c r="Y1831" s="26" t="str">
        <f aca="false">IF($A1831="","",U1831-W1831-M1831)</f>
        <v/>
      </c>
      <c r="AB1831" s="27" t="str">
        <f aca="false">IF($A1831="","",IF($AK1831=1,'كشف المطالبة'!$D$5,'كشف المطالبة'!$D$6)*100)</f>
        <v/>
      </c>
      <c r="AK1831" s="28" t="str">
        <f aca="false">IF($A1831="","",IF(OR($Q1831=TRUE(),$Q1831="TRUE"),1,0))</f>
        <v/>
      </c>
      <c r="AL1831" s="28" t="str">
        <f aca="false">IF($N1831="","",IF(MATCH($N1831,$N$2:$N$3001,0)=ROWS($N$2:$N1831),$N1831,""))</f>
        <v/>
      </c>
    </row>
    <row r="1832" customFormat="false" ht="15" hidden="false" customHeight="false" outlineLevel="0" collapsed="false">
      <c r="E1832" s="25"/>
      <c r="M1832" s="26" t="str">
        <f aca="false">IF($A1832="","",$L1832*$U1832/100)</f>
        <v/>
      </c>
      <c r="W1832" s="26" t="str">
        <f aca="false">IF($A1832="","",U1832*AB1832/100)</f>
        <v/>
      </c>
      <c r="X1832" s="26" t="str">
        <f aca="false">IF($A1832="","",U1832-W1832)</f>
        <v/>
      </c>
      <c r="Y1832" s="26" t="str">
        <f aca="false">IF($A1832="","",U1832-W1832-M1832)</f>
        <v/>
      </c>
      <c r="AB1832" s="27" t="str">
        <f aca="false">IF($A1832="","",IF($AK1832=1,'كشف المطالبة'!$D$5,'كشف المطالبة'!$D$6)*100)</f>
        <v/>
      </c>
      <c r="AK1832" s="28" t="str">
        <f aca="false">IF($A1832="","",IF(OR($Q1832=TRUE(),$Q1832="TRUE"),1,0))</f>
        <v/>
      </c>
      <c r="AL1832" s="28" t="str">
        <f aca="false">IF($N1832="","",IF(MATCH($N1832,$N$2:$N$3001,0)=ROWS($N$2:$N1832),$N1832,""))</f>
        <v/>
      </c>
    </row>
    <row r="1833" customFormat="false" ht="15" hidden="false" customHeight="false" outlineLevel="0" collapsed="false">
      <c r="E1833" s="25"/>
      <c r="M1833" s="26" t="str">
        <f aca="false">IF($A1833="","",$L1833*$U1833/100)</f>
        <v/>
      </c>
      <c r="W1833" s="26" t="str">
        <f aca="false">IF($A1833="","",U1833*AB1833/100)</f>
        <v/>
      </c>
      <c r="X1833" s="26" t="str">
        <f aca="false">IF($A1833="","",U1833-W1833)</f>
        <v/>
      </c>
      <c r="Y1833" s="26" t="str">
        <f aca="false">IF($A1833="","",U1833-W1833-M1833)</f>
        <v/>
      </c>
      <c r="AB1833" s="27" t="str">
        <f aca="false">IF($A1833="","",IF($AK1833=1,'كشف المطالبة'!$D$5,'كشف المطالبة'!$D$6)*100)</f>
        <v/>
      </c>
      <c r="AK1833" s="28" t="str">
        <f aca="false">IF($A1833="","",IF(OR($Q1833=TRUE(),$Q1833="TRUE"),1,0))</f>
        <v/>
      </c>
      <c r="AL1833" s="28" t="str">
        <f aca="false">IF($N1833="","",IF(MATCH($N1833,$N$2:$N$3001,0)=ROWS($N$2:$N1833),$N1833,""))</f>
        <v/>
      </c>
    </row>
    <row r="1834" customFormat="false" ht="15" hidden="false" customHeight="false" outlineLevel="0" collapsed="false">
      <c r="E1834" s="25"/>
      <c r="M1834" s="26" t="str">
        <f aca="false">IF($A1834="","",$L1834*$U1834/100)</f>
        <v/>
      </c>
      <c r="W1834" s="26" t="str">
        <f aca="false">IF($A1834="","",U1834*AB1834/100)</f>
        <v/>
      </c>
      <c r="X1834" s="26" t="str">
        <f aca="false">IF($A1834="","",U1834-W1834)</f>
        <v/>
      </c>
      <c r="Y1834" s="26" t="str">
        <f aca="false">IF($A1834="","",U1834-W1834-M1834)</f>
        <v/>
      </c>
      <c r="AB1834" s="27" t="str">
        <f aca="false">IF($A1834="","",IF($AK1834=1,'كشف المطالبة'!$D$5,'كشف المطالبة'!$D$6)*100)</f>
        <v/>
      </c>
      <c r="AK1834" s="28" t="str">
        <f aca="false">IF($A1834="","",IF(OR($Q1834=TRUE(),$Q1834="TRUE"),1,0))</f>
        <v/>
      </c>
      <c r="AL1834" s="28" t="str">
        <f aca="false">IF($N1834="","",IF(MATCH($N1834,$N$2:$N$3001,0)=ROWS($N$2:$N1834),$N1834,""))</f>
        <v/>
      </c>
    </row>
    <row r="1835" customFormat="false" ht="15" hidden="false" customHeight="false" outlineLevel="0" collapsed="false">
      <c r="E1835" s="25"/>
      <c r="M1835" s="26" t="str">
        <f aca="false">IF($A1835="","",$L1835*$U1835/100)</f>
        <v/>
      </c>
      <c r="W1835" s="26" t="str">
        <f aca="false">IF($A1835="","",U1835*AB1835/100)</f>
        <v/>
      </c>
      <c r="X1835" s="26" t="str">
        <f aca="false">IF($A1835="","",U1835-W1835)</f>
        <v/>
      </c>
      <c r="Y1835" s="26" t="str">
        <f aca="false">IF($A1835="","",U1835-W1835-M1835)</f>
        <v/>
      </c>
      <c r="AB1835" s="27" t="str">
        <f aca="false">IF($A1835="","",IF($AK1835=1,'كشف المطالبة'!$D$5,'كشف المطالبة'!$D$6)*100)</f>
        <v/>
      </c>
      <c r="AK1835" s="28" t="str">
        <f aca="false">IF($A1835="","",IF(OR($Q1835=TRUE(),$Q1835="TRUE"),1,0))</f>
        <v/>
      </c>
      <c r="AL1835" s="28" t="str">
        <f aca="false">IF($N1835="","",IF(MATCH($N1835,$N$2:$N$3001,0)=ROWS($N$2:$N1835),$N1835,""))</f>
        <v/>
      </c>
    </row>
    <row r="1836" customFormat="false" ht="15" hidden="false" customHeight="false" outlineLevel="0" collapsed="false">
      <c r="E1836" s="25"/>
      <c r="M1836" s="26" t="str">
        <f aca="false">IF($A1836="","",$L1836*$U1836/100)</f>
        <v/>
      </c>
      <c r="W1836" s="26" t="str">
        <f aca="false">IF($A1836="","",U1836*AB1836/100)</f>
        <v/>
      </c>
      <c r="X1836" s="26" t="str">
        <f aca="false">IF($A1836="","",U1836-W1836)</f>
        <v/>
      </c>
      <c r="Y1836" s="26" t="str">
        <f aca="false">IF($A1836="","",U1836-W1836-M1836)</f>
        <v/>
      </c>
      <c r="AB1836" s="27" t="str">
        <f aca="false">IF($A1836="","",IF($AK1836=1,'كشف المطالبة'!$D$5,'كشف المطالبة'!$D$6)*100)</f>
        <v/>
      </c>
      <c r="AK1836" s="28" t="str">
        <f aca="false">IF($A1836="","",IF(OR($Q1836=TRUE(),$Q1836="TRUE"),1,0))</f>
        <v/>
      </c>
      <c r="AL1836" s="28" t="str">
        <f aca="false">IF($N1836="","",IF(MATCH($N1836,$N$2:$N$3001,0)=ROWS($N$2:$N1836),$N1836,""))</f>
        <v/>
      </c>
    </row>
    <row r="1837" customFormat="false" ht="15" hidden="false" customHeight="false" outlineLevel="0" collapsed="false">
      <c r="E1837" s="25"/>
      <c r="M1837" s="26" t="str">
        <f aca="false">IF($A1837="","",$L1837*$U1837/100)</f>
        <v/>
      </c>
      <c r="W1837" s="26" t="str">
        <f aca="false">IF($A1837="","",U1837*AB1837/100)</f>
        <v/>
      </c>
      <c r="X1837" s="26" t="str">
        <f aca="false">IF($A1837="","",U1837-W1837)</f>
        <v/>
      </c>
      <c r="Y1837" s="26" t="str">
        <f aca="false">IF($A1837="","",U1837-W1837-M1837)</f>
        <v/>
      </c>
      <c r="AB1837" s="27" t="str">
        <f aca="false">IF($A1837="","",IF($AK1837=1,'كشف المطالبة'!$D$5,'كشف المطالبة'!$D$6)*100)</f>
        <v/>
      </c>
      <c r="AK1837" s="28" t="str">
        <f aca="false">IF($A1837="","",IF(OR($Q1837=TRUE(),$Q1837="TRUE"),1,0))</f>
        <v/>
      </c>
      <c r="AL1837" s="28" t="str">
        <f aca="false">IF($N1837="","",IF(MATCH($N1837,$N$2:$N$3001,0)=ROWS($N$2:$N1837),$N1837,""))</f>
        <v/>
      </c>
    </row>
    <row r="1838" customFormat="false" ht="15" hidden="false" customHeight="false" outlineLevel="0" collapsed="false">
      <c r="E1838" s="25"/>
      <c r="M1838" s="26" t="str">
        <f aca="false">IF($A1838="","",$L1838*$U1838/100)</f>
        <v/>
      </c>
      <c r="W1838" s="26" t="str">
        <f aca="false">IF($A1838="","",U1838*AB1838/100)</f>
        <v/>
      </c>
      <c r="X1838" s="26" t="str">
        <f aca="false">IF($A1838="","",U1838-W1838)</f>
        <v/>
      </c>
      <c r="Y1838" s="26" t="str">
        <f aca="false">IF($A1838="","",U1838-W1838-M1838)</f>
        <v/>
      </c>
      <c r="AB1838" s="27" t="str">
        <f aca="false">IF($A1838="","",IF($AK1838=1,'كشف المطالبة'!$D$5,'كشف المطالبة'!$D$6)*100)</f>
        <v/>
      </c>
      <c r="AK1838" s="28" t="str">
        <f aca="false">IF($A1838="","",IF(OR($Q1838=TRUE(),$Q1838="TRUE"),1,0))</f>
        <v/>
      </c>
      <c r="AL1838" s="28" t="str">
        <f aca="false">IF($N1838="","",IF(MATCH($N1838,$N$2:$N$3001,0)=ROWS($N$2:$N1838),$N1838,""))</f>
        <v/>
      </c>
    </row>
    <row r="1839" customFormat="false" ht="15" hidden="false" customHeight="false" outlineLevel="0" collapsed="false">
      <c r="E1839" s="25"/>
      <c r="M1839" s="26" t="str">
        <f aca="false">IF($A1839="","",$L1839*$U1839/100)</f>
        <v/>
      </c>
      <c r="W1839" s="26" t="str">
        <f aca="false">IF($A1839="","",U1839*AB1839/100)</f>
        <v/>
      </c>
      <c r="X1839" s="26" t="str">
        <f aca="false">IF($A1839="","",U1839-W1839)</f>
        <v/>
      </c>
      <c r="Y1839" s="26" t="str">
        <f aca="false">IF($A1839="","",U1839-W1839-M1839)</f>
        <v/>
      </c>
      <c r="AB1839" s="27" t="str">
        <f aca="false">IF($A1839="","",IF($AK1839=1,'كشف المطالبة'!$D$5,'كشف المطالبة'!$D$6)*100)</f>
        <v/>
      </c>
      <c r="AK1839" s="28" t="str">
        <f aca="false">IF($A1839="","",IF(OR($Q1839=TRUE(),$Q1839="TRUE"),1,0))</f>
        <v/>
      </c>
      <c r="AL1839" s="28" t="str">
        <f aca="false">IF($N1839="","",IF(MATCH($N1839,$N$2:$N$3001,0)=ROWS($N$2:$N1839),$N1839,""))</f>
        <v/>
      </c>
    </row>
    <row r="1840" customFormat="false" ht="15" hidden="false" customHeight="false" outlineLevel="0" collapsed="false">
      <c r="E1840" s="25"/>
      <c r="M1840" s="26" t="str">
        <f aca="false">IF($A1840="","",$L1840*$U1840/100)</f>
        <v/>
      </c>
      <c r="W1840" s="26" t="str">
        <f aca="false">IF($A1840="","",U1840*AB1840/100)</f>
        <v/>
      </c>
      <c r="X1840" s="26" t="str">
        <f aca="false">IF($A1840="","",U1840-W1840)</f>
        <v/>
      </c>
      <c r="Y1840" s="26" t="str">
        <f aca="false">IF($A1840="","",U1840-W1840-M1840)</f>
        <v/>
      </c>
      <c r="AB1840" s="27" t="str">
        <f aca="false">IF($A1840="","",IF($AK1840=1,'كشف المطالبة'!$D$5,'كشف المطالبة'!$D$6)*100)</f>
        <v/>
      </c>
      <c r="AK1840" s="28" t="str">
        <f aca="false">IF($A1840="","",IF(OR($Q1840=TRUE(),$Q1840="TRUE"),1,0))</f>
        <v/>
      </c>
      <c r="AL1840" s="28" t="str">
        <f aca="false">IF($N1840="","",IF(MATCH($N1840,$N$2:$N$3001,0)=ROWS($N$2:$N1840),$N1840,""))</f>
        <v/>
      </c>
    </row>
    <row r="1841" customFormat="false" ht="15" hidden="false" customHeight="false" outlineLevel="0" collapsed="false">
      <c r="E1841" s="25"/>
      <c r="M1841" s="26" t="str">
        <f aca="false">IF($A1841="","",$L1841*$U1841/100)</f>
        <v/>
      </c>
      <c r="W1841" s="26" t="str">
        <f aca="false">IF($A1841="","",U1841*AB1841/100)</f>
        <v/>
      </c>
      <c r="X1841" s="26" t="str">
        <f aca="false">IF($A1841="","",U1841-W1841)</f>
        <v/>
      </c>
      <c r="Y1841" s="26" t="str">
        <f aca="false">IF($A1841="","",U1841-W1841-M1841)</f>
        <v/>
      </c>
      <c r="AB1841" s="27" t="str">
        <f aca="false">IF($A1841="","",IF($AK1841=1,'كشف المطالبة'!$D$5,'كشف المطالبة'!$D$6)*100)</f>
        <v/>
      </c>
      <c r="AK1841" s="28" t="str">
        <f aca="false">IF($A1841="","",IF(OR($Q1841=TRUE(),$Q1841="TRUE"),1,0))</f>
        <v/>
      </c>
      <c r="AL1841" s="28" t="str">
        <f aca="false">IF($N1841="","",IF(MATCH($N1841,$N$2:$N$3001,0)=ROWS($N$2:$N1841),$N1841,""))</f>
        <v/>
      </c>
    </row>
    <row r="1842" customFormat="false" ht="15" hidden="false" customHeight="false" outlineLevel="0" collapsed="false">
      <c r="E1842" s="25"/>
      <c r="M1842" s="26" t="str">
        <f aca="false">IF($A1842="","",$L1842*$U1842/100)</f>
        <v/>
      </c>
      <c r="W1842" s="26" t="str">
        <f aca="false">IF($A1842="","",U1842*AB1842/100)</f>
        <v/>
      </c>
      <c r="X1842" s="26" t="str">
        <f aca="false">IF($A1842="","",U1842-W1842)</f>
        <v/>
      </c>
      <c r="Y1842" s="26" t="str">
        <f aca="false">IF($A1842="","",U1842-W1842-M1842)</f>
        <v/>
      </c>
      <c r="AB1842" s="27" t="str">
        <f aca="false">IF($A1842="","",IF($AK1842=1,'كشف المطالبة'!$D$5,'كشف المطالبة'!$D$6)*100)</f>
        <v/>
      </c>
      <c r="AK1842" s="28" t="str">
        <f aca="false">IF($A1842="","",IF(OR($Q1842=TRUE(),$Q1842="TRUE"),1,0))</f>
        <v/>
      </c>
      <c r="AL1842" s="28" t="str">
        <f aca="false">IF($N1842="","",IF(MATCH($N1842,$N$2:$N$3001,0)=ROWS($N$2:$N1842),$N1842,""))</f>
        <v/>
      </c>
    </row>
    <row r="1843" customFormat="false" ht="15" hidden="false" customHeight="false" outlineLevel="0" collapsed="false">
      <c r="E1843" s="25"/>
      <c r="M1843" s="26" t="str">
        <f aca="false">IF($A1843="","",$L1843*$U1843/100)</f>
        <v/>
      </c>
      <c r="W1843" s="26" t="str">
        <f aca="false">IF($A1843="","",U1843*AB1843/100)</f>
        <v/>
      </c>
      <c r="X1843" s="26" t="str">
        <f aca="false">IF($A1843="","",U1843-W1843)</f>
        <v/>
      </c>
      <c r="Y1843" s="26" t="str">
        <f aca="false">IF($A1843="","",U1843-W1843-M1843)</f>
        <v/>
      </c>
      <c r="AB1843" s="27" t="str">
        <f aca="false">IF($A1843="","",IF($AK1843=1,'كشف المطالبة'!$D$5,'كشف المطالبة'!$D$6)*100)</f>
        <v/>
      </c>
      <c r="AK1843" s="28" t="str">
        <f aca="false">IF($A1843="","",IF(OR($Q1843=TRUE(),$Q1843="TRUE"),1,0))</f>
        <v/>
      </c>
      <c r="AL1843" s="28" t="str">
        <f aca="false">IF($N1843="","",IF(MATCH($N1843,$N$2:$N$3001,0)=ROWS($N$2:$N1843),$N1843,""))</f>
        <v/>
      </c>
    </row>
    <row r="1844" customFormat="false" ht="15" hidden="false" customHeight="false" outlineLevel="0" collapsed="false">
      <c r="E1844" s="25"/>
      <c r="M1844" s="26" t="str">
        <f aca="false">IF($A1844="","",$L1844*$U1844/100)</f>
        <v/>
      </c>
      <c r="W1844" s="26" t="str">
        <f aca="false">IF($A1844="","",U1844*AB1844/100)</f>
        <v/>
      </c>
      <c r="X1844" s="26" t="str">
        <f aca="false">IF($A1844="","",U1844-W1844)</f>
        <v/>
      </c>
      <c r="Y1844" s="26" t="str">
        <f aca="false">IF($A1844="","",U1844-W1844-M1844)</f>
        <v/>
      </c>
      <c r="AB1844" s="27" t="str">
        <f aca="false">IF($A1844="","",IF($AK1844=1,'كشف المطالبة'!$D$5,'كشف المطالبة'!$D$6)*100)</f>
        <v/>
      </c>
      <c r="AK1844" s="28" t="str">
        <f aca="false">IF($A1844="","",IF(OR($Q1844=TRUE(),$Q1844="TRUE"),1,0))</f>
        <v/>
      </c>
      <c r="AL1844" s="28" t="str">
        <f aca="false">IF($N1844="","",IF(MATCH($N1844,$N$2:$N$3001,0)=ROWS($N$2:$N1844),$N1844,""))</f>
        <v/>
      </c>
    </row>
    <row r="1845" customFormat="false" ht="15" hidden="false" customHeight="false" outlineLevel="0" collapsed="false">
      <c r="E1845" s="25"/>
      <c r="M1845" s="26" t="str">
        <f aca="false">IF($A1845="","",$L1845*$U1845/100)</f>
        <v/>
      </c>
      <c r="W1845" s="26" t="str">
        <f aca="false">IF($A1845="","",U1845*AB1845/100)</f>
        <v/>
      </c>
      <c r="X1845" s="26" t="str">
        <f aca="false">IF($A1845="","",U1845-W1845)</f>
        <v/>
      </c>
      <c r="Y1845" s="26" t="str">
        <f aca="false">IF($A1845="","",U1845-W1845-M1845)</f>
        <v/>
      </c>
      <c r="AB1845" s="27" t="str">
        <f aca="false">IF($A1845="","",IF($AK1845=1,'كشف المطالبة'!$D$5,'كشف المطالبة'!$D$6)*100)</f>
        <v/>
      </c>
      <c r="AK1845" s="28" t="str">
        <f aca="false">IF($A1845="","",IF(OR($Q1845=TRUE(),$Q1845="TRUE"),1,0))</f>
        <v/>
      </c>
      <c r="AL1845" s="28" t="str">
        <f aca="false">IF($N1845="","",IF(MATCH($N1845,$N$2:$N$3001,0)=ROWS($N$2:$N1845),$N1845,""))</f>
        <v/>
      </c>
    </row>
    <row r="1846" customFormat="false" ht="15" hidden="false" customHeight="false" outlineLevel="0" collapsed="false">
      <c r="E1846" s="25"/>
      <c r="M1846" s="26" t="str">
        <f aca="false">IF($A1846="","",$L1846*$U1846/100)</f>
        <v/>
      </c>
      <c r="W1846" s="26" t="str">
        <f aca="false">IF($A1846="","",U1846*AB1846/100)</f>
        <v/>
      </c>
      <c r="X1846" s="26" t="str">
        <f aca="false">IF($A1846="","",U1846-W1846)</f>
        <v/>
      </c>
      <c r="Y1846" s="26" t="str">
        <f aca="false">IF($A1846="","",U1846-W1846-M1846)</f>
        <v/>
      </c>
      <c r="AB1846" s="27" t="str">
        <f aca="false">IF($A1846="","",IF($AK1846=1,'كشف المطالبة'!$D$5,'كشف المطالبة'!$D$6)*100)</f>
        <v/>
      </c>
      <c r="AK1846" s="28" t="str">
        <f aca="false">IF($A1846="","",IF(OR($Q1846=TRUE(),$Q1846="TRUE"),1,0))</f>
        <v/>
      </c>
      <c r="AL1846" s="28" t="str">
        <f aca="false">IF($N1846="","",IF(MATCH($N1846,$N$2:$N$3001,0)=ROWS($N$2:$N1846),$N1846,""))</f>
        <v/>
      </c>
    </row>
    <row r="1847" customFormat="false" ht="15" hidden="false" customHeight="false" outlineLevel="0" collapsed="false">
      <c r="E1847" s="25"/>
      <c r="M1847" s="26" t="str">
        <f aca="false">IF($A1847="","",$L1847*$U1847/100)</f>
        <v/>
      </c>
      <c r="W1847" s="26" t="str">
        <f aca="false">IF($A1847="","",U1847*AB1847/100)</f>
        <v/>
      </c>
      <c r="X1847" s="26" t="str">
        <f aca="false">IF($A1847="","",U1847-W1847)</f>
        <v/>
      </c>
      <c r="Y1847" s="26" t="str">
        <f aca="false">IF($A1847="","",U1847-W1847-M1847)</f>
        <v/>
      </c>
      <c r="AB1847" s="27" t="str">
        <f aca="false">IF($A1847="","",IF($AK1847=1,'كشف المطالبة'!$D$5,'كشف المطالبة'!$D$6)*100)</f>
        <v/>
      </c>
      <c r="AK1847" s="28" t="str">
        <f aca="false">IF($A1847="","",IF(OR($Q1847=TRUE(),$Q1847="TRUE"),1,0))</f>
        <v/>
      </c>
      <c r="AL1847" s="28" t="str">
        <f aca="false">IF($N1847="","",IF(MATCH($N1847,$N$2:$N$3001,0)=ROWS($N$2:$N1847),$N1847,""))</f>
        <v/>
      </c>
    </row>
    <row r="1848" customFormat="false" ht="15" hidden="false" customHeight="false" outlineLevel="0" collapsed="false">
      <c r="E1848" s="25"/>
      <c r="M1848" s="26" t="str">
        <f aca="false">IF($A1848="","",$L1848*$U1848/100)</f>
        <v/>
      </c>
      <c r="W1848" s="26" t="str">
        <f aca="false">IF($A1848="","",U1848*AB1848/100)</f>
        <v/>
      </c>
      <c r="X1848" s="26" t="str">
        <f aca="false">IF($A1848="","",U1848-W1848)</f>
        <v/>
      </c>
      <c r="Y1848" s="26" t="str">
        <f aca="false">IF($A1848="","",U1848-W1848-M1848)</f>
        <v/>
      </c>
      <c r="AB1848" s="27" t="str">
        <f aca="false">IF($A1848="","",IF($AK1848=1,'كشف المطالبة'!$D$5,'كشف المطالبة'!$D$6)*100)</f>
        <v/>
      </c>
      <c r="AK1848" s="28" t="str">
        <f aca="false">IF($A1848="","",IF(OR($Q1848=TRUE(),$Q1848="TRUE"),1,0))</f>
        <v/>
      </c>
      <c r="AL1848" s="28" t="str">
        <f aca="false">IF($N1848="","",IF(MATCH($N1848,$N$2:$N$3001,0)=ROWS($N$2:$N1848),$N1848,""))</f>
        <v/>
      </c>
    </row>
    <row r="1849" customFormat="false" ht="15" hidden="false" customHeight="false" outlineLevel="0" collapsed="false">
      <c r="E1849" s="25"/>
      <c r="M1849" s="26" t="str">
        <f aca="false">IF($A1849="","",$L1849*$U1849/100)</f>
        <v/>
      </c>
      <c r="W1849" s="26" t="str">
        <f aca="false">IF($A1849="","",U1849*AB1849/100)</f>
        <v/>
      </c>
      <c r="X1849" s="26" t="str">
        <f aca="false">IF($A1849="","",U1849-W1849)</f>
        <v/>
      </c>
      <c r="Y1849" s="26" t="str">
        <f aca="false">IF($A1849="","",U1849-W1849-M1849)</f>
        <v/>
      </c>
      <c r="AB1849" s="27" t="str">
        <f aca="false">IF($A1849="","",IF($AK1849=1,'كشف المطالبة'!$D$5,'كشف المطالبة'!$D$6)*100)</f>
        <v/>
      </c>
      <c r="AK1849" s="28" t="str">
        <f aca="false">IF($A1849="","",IF(OR($Q1849=TRUE(),$Q1849="TRUE"),1,0))</f>
        <v/>
      </c>
      <c r="AL1849" s="28" t="str">
        <f aca="false">IF($N1849="","",IF(MATCH($N1849,$N$2:$N$3001,0)=ROWS($N$2:$N1849),$N1849,""))</f>
        <v/>
      </c>
    </row>
    <row r="1850" customFormat="false" ht="15" hidden="false" customHeight="false" outlineLevel="0" collapsed="false">
      <c r="E1850" s="25"/>
      <c r="M1850" s="26" t="str">
        <f aca="false">IF($A1850="","",$L1850*$U1850/100)</f>
        <v/>
      </c>
      <c r="W1850" s="26" t="str">
        <f aca="false">IF($A1850="","",U1850*AB1850/100)</f>
        <v/>
      </c>
      <c r="X1850" s="26" t="str">
        <f aca="false">IF($A1850="","",U1850-W1850)</f>
        <v/>
      </c>
      <c r="Y1850" s="26" t="str">
        <f aca="false">IF($A1850="","",U1850-W1850-M1850)</f>
        <v/>
      </c>
      <c r="AB1850" s="27" t="str">
        <f aca="false">IF($A1850="","",IF($AK1850=1,'كشف المطالبة'!$D$5,'كشف المطالبة'!$D$6)*100)</f>
        <v/>
      </c>
      <c r="AK1850" s="28" t="str">
        <f aca="false">IF($A1850="","",IF(OR($Q1850=TRUE(),$Q1850="TRUE"),1,0))</f>
        <v/>
      </c>
      <c r="AL1850" s="28" t="str">
        <f aca="false">IF($N1850="","",IF(MATCH($N1850,$N$2:$N$3001,0)=ROWS($N$2:$N1850),$N1850,""))</f>
        <v/>
      </c>
    </row>
    <row r="1851" customFormat="false" ht="15" hidden="false" customHeight="false" outlineLevel="0" collapsed="false">
      <c r="E1851" s="25"/>
      <c r="M1851" s="26" t="str">
        <f aca="false">IF($A1851="","",$L1851*$U1851/100)</f>
        <v/>
      </c>
      <c r="W1851" s="26" t="str">
        <f aca="false">IF($A1851="","",U1851*AB1851/100)</f>
        <v/>
      </c>
      <c r="X1851" s="26" t="str">
        <f aca="false">IF($A1851="","",U1851-W1851)</f>
        <v/>
      </c>
      <c r="Y1851" s="26" t="str">
        <f aca="false">IF($A1851="","",U1851-W1851-M1851)</f>
        <v/>
      </c>
      <c r="AB1851" s="27" t="str">
        <f aca="false">IF($A1851="","",IF($AK1851=1,'كشف المطالبة'!$D$5,'كشف المطالبة'!$D$6)*100)</f>
        <v/>
      </c>
      <c r="AK1851" s="28" t="str">
        <f aca="false">IF($A1851="","",IF(OR($Q1851=TRUE(),$Q1851="TRUE"),1,0))</f>
        <v/>
      </c>
      <c r="AL1851" s="28" t="str">
        <f aca="false">IF($N1851="","",IF(MATCH($N1851,$N$2:$N$3001,0)=ROWS($N$2:$N1851),$N1851,""))</f>
        <v/>
      </c>
    </row>
    <row r="1852" customFormat="false" ht="15" hidden="false" customHeight="false" outlineLevel="0" collapsed="false">
      <c r="E1852" s="25"/>
      <c r="M1852" s="26" t="str">
        <f aca="false">IF($A1852="","",$L1852*$U1852/100)</f>
        <v/>
      </c>
      <c r="W1852" s="26" t="str">
        <f aca="false">IF($A1852="","",U1852*AB1852/100)</f>
        <v/>
      </c>
      <c r="X1852" s="26" t="str">
        <f aca="false">IF($A1852="","",U1852-W1852)</f>
        <v/>
      </c>
      <c r="Y1852" s="26" t="str">
        <f aca="false">IF($A1852="","",U1852-W1852-M1852)</f>
        <v/>
      </c>
      <c r="AB1852" s="27" t="str">
        <f aca="false">IF($A1852="","",IF($AK1852=1,'كشف المطالبة'!$D$5,'كشف المطالبة'!$D$6)*100)</f>
        <v/>
      </c>
      <c r="AK1852" s="28" t="str">
        <f aca="false">IF($A1852="","",IF(OR($Q1852=TRUE(),$Q1852="TRUE"),1,0))</f>
        <v/>
      </c>
      <c r="AL1852" s="28" t="str">
        <f aca="false">IF($N1852="","",IF(MATCH($N1852,$N$2:$N$3001,0)=ROWS($N$2:$N1852),$N1852,""))</f>
        <v/>
      </c>
    </row>
    <row r="1853" customFormat="false" ht="15" hidden="false" customHeight="false" outlineLevel="0" collapsed="false">
      <c r="E1853" s="25"/>
      <c r="M1853" s="26" t="str">
        <f aca="false">IF($A1853="","",$L1853*$U1853/100)</f>
        <v/>
      </c>
      <c r="W1853" s="26" t="str">
        <f aca="false">IF($A1853="","",U1853*AB1853/100)</f>
        <v/>
      </c>
      <c r="X1853" s="26" t="str">
        <f aca="false">IF($A1853="","",U1853-W1853)</f>
        <v/>
      </c>
      <c r="Y1853" s="26" t="str">
        <f aca="false">IF($A1853="","",U1853-W1853-M1853)</f>
        <v/>
      </c>
      <c r="AB1853" s="27" t="str">
        <f aca="false">IF($A1853="","",IF($AK1853=1,'كشف المطالبة'!$D$5,'كشف المطالبة'!$D$6)*100)</f>
        <v/>
      </c>
      <c r="AK1853" s="28" t="str">
        <f aca="false">IF($A1853="","",IF(OR($Q1853=TRUE(),$Q1853="TRUE"),1,0))</f>
        <v/>
      </c>
      <c r="AL1853" s="28" t="str">
        <f aca="false">IF($N1853="","",IF(MATCH($N1853,$N$2:$N$3001,0)=ROWS($N$2:$N1853),$N1853,""))</f>
        <v/>
      </c>
    </row>
    <row r="1854" customFormat="false" ht="15" hidden="false" customHeight="false" outlineLevel="0" collapsed="false">
      <c r="E1854" s="25"/>
      <c r="M1854" s="26" t="str">
        <f aca="false">IF($A1854="","",$L1854*$U1854/100)</f>
        <v/>
      </c>
      <c r="W1854" s="26" t="str">
        <f aca="false">IF($A1854="","",U1854*AB1854/100)</f>
        <v/>
      </c>
      <c r="X1854" s="26" t="str">
        <f aca="false">IF($A1854="","",U1854-W1854)</f>
        <v/>
      </c>
      <c r="Y1854" s="26" t="str">
        <f aca="false">IF($A1854="","",U1854-W1854-M1854)</f>
        <v/>
      </c>
      <c r="AB1854" s="27" t="str">
        <f aca="false">IF($A1854="","",IF($AK1854=1,'كشف المطالبة'!$D$5,'كشف المطالبة'!$D$6)*100)</f>
        <v/>
      </c>
      <c r="AK1854" s="28" t="str">
        <f aca="false">IF($A1854="","",IF(OR($Q1854=TRUE(),$Q1854="TRUE"),1,0))</f>
        <v/>
      </c>
      <c r="AL1854" s="28" t="str">
        <f aca="false">IF($N1854="","",IF(MATCH($N1854,$N$2:$N$3001,0)=ROWS($N$2:$N1854),$N1854,""))</f>
        <v/>
      </c>
    </row>
    <row r="1855" customFormat="false" ht="15" hidden="false" customHeight="false" outlineLevel="0" collapsed="false">
      <c r="E1855" s="25"/>
      <c r="M1855" s="26" t="str">
        <f aca="false">IF($A1855="","",$L1855*$U1855/100)</f>
        <v/>
      </c>
      <c r="W1855" s="26" t="str">
        <f aca="false">IF($A1855="","",U1855*AB1855/100)</f>
        <v/>
      </c>
      <c r="X1855" s="26" t="str">
        <f aca="false">IF($A1855="","",U1855-W1855)</f>
        <v/>
      </c>
      <c r="Y1855" s="26" t="str">
        <f aca="false">IF($A1855="","",U1855-W1855-M1855)</f>
        <v/>
      </c>
      <c r="AB1855" s="27" t="str">
        <f aca="false">IF($A1855="","",IF($AK1855=1,'كشف المطالبة'!$D$5,'كشف المطالبة'!$D$6)*100)</f>
        <v/>
      </c>
      <c r="AK1855" s="28" t="str">
        <f aca="false">IF($A1855="","",IF(OR($Q1855=TRUE(),$Q1855="TRUE"),1,0))</f>
        <v/>
      </c>
      <c r="AL1855" s="28" t="str">
        <f aca="false">IF($N1855="","",IF(MATCH($N1855,$N$2:$N$3001,0)=ROWS($N$2:$N1855),$N1855,""))</f>
        <v/>
      </c>
    </row>
    <row r="1856" customFormat="false" ht="15" hidden="false" customHeight="false" outlineLevel="0" collapsed="false">
      <c r="E1856" s="25"/>
      <c r="M1856" s="26" t="str">
        <f aca="false">IF($A1856="","",$L1856*$U1856/100)</f>
        <v/>
      </c>
      <c r="W1856" s="26" t="str">
        <f aca="false">IF($A1856="","",U1856*AB1856/100)</f>
        <v/>
      </c>
      <c r="X1856" s="26" t="str">
        <f aca="false">IF($A1856="","",U1856-W1856)</f>
        <v/>
      </c>
      <c r="Y1856" s="26" t="str">
        <f aca="false">IF($A1856="","",U1856-W1856-M1856)</f>
        <v/>
      </c>
      <c r="AB1856" s="27" t="str">
        <f aca="false">IF($A1856="","",IF($AK1856=1,'كشف المطالبة'!$D$5,'كشف المطالبة'!$D$6)*100)</f>
        <v/>
      </c>
      <c r="AK1856" s="28" t="str">
        <f aca="false">IF($A1856="","",IF(OR($Q1856=TRUE(),$Q1856="TRUE"),1,0))</f>
        <v/>
      </c>
      <c r="AL1856" s="28" t="str">
        <f aca="false">IF($N1856="","",IF(MATCH($N1856,$N$2:$N$3001,0)=ROWS($N$2:$N1856),$N1856,""))</f>
        <v/>
      </c>
    </row>
    <row r="1857" customFormat="false" ht="15" hidden="false" customHeight="false" outlineLevel="0" collapsed="false">
      <c r="E1857" s="25"/>
      <c r="M1857" s="26" t="str">
        <f aca="false">IF($A1857="","",$L1857*$U1857/100)</f>
        <v/>
      </c>
      <c r="W1857" s="26" t="str">
        <f aca="false">IF($A1857="","",U1857*AB1857/100)</f>
        <v/>
      </c>
      <c r="X1857" s="26" t="str">
        <f aca="false">IF($A1857="","",U1857-W1857)</f>
        <v/>
      </c>
      <c r="Y1857" s="26" t="str">
        <f aca="false">IF($A1857="","",U1857-W1857-M1857)</f>
        <v/>
      </c>
      <c r="AB1857" s="27" t="str">
        <f aca="false">IF($A1857="","",IF($AK1857=1,'كشف المطالبة'!$D$5,'كشف المطالبة'!$D$6)*100)</f>
        <v/>
      </c>
      <c r="AK1857" s="28" t="str">
        <f aca="false">IF($A1857="","",IF(OR($Q1857=TRUE(),$Q1857="TRUE"),1,0))</f>
        <v/>
      </c>
      <c r="AL1857" s="28" t="str">
        <f aca="false">IF($N1857="","",IF(MATCH($N1857,$N$2:$N$3001,0)=ROWS($N$2:$N1857),$N1857,""))</f>
        <v/>
      </c>
    </row>
    <row r="1858" customFormat="false" ht="15" hidden="false" customHeight="false" outlineLevel="0" collapsed="false">
      <c r="E1858" s="25"/>
      <c r="M1858" s="26" t="str">
        <f aca="false">IF($A1858="","",$L1858*$U1858/100)</f>
        <v/>
      </c>
      <c r="W1858" s="26" t="str">
        <f aca="false">IF($A1858="","",U1858*AB1858/100)</f>
        <v/>
      </c>
      <c r="X1858" s="26" t="str">
        <f aca="false">IF($A1858="","",U1858-W1858)</f>
        <v/>
      </c>
      <c r="Y1858" s="26" t="str">
        <f aca="false">IF($A1858="","",U1858-W1858-M1858)</f>
        <v/>
      </c>
      <c r="AB1858" s="27" t="str">
        <f aca="false">IF($A1858="","",IF($AK1858=1,'كشف المطالبة'!$D$5,'كشف المطالبة'!$D$6)*100)</f>
        <v/>
      </c>
      <c r="AK1858" s="28" t="str">
        <f aca="false">IF($A1858="","",IF(OR($Q1858=TRUE(),$Q1858="TRUE"),1,0))</f>
        <v/>
      </c>
      <c r="AL1858" s="28" t="str">
        <f aca="false">IF($N1858="","",IF(MATCH($N1858,$N$2:$N$3001,0)=ROWS($N$2:$N1858),$N1858,""))</f>
        <v/>
      </c>
    </row>
    <row r="1859" customFormat="false" ht="15" hidden="false" customHeight="false" outlineLevel="0" collapsed="false">
      <c r="E1859" s="25"/>
      <c r="M1859" s="26" t="str">
        <f aca="false">IF($A1859="","",$L1859*$U1859/100)</f>
        <v/>
      </c>
      <c r="W1859" s="26" t="str">
        <f aca="false">IF($A1859="","",U1859*AB1859/100)</f>
        <v/>
      </c>
      <c r="X1859" s="26" t="str">
        <f aca="false">IF($A1859="","",U1859-W1859)</f>
        <v/>
      </c>
      <c r="Y1859" s="26" t="str">
        <f aca="false">IF($A1859="","",U1859-W1859-M1859)</f>
        <v/>
      </c>
      <c r="AB1859" s="27" t="str">
        <f aca="false">IF($A1859="","",IF($AK1859=1,'كشف المطالبة'!$D$5,'كشف المطالبة'!$D$6)*100)</f>
        <v/>
      </c>
      <c r="AK1859" s="28" t="str">
        <f aca="false">IF($A1859="","",IF(OR($Q1859=TRUE(),$Q1859="TRUE"),1,0))</f>
        <v/>
      </c>
      <c r="AL1859" s="28" t="str">
        <f aca="false">IF($N1859="","",IF(MATCH($N1859,$N$2:$N$3001,0)=ROWS($N$2:$N1859),$N1859,""))</f>
        <v/>
      </c>
    </row>
    <row r="1860" customFormat="false" ht="15" hidden="false" customHeight="false" outlineLevel="0" collapsed="false">
      <c r="E1860" s="25"/>
      <c r="M1860" s="26" t="str">
        <f aca="false">IF($A1860="","",$L1860*$U1860/100)</f>
        <v/>
      </c>
      <c r="W1860" s="26" t="str">
        <f aca="false">IF($A1860="","",U1860*AB1860/100)</f>
        <v/>
      </c>
      <c r="X1860" s="26" t="str">
        <f aca="false">IF($A1860="","",U1860-W1860)</f>
        <v/>
      </c>
      <c r="Y1860" s="26" t="str">
        <f aca="false">IF($A1860="","",U1860-W1860-M1860)</f>
        <v/>
      </c>
      <c r="AB1860" s="27" t="str">
        <f aca="false">IF($A1860="","",IF($AK1860=1,'كشف المطالبة'!$D$5,'كشف المطالبة'!$D$6)*100)</f>
        <v/>
      </c>
      <c r="AK1860" s="28" t="str">
        <f aca="false">IF($A1860="","",IF(OR($Q1860=TRUE(),$Q1860="TRUE"),1,0))</f>
        <v/>
      </c>
      <c r="AL1860" s="28" t="str">
        <f aca="false">IF($N1860="","",IF(MATCH($N1860,$N$2:$N$3001,0)=ROWS($N$2:$N1860),$N1860,""))</f>
        <v/>
      </c>
    </row>
    <row r="1861" customFormat="false" ht="15" hidden="false" customHeight="false" outlineLevel="0" collapsed="false">
      <c r="E1861" s="25"/>
      <c r="M1861" s="26" t="str">
        <f aca="false">IF($A1861="","",$L1861*$U1861/100)</f>
        <v/>
      </c>
      <c r="W1861" s="26" t="str">
        <f aca="false">IF($A1861="","",U1861*AB1861/100)</f>
        <v/>
      </c>
      <c r="X1861" s="26" t="str">
        <f aca="false">IF($A1861="","",U1861-W1861)</f>
        <v/>
      </c>
      <c r="Y1861" s="26" t="str">
        <f aca="false">IF($A1861="","",U1861-W1861-M1861)</f>
        <v/>
      </c>
      <c r="AB1861" s="27" t="str">
        <f aca="false">IF($A1861="","",IF($AK1861=1,'كشف المطالبة'!$D$5,'كشف المطالبة'!$D$6)*100)</f>
        <v/>
      </c>
      <c r="AK1861" s="28" t="str">
        <f aca="false">IF($A1861="","",IF(OR($Q1861=TRUE(),$Q1861="TRUE"),1,0))</f>
        <v/>
      </c>
      <c r="AL1861" s="28" t="str">
        <f aca="false">IF($N1861="","",IF(MATCH($N1861,$N$2:$N$3001,0)=ROWS($N$2:$N1861),$N1861,""))</f>
        <v/>
      </c>
    </row>
    <row r="1862" customFormat="false" ht="15" hidden="false" customHeight="false" outlineLevel="0" collapsed="false">
      <c r="E1862" s="25"/>
      <c r="M1862" s="26" t="str">
        <f aca="false">IF($A1862="","",$L1862*$U1862/100)</f>
        <v/>
      </c>
      <c r="W1862" s="26" t="str">
        <f aca="false">IF($A1862="","",U1862*AB1862/100)</f>
        <v/>
      </c>
      <c r="X1862" s="26" t="str">
        <f aca="false">IF($A1862="","",U1862-W1862)</f>
        <v/>
      </c>
      <c r="Y1862" s="26" t="str">
        <f aca="false">IF($A1862="","",U1862-W1862-M1862)</f>
        <v/>
      </c>
      <c r="AB1862" s="27" t="str">
        <f aca="false">IF($A1862="","",IF($AK1862=1,'كشف المطالبة'!$D$5,'كشف المطالبة'!$D$6)*100)</f>
        <v/>
      </c>
      <c r="AK1862" s="28" t="str">
        <f aca="false">IF($A1862="","",IF(OR($Q1862=TRUE(),$Q1862="TRUE"),1,0))</f>
        <v/>
      </c>
      <c r="AL1862" s="28" t="str">
        <f aca="false">IF($N1862="","",IF(MATCH($N1862,$N$2:$N$3001,0)=ROWS($N$2:$N1862),$N1862,""))</f>
        <v/>
      </c>
    </row>
    <row r="1863" customFormat="false" ht="15" hidden="false" customHeight="false" outlineLevel="0" collapsed="false">
      <c r="E1863" s="25"/>
      <c r="M1863" s="26" t="str">
        <f aca="false">IF($A1863="","",$L1863*$U1863/100)</f>
        <v/>
      </c>
      <c r="W1863" s="26" t="str">
        <f aca="false">IF($A1863="","",U1863*AB1863/100)</f>
        <v/>
      </c>
      <c r="X1863" s="26" t="str">
        <f aca="false">IF($A1863="","",U1863-W1863)</f>
        <v/>
      </c>
      <c r="Y1863" s="26" t="str">
        <f aca="false">IF($A1863="","",U1863-W1863-M1863)</f>
        <v/>
      </c>
      <c r="AB1863" s="27" t="str">
        <f aca="false">IF($A1863="","",IF($AK1863=1,'كشف المطالبة'!$D$5,'كشف المطالبة'!$D$6)*100)</f>
        <v/>
      </c>
      <c r="AK1863" s="28" t="str">
        <f aca="false">IF($A1863="","",IF(OR($Q1863=TRUE(),$Q1863="TRUE"),1,0))</f>
        <v/>
      </c>
      <c r="AL1863" s="28" t="str">
        <f aca="false">IF($N1863="","",IF(MATCH($N1863,$N$2:$N$3001,0)=ROWS($N$2:$N1863),$N1863,""))</f>
        <v/>
      </c>
    </row>
    <row r="1864" customFormat="false" ht="15" hidden="false" customHeight="false" outlineLevel="0" collapsed="false">
      <c r="E1864" s="25"/>
      <c r="M1864" s="26" t="str">
        <f aca="false">IF($A1864="","",$L1864*$U1864/100)</f>
        <v/>
      </c>
      <c r="W1864" s="26" t="str">
        <f aca="false">IF($A1864="","",U1864*AB1864/100)</f>
        <v/>
      </c>
      <c r="X1864" s="26" t="str">
        <f aca="false">IF($A1864="","",U1864-W1864)</f>
        <v/>
      </c>
      <c r="Y1864" s="26" t="str">
        <f aca="false">IF($A1864="","",U1864-W1864-M1864)</f>
        <v/>
      </c>
      <c r="AB1864" s="27" t="str">
        <f aca="false">IF($A1864="","",IF($AK1864=1,'كشف المطالبة'!$D$5,'كشف المطالبة'!$D$6)*100)</f>
        <v/>
      </c>
      <c r="AK1864" s="28" t="str">
        <f aca="false">IF($A1864="","",IF(OR($Q1864=TRUE(),$Q1864="TRUE"),1,0))</f>
        <v/>
      </c>
      <c r="AL1864" s="28" t="str">
        <f aca="false">IF($N1864="","",IF(MATCH($N1864,$N$2:$N$3001,0)=ROWS($N$2:$N1864),$N1864,""))</f>
        <v/>
      </c>
    </row>
    <row r="1865" customFormat="false" ht="15" hidden="false" customHeight="false" outlineLevel="0" collapsed="false">
      <c r="E1865" s="25"/>
      <c r="M1865" s="26" t="str">
        <f aca="false">IF($A1865="","",$L1865*$U1865/100)</f>
        <v/>
      </c>
      <c r="W1865" s="26" t="str">
        <f aca="false">IF($A1865="","",U1865*AB1865/100)</f>
        <v/>
      </c>
      <c r="X1865" s="26" t="str">
        <f aca="false">IF($A1865="","",U1865-W1865)</f>
        <v/>
      </c>
      <c r="Y1865" s="26" t="str">
        <f aca="false">IF($A1865="","",U1865-W1865-M1865)</f>
        <v/>
      </c>
      <c r="AB1865" s="27" t="str">
        <f aca="false">IF($A1865="","",IF($AK1865=1,'كشف المطالبة'!$D$5,'كشف المطالبة'!$D$6)*100)</f>
        <v/>
      </c>
      <c r="AK1865" s="28" t="str">
        <f aca="false">IF($A1865="","",IF(OR($Q1865=TRUE(),$Q1865="TRUE"),1,0))</f>
        <v/>
      </c>
      <c r="AL1865" s="28" t="str">
        <f aca="false">IF($N1865="","",IF(MATCH($N1865,$N$2:$N$3001,0)=ROWS($N$2:$N1865),$N1865,""))</f>
        <v/>
      </c>
    </row>
    <row r="1866" customFormat="false" ht="15" hidden="false" customHeight="false" outlineLevel="0" collapsed="false">
      <c r="E1866" s="25"/>
      <c r="M1866" s="26" t="str">
        <f aca="false">IF($A1866="","",$L1866*$U1866/100)</f>
        <v/>
      </c>
      <c r="W1866" s="26" t="str">
        <f aca="false">IF($A1866="","",U1866*AB1866/100)</f>
        <v/>
      </c>
      <c r="X1866" s="26" t="str">
        <f aca="false">IF($A1866="","",U1866-W1866)</f>
        <v/>
      </c>
      <c r="Y1866" s="26" t="str">
        <f aca="false">IF($A1866="","",U1866-W1866-M1866)</f>
        <v/>
      </c>
      <c r="AB1866" s="27" t="str">
        <f aca="false">IF($A1866="","",IF($AK1866=1,'كشف المطالبة'!$D$5,'كشف المطالبة'!$D$6)*100)</f>
        <v/>
      </c>
      <c r="AK1866" s="28" t="str">
        <f aca="false">IF($A1866="","",IF(OR($Q1866=TRUE(),$Q1866="TRUE"),1,0))</f>
        <v/>
      </c>
      <c r="AL1866" s="28" t="str">
        <f aca="false">IF($N1866="","",IF(MATCH($N1866,$N$2:$N$3001,0)=ROWS($N$2:$N1866),$N1866,""))</f>
        <v/>
      </c>
    </row>
    <row r="1867" customFormat="false" ht="15" hidden="false" customHeight="false" outlineLevel="0" collapsed="false">
      <c r="E1867" s="25"/>
      <c r="M1867" s="26" t="str">
        <f aca="false">IF($A1867="","",$L1867*$U1867/100)</f>
        <v/>
      </c>
      <c r="W1867" s="26" t="str">
        <f aca="false">IF($A1867="","",U1867*AB1867/100)</f>
        <v/>
      </c>
      <c r="X1867" s="26" t="str">
        <f aca="false">IF($A1867="","",U1867-W1867)</f>
        <v/>
      </c>
      <c r="Y1867" s="26" t="str">
        <f aca="false">IF($A1867="","",U1867-W1867-M1867)</f>
        <v/>
      </c>
      <c r="AB1867" s="27" t="str">
        <f aca="false">IF($A1867="","",IF($AK1867=1,'كشف المطالبة'!$D$5,'كشف المطالبة'!$D$6)*100)</f>
        <v/>
      </c>
      <c r="AK1867" s="28" t="str">
        <f aca="false">IF($A1867="","",IF(OR($Q1867=TRUE(),$Q1867="TRUE"),1,0))</f>
        <v/>
      </c>
      <c r="AL1867" s="28" t="str">
        <f aca="false">IF($N1867="","",IF(MATCH($N1867,$N$2:$N$3001,0)=ROWS($N$2:$N1867),$N1867,""))</f>
        <v/>
      </c>
    </row>
    <row r="1868" customFormat="false" ht="15" hidden="false" customHeight="false" outlineLevel="0" collapsed="false">
      <c r="E1868" s="25"/>
      <c r="M1868" s="26" t="str">
        <f aca="false">IF($A1868="","",$L1868*$U1868/100)</f>
        <v/>
      </c>
      <c r="W1868" s="26" t="str">
        <f aca="false">IF($A1868="","",U1868*AB1868/100)</f>
        <v/>
      </c>
      <c r="X1868" s="26" t="str">
        <f aca="false">IF($A1868="","",U1868-W1868)</f>
        <v/>
      </c>
      <c r="Y1868" s="26" t="str">
        <f aca="false">IF($A1868="","",U1868-W1868-M1868)</f>
        <v/>
      </c>
      <c r="AB1868" s="27" t="str">
        <f aca="false">IF($A1868="","",IF($AK1868=1,'كشف المطالبة'!$D$5,'كشف المطالبة'!$D$6)*100)</f>
        <v/>
      </c>
      <c r="AK1868" s="28" t="str">
        <f aca="false">IF($A1868="","",IF(OR($Q1868=TRUE(),$Q1868="TRUE"),1,0))</f>
        <v/>
      </c>
      <c r="AL1868" s="28" t="str">
        <f aca="false">IF($N1868="","",IF(MATCH($N1868,$N$2:$N$3001,0)=ROWS($N$2:$N1868),$N1868,""))</f>
        <v/>
      </c>
    </row>
    <row r="1869" customFormat="false" ht="15" hidden="false" customHeight="false" outlineLevel="0" collapsed="false">
      <c r="E1869" s="25"/>
      <c r="M1869" s="26" t="str">
        <f aca="false">IF($A1869="","",$L1869*$U1869/100)</f>
        <v/>
      </c>
      <c r="W1869" s="26" t="str">
        <f aca="false">IF($A1869="","",U1869*AB1869/100)</f>
        <v/>
      </c>
      <c r="X1869" s="26" t="str">
        <f aca="false">IF($A1869="","",U1869-W1869)</f>
        <v/>
      </c>
      <c r="Y1869" s="26" t="str">
        <f aca="false">IF($A1869="","",U1869-W1869-M1869)</f>
        <v/>
      </c>
      <c r="AB1869" s="27" t="str">
        <f aca="false">IF($A1869="","",IF($AK1869=1,'كشف المطالبة'!$D$5,'كشف المطالبة'!$D$6)*100)</f>
        <v/>
      </c>
      <c r="AK1869" s="28" t="str">
        <f aca="false">IF($A1869="","",IF(OR($Q1869=TRUE(),$Q1869="TRUE"),1,0))</f>
        <v/>
      </c>
      <c r="AL1869" s="28" t="str">
        <f aca="false">IF($N1869="","",IF(MATCH($N1869,$N$2:$N$3001,0)=ROWS($N$2:$N1869),$N1869,""))</f>
        <v/>
      </c>
    </row>
    <row r="1870" customFormat="false" ht="15" hidden="false" customHeight="false" outlineLevel="0" collapsed="false">
      <c r="E1870" s="25"/>
      <c r="M1870" s="26" t="str">
        <f aca="false">IF($A1870="","",$L1870*$U1870/100)</f>
        <v/>
      </c>
      <c r="W1870" s="26" t="str">
        <f aca="false">IF($A1870="","",U1870*AB1870/100)</f>
        <v/>
      </c>
      <c r="X1870" s="26" t="str">
        <f aca="false">IF($A1870="","",U1870-W1870)</f>
        <v/>
      </c>
      <c r="Y1870" s="26" t="str">
        <f aca="false">IF($A1870="","",U1870-W1870-M1870)</f>
        <v/>
      </c>
      <c r="AB1870" s="27" t="str">
        <f aca="false">IF($A1870="","",IF($AK1870=1,'كشف المطالبة'!$D$5,'كشف المطالبة'!$D$6)*100)</f>
        <v/>
      </c>
      <c r="AK1870" s="28" t="str">
        <f aca="false">IF($A1870="","",IF(OR($Q1870=TRUE(),$Q1870="TRUE"),1,0))</f>
        <v/>
      </c>
      <c r="AL1870" s="28" t="str">
        <f aca="false">IF($N1870="","",IF(MATCH($N1870,$N$2:$N$3001,0)=ROWS($N$2:$N1870),$N1870,""))</f>
        <v/>
      </c>
    </row>
    <row r="1871" customFormat="false" ht="15" hidden="false" customHeight="false" outlineLevel="0" collapsed="false">
      <c r="E1871" s="25"/>
      <c r="M1871" s="26" t="str">
        <f aca="false">IF($A1871="","",$L1871*$U1871/100)</f>
        <v/>
      </c>
      <c r="W1871" s="26" t="str">
        <f aca="false">IF($A1871="","",U1871*AB1871/100)</f>
        <v/>
      </c>
      <c r="X1871" s="26" t="str">
        <f aca="false">IF($A1871="","",U1871-W1871)</f>
        <v/>
      </c>
      <c r="Y1871" s="26" t="str">
        <f aca="false">IF($A1871="","",U1871-W1871-M1871)</f>
        <v/>
      </c>
      <c r="AB1871" s="27" t="str">
        <f aca="false">IF($A1871="","",IF($AK1871=1,'كشف المطالبة'!$D$5,'كشف المطالبة'!$D$6)*100)</f>
        <v/>
      </c>
      <c r="AK1871" s="28" t="str">
        <f aca="false">IF($A1871="","",IF(OR($Q1871=TRUE(),$Q1871="TRUE"),1,0))</f>
        <v/>
      </c>
      <c r="AL1871" s="28" t="str">
        <f aca="false">IF($N1871="","",IF(MATCH($N1871,$N$2:$N$3001,0)=ROWS($N$2:$N1871),$N1871,""))</f>
        <v/>
      </c>
    </row>
    <row r="1872" customFormat="false" ht="15" hidden="false" customHeight="false" outlineLevel="0" collapsed="false">
      <c r="E1872" s="25"/>
      <c r="M1872" s="26" t="str">
        <f aca="false">IF($A1872="","",$L1872*$U1872/100)</f>
        <v/>
      </c>
      <c r="W1872" s="26" t="str">
        <f aca="false">IF($A1872="","",U1872*AB1872/100)</f>
        <v/>
      </c>
      <c r="X1872" s="26" t="str">
        <f aca="false">IF($A1872="","",U1872-W1872)</f>
        <v/>
      </c>
      <c r="Y1872" s="26" t="str">
        <f aca="false">IF($A1872="","",U1872-W1872-M1872)</f>
        <v/>
      </c>
      <c r="AB1872" s="27" t="str">
        <f aca="false">IF($A1872="","",IF($AK1872=1,'كشف المطالبة'!$D$5,'كشف المطالبة'!$D$6)*100)</f>
        <v/>
      </c>
      <c r="AK1872" s="28" t="str">
        <f aca="false">IF($A1872="","",IF(OR($Q1872=TRUE(),$Q1872="TRUE"),1,0))</f>
        <v/>
      </c>
      <c r="AL1872" s="28" t="str">
        <f aca="false">IF($N1872="","",IF(MATCH($N1872,$N$2:$N$3001,0)=ROWS($N$2:$N1872),$N1872,""))</f>
        <v/>
      </c>
    </row>
    <row r="1873" customFormat="false" ht="15" hidden="false" customHeight="false" outlineLevel="0" collapsed="false">
      <c r="E1873" s="25"/>
      <c r="M1873" s="26" t="str">
        <f aca="false">IF($A1873="","",$L1873*$U1873/100)</f>
        <v/>
      </c>
      <c r="W1873" s="26" t="str">
        <f aca="false">IF($A1873="","",U1873*AB1873/100)</f>
        <v/>
      </c>
      <c r="X1873" s="26" t="str">
        <f aca="false">IF($A1873="","",U1873-W1873)</f>
        <v/>
      </c>
      <c r="Y1873" s="26" t="str">
        <f aca="false">IF($A1873="","",U1873-W1873-M1873)</f>
        <v/>
      </c>
      <c r="AB1873" s="27" t="str">
        <f aca="false">IF($A1873="","",IF($AK1873=1,'كشف المطالبة'!$D$5,'كشف المطالبة'!$D$6)*100)</f>
        <v/>
      </c>
      <c r="AK1873" s="28" t="str">
        <f aca="false">IF($A1873="","",IF(OR($Q1873=TRUE(),$Q1873="TRUE"),1,0))</f>
        <v/>
      </c>
      <c r="AL1873" s="28" t="str">
        <f aca="false">IF($N1873="","",IF(MATCH($N1873,$N$2:$N$3001,0)=ROWS($N$2:$N1873),$N1873,""))</f>
        <v/>
      </c>
    </row>
    <row r="1874" customFormat="false" ht="15" hidden="false" customHeight="false" outlineLevel="0" collapsed="false">
      <c r="E1874" s="25"/>
      <c r="M1874" s="26" t="str">
        <f aca="false">IF($A1874="","",$L1874*$U1874/100)</f>
        <v/>
      </c>
      <c r="W1874" s="26" t="str">
        <f aca="false">IF($A1874="","",U1874*AB1874/100)</f>
        <v/>
      </c>
      <c r="X1874" s="26" t="str">
        <f aca="false">IF($A1874="","",U1874-W1874)</f>
        <v/>
      </c>
      <c r="Y1874" s="26" t="str">
        <f aca="false">IF($A1874="","",U1874-W1874-M1874)</f>
        <v/>
      </c>
      <c r="AB1874" s="27" t="str">
        <f aca="false">IF($A1874="","",IF($AK1874=1,'كشف المطالبة'!$D$5,'كشف المطالبة'!$D$6)*100)</f>
        <v/>
      </c>
      <c r="AK1874" s="28" t="str">
        <f aca="false">IF($A1874="","",IF(OR($Q1874=TRUE(),$Q1874="TRUE"),1,0))</f>
        <v/>
      </c>
      <c r="AL1874" s="28" t="str">
        <f aca="false">IF($N1874="","",IF(MATCH($N1874,$N$2:$N$3001,0)=ROWS($N$2:$N1874),$N1874,""))</f>
        <v/>
      </c>
    </row>
    <row r="1875" customFormat="false" ht="15" hidden="false" customHeight="false" outlineLevel="0" collapsed="false">
      <c r="E1875" s="25"/>
      <c r="M1875" s="26" t="str">
        <f aca="false">IF($A1875="","",$L1875*$U1875/100)</f>
        <v/>
      </c>
      <c r="W1875" s="26" t="str">
        <f aca="false">IF($A1875="","",U1875*AB1875/100)</f>
        <v/>
      </c>
      <c r="X1875" s="26" t="str">
        <f aca="false">IF($A1875="","",U1875-W1875)</f>
        <v/>
      </c>
      <c r="Y1875" s="26" t="str">
        <f aca="false">IF($A1875="","",U1875-W1875-M1875)</f>
        <v/>
      </c>
      <c r="AB1875" s="27" t="str">
        <f aca="false">IF($A1875="","",IF($AK1875=1,'كشف المطالبة'!$D$5,'كشف المطالبة'!$D$6)*100)</f>
        <v/>
      </c>
      <c r="AK1875" s="28" t="str">
        <f aca="false">IF($A1875="","",IF(OR($Q1875=TRUE(),$Q1875="TRUE"),1,0))</f>
        <v/>
      </c>
      <c r="AL1875" s="28" t="str">
        <f aca="false">IF($N1875="","",IF(MATCH($N1875,$N$2:$N$3001,0)=ROWS($N$2:$N1875),$N1875,""))</f>
        <v/>
      </c>
    </row>
    <row r="1876" customFormat="false" ht="15" hidden="false" customHeight="false" outlineLevel="0" collapsed="false">
      <c r="E1876" s="25"/>
      <c r="M1876" s="26" t="str">
        <f aca="false">IF($A1876="","",$L1876*$U1876/100)</f>
        <v/>
      </c>
      <c r="W1876" s="26" t="str">
        <f aca="false">IF($A1876="","",U1876*AB1876/100)</f>
        <v/>
      </c>
      <c r="X1876" s="26" t="str">
        <f aca="false">IF($A1876="","",U1876-W1876)</f>
        <v/>
      </c>
      <c r="Y1876" s="26" t="str">
        <f aca="false">IF($A1876="","",U1876-W1876-M1876)</f>
        <v/>
      </c>
      <c r="AB1876" s="27" t="str">
        <f aca="false">IF($A1876="","",IF($AK1876=1,'كشف المطالبة'!$D$5,'كشف المطالبة'!$D$6)*100)</f>
        <v/>
      </c>
      <c r="AK1876" s="28" t="str">
        <f aca="false">IF($A1876="","",IF(OR($Q1876=TRUE(),$Q1876="TRUE"),1,0))</f>
        <v/>
      </c>
      <c r="AL1876" s="28" t="str">
        <f aca="false">IF($N1876="","",IF(MATCH($N1876,$N$2:$N$3001,0)=ROWS($N$2:$N1876),$N1876,""))</f>
        <v/>
      </c>
    </row>
    <row r="1877" customFormat="false" ht="15" hidden="false" customHeight="false" outlineLevel="0" collapsed="false">
      <c r="E1877" s="25"/>
      <c r="M1877" s="26" t="str">
        <f aca="false">IF($A1877="","",$L1877*$U1877/100)</f>
        <v/>
      </c>
      <c r="W1877" s="26" t="str">
        <f aca="false">IF($A1877="","",U1877*AB1877/100)</f>
        <v/>
      </c>
      <c r="X1877" s="26" t="str">
        <f aca="false">IF($A1877="","",U1877-W1877)</f>
        <v/>
      </c>
      <c r="Y1877" s="26" t="str">
        <f aca="false">IF($A1877="","",U1877-W1877-M1877)</f>
        <v/>
      </c>
      <c r="AB1877" s="27" t="str">
        <f aca="false">IF($A1877="","",IF($AK1877=1,'كشف المطالبة'!$D$5,'كشف المطالبة'!$D$6)*100)</f>
        <v/>
      </c>
      <c r="AK1877" s="28" t="str">
        <f aca="false">IF($A1877="","",IF(OR($Q1877=TRUE(),$Q1877="TRUE"),1,0))</f>
        <v/>
      </c>
      <c r="AL1877" s="28" t="str">
        <f aca="false">IF($N1877="","",IF(MATCH($N1877,$N$2:$N$3001,0)=ROWS($N$2:$N1877),$N1877,""))</f>
        <v/>
      </c>
    </row>
    <row r="1878" customFormat="false" ht="15" hidden="false" customHeight="false" outlineLevel="0" collapsed="false">
      <c r="E1878" s="25"/>
      <c r="M1878" s="26" t="str">
        <f aca="false">IF($A1878="","",$L1878*$U1878/100)</f>
        <v/>
      </c>
      <c r="W1878" s="26" t="str">
        <f aca="false">IF($A1878="","",U1878*AB1878/100)</f>
        <v/>
      </c>
      <c r="X1878" s="26" t="str">
        <f aca="false">IF($A1878="","",U1878-W1878)</f>
        <v/>
      </c>
      <c r="Y1878" s="26" t="str">
        <f aca="false">IF($A1878="","",U1878-W1878-M1878)</f>
        <v/>
      </c>
      <c r="AB1878" s="27" t="str">
        <f aca="false">IF($A1878="","",IF($AK1878=1,'كشف المطالبة'!$D$5,'كشف المطالبة'!$D$6)*100)</f>
        <v/>
      </c>
      <c r="AK1878" s="28" t="str">
        <f aca="false">IF($A1878="","",IF(OR($Q1878=TRUE(),$Q1878="TRUE"),1,0))</f>
        <v/>
      </c>
      <c r="AL1878" s="28" t="str">
        <f aca="false">IF($N1878="","",IF(MATCH($N1878,$N$2:$N$3001,0)=ROWS($N$2:$N1878),$N1878,""))</f>
        <v/>
      </c>
    </row>
    <row r="1879" customFormat="false" ht="15" hidden="false" customHeight="false" outlineLevel="0" collapsed="false">
      <c r="E1879" s="25"/>
      <c r="M1879" s="26" t="str">
        <f aca="false">IF($A1879="","",$L1879*$U1879/100)</f>
        <v/>
      </c>
      <c r="W1879" s="26" t="str">
        <f aca="false">IF($A1879="","",U1879*AB1879/100)</f>
        <v/>
      </c>
      <c r="X1879" s="26" t="str">
        <f aca="false">IF($A1879="","",U1879-W1879)</f>
        <v/>
      </c>
      <c r="Y1879" s="26" t="str">
        <f aca="false">IF($A1879="","",U1879-W1879-M1879)</f>
        <v/>
      </c>
      <c r="AB1879" s="27" t="str">
        <f aca="false">IF($A1879="","",IF($AK1879=1,'كشف المطالبة'!$D$5,'كشف المطالبة'!$D$6)*100)</f>
        <v/>
      </c>
      <c r="AK1879" s="28" t="str">
        <f aca="false">IF($A1879="","",IF(OR($Q1879=TRUE(),$Q1879="TRUE"),1,0))</f>
        <v/>
      </c>
      <c r="AL1879" s="28" t="str">
        <f aca="false">IF($N1879="","",IF(MATCH($N1879,$N$2:$N$3001,0)=ROWS($N$2:$N1879),$N1879,""))</f>
        <v/>
      </c>
    </row>
    <row r="1880" customFormat="false" ht="15" hidden="false" customHeight="false" outlineLevel="0" collapsed="false">
      <c r="E1880" s="25"/>
      <c r="M1880" s="26" t="str">
        <f aca="false">IF($A1880="","",$L1880*$U1880/100)</f>
        <v/>
      </c>
      <c r="W1880" s="26" t="str">
        <f aca="false">IF($A1880="","",U1880*AB1880/100)</f>
        <v/>
      </c>
      <c r="X1880" s="26" t="str">
        <f aca="false">IF($A1880="","",U1880-W1880)</f>
        <v/>
      </c>
      <c r="Y1880" s="26" t="str">
        <f aca="false">IF($A1880="","",U1880-W1880-M1880)</f>
        <v/>
      </c>
      <c r="AB1880" s="27" t="str">
        <f aca="false">IF($A1880="","",IF($AK1880=1,'كشف المطالبة'!$D$5,'كشف المطالبة'!$D$6)*100)</f>
        <v/>
      </c>
      <c r="AK1880" s="28" t="str">
        <f aca="false">IF($A1880="","",IF(OR($Q1880=TRUE(),$Q1880="TRUE"),1,0))</f>
        <v/>
      </c>
      <c r="AL1880" s="28" t="str">
        <f aca="false">IF($N1880="","",IF(MATCH($N1880,$N$2:$N$3001,0)=ROWS($N$2:$N1880),$N1880,""))</f>
        <v/>
      </c>
    </row>
    <row r="1881" customFormat="false" ht="15" hidden="false" customHeight="false" outlineLevel="0" collapsed="false">
      <c r="E1881" s="25"/>
      <c r="M1881" s="26" t="str">
        <f aca="false">IF($A1881="","",$L1881*$U1881/100)</f>
        <v/>
      </c>
      <c r="W1881" s="26" t="str">
        <f aca="false">IF($A1881="","",U1881*AB1881/100)</f>
        <v/>
      </c>
      <c r="X1881" s="26" t="str">
        <f aca="false">IF($A1881="","",U1881-W1881)</f>
        <v/>
      </c>
      <c r="Y1881" s="26" t="str">
        <f aca="false">IF($A1881="","",U1881-W1881-M1881)</f>
        <v/>
      </c>
      <c r="AB1881" s="27" t="str">
        <f aca="false">IF($A1881="","",IF($AK1881=1,'كشف المطالبة'!$D$5,'كشف المطالبة'!$D$6)*100)</f>
        <v/>
      </c>
      <c r="AK1881" s="28" t="str">
        <f aca="false">IF($A1881="","",IF(OR($Q1881=TRUE(),$Q1881="TRUE"),1,0))</f>
        <v/>
      </c>
      <c r="AL1881" s="28" t="str">
        <f aca="false">IF($N1881="","",IF(MATCH($N1881,$N$2:$N$3001,0)=ROWS($N$2:$N1881),$N1881,""))</f>
        <v/>
      </c>
    </row>
    <row r="1882" customFormat="false" ht="15" hidden="false" customHeight="false" outlineLevel="0" collapsed="false">
      <c r="E1882" s="25"/>
      <c r="M1882" s="26" t="str">
        <f aca="false">IF($A1882="","",$L1882*$U1882/100)</f>
        <v/>
      </c>
      <c r="W1882" s="26" t="str">
        <f aca="false">IF($A1882="","",U1882*AB1882/100)</f>
        <v/>
      </c>
      <c r="X1882" s="26" t="str">
        <f aca="false">IF($A1882="","",U1882-W1882)</f>
        <v/>
      </c>
      <c r="Y1882" s="26" t="str">
        <f aca="false">IF($A1882="","",U1882-W1882-M1882)</f>
        <v/>
      </c>
      <c r="AB1882" s="27" t="str">
        <f aca="false">IF($A1882="","",IF($AK1882=1,'كشف المطالبة'!$D$5,'كشف المطالبة'!$D$6)*100)</f>
        <v/>
      </c>
      <c r="AK1882" s="28" t="str">
        <f aca="false">IF($A1882="","",IF(OR($Q1882=TRUE(),$Q1882="TRUE"),1,0))</f>
        <v/>
      </c>
      <c r="AL1882" s="28" t="str">
        <f aca="false">IF($N1882="","",IF(MATCH($N1882,$N$2:$N$3001,0)=ROWS($N$2:$N1882),$N1882,""))</f>
        <v/>
      </c>
    </row>
    <row r="1883" customFormat="false" ht="15" hidden="false" customHeight="false" outlineLevel="0" collapsed="false">
      <c r="E1883" s="25"/>
      <c r="M1883" s="26" t="str">
        <f aca="false">IF($A1883="","",$L1883*$U1883/100)</f>
        <v/>
      </c>
      <c r="W1883" s="26" t="str">
        <f aca="false">IF($A1883="","",U1883*AB1883/100)</f>
        <v/>
      </c>
      <c r="X1883" s="26" t="str">
        <f aca="false">IF($A1883="","",U1883-W1883)</f>
        <v/>
      </c>
      <c r="Y1883" s="26" t="str">
        <f aca="false">IF($A1883="","",U1883-W1883-M1883)</f>
        <v/>
      </c>
      <c r="AB1883" s="27" t="str">
        <f aca="false">IF($A1883="","",IF($AK1883=1,'كشف المطالبة'!$D$5,'كشف المطالبة'!$D$6)*100)</f>
        <v/>
      </c>
      <c r="AK1883" s="28" t="str">
        <f aca="false">IF($A1883="","",IF(OR($Q1883=TRUE(),$Q1883="TRUE"),1,0))</f>
        <v/>
      </c>
      <c r="AL1883" s="28" t="str">
        <f aca="false">IF($N1883="","",IF(MATCH($N1883,$N$2:$N$3001,0)=ROWS($N$2:$N1883),$N1883,""))</f>
        <v/>
      </c>
    </row>
    <row r="1884" customFormat="false" ht="15" hidden="false" customHeight="false" outlineLevel="0" collapsed="false">
      <c r="E1884" s="25"/>
      <c r="M1884" s="26" t="str">
        <f aca="false">IF($A1884="","",$L1884*$U1884/100)</f>
        <v/>
      </c>
      <c r="W1884" s="26" t="str">
        <f aca="false">IF($A1884="","",U1884*AB1884/100)</f>
        <v/>
      </c>
      <c r="X1884" s="26" t="str">
        <f aca="false">IF($A1884="","",U1884-W1884)</f>
        <v/>
      </c>
      <c r="Y1884" s="26" t="str">
        <f aca="false">IF($A1884="","",U1884-W1884-M1884)</f>
        <v/>
      </c>
      <c r="AB1884" s="27" t="str">
        <f aca="false">IF($A1884="","",IF($AK1884=1,'كشف المطالبة'!$D$5,'كشف المطالبة'!$D$6)*100)</f>
        <v/>
      </c>
      <c r="AK1884" s="28" t="str">
        <f aca="false">IF($A1884="","",IF(OR($Q1884=TRUE(),$Q1884="TRUE"),1,0))</f>
        <v/>
      </c>
      <c r="AL1884" s="28" t="str">
        <f aca="false">IF($N1884="","",IF(MATCH($N1884,$N$2:$N$3001,0)=ROWS($N$2:$N1884),$N1884,""))</f>
        <v/>
      </c>
    </row>
    <row r="1885" customFormat="false" ht="15" hidden="false" customHeight="false" outlineLevel="0" collapsed="false">
      <c r="E1885" s="25"/>
      <c r="M1885" s="26" t="str">
        <f aca="false">IF($A1885="","",$L1885*$U1885/100)</f>
        <v/>
      </c>
      <c r="W1885" s="26" t="str">
        <f aca="false">IF($A1885="","",U1885*AB1885/100)</f>
        <v/>
      </c>
      <c r="X1885" s="26" t="str">
        <f aca="false">IF($A1885="","",U1885-W1885)</f>
        <v/>
      </c>
      <c r="Y1885" s="26" t="str">
        <f aca="false">IF($A1885="","",U1885-W1885-M1885)</f>
        <v/>
      </c>
      <c r="AB1885" s="27" t="str">
        <f aca="false">IF($A1885="","",IF($AK1885=1,'كشف المطالبة'!$D$5,'كشف المطالبة'!$D$6)*100)</f>
        <v/>
      </c>
      <c r="AK1885" s="28" t="str">
        <f aca="false">IF($A1885="","",IF(OR($Q1885=TRUE(),$Q1885="TRUE"),1,0))</f>
        <v/>
      </c>
      <c r="AL1885" s="28" t="str">
        <f aca="false">IF($N1885="","",IF(MATCH($N1885,$N$2:$N$3001,0)=ROWS($N$2:$N1885),$N1885,""))</f>
        <v/>
      </c>
    </row>
    <row r="1886" customFormat="false" ht="15" hidden="false" customHeight="false" outlineLevel="0" collapsed="false">
      <c r="E1886" s="25"/>
      <c r="M1886" s="26" t="str">
        <f aca="false">IF($A1886="","",$L1886*$U1886/100)</f>
        <v/>
      </c>
      <c r="W1886" s="26" t="str">
        <f aca="false">IF($A1886="","",U1886*AB1886/100)</f>
        <v/>
      </c>
      <c r="X1886" s="26" t="str">
        <f aca="false">IF($A1886="","",U1886-W1886)</f>
        <v/>
      </c>
      <c r="Y1886" s="26" t="str">
        <f aca="false">IF($A1886="","",U1886-W1886-M1886)</f>
        <v/>
      </c>
      <c r="AB1886" s="27" t="str">
        <f aca="false">IF($A1886="","",IF($AK1886=1,'كشف المطالبة'!$D$5,'كشف المطالبة'!$D$6)*100)</f>
        <v/>
      </c>
      <c r="AK1886" s="28" t="str">
        <f aca="false">IF($A1886="","",IF(OR($Q1886=TRUE(),$Q1886="TRUE"),1,0))</f>
        <v/>
      </c>
      <c r="AL1886" s="28" t="str">
        <f aca="false">IF($N1886="","",IF(MATCH($N1886,$N$2:$N$3001,0)=ROWS($N$2:$N1886),$N1886,""))</f>
        <v/>
      </c>
    </row>
    <row r="1887" customFormat="false" ht="15" hidden="false" customHeight="false" outlineLevel="0" collapsed="false">
      <c r="E1887" s="25"/>
      <c r="M1887" s="26" t="str">
        <f aca="false">IF($A1887="","",$L1887*$U1887/100)</f>
        <v/>
      </c>
      <c r="W1887" s="26" t="str">
        <f aca="false">IF($A1887="","",U1887*AB1887/100)</f>
        <v/>
      </c>
      <c r="X1887" s="26" t="str">
        <f aca="false">IF($A1887="","",U1887-W1887)</f>
        <v/>
      </c>
      <c r="Y1887" s="26" t="str">
        <f aca="false">IF($A1887="","",U1887-W1887-M1887)</f>
        <v/>
      </c>
      <c r="AB1887" s="27" t="str">
        <f aca="false">IF($A1887="","",IF($AK1887=1,'كشف المطالبة'!$D$5,'كشف المطالبة'!$D$6)*100)</f>
        <v/>
      </c>
      <c r="AK1887" s="28" t="str">
        <f aca="false">IF($A1887="","",IF(OR($Q1887=TRUE(),$Q1887="TRUE"),1,0))</f>
        <v/>
      </c>
      <c r="AL1887" s="28" t="str">
        <f aca="false">IF($N1887="","",IF(MATCH($N1887,$N$2:$N$3001,0)=ROWS($N$2:$N1887),$N1887,""))</f>
        <v/>
      </c>
    </row>
    <row r="1888" customFormat="false" ht="15" hidden="false" customHeight="false" outlineLevel="0" collapsed="false">
      <c r="E1888" s="25"/>
      <c r="M1888" s="26" t="str">
        <f aca="false">IF($A1888="","",$L1888*$U1888/100)</f>
        <v/>
      </c>
      <c r="W1888" s="26" t="str">
        <f aca="false">IF($A1888="","",U1888*AB1888/100)</f>
        <v/>
      </c>
      <c r="X1888" s="26" t="str">
        <f aca="false">IF($A1888="","",U1888-W1888)</f>
        <v/>
      </c>
      <c r="Y1888" s="26" t="str">
        <f aca="false">IF($A1888="","",U1888-W1888-M1888)</f>
        <v/>
      </c>
      <c r="AB1888" s="27" t="str">
        <f aca="false">IF($A1888="","",IF($AK1888=1,'كشف المطالبة'!$D$5,'كشف المطالبة'!$D$6)*100)</f>
        <v/>
      </c>
      <c r="AK1888" s="28" t="str">
        <f aca="false">IF($A1888="","",IF(OR($Q1888=TRUE(),$Q1888="TRUE"),1,0))</f>
        <v/>
      </c>
      <c r="AL1888" s="28" t="str">
        <f aca="false">IF($N1888="","",IF(MATCH($N1888,$N$2:$N$3001,0)=ROWS($N$2:$N1888),$N1888,""))</f>
        <v/>
      </c>
    </row>
    <row r="1889" customFormat="false" ht="15" hidden="false" customHeight="false" outlineLevel="0" collapsed="false">
      <c r="E1889" s="25"/>
      <c r="M1889" s="26" t="str">
        <f aca="false">IF($A1889="","",$L1889*$U1889/100)</f>
        <v/>
      </c>
      <c r="W1889" s="26" t="str">
        <f aca="false">IF($A1889="","",U1889*AB1889/100)</f>
        <v/>
      </c>
      <c r="X1889" s="26" t="str">
        <f aca="false">IF($A1889="","",U1889-W1889)</f>
        <v/>
      </c>
      <c r="Y1889" s="26" t="str">
        <f aca="false">IF($A1889="","",U1889-W1889-M1889)</f>
        <v/>
      </c>
      <c r="AB1889" s="27" t="str">
        <f aca="false">IF($A1889="","",IF($AK1889=1,'كشف المطالبة'!$D$5,'كشف المطالبة'!$D$6)*100)</f>
        <v/>
      </c>
      <c r="AK1889" s="28" t="str">
        <f aca="false">IF($A1889="","",IF(OR($Q1889=TRUE(),$Q1889="TRUE"),1,0))</f>
        <v/>
      </c>
      <c r="AL1889" s="28" t="str">
        <f aca="false">IF($N1889="","",IF(MATCH($N1889,$N$2:$N$3001,0)=ROWS($N$2:$N1889),$N1889,""))</f>
        <v/>
      </c>
    </row>
    <row r="1890" customFormat="false" ht="15" hidden="false" customHeight="false" outlineLevel="0" collapsed="false">
      <c r="E1890" s="25"/>
      <c r="M1890" s="26" t="str">
        <f aca="false">IF($A1890="","",$L1890*$U1890/100)</f>
        <v/>
      </c>
      <c r="W1890" s="26" t="str">
        <f aca="false">IF($A1890="","",U1890*AB1890/100)</f>
        <v/>
      </c>
      <c r="X1890" s="26" t="str">
        <f aca="false">IF($A1890="","",U1890-W1890)</f>
        <v/>
      </c>
      <c r="Y1890" s="26" t="str">
        <f aca="false">IF($A1890="","",U1890-W1890-M1890)</f>
        <v/>
      </c>
      <c r="AB1890" s="27" t="str">
        <f aca="false">IF($A1890="","",IF($AK1890=1,'كشف المطالبة'!$D$5,'كشف المطالبة'!$D$6)*100)</f>
        <v/>
      </c>
      <c r="AK1890" s="28" t="str">
        <f aca="false">IF($A1890="","",IF(OR($Q1890=TRUE(),$Q1890="TRUE"),1,0))</f>
        <v/>
      </c>
      <c r="AL1890" s="28" t="str">
        <f aca="false">IF($N1890="","",IF(MATCH($N1890,$N$2:$N$3001,0)=ROWS($N$2:$N1890),$N1890,""))</f>
        <v/>
      </c>
    </row>
    <row r="1891" customFormat="false" ht="15" hidden="false" customHeight="false" outlineLevel="0" collapsed="false">
      <c r="E1891" s="25"/>
      <c r="M1891" s="26" t="str">
        <f aca="false">IF($A1891="","",$L1891*$U1891/100)</f>
        <v/>
      </c>
      <c r="W1891" s="26" t="str">
        <f aca="false">IF($A1891="","",U1891*AB1891/100)</f>
        <v/>
      </c>
      <c r="X1891" s="26" t="str">
        <f aca="false">IF($A1891="","",U1891-W1891)</f>
        <v/>
      </c>
      <c r="Y1891" s="26" t="str">
        <f aca="false">IF($A1891="","",U1891-W1891-M1891)</f>
        <v/>
      </c>
      <c r="AB1891" s="27" t="str">
        <f aca="false">IF($A1891="","",IF($AK1891=1,'كشف المطالبة'!$D$5,'كشف المطالبة'!$D$6)*100)</f>
        <v/>
      </c>
      <c r="AK1891" s="28" t="str">
        <f aca="false">IF($A1891="","",IF(OR($Q1891=TRUE(),$Q1891="TRUE"),1,0))</f>
        <v/>
      </c>
      <c r="AL1891" s="28" t="str">
        <f aca="false">IF($N1891="","",IF(MATCH($N1891,$N$2:$N$3001,0)=ROWS($N$2:$N1891),$N1891,""))</f>
        <v/>
      </c>
    </row>
    <row r="1892" customFormat="false" ht="15" hidden="false" customHeight="false" outlineLevel="0" collapsed="false">
      <c r="E1892" s="25"/>
      <c r="M1892" s="26" t="str">
        <f aca="false">IF($A1892="","",$L1892*$U1892/100)</f>
        <v/>
      </c>
      <c r="W1892" s="26" t="str">
        <f aca="false">IF($A1892="","",U1892*AB1892/100)</f>
        <v/>
      </c>
      <c r="X1892" s="26" t="str">
        <f aca="false">IF($A1892="","",U1892-W1892)</f>
        <v/>
      </c>
      <c r="Y1892" s="26" t="str">
        <f aca="false">IF($A1892="","",U1892-W1892-M1892)</f>
        <v/>
      </c>
      <c r="AB1892" s="27" t="str">
        <f aca="false">IF($A1892="","",IF($AK1892=1,'كشف المطالبة'!$D$5,'كشف المطالبة'!$D$6)*100)</f>
        <v/>
      </c>
      <c r="AK1892" s="28" t="str">
        <f aca="false">IF($A1892="","",IF(OR($Q1892=TRUE(),$Q1892="TRUE"),1,0))</f>
        <v/>
      </c>
      <c r="AL1892" s="28" t="str">
        <f aca="false">IF($N1892="","",IF(MATCH($N1892,$N$2:$N$3001,0)=ROWS($N$2:$N1892),$N1892,""))</f>
        <v/>
      </c>
    </row>
    <row r="1893" customFormat="false" ht="15" hidden="false" customHeight="false" outlineLevel="0" collapsed="false">
      <c r="E1893" s="25"/>
      <c r="M1893" s="26" t="str">
        <f aca="false">IF($A1893="","",$L1893*$U1893/100)</f>
        <v/>
      </c>
      <c r="W1893" s="26" t="str">
        <f aca="false">IF($A1893="","",U1893*AB1893/100)</f>
        <v/>
      </c>
      <c r="X1893" s="26" t="str">
        <f aca="false">IF($A1893="","",U1893-W1893)</f>
        <v/>
      </c>
      <c r="Y1893" s="26" t="str">
        <f aca="false">IF($A1893="","",U1893-W1893-M1893)</f>
        <v/>
      </c>
      <c r="AB1893" s="27" t="str">
        <f aca="false">IF($A1893="","",IF($AK1893=1,'كشف المطالبة'!$D$5,'كشف المطالبة'!$D$6)*100)</f>
        <v/>
      </c>
      <c r="AK1893" s="28" t="str">
        <f aca="false">IF($A1893="","",IF(OR($Q1893=TRUE(),$Q1893="TRUE"),1,0))</f>
        <v/>
      </c>
      <c r="AL1893" s="28" t="str">
        <f aca="false">IF($N1893="","",IF(MATCH($N1893,$N$2:$N$3001,0)=ROWS($N$2:$N1893),$N1893,""))</f>
        <v/>
      </c>
    </row>
    <row r="1894" customFormat="false" ht="15" hidden="false" customHeight="false" outlineLevel="0" collapsed="false">
      <c r="E1894" s="25"/>
      <c r="M1894" s="26" t="str">
        <f aca="false">IF($A1894="","",$L1894*$U1894/100)</f>
        <v/>
      </c>
      <c r="W1894" s="26" t="str">
        <f aca="false">IF($A1894="","",U1894*AB1894/100)</f>
        <v/>
      </c>
      <c r="X1894" s="26" t="str">
        <f aca="false">IF($A1894="","",U1894-W1894)</f>
        <v/>
      </c>
      <c r="Y1894" s="26" t="str">
        <f aca="false">IF($A1894="","",U1894-W1894-M1894)</f>
        <v/>
      </c>
      <c r="AB1894" s="27" t="str">
        <f aca="false">IF($A1894="","",IF($AK1894=1,'كشف المطالبة'!$D$5,'كشف المطالبة'!$D$6)*100)</f>
        <v/>
      </c>
      <c r="AK1894" s="28" t="str">
        <f aca="false">IF($A1894="","",IF(OR($Q1894=TRUE(),$Q1894="TRUE"),1,0))</f>
        <v/>
      </c>
      <c r="AL1894" s="28" t="str">
        <f aca="false">IF($N1894="","",IF(MATCH($N1894,$N$2:$N$3001,0)=ROWS($N$2:$N1894),$N1894,""))</f>
        <v/>
      </c>
    </row>
    <row r="1895" customFormat="false" ht="15" hidden="false" customHeight="false" outlineLevel="0" collapsed="false">
      <c r="E1895" s="25"/>
      <c r="M1895" s="26" t="str">
        <f aca="false">IF($A1895="","",$L1895*$U1895/100)</f>
        <v/>
      </c>
      <c r="W1895" s="26" t="str">
        <f aca="false">IF($A1895="","",U1895*AB1895/100)</f>
        <v/>
      </c>
      <c r="X1895" s="26" t="str">
        <f aca="false">IF($A1895="","",U1895-W1895)</f>
        <v/>
      </c>
      <c r="Y1895" s="26" t="str">
        <f aca="false">IF($A1895="","",U1895-W1895-M1895)</f>
        <v/>
      </c>
      <c r="AB1895" s="27" t="str">
        <f aca="false">IF($A1895="","",IF($AK1895=1,'كشف المطالبة'!$D$5,'كشف المطالبة'!$D$6)*100)</f>
        <v/>
      </c>
      <c r="AK1895" s="28" t="str">
        <f aca="false">IF($A1895="","",IF(OR($Q1895=TRUE(),$Q1895="TRUE"),1,0))</f>
        <v/>
      </c>
      <c r="AL1895" s="28" t="str">
        <f aca="false">IF($N1895="","",IF(MATCH($N1895,$N$2:$N$3001,0)=ROWS($N$2:$N1895),$N1895,""))</f>
        <v/>
      </c>
    </row>
    <row r="1896" customFormat="false" ht="15" hidden="false" customHeight="false" outlineLevel="0" collapsed="false">
      <c r="E1896" s="25"/>
      <c r="M1896" s="26" t="str">
        <f aca="false">IF($A1896="","",$L1896*$U1896/100)</f>
        <v/>
      </c>
      <c r="W1896" s="26" t="str">
        <f aca="false">IF($A1896="","",U1896*AB1896/100)</f>
        <v/>
      </c>
      <c r="X1896" s="26" t="str">
        <f aca="false">IF($A1896="","",U1896-W1896)</f>
        <v/>
      </c>
      <c r="Y1896" s="26" t="str">
        <f aca="false">IF($A1896="","",U1896-W1896-M1896)</f>
        <v/>
      </c>
      <c r="AB1896" s="27" t="str">
        <f aca="false">IF($A1896="","",IF($AK1896=1,'كشف المطالبة'!$D$5,'كشف المطالبة'!$D$6)*100)</f>
        <v/>
      </c>
      <c r="AK1896" s="28" t="str">
        <f aca="false">IF($A1896="","",IF(OR($Q1896=TRUE(),$Q1896="TRUE"),1,0))</f>
        <v/>
      </c>
      <c r="AL1896" s="28" t="str">
        <f aca="false">IF($N1896="","",IF(MATCH($N1896,$N$2:$N$3001,0)=ROWS($N$2:$N1896),$N1896,""))</f>
        <v/>
      </c>
    </row>
    <row r="1897" customFormat="false" ht="15" hidden="false" customHeight="false" outlineLevel="0" collapsed="false">
      <c r="E1897" s="25"/>
      <c r="M1897" s="26" t="str">
        <f aca="false">IF($A1897="","",$L1897*$U1897/100)</f>
        <v/>
      </c>
      <c r="W1897" s="26" t="str">
        <f aca="false">IF($A1897="","",U1897*AB1897/100)</f>
        <v/>
      </c>
      <c r="X1897" s="26" t="str">
        <f aca="false">IF($A1897="","",U1897-W1897)</f>
        <v/>
      </c>
      <c r="Y1897" s="26" t="str">
        <f aca="false">IF($A1897="","",U1897-W1897-M1897)</f>
        <v/>
      </c>
      <c r="AB1897" s="27" t="str">
        <f aca="false">IF($A1897="","",IF($AK1897=1,'كشف المطالبة'!$D$5,'كشف المطالبة'!$D$6)*100)</f>
        <v/>
      </c>
      <c r="AK1897" s="28" t="str">
        <f aca="false">IF($A1897="","",IF(OR($Q1897=TRUE(),$Q1897="TRUE"),1,0))</f>
        <v/>
      </c>
      <c r="AL1897" s="28" t="str">
        <f aca="false">IF($N1897="","",IF(MATCH($N1897,$N$2:$N$3001,0)=ROWS($N$2:$N1897),$N1897,""))</f>
        <v/>
      </c>
    </row>
    <row r="1898" customFormat="false" ht="15" hidden="false" customHeight="false" outlineLevel="0" collapsed="false">
      <c r="E1898" s="25"/>
      <c r="M1898" s="26" t="str">
        <f aca="false">IF($A1898="","",$L1898*$U1898/100)</f>
        <v/>
      </c>
      <c r="W1898" s="26" t="str">
        <f aca="false">IF($A1898="","",U1898*AB1898/100)</f>
        <v/>
      </c>
      <c r="X1898" s="26" t="str">
        <f aca="false">IF($A1898="","",U1898-W1898)</f>
        <v/>
      </c>
      <c r="Y1898" s="26" t="str">
        <f aca="false">IF($A1898="","",U1898-W1898-M1898)</f>
        <v/>
      </c>
      <c r="AB1898" s="27" t="str">
        <f aca="false">IF($A1898="","",IF($AK1898=1,'كشف المطالبة'!$D$5,'كشف المطالبة'!$D$6)*100)</f>
        <v/>
      </c>
      <c r="AK1898" s="28" t="str">
        <f aca="false">IF($A1898="","",IF(OR($Q1898=TRUE(),$Q1898="TRUE"),1,0))</f>
        <v/>
      </c>
      <c r="AL1898" s="28" t="str">
        <f aca="false">IF($N1898="","",IF(MATCH($N1898,$N$2:$N$3001,0)=ROWS($N$2:$N1898),$N1898,""))</f>
        <v/>
      </c>
    </row>
    <row r="1899" customFormat="false" ht="15" hidden="false" customHeight="false" outlineLevel="0" collapsed="false">
      <c r="E1899" s="25"/>
      <c r="M1899" s="26" t="str">
        <f aca="false">IF($A1899="","",$L1899*$U1899/100)</f>
        <v/>
      </c>
      <c r="W1899" s="26" t="str">
        <f aca="false">IF($A1899="","",U1899*AB1899/100)</f>
        <v/>
      </c>
      <c r="X1899" s="26" t="str">
        <f aca="false">IF($A1899="","",U1899-W1899)</f>
        <v/>
      </c>
      <c r="Y1899" s="26" t="str">
        <f aca="false">IF($A1899="","",U1899-W1899-M1899)</f>
        <v/>
      </c>
      <c r="AB1899" s="27" t="str">
        <f aca="false">IF($A1899="","",IF($AK1899=1,'كشف المطالبة'!$D$5,'كشف المطالبة'!$D$6)*100)</f>
        <v/>
      </c>
      <c r="AK1899" s="28" t="str">
        <f aca="false">IF($A1899="","",IF(OR($Q1899=TRUE(),$Q1899="TRUE"),1,0))</f>
        <v/>
      </c>
      <c r="AL1899" s="28" t="str">
        <f aca="false">IF($N1899="","",IF(MATCH($N1899,$N$2:$N$3001,0)=ROWS($N$2:$N1899),$N1899,""))</f>
        <v/>
      </c>
    </row>
    <row r="1900" customFormat="false" ht="15" hidden="false" customHeight="false" outlineLevel="0" collapsed="false">
      <c r="E1900" s="25"/>
      <c r="M1900" s="26" t="str">
        <f aca="false">IF($A1900="","",$L1900*$U1900/100)</f>
        <v/>
      </c>
      <c r="W1900" s="26" t="str">
        <f aca="false">IF($A1900="","",U1900*AB1900/100)</f>
        <v/>
      </c>
      <c r="X1900" s="26" t="str">
        <f aca="false">IF($A1900="","",U1900-W1900)</f>
        <v/>
      </c>
      <c r="Y1900" s="26" t="str">
        <f aca="false">IF($A1900="","",U1900-W1900-M1900)</f>
        <v/>
      </c>
      <c r="AB1900" s="27" t="str">
        <f aca="false">IF($A1900="","",IF($AK1900=1,'كشف المطالبة'!$D$5,'كشف المطالبة'!$D$6)*100)</f>
        <v/>
      </c>
      <c r="AK1900" s="28" t="str">
        <f aca="false">IF($A1900="","",IF(OR($Q1900=TRUE(),$Q1900="TRUE"),1,0))</f>
        <v/>
      </c>
      <c r="AL1900" s="28" t="str">
        <f aca="false">IF($N1900="","",IF(MATCH($N1900,$N$2:$N$3001,0)=ROWS($N$2:$N1900),$N1900,""))</f>
        <v/>
      </c>
    </row>
    <row r="1901" customFormat="false" ht="15" hidden="false" customHeight="false" outlineLevel="0" collapsed="false">
      <c r="E1901" s="25"/>
      <c r="M1901" s="26" t="str">
        <f aca="false">IF($A1901="","",$L1901*$U1901/100)</f>
        <v/>
      </c>
      <c r="W1901" s="26" t="str">
        <f aca="false">IF($A1901="","",U1901*AB1901/100)</f>
        <v/>
      </c>
      <c r="X1901" s="26" t="str">
        <f aca="false">IF($A1901="","",U1901-W1901)</f>
        <v/>
      </c>
      <c r="Y1901" s="26" t="str">
        <f aca="false">IF($A1901="","",U1901-W1901-M1901)</f>
        <v/>
      </c>
      <c r="AB1901" s="27" t="str">
        <f aca="false">IF($A1901="","",IF($AK1901=1,'كشف المطالبة'!$D$5,'كشف المطالبة'!$D$6)*100)</f>
        <v/>
      </c>
      <c r="AK1901" s="28" t="str">
        <f aca="false">IF($A1901="","",IF(OR($Q1901=TRUE(),$Q1901="TRUE"),1,0))</f>
        <v/>
      </c>
      <c r="AL1901" s="28" t="str">
        <f aca="false">IF($N1901="","",IF(MATCH($N1901,$N$2:$N$3001,0)=ROWS($N$2:$N1901),$N1901,""))</f>
        <v/>
      </c>
    </row>
    <row r="1902" customFormat="false" ht="15" hidden="false" customHeight="false" outlineLevel="0" collapsed="false">
      <c r="E1902" s="25"/>
      <c r="M1902" s="26" t="str">
        <f aca="false">IF($A1902="","",$L1902*$U1902/100)</f>
        <v/>
      </c>
      <c r="W1902" s="26" t="str">
        <f aca="false">IF($A1902="","",U1902*AB1902/100)</f>
        <v/>
      </c>
      <c r="X1902" s="26" t="str">
        <f aca="false">IF($A1902="","",U1902-W1902)</f>
        <v/>
      </c>
      <c r="Y1902" s="26" t="str">
        <f aca="false">IF($A1902="","",U1902-W1902-M1902)</f>
        <v/>
      </c>
      <c r="AB1902" s="27" t="str">
        <f aca="false">IF($A1902="","",IF($AK1902=1,'كشف المطالبة'!$D$5,'كشف المطالبة'!$D$6)*100)</f>
        <v/>
      </c>
      <c r="AK1902" s="28" t="str">
        <f aca="false">IF($A1902="","",IF(OR($Q1902=TRUE(),$Q1902="TRUE"),1,0))</f>
        <v/>
      </c>
      <c r="AL1902" s="28" t="str">
        <f aca="false">IF($N1902="","",IF(MATCH($N1902,$N$2:$N$3001,0)=ROWS($N$2:$N1902),$N1902,""))</f>
        <v/>
      </c>
    </row>
    <row r="1903" customFormat="false" ht="15" hidden="false" customHeight="false" outlineLevel="0" collapsed="false">
      <c r="E1903" s="25"/>
      <c r="M1903" s="26" t="str">
        <f aca="false">IF($A1903="","",$L1903*$U1903/100)</f>
        <v/>
      </c>
      <c r="W1903" s="26" t="str">
        <f aca="false">IF($A1903="","",U1903*AB1903/100)</f>
        <v/>
      </c>
      <c r="X1903" s="26" t="str">
        <f aca="false">IF($A1903="","",U1903-W1903)</f>
        <v/>
      </c>
      <c r="Y1903" s="26" t="str">
        <f aca="false">IF($A1903="","",U1903-W1903-M1903)</f>
        <v/>
      </c>
      <c r="AB1903" s="27" t="str">
        <f aca="false">IF($A1903="","",IF($AK1903=1,'كشف المطالبة'!$D$5,'كشف المطالبة'!$D$6)*100)</f>
        <v/>
      </c>
      <c r="AK1903" s="28" t="str">
        <f aca="false">IF($A1903="","",IF(OR($Q1903=TRUE(),$Q1903="TRUE"),1,0))</f>
        <v/>
      </c>
      <c r="AL1903" s="28" t="str">
        <f aca="false">IF($N1903="","",IF(MATCH($N1903,$N$2:$N$3001,0)=ROWS($N$2:$N1903),$N1903,""))</f>
        <v/>
      </c>
    </row>
    <row r="1904" customFormat="false" ht="15" hidden="false" customHeight="false" outlineLevel="0" collapsed="false">
      <c r="E1904" s="25"/>
      <c r="M1904" s="26" t="str">
        <f aca="false">IF($A1904="","",$L1904*$U1904/100)</f>
        <v/>
      </c>
      <c r="W1904" s="26" t="str">
        <f aca="false">IF($A1904="","",U1904*AB1904/100)</f>
        <v/>
      </c>
      <c r="X1904" s="26" t="str">
        <f aca="false">IF($A1904="","",U1904-W1904)</f>
        <v/>
      </c>
      <c r="Y1904" s="26" t="str">
        <f aca="false">IF($A1904="","",U1904-W1904-M1904)</f>
        <v/>
      </c>
      <c r="AB1904" s="27" t="str">
        <f aca="false">IF($A1904="","",IF($AK1904=1,'كشف المطالبة'!$D$5,'كشف المطالبة'!$D$6)*100)</f>
        <v/>
      </c>
      <c r="AK1904" s="28" t="str">
        <f aca="false">IF($A1904="","",IF(OR($Q1904=TRUE(),$Q1904="TRUE"),1,0))</f>
        <v/>
      </c>
      <c r="AL1904" s="28" t="str">
        <f aca="false">IF($N1904="","",IF(MATCH($N1904,$N$2:$N$3001,0)=ROWS($N$2:$N1904),$N1904,""))</f>
        <v/>
      </c>
    </row>
    <row r="1905" customFormat="false" ht="15" hidden="false" customHeight="false" outlineLevel="0" collapsed="false">
      <c r="E1905" s="25"/>
      <c r="M1905" s="26" t="str">
        <f aca="false">IF($A1905="","",$L1905*$U1905/100)</f>
        <v/>
      </c>
      <c r="W1905" s="26" t="str">
        <f aca="false">IF($A1905="","",U1905*AB1905/100)</f>
        <v/>
      </c>
      <c r="X1905" s="26" t="str">
        <f aca="false">IF($A1905="","",U1905-W1905)</f>
        <v/>
      </c>
      <c r="Y1905" s="26" t="str">
        <f aca="false">IF($A1905="","",U1905-W1905-M1905)</f>
        <v/>
      </c>
      <c r="AB1905" s="27" t="str">
        <f aca="false">IF($A1905="","",IF($AK1905=1,'كشف المطالبة'!$D$5,'كشف المطالبة'!$D$6)*100)</f>
        <v/>
      </c>
      <c r="AK1905" s="28" t="str">
        <f aca="false">IF($A1905="","",IF(OR($Q1905=TRUE(),$Q1905="TRUE"),1,0))</f>
        <v/>
      </c>
      <c r="AL1905" s="28" t="str">
        <f aca="false">IF($N1905="","",IF(MATCH($N1905,$N$2:$N$3001,0)=ROWS($N$2:$N1905),$N1905,""))</f>
        <v/>
      </c>
    </row>
    <row r="1906" customFormat="false" ht="15" hidden="false" customHeight="false" outlineLevel="0" collapsed="false">
      <c r="E1906" s="25"/>
      <c r="M1906" s="26" t="str">
        <f aca="false">IF($A1906="","",$L1906*$U1906/100)</f>
        <v/>
      </c>
      <c r="W1906" s="26" t="str">
        <f aca="false">IF($A1906="","",U1906*AB1906/100)</f>
        <v/>
      </c>
      <c r="X1906" s="26" t="str">
        <f aca="false">IF($A1906="","",U1906-W1906)</f>
        <v/>
      </c>
      <c r="Y1906" s="26" t="str">
        <f aca="false">IF($A1906="","",U1906-W1906-M1906)</f>
        <v/>
      </c>
      <c r="AB1906" s="27" t="str">
        <f aca="false">IF($A1906="","",IF($AK1906=1,'كشف المطالبة'!$D$5,'كشف المطالبة'!$D$6)*100)</f>
        <v/>
      </c>
      <c r="AK1906" s="28" t="str">
        <f aca="false">IF($A1906="","",IF(OR($Q1906=TRUE(),$Q1906="TRUE"),1,0))</f>
        <v/>
      </c>
      <c r="AL1906" s="28" t="str">
        <f aca="false">IF($N1906="","",IF(MATCH($N1906,$N$2:$N$3001,0)=ROWS($N$2:$N1906),$N1906,""))</f>
        <v/>
      </c>
    </row>
    <row r="1907" customFormat="false" ht="15" hidden="false" customHeight="false" outlineLevel="0" collapsed="false">
      <c r="E1907" s="25"/>
      <c r="M1907" s="26" t="str">
        <f aca="false">IF($A1907="","",$L1907*$U1907/100)</f>
        <v/>
      </c>
      <c r="W1907" s="26" t="str">
        <f aca="false">IF($A1907="","",U1907*AB1907/100)</f>
        <v/>
      </c>
      <c r="X1907" s="26" t="str">
        <f aca="false">IF($A1907="","",U1907-W1907)</f>
        <v/>
      </c>
      <c r="Y1907" s="26" t="str">
        <f aca="false">IF($A1907="","",U1907-W1907-M1907)</f>
        <v/>
      </c>
      <c r="AB1907" s="27" t="str">
        <f aca="false">IF($A1907="","",IF($AK1907=1,'كشف المطالبة'!$D$5,'كشف المطالبة'!$D$6)*100)</f>
        <v/>
      </c>
      <c r="AK1907" s="28" t="str">
        <f aca="false">IF($A1907="","",IF(OR($Q1907=TRUE(),$Q1907="TRUE"),1,0))</f>
        <v/>
      </c>
      <c r="AL1907" s="28" t="str">
        <f aca="false">IF($N1907="","",IF(MATCH($N1907,$N$2:$N$3001,0)=ROWS($N$2:$N1907),$N1907,""))</f>
        <v/>
      </c>
    </row>
    <row r="1908" customFormat="false" ht="15" hidden="false" customHeight="false" outlineLevel="0" collapsed="false">
      <c r="E1908" s="25"/>
      <c r="M1908" s="26" t="str">
        <f aca="false">IF($A1908="","",$L1908*$U1908/100)</f>
        <v/>
      </c>
      <c r="W1908" s="26" t="str">
        <f aca="false">IF($A1908="","",U1908*AB1908/100)</f>
        <v/>
      </c>
      <c r="X1908" s="26" t="str">
        <f aca="false">IF($A1908="","",U1908-W1908)</f>
        <v/>
      </c>
      <c r="Y1908" s="26" t="str">
        <f aca="false">IF($A1908="","",U1908-W1908-M1908)</f>
        <v/>
      </c>
      <c r="AB1908" s="27" t="str">
        <f aca="false">IF($A1908="","",IF($AK1908=1,'كشف المطالبة'!$D$5,'كشف المطالبة'!$D$6)*100)</f>
        <v/>
      </c>
      <c r="AK1908" s="28" t="str">
        <f aca="false">IF($A1908="","",IF(OR($Q1908=TRUE(),$Q1908="TRUE"),1,0))</f>
        <v/>
      </c>
      <c r="AL1908" s="28" t="str">
        <f aca="false">IF($N1908="","",IF(MATCH($N1908,$N$2:$N$3001,0)=ROWS($N$2:$N1908),$N1908,""))</f>
        <v/>
      </c>
    </row>
    <row r="1909" customFormat="false" ht="15" hidden="false" customHeight="false" outlineLevel="0" collapsed="false">
      <c r="E1909" s="25"/>
      <c r="M1909" s="26" t="str">
        <f aca="false">IF($A1909="","",$L1909*$U1909/100)</f>
        <v/>
      </c>
      <c r="W1909" s="26" t="str">
        <f aca="false">IF($A1909="","",U1909*AB1909/100)</f>
        <v/>
      </c>
      <c r="X1909" s="26" t="str">
        <f aca="false">IF($A1909="","",U1909-W1909)</f>
        <v/>
      </c>
      <c r="Y1909" s="26" t="str">
        <f aca="false">IF($A1909="","",U1909-W1909-M1909)</f>
        <v/>
      </c>
      <c r="AB1909" s="27" t="str">
        <f aca="false">IF($A1909="","",IF($AK1909=1,'كشف المطالبة'!$D$5,'كشف المطالبة'!$D$6)*100)</f>
        <v/>
      </c>
      <c r="AK1909" s="28" t="str">
        <f aca="false">IF($A1909="","",IF(OR($Q1909=TRUE(),$Q1909="TRUE"),1,0))</f>
        <v/>
      </c>
      <c r="AL1909" s="28" t="str">
        <f aca="false">IF($N1909="","",IF(MATCH($N1909,$N$2:$N$3001,0)=ROWS($N$2:$N1909),$N1909,""))</f>
        <v/>
      </c>
    </row>
    <row r="1910" customFormat="false" ht="15" hidden="false" customHeight="false" outlineLevel="0" collapsed="false">
      <c r="E1910" s="25"/>
      <c r="M1910" s="26" t="str">
        <f aca="false">IF($A1910="","",$L1910*$U1910/100)</f>
        <v/>
      </c>
      <c r="W1910" s="26" t="str">
        <f aca="false">IF($A1910="","",U1910*AB1910/100)</f>
        <v/>
      </c>
      <c r="X1910" s="26" t="str">
        <f aca="false">IF($A1910="","",U1910-W1910)</f>
        <v/>
      </c>
      <c r="Y1910" s="26" t="str">
        <f aca="false">IF($A1910="","",U1910-W1910-M1910)</f>
        <v/>
      </c>
      <c r="AB1910" s="27" t="str">
        <f aca="false">IF($A1910="","",IF($AK1910=1,'كشف المطالبة'!$D$5,'كشف المطالبة'!$D$6)*100)</f>
        <v/>
      </c>
      <c r="AK1910" s="28" t="str">
        <f aca="false">IF($A1910="","",IF(OR($Q1910=TRUE(),$Q1910="TRUE"),1,0))</f>
        <v/>
      </c>
      <c r="AL1910" s="28" t="str">
        <f aca="false">IF($N1910="","",IF(MATCH($N1910,$N$2:$N$3001,0)=ROWS($N$2:$N1910),$N1910,""))</f>
        <v/>
      </c>
    </row>
    <row r="1911" customFormat="false" ht="15" hidden="false" customHeight="false" outlineLevel="0" collapsed="false">
      <c r="E1911" s="25"/>
      <c r="M1911" s="26" t="str">
        <f aca="false">IF($A1911="","",$L1911*$U1911/100)</f>
        <v/>
      </c>
      <c r="W1911" s="26" t="str">
        <f aca="false">IF($A1911="","",U1911*AB1911/100)</f>
        <v/>
      </c>
      <c r="X1911" s="26" t="str">
        <f aca="false">IF($A1911="","",U1911-W1911)</f>
        <v/>
      </c>
      <c r="Y1911" s="26" t="str">
        <f aca="false">IF($A1911="","",U1911-W1911-M1911)</f>
        <v/>
      </c>
      <c r="AB1911" s="27" t="str">
        <f aca="false">IF($A1911="","",IF($AK1911=1,'كشف المطالبة'!$D$5,'كشف المطالبة'!$D$6)*100)</f>
        <v/>
      </c>
      <c r="AK1911" s="28" t="str">
        <f aca="false">IF($A1911="","",IF(OR($Q1911=TRUE(),$Q1911="TRUE"),1,0))</f>
        <v/>
      </c>
      <c r="AL1911" s="28" t="str">
        <f aca="false">IF($N1911="","",IF(MATCH($N1911,$N$2:$N$3001,0)=ROWS($N$2:$N1911),$N1911,""))</f>
        <v/>
      </c>
    </row>
    <row r="1912" customFormat="false" ht="15" hidden="false" customHeight="false" outlineLevel="0" collapsed="false">
      <c r="E1912" s="25"/>
      <c r="M1912" s="26" t="str">
        <f aca="false">IF($A1912="","",$L1912*$U1912/100)</f>
        <v/>
      </c>
      <c r="W1912" s="26" t="str">
        <f aca="false">IF($A1912="","",U1912*AB1912/100)</f>
        <v/>
      </c>
      <c r="X1912" s="26" t="str">
        <f aca="false">IF($A1912="","",U1912-W1912)</f>
        <v/>
      </c>
      <c r="Y1912" s="26" t="str">
        <f aca="false">IF($A1912="","",U1912-W1912-M1912)</f>
        <v/>
      </c>
      <c r="AB1912" s="27" t="str">
        <f aca="false">IF($A1912="","",IF($AK1912=1,'كشف المطالبة'!$D$5,'كشف المطالبة'!$D$6)*100)</f>
        <v/>
      </c>
      <c r="AK1912" s="28" t="str">
        <f aca="false">IF($A1912="","",IF(OR($Q1912=TRUE(),$Q1912="TRUE"),1,0))</f>
        <v/>
      </c>
      <c r="AL1912" s="28" t="str">
        <f aca="false">IF($N1912="","",IF(MATCH($N1912,$N$2:$N$3001,0)=ROWS($N$2:$N1912),$N1912,""))</f>
        <v/>
      </c>
    </row>
    <row r="1913" customFormat="false" ht="15" hidden="false" customHeight="false" outlineLevel="0" collapsed="false">
      <c r="E1913" s="25"/>
      <c r="M1913" s="26" t="str">
        <f aca="false">IF($A1913="","",$L1913*$U1913/100)</f>
        <v/>
      </c>
      <c r="W1913" s="26" t="str">
        <f aca="false">IF($A1913="","",U1913*AB1913/100)</f>
        <v/>
      </c>
      <c r="X1913" s="26" t="str">
        <f aca="false">IF($A1913="","",U1913-W1913)</f>
        <v/>
      </c>
      <c r="Y1913" s="26" t="str">
        <f aca="false">IF($A1913="","",U1913-W1913-M1913)</f>
        <v/>
      </c>
      <c r="AB1913" s="27" t="str">
        <f aca="false">IF($A1913="","",IF($AK1913=1,'كشف المطالبة'!$D$5,'كشف المطالبة'!$D$6)*100)</f>
        <v/>
      </c>
      <c r="AK1913" s="28" t="str">
        <f aca="false">IF($A1913="","",IF(OR($Q1913=TRUE(),$Q1913="TRUE"),1,0))</f>
        <v/>
      </c>
      <c r="AL1913" s="28" t="str">
        <f aca="false">IF($N1913="","",IF(MATCH($N1913,$N$2:$N$3001,0)=ROWS($N$2:$N1913),$N1913,""))</f>
        <v/>
      </c>
    </row>
    <row r="1914" customFormat="false" ht="15" hidden="false" customHeight="false" outlineLevel="0" collapsed="false">
      <c r="E1914" s="25"/>
      <c r="M1914" s="26" t="str">
        <f aca="false">IF($A1914="","",$L1914*$U1914/100)</f>
        <v/>
      </c>
      <c r="W1914" s="26" t="str">
        <f aca="false">IF($A1914="","",U1914*AB1914/100)</f>
        <v/>
      </c>
      <c r="X1914" s="26" t="str">
        <f aca="false">IF($A1914="","",U1914-W1914)</f>
        <v/>
      </c>
      <c r="Y1914" s="26" t="str">
        <f aca="false">IF($A1914="","",U1914-W1914-M1914)</f>
        <v/>
      </c>
      <c r="AB1914" s="27" t="str">
        <f aca="false">IF($A1914="","",IF($AK1914=1,'كشف المطالبة'!$D$5,'كشف المطالبة'!$D$6)*100)</f>
        <v/>
      </c>
      <c r="AK1914" s="28" t="str">
        <f aca="false">IF($A1914="","",IF(OR($Q1914=TRUE(),$Q1914="TRUE"),1,0))</f>
        <v/>
      </c>
      <c r="AL1914" s="28" t="str">
        <f aca="false">IF($N1914="","",IF(MATCH($N1914,$N$2:$N$3001,0)=ROWS($N$2:$N1914),$N1914,""))</f>
        <v/>
      </c>
    </row>
    <row r="1915" customFormat="false" ht="15" hidden="false" customHeight="false" outlineLevel="0" collapsed="false">
      <c r="E1915" s="25"/>
      <c r="M1915" s="26" t="str">
        <f aca="false">IF($A1915="","",$L1915*$U1915/100)</f>
        <v/>
      </c>
      <c r="W1915" s="26" t="str">
        <f aca="false">IF($A1915="","",U1915*AB1915/100)</f>
        <v/>
      </c>
      <c r="X1915" s="26" t="str">
        <f aca="false">IF($A1915="","",U1915-W1915)</f>
        <v/>
      </c>
      <c r="Y1915" s="26" t="str">
        <f aca="false">IF($A1915="","",U1915-W1915-M1915)</f>
        <v/>
      </c>
      <c r="AB1915" s="27" t="str">
        <f aca="false">IF($A1915="","",IF($AK1915=1,'كشف المطالبة'!$D$5,'كشف المطالبة'!$D$6)*100)</f>
        <v/>
      </c>
      <c r="AK1915" s="28" t="str">
        <f aca="false">IF($A1915="","",IF(OR($Q1915=TRUE(),$Q1915="TRUE"),1,0))</f>
        <v/>
      </c>
      <c r="AL1915" s="28" t="str">
        <f aca="false">IF($N1915="","",IF(MATCH($N1915,$N$2:$N$3001,0)=ROWS($N$2:$N1915),$N1915,""))</f>
        <v/>
      </c>
    </row>
    <row r="1916" customFormat="false" ht="15" hidden="false" customHeight="false" outlineLevel="0" collapsed="false">
      <c r="E1916" s="25"/>
      <c r="M1916" s="26" t="str">
        <f aca="false">IF($A1916="","",$L1916*$U1916/100)</f>
        <v/>
      </c>
      <c r="W1916" s="26" t="str">
        <f aca="false">IF($A1916="","",U1916*AB1916/100)</f>
        <v/>
      </c>
      <c r="X1916" s="26" t="str">
        <f aca="false">IF($A1916="","",U1916-W1916)</f>
        <v/>
      </c>
      <c r="Y1916" s="26" t="str">
        <f aca="false">IF($A1916="","",U1916-W1916-M1916)</f>
        <v/>
      </c>
      <c r="AB1916" s="27" t="str">
        <f aca="false">IF($A1916="","",IF($AK1916=1,'كشف المطالبة'!$D$5,'كشف المطالبة'!$D$6)*100)</f>
        <v/>
      </c>
      <c r="AK1916" s="28" t="str">
        <f aca="false">IF($A1916="","",IF(OR($Q1916=TRUE(),$Q1916="TRUE"),1,0))</f>
        <v/>
      </c>
      <c r="AL1916" s="28" t="str">
        <f aca="false">IF($N1916="","",IF(MATCH($N1916,$N$2:$N$3001,0)=ROWS($N$2:$N1916),$N1916,""))</f>
        <v/>
      </c>
    </row>
    <row r="1917" customFormat="false" ht="15" hidden="false" customHeight="false" outlineLevel="0" collapsed="false">
      <c r="E1917" s="25"/>
      <c r="M1917" s="26" t="str">
        <f aca="false">IF($A1917="","",$L1917*$U1917/100)</f>
        <v/>
      </c>
      <c r="W1917" s="26" t="str">
        <f aca="false">IF($A1917="","",U1917*AB1917/100)</f>
        <v/>
      </c>
      <c r="X1917" s="26" t="str">
        <f aca="false">IF($A1917="","",U1917-W1917)</f>
        <v/>
      </c>
      <c r="Y1917" s="26" t="str">
        <f aca="false">IF($A1917="","",U1917-W1917-M1917)</f>
        <v/>
      </c>
      <c r="AB1917" s="27" t="str">
        <f aca="false">IF($A1917="","",IF($AK1917=1,'كشف المطالبة'!$D$5,'كشف المطالبة'!$D$6)*100)</f>
        <v/>
      </c>
      <c r="AK1917" s="28" t="str">
        <f aca="false">IF($A1917="","",IF(OR($Q1917=TRUE(),$Q1917="TRUE"),1,0))</f>
        <v/>
      </c>
      <c r="AL1917" s="28" t="str">
        <f aca="false">IF($N1917="","",IF(MATCH($N1917,$N$2:$N$3001,0)=ROWS($N$2:$N1917),$N1917,""))</f>
        <v/>
      </c>
    </row>
    <row r="1918" customFormat="false" ht="15" hidden="false" customHeight="false" outlineLevel="0" collapsed="false">
      <c r="E1918" s="25"/>
      <c r="M1918" s="26" t="str">
        <f aca="false">IF($A1918="","",$L1918*$U1918/100)</f>
        <v/>
      </c>
      <c r="W1918" s="26" t="str">
        <f aca="false">IF($A1918="","",U1918*AB1918/100)</f>
        <v/>
      </c>
      <c r="X1918" s="26" t="str">
        <f aca="false">IF($A1918="","",U1918-W1918)</f>
        <v/>
      </c>
      <c r="Y1918" s="26" t="str">
        <f aca="false">IF($A1918="","",U1918-W1918-M1918)</f>
        <v/>
      </c>
      <c r="AB1918" s="27" t="str">
        <f aca="false">IF($A1918="","",IF($AK1918=1,'كشف المطالبة'!$D$5,'كشف المطالبة'!$D$6)*100)</f>
        <v/>
      </c>
      <c r="AK1918" s="28" t="str">
        <f aca="false">IF($A1918="","",IF(OR($Q1918=TRUE(),$Q1918="TRUE"),1,0))</f>
        <v/>
      </c>
      <c r="AL1918" s="28" t="str">
        <f aca="false">IF($N1918="","",IF(MATCH($N1918,$N$2:$N$3001,0)=ROWS($N$2:$N1918),$N1918,""))</f>
        <v/>
      </c>
    </row>
    <row r="1919" customFormat="false" ht="15" hidden="false" customHeight="false" outlineLevel="0" collapsed="false">
      <c r="E1919" s="25"/>
      <c r="M1919" s="26" t="str">
        <f aca="false">IF($A1919="","",$L1919*$U1919/100)</f>
        <v/>
      </c>
      <c r="W1919" s="26" t="str">
        <f aca="false">IF($A1919="","",U1919*AB1919/100)</f>
        <v/>
      </c>
      <c r="X1919" s="26" t="str">
        <f aca="false">IF($A1919="","",U1919-W1919)</f>
        <v/>
      </c>
      <c r="Y1919" s="26" t="str">
        <f aca="false">IF($A1919="","",U1919-W1919-M1919)</f>
        <v/>
      </c>
      <c r="AB1919" s="27" t="str">
        <f aca="false">IF($A1919="","",IF($AK1919=1,'كشف المطالبة'!$D$5,'كشف المطالبة'!$D$6)*100)</f>
        <v/>
      </c>
      <c r="AK1919" s="28" t="str">
        <f aca="false">IF($A1919="","",IF(OR($Q1919=TRUE(),$Q1919="TRUE"),1,0))</f>
        <v/>
      </c>
      <c r="AL1919" s="28" t="str">
        <f aca="false">IF($N1919="","",IF(MATCH($N1919,$N$2:$N$3001,0)=ROWS($N$2:$N1919),$N1919,""))</f>
        <v/>
      </c>
    </row>
    <row r="1920" customFormat="false" ht="15" hidden="false" customHeight="false" outlineLevel="0" collapsed="false">
      <c r="E1920" s="25"/>
      <c r="M1920" s="26" t="str">
        <f aca="false">IF($A1920="","",$L1920*$U1920/100)</f>
        <v/>
      </c>
      <c r="W1920" s="26" t="str">
        <f aca="false">IF($A1920="","",U1920*AB1920/100)</f>
        <v/>
      </c>
      <c r="X1920" s="26" t="str">
        <f aca="false">IF($A1920="","",U1920-W1920)</f>
        <v/>
      </c>
      <c r="Y1920" s="26" t="str">
        <f aca="false">IF($A1920="","",U1920-W1920-M1920)</f>
        <v/>
      </c>
      <c r="AB1920" s="27" t="str">
        <f aca="false">IF($A1920="","",IF($AK1920=1,'كشف المطالبة'!$D$5,'كشف المطالبة'!$D$6)*100)</f>
        <v/>
      </c>
      <c r="AK1920" s="28" t="str">
        <f aca="false">IF($A1920="","",IF(OR($Q1920=TRUE(),$Q1920="TRUE"),1,0))</f>
        <v/>
      </c>
      <c r="AL1920" s="28" t="str">
        <f aca="false">IF($N1920="","",IF(MATCH($N1920,$N$2:$N$3001,0)=ROWS($N$2:$N1920),$N1920,""))</f>
        <v/>
      </c>
    </row>
    <row r="1921" customFormat="false" ht="15" hidden="false" customHeight="false" outlineLevel="0" collapsed="false">
      <c r="E1921" s="25"/>
      <c r="M1921" s="26" t="str">
        <f aca="false">IF($A1921="","",$L1921*$U1921/100)</f>
        <v/>
      </c>
      <c r="W1921" s="26" t="str">
        <f aca="false">IF($A1921="","",U1921*AB1921/100)</f>
        <v/>
      </c>
      <c r="X1921" s="26" t="str">
        <f aca="false">IF($A1921="","",U1921-W1921)</f>
        <v/>
      </c>
      <c r="Y1921" s="26" t="str">
        <f aca="false">IF($A1921="","",U1921-W1921-M1921)</f>
        <v/>
      </c>
      <c r="AB1921" s="27" t="str">
        <f aca="false">IF($A1921="","",IF($AK1921=1,'كشف المطالبة'!$D$5,'كشف المطالبة'!$D$6)*100)</f>
        <v/>
      </c>
      <c r="AK1921" s="28" t="str">
        <f aca="false">IF($A1921="","",IF(OR($Q1921=TRUE(),$Q1921="TRUE"),1,0))</f>
        <v/>
      </c>
      <c r="AL1921" s="28" t="str">
        <f aca="false">IF($N1921="","",IF(MATCH($N1921,$N$2:$N$3001,0)=ROWS($N$2:$N1921),$N1921,""))</f>
        <v/>
      </c>
    </row>
    <row r="1922" customFormat="false" ht="15" hidden="false" customHeight="false" outlineLevel="0" collapsed="false">
      <c r="E1922" s="25"/>
      <c r="M1922" s="26" t="str">
        <f aca="false">IF($A1922="","",$L1922*$U1922/100)</f>
        <v/>
      </c>
      <c r="W1922" s="26" t="str">
        <f aca="false">IF($A1922="","",U1922*AB1922/100)</f>
        <v/>
      </c>
      <c r="X1922" s="26" t="str">
        <f aca="false">IF($A1922="","",U1922-W1922)</f>
        <v/>
      </c>
      <c r="Y1922" s="26" t="str">
        <f aca="false">IF($A1922="","",U1922-W1922-M1922)</f>
        <v/>
      </c>
      <c r="AB1922" s="27" t="str">
        <f aca="false">IF($A1922="","",IF($AK1922=1,'كشف المطالبة'!$D$5,'كشف المطالبة'!$D$6)*100)</f>
        <v/>
      </c>
      <c r="AK1922" s="28" t="str">
        <f aca="false">IF($A1922="","",IF(OR($Q1922=TRUE(),$Q1922="TRUE"),1,0))</f>
        <v/>
      </c>
      <c r="AL1922" s="28" t="str">
        <f aca="false">IF($N1922="","",IF(MATCH($N1922,$N$2:$N$3001,0)=ROWS($N$2:$N1922),$N1922,""))</f>
        <v/>
      </c>
    </row>
    <row r="1923" customFormat="false" ht="15" hidden="false" customHeight="false" outlineLevel="0" collapsed="false">
      <c r="E1923" s="25"/>
      <c r="M1923" s="26" t="str">
        <f aca="false">IF($A1923="","",$L1923*$U1923/100)</f>
        <v/>
      </c>
      <c r="W1923" s="26" t="str">
        <f aca="false">IF($A1923="","",U1923*AB1923/100)</f>
        <v/>
      </c>
      <c r="X1923" s="26" t="str">
        <f aca="false">IF($A1923="","",U1923-W1923)</f>
        <v/>
      </c>
      <c r="Y1923" s="26" t="str">
        <f aca="false">IF($A1923="","",U1923-W1923-M1923)</f>
        <v/>
      </c>
      <c r="AB1923" s="27" t="str">
        <f aca="false">IF($A1923="","",IF($AK1923=1,'كشف المطالبة'!$D$5,'كشف المطالبة'!$D$6)*100)</f>
        <v/>
      </c>
      <c r="AK1923" s="28" t="str">
        <f aca="false">IF($A1923="","",IF(OR($Q1923=TRUE(),$Q1923="TRUE"),1,0))</f>
        <v/>
      </c>
      <c r="AL1923" s="28" t="str">
        <f aca="false">IF($N1923="","",IF(MATCH($N1923,$N$2:$N$3001,0)=ROWS($N$2:$N1923),$N1923,""))</f>
        <v/>
      </c>
    </row>
    <row r="1924" customFormat="false" ht="15" hidden="false" customHeight="false" outlineLevel="0" collapsed="false">
      <c r="E1924" s="25"/>
      <c r="M1924" s="26" t="str">
        <f aca="false">IF($A1924="","",$L1924*$U1924/100)</f>
        <v/>
      </c>
      <c r="W1924" s="26" t="str">
        <f aca="false">IF($A1924="","",U1924*AB1924/100)</f>
        <v/>
      </c>
      <c r="X1924" s="26" t="str">
        <f aca="false">IF($A1924="","",U1924-W1924)</f>
        <v/>
      </c>
      <c r="Y1924" s="26" t="str">
        <f aca="false">IF($A1924="","",U1924-W1924-M1924)</f>
        <v/>
      </c>
      <c r="AB1924" s="27" t="str">
        <f aca="false">IF($A1924="","",IF($AK1924=1,'كشف المطالبة'!$D$5,'كشف المطالبة'!$D$6)*100)</f>
        <v/>
      </c>
      <c r="AK1924" s="28" t="str">
        <f aca="false">IF($A1924="","",IF(OR($Q1924=TRUE(),$Q1924="TRUE"),1,0))</f>
        <v/>
      </c>
      <c r="AL1924" s="28" t="str">
        <f aca="false">IF($N1924="","",IF(MATCH($N1924,$N$2:$N$3001,0)=ROWS($N$2:$N1924),$N1924,""))</f>
        <v/>
      </c>
    </row>
    <row r="1925" customFormat="false" ht="15" hidden="false" customHeight="false" outlineLevel="0" collapsed="false">
      <c r="E1925" s="25"/>
      <c r="M1925" s="26" t="str">
        <f aca="false">IF($A1925="","",$L1925*$U1925/100)</f>
        <v/>
      </c>
      <c r="W1925" s="26" t="str">
        <f aca="false">IF($A1925="","",U1925*AB1925/100)</f>
        <v/>
      </c>
      <c r="X1925" s="26" t="str">
        <f aca="false">IF($A1925="","",U1925-W1925)</f>
        <v/>
      </c>
      <c r="Y1925" s="26" t="str">
        <f aca="false">IF($A1925="","",U1925-W1925-M1925)</f>
        <v/>
      </c>
      <c r="AB1925" s="27" t="str">
        <f aca="false">IF($A1925="","",IF($AK1925=1,'كشف المطالبة'!$D$5,'كشف المطالبة'!$D$6)*100)</f>
        <v/>
      </c>
      <c r="AK1925" s="28" t="str">
        <f aca="false">IF($A1925="","",IF(OR($Q1925=TRUE(),$Q1925="TRUE"),1,0))</f>
        <v/>
      </c>
      <c r="AL1925" s="28" t="str">
        <f aca="false">IF($N1925="","",IF(MATCH($N1925,$N$2:$N$3001,0)=ROWS($N$2:$N1925),$N1925,""))</f>
        <v/>
      </c>
    </row>
    <row r="1926" customFormat="false" ht="15" hidden="false" customHeight="false" outlineLevel="0" collapsed="false">
      <c r="E1926" s="25"/>
      <c r="M1926" s="26" t="str">
        <f aca="false">IF($A1926="","",$L1926*$U1926/100)</f>
        <v/>
      </c>
      <c r="W1926" s="26" t="str">
        <f aca="false">IF($A1926="","",U1926*AB1926/100)</f>
        <v/>
      </c>
      <c r="X1926" s="26" t="str">
        <f aca="false">IF($A1926="","",U1926-W1926)</f>
        <v/>
      </c>
      <c r="Y1926" s="26" t="str">
        <f aca="false">IF($A1926="","",U1926-W1926-M1926)</f>
        <v/>
      </c>
      <c r="AB1926" s="27" t="str">
        <f aca="false">IF($A1926="","",IF($AK1926=1,'كشف المطالبة'!$D$5,'كشف المطالبة'!$D$6)*100)</f>
        <v/>
      </c>
      <c r="AK1926" s="28" t="str">
        <f aca="false">IF($A1926="","",IF(OR($Q1926=TRUE(),$Q1926="TRUE"),1,0))</f>
        <v/>
      </c>
      <c r="AL1926" s="28" t="str">
        <f aca="false">IF($N1926="","",IF(MATCH($N1926,$N$2:$N$3001,0)=ROWS($N$2:$N1926),$N1926,""))</f>
        <v/>
      </c>
    </row>
    <row r="1927" customFormat="false" ht="15" hidden="false" customHeight="false" outlineLevel="0" collapsed="false">
      <c r="E1927" s="25"/>
      <c r="M1927" s="26" t="str">
        <f aca="false">IF($A1927="","",$L1927*$U1927/100)</f>
        <v/>
      </c>
      <c r="W1927" s="26" t="str">
        <f aca="false">IF($A1927="","",U1927*AB1927/100)</f>
        <v/>
      </c>
      <c r="X1927" s="26" t="str">
        <f aca="false">IF($A1927="","",U1927-W1927)</f>
        <v/>
      </c>
      <c r="Y1927" s="26" t="str">
        <f aca="false">IF($A1927="","",U1927-W1927-M1927)</f>
        <v/>
      </c>
      <c r="AB1927" s="27" t="str">
        <f aca="false">IF($A1927="","",IF($AK1927=1,'كشف المطالبة'!$D$5,'كشف المطالبة'!$D$6)*100)</f>
        <v/>
      </c>
      <c r="AK1927" s="28" t="str">
        <f aca="false">IF($A1927="","",IF(OR($Q1927=TRUE(),$Q1927="TRUE"),1,0))</f>
        <v/>
      </c>
      <c r="AL1927" s="28" t="str">
        <f aca="false">IF($N1927="","",IF(MATCH($N1927,$N$2:$N$3001,0)=ROWS($N$2:$N1927),$N1927,""))</f>
        <v/>
      </c>
    </row>
    <row r="1928" customFormat="false" ht="15" hidden="false" customHeight="false" outlineLevel="0" collapsed="false">
      <c r="E1928" s="25"/>
      <c r="M1928" s="26" t="str">
        <f aca="false">IF($A1928="","",$L1928*$U1928/100)</f>
        <v/>
      </c>
      <c r="W1928" s="26" t="str">
        <f aca="false">IF($A1928="","",U1928*AB1928/100)</f>
        <v/>
      </c>
      <c r="X1928" s="26" t="str">
        <f aca="false">IF($A1928="","",U1928-W1928)</f>
        <v/>
      </c>
      <c r="Y1928" s="26" t="str">
        <f aca="false">IF($A1928="","",U1928-W1928-M1928)</f>
        <v/>
      </c>
      <c r="AB1928" s="27" t="str">
        <f aca="false">IF($A1928="","",IF($AK1928=1,'كشف المطالبة'!$D$5,'كشف المطالبة'!$D$6)*100)</f>
        <v/>
      </c>
      <c r="AK1928" s="28" t="str">
        <f aca="false">IF($A1928="","",IF(OR($Q1928=TRUE(),$Q1928="TRUE"),1,0))</f>
        <v/>
      </c>
      <c r="AL1928" s="28" t="str">
        <f aca="false">IF($N1928="","",IF(MATCH($N1928,$N$2:$N$3001,0)=ROWS($N$2:$N1928),$N1928,""))</f>
        <v/>
      </c>
    </row>
    <row r="1929" customFormat="false" ht="15" hidden="false" customHeight="false" outlineLevel="0" collapsed="false">
      <c r="E1929" s="25"/>
      <c r="M1929" s="26" t="str">
        <f aca="false">IF($A1929="","",$L1929*$U1929/100)</f>
        <v/>
      </c>
      <c r="W1929" s="26" t="str">
        <f aca="false">IF($A1929="","",U1929*AB1929/100)</f>
        <v/>
      </c>
      <c r="X1929" s="26" t="str">
        <f aca="false">IF($A1929="","",U1929-W1929)</f>
        <v/>
      </c>
      <c r="Y1929" s="26" t="str">
        <f aca="false">IF($A1929="","",U1929-W1929-M1929)</f>
        <v/>
      </c>
      <c r="AB1929" s="27" t="str">
        <f aca="false">IF($A1929="","",IF($AK1929=1,'كشف المطالبة'!$D$5,'كشف المطالبة'!$D$6)*100)</f>
        <v/>
      </c>
      <c r="AK1929" s="28" t="str">
        <f aca="false">IF($A1929="","",IF(OR($Q1929=TRUE(),$Q1929="TRUE"),1,0))</f>
        <v/>
      </c>
      <c r="AL1929" s="28" t="str">
        <f aca="false">IF($N1929="","",IF(MATCH($N1929,$N$2:$N$3001,0)=ROWS($N$2:$N1929),$N1929,""))</f>
        <v/>
      </c>
    </row>
    <row r="1930" customFormat="false" ht="15" hidden="false" customHeight="false" outlineLevel="0" collapsed="false">
      <c r="E1930" s="25"/>
      <c r="M1930" s="26" t="str">
        <f aca="false">IF($A1930="","",$L1930*$U1930/100)</f>
        <v/>
      </c>
      <c r="W1930" s="26" t="str">
        <f aca="false">IF($A1930="","",U1930*AB1930/100)</f>
        <v/>
      </c>
      <c r="X1930" s="26" t="str">
        <f aca="false">IF($A1930="","",U1930-W1930)</f>
        <v/>
      </c>
      <c r="Y1930" s="26" t="str">
        <f aca="false">IF($A1930="","",U1930-W1930-M1930)</f>
        <v/>
      </c>
      <c r="AB1930" s="27" t="str">
        <f aca="false">IF($A1930="","",IF($AK1930=1,'كشف المطالبة'!$D$5,'كشف المطالبة'!$D$6)*100)</f>
        <v/>
      </c>
      <c r="AK1930" s="28" t="str">
        <f aca="false">IF($A1930="","",IF(OR($Q1930=TRUE(),$Q1930="TRUE"),1,0))</f>
        <v/>
      </c>
      <c r="AL1930" s="28" t="str">
        <f aca="false">IF($N1930="","",IF(MATCH($N1930,$N$2:$N$3001,0)=ROWS($N$2:$N1930),$N1930,""))</f>
        <v/>
      </c>
    </row>
    <row r="1931" customFormat="false" ht="15" hidden="false" customHeight="false" outlineLevel="0" collapsed="false">
      <c r="E1931" s="25"/>
      <c r="M1931" s="26" t="str">
        <f aca="false">IF($A1931="","",$L1931*$U1931/100)</f>
        <v/>
      </c>
      <c r="W1931" s="26" t="str">
        <f aca="false">IF($A1931="","",U1931*AB1931/100)</f>
        <v/>
      </c>
      <c r="X1931" s="26" t="str">
        <f aca="false">IF($A1931="","",U1931-W1931)</f>
        <v/>
      </c>
      <c r="Y1931" s="26" t="str">
        <f aca="false">IF($A1931="","",U1931-W1931-M1931)</f>
        <v/>
      </c>
      <c r="AB1931" s="27" t="str">
        <f aca="false">IF($A1931="","",IF($AK1931=1,'كشف المطالبة'!$D$5,'كشف المطالبة'!$D$6)*100)</f>
        <v/>
      </c>
      <c r="AK1931" s="28" t="str">
        <f aca="false">IF($A1931="","",IF(OR($Q1931=TRUE(),$Q1931="TRUE"),1,0))</f>
        <v/>
      </c>
      <c r="AL1931" s="28" t="str">
        <f aca="false">IF($N1931="","",IF(MATCH($N1931,$N$2:$N$3001,0)=ROWS($N$2:$N1931),$N1931,""))</f>
        <v/>
      </c>
    </row>
    <row r="1932" customFormat="false" ht="15" hidden="false" customHeight="false" outlineLevel="0" collapsed="false">
      <c r="E1932" s="25"/>
      <c r="M1932" s="26" t="str">
        <f aca="false">IF($A1932="","",$L1932*$U1932/100)</f>
        <v/>
      </c>
      <c r="W1932" s="26" t="str">
        <f aca="false">IF($A1932="","",U1932*AB1932/100)</f>
        <v/>
      </c>
      <c r="X1932" s="26" t="str">
        <f aca="false">IF($A1932="","",U1932-W1932)</f>
        <v/>
      </c>
      <c r="Y1932" s="26" t="str">
        <f aca="false">IF($A1932="","",U1932-W1932-M1932)</f>
        <v/>
      </c>
      <c r="AB1932" s="27" t="str">
        <f aca="false">IF($A1932="","",IF($AK1932=1,'كشف المطالبة'!$D$5,'كشف المطالبة'!$D$6)*100)</f>
        <v/>
      </c>
      <c r="AK1932" s="28" t="str">
        <f aca="false">IF($A1932="","",IF(OR($Q1932=TRUE(),$Q1932="TRUE"),1,0))</f>
        <v/>
      </c>
      <c r="AL1932" s="28" t="str">
        <f aca="false">IF($N1932="","",IF(MATCH($N1932,$N$2:$N$3001,0)=ROWS($N$2:$N1932),$N1932,""))</f>
        <v/>
      </c>
    </row>
    <row r="1933" customFormat="false" ht="15" hidden="false" customHeight="false" outlineLevel="0" collapsed="false">
      <c r="E1933" s="25"/>
      <c r="M1933" s="26" t="str">
        <f aca="false">IF($A1933="","",$L1933*$U1933/100)</f>
        <v/>
      </c>
      <c r="W1933" s="26" t="str">
        <f aca="false">IF($A1933="","",U1933*AB1933/100)</f>
        <v/>
      </c>
      <c r="X1933" s="26" t="str">
        <f aca="false">IF($A1933="","",U1933-W1933)</f>
        <v/>
      </c>
      <c r="Y1933" s="26" t="str">
        <f aca="false">IF($A1933="","",U1933-W1933-M1933)</f>
        <v/>
      </c>
      <c r="AB1933" s="27" t="str">
        <f aca="false">IF($A1933="","",IF($AK1933=1,'كشف المطالبة'!$D$5,'كشف المطالبة'!$D$6)*100)</f>
        <v/>
      </c>
      <c r="AK1933" s="28" t="str">
        <f aca="false">IF($A1933="","",IF(OR($Q1933=TRUE(),$Q1933="TRUE"),1,0))</f>
        <v/>
      </c>
      <c r="AL1933" s="28" t="str">
        <f aca="false">IF($N1933="","",IF(MATCH($N1933,$N$2:$N$3001,0)=ROWS($N$2:$N1933),$N1933,""))</f>
        <v/>
      </c>
    </row>
    <row r="1934" customFormat="false" ht="15" hidden="false" customHeight="false" outlineLevel="0" collapsed="false">
      <c r="E1934" s="25"/>
      <c r="M1934" s="26" t="str">
        <f aca="false">IF($A1934="","",$L1934*$U1934/100)</f>
        <v/>
      </c>
      <c r="W1934" s="26" t="str">
        <f aca="false">IF($A1934="","",U1934*AB1934/100)</f>
        <v/>
      </c>
      <c r="X1934" s="26" t="str">
        <f aca="false">IF($A1934="","",U1934-W1934)</f>
        <v/>
      </c>
      <c r="Y1934" s="26" t="str">
        <f aca="false">IF($A1934="","",U1934-W1934-M1934)</f>
        <v/>
      </c>
      <c r="AB1934" s="27" t="str">
        <f aca="false">IF($A1934="","",IF($AK1934=1,'كشف المطالبة'!$D$5,'كشف المطالبة'!$D$6)*100)</f>
        <v/>
      </c>
      <c r="AK1934" s="28" t="str">
        <f aca="false">IF($A1934="","",IF(OR($Q1934=TRUE(),$Q1934="TRUE"),1,0))</f>
        <v/>
      </c>
      <c r="AL1934" s="28" t="str">
        <f aca="false">IF($N1934="","",IF(MATCH($N1934,$N$2:$N$3001,0)=ROWS($N$2:$N1934),$N1934,""))</f>
        <v/>
      </c>
    </row>
    <row r="1935" customFormat="false" ht="15" hidden="false" customHeight="false" outlineLevel="0" collapsed="false">
      <c r="E1935" s="25"/>
      <c r="M1935" s="26" t="str">
        <f aca="false">IF($A1935="","",$L1935*$U1935/100)</f>
        <v/>
      </c>
      <c r="W1935" s="26" t="str">
        <f aca="false">IF($A1935="","",U1935*AB1935/100)</f>
        <v/>
      </c>
      <c r="X1935" s="26" t="str">
        <f aca="false">IF($A1935="","",U1935-W1935)</f>
        <v/>
      </c>
      <c r="Y1935" s="26" t="str">
        <f aca="false">IF($A1935="","",U1935-W1935-M1935)</f>
        <v/>
      </c>
      <c r="AB1935" s="27" t="str">
        <f aca="false">IF($A1935="","",IF($AK1935=1,'كشف المطالبة'!$D$5,'كشف المطالبة'!$D$6)*100)</f>
        <v/>
      </c>
      <c r="AK1935" s="28" t="str">
        <f aca="false">IF($A1935="","",IF(OR($Q1935=TRUE(),$Q1935="TRUE"),1,0))</f>
        <v/>
      </c>
      <c r="AL1935" s="28" t="str">
        <f aca="false">IF($N1935="","",IF(MATCH($N1935,$N$2:$N$3001,0)=ROWS($N$2:$N1935),$N1935,""))</f>
        <v/>
      </c>
    </row>
    <row r="1936" customFormat="false" ht="15" hidden="false" customHeight="false" outlineLevel="0" collapsed="false">
      <c r="E1936" s="25"/>
      <c r="M1936" s="26" t="str">
        <f aca="false">IF($A1936="","",$L1936*$U1936/100)</f>
        <v/>
      </c>
      <c r="W1936" s="26" t="str">
        <f aca="false">IF($A1936="","",U1936*AB1936/100)</f>
        <v/>
      </c>
      <c r="X1936" s="26" t="str">
        <f aca="false">IF($A1936="","",U1936-W1936)</f>
        <v/>
      </c>
      <c r="Y1936" s="26" t="str">
        <f aca="false">IF($A1936="","",U1936-W1936-M1936)</f>
        <v/>
      </c>
      <c r="AB1936" s="27" t="str">
        <f aca="false">IF($A1936="","",IF($AK1936=1,'كشف المطالبة'!$D$5,'كشف المطالبة'!$D$6)*100)</f>
        <v/>
      </c>
      <c r="AK1936" s="28" t="str">
        <f aca="false">IF($A1936="","",IF(OR($Q1936=TRUE(),$Q1936="TRUE"),1,0))</f>
        <v/>
      </c>
      <c r="AL1936" s="28" t="str">
        <f aca="false">IF($N1936="","",IF(MATCH($N1936,$N$2:$N$3001,0)=ROWS($N$2:$N1936),$N1936,""))</f>
        <v/>
      </c>
    </row>
    <row r="1937" customFormat="false" ht="15" hidden="false" customHeight="false" outlineLevel="0" collapsed="false">
      <c r="E1937" s="25"/>
      <c r="M1937" s="26" t="str">
        <f aca="false">IF($A1937="","",$L1937*$U1937/100)</f>
        <v/>
      </c>
      <c r="W1937" s="26" t="str">
        <f aca="false">IF($A1937="","",U1937*AB1937/100)</f>
        <v/>
      </c>
      <c r="X1937" s="26" t="str">
        <f aca="false">IF($A1937="","",U1937-W1937)</f>
        <v/>
      </c>
      <c r="Y1937" s="26" t="str">
        <f aca="false">IF($A1937="","",U1937-W1937-M1937)</f>
        <v/>
      </c>
      <c r="AB1937" s="27" t="str">
        <f aca="false">IF($A1937="","",IF($AK1937=1,'كشف المطالبة'!$D$5,'كشف المطالبة'!$D$6)*100)</f>
        <v/>
      </c>
      <c r="AK1937" s="28" t="str">
        <f aca="false">IF($A1937="","",IF(OR($Q1937=TRUE(),$Q1937="TRUE"),1,0))</f>
        <v/>
      </c>
      <c r="AL1937" s="28" t="str">
        <f aca="false">IF($N1937="","",IF(MATCH($N1937,$N$2:$N$3001,0)=ROWS($N$2:$N1937),$N1937,""))</f>
        <v/>
      </c>
    </row>
    <row r="1938" customFormat="false" ht="15" hidden="false" customHeight="false" outlineLevel="0" collapsed="false">
      <c r="E1938" s="25"/>
      <c r="M1938" s="26" t="str">
        <f aca="false">IF($A1938="","",$L1938*$U1938/100)</f>
        <v/>
      </c>
      <c r="W1938" s="26" t="str">
        <f aca="false">IF($A1938="","",U1938*AB1938/100)</f>
        <v/>
      </c>
      <c r="X1938" s="26" t="str">
        <f aca="false">IF($A1938="","",U1938-W1938)</f>
        <v/>
      </c>
      <c r="Y1938" s="26" t="str">
        <f aca="false">IF($A1938="","",U1938-W1938-M1938)</f>
        <v/>
      </c>
      <c r="AB1938" s="27" t="str">
        <f aca="false">IF($A1938="","",IF($AK1938=1,'كشف المطالبة'!$D$5,'كشف المطالبة'!$D$6)*100)</f>
        <v/>
      </c>
      <c r="AK1938" s="28" t="str">
        <f aca="false">IF($A1938="","",IF(OR($Q1938=TRUE(),$Q1938="TRUE"),1,0))</f>
        <v/>
      </c>
      <c r="AL1938" s="28" t="str">
        <f aca="false">IF($N1938="","",IF(MATCH($N1938,$N$2:$N$3001,0)=ROWS($N$2:$N1938),$N1938,""))</f>
        <v/>
      </c>
    </row>
    <row r="1939" customFormat="false" ht="15" hidden="false" customHeight="false" outlineLevel="0" collapsed="false">
      <c r="E1939" s="25"/>
      <c r="M1939" s="26" t="str">
        <f aca="false">IF($A1939="","",$L1939*$U1939/100)</f>
        <v/>
      </c>
      <c r="W1939" s="26" t="str">
        <f aca="false">IF($A1939="","",U1939*AB1939/100)</f>
        <v/>
      </c>
      <c r="X1939" s="26" t="str">
        <f aca="false">IF($A1939="","",U1939-W1939)</f>
        <v/>
      </c>
      <c r="Y1939" s="26" t="str">
        <f aca="false">IF($A1939="","",U1939-W1939-M1939)</f>
        <v/>
      </c>
      <c r="AB1939" s="27" t="str">
        <f aca="false">IF($A1939="","",IF($AK1939=1,'كشف المطالبة'!$D$5,'كشف المطالبة'!$D$6)*100)</f>
        <v/>
      </c>
      <c r="AK1939" s="28" t="str">
        <f aca="false">IF($A1939="","",IF(OR($Q1939=TRUE(),$Q1939="TRUE"),1,0))</f>
        <v/>
      </c>
      <c r="AL1939" s="28" t="str">
        <f aca="false">IF($N1939="","",IF(MATCH($N1939,$N$2:$N$3001,0)=ROWS($N$2:$N1939),$N1939,""))</f>
        <v/>
      </c>
    </row>
    <row r="1940" customFormat="false" ht="15" hidden="false" customHeight="false" outlineLevel="0" collapsed="false">
      <c r="E1940" s="25"/>
      <c r="M1940" s="26" t="str">
        <f aca="false">IF($A1940="","",$L1940*$U1940/100)</f>
        <v/>
      </c>
      <c r="W1940" s="26" t="str">
        <f aca="false">IF($A1940="","",U1940*AB1940/100)</f>
        <v/>
      </c>
      <c r="X1940" s="26" t="str">
        <f aca="false">IF($A1940="","",U1940-W1940)</f>
        <v/>
      </c>
      <c r="Y1940" s="26" t="str">
        <f aca="false">IF($A1940="","",U1940-W1940-M1940)</f>
        <v/>
      </c>
      <c r="AB1940" s="27" t="str">
        <f aca="false">IF($A1940="","",IF($AK1940=1,'كشف المطالبة'!$D$5,'كشف المطالبة'!$D$6)*100)</f>
        <v/>
      </c>
      <c r="AK1940" s="28" t="str">
        <f aca="false">IF($A1940="","",IF(OR($Q1940=TRUE(),$Q1940="TRUE"),1,0))</f>
        <v/>
      </c>
      <c r="AL1940" s="28" t="str">
        <f aca="false">IF($N1940="","",IF(MATCH($N1940,$N$2:$N$3001,0)=ROWS($N$2:$N1940),$N1940,""))</f>
        <v/>
      </c>
    </row>
    <row r="1941" customFormat="false" ht="15" hidden="false" customHeight="false" outlineLevel="0" collapsed="false">
      <c r="E1941" s="25"/>
      <c r="M1941" s="26" t="str">
        <f aca="false">IF($A1941="","",$L1941*$U1941/100)</f>
        <v/>
      </c>
      <c r="W1941" s="26" t="str">
        <f aca="false">IF($A1941="","",U1941*AB1941/100)</f>
        <v/>
      </c>
      <c r="X1941" s="26" t="str">
        <f aca="false">IF($A1941="","",U1941-W1941)</f>
        <v/>
      </c>
      <c r="Y1941" s="26" t="str">
        <f aca="false">IF($A1941="","",U1941-W1941-M1941)</f>
        <v/>
      </c>
      <c r="AB1941" s="27" t="str">
        <f aca="false">IF($A1941="","",IF($AK1941=1,'كشف المطالبة'!$D$5,'كشف المطالبة'!$D$6)*100)</f>
        <v/>
      </c>
      <c r="AK1941" s="28" t="str">
        <f aca="false">IF($A1941="","",IF(OR($Q1941=TRUE(),$Q1941="TRUE"),1,0))</f>
        <v/>
      </c>
      <c r="AL1941" s="28" t="str">
        <f aca="false">IF($N1941="","",IF(MATCH($N1941,$N$2:$N$3001,0)=ROWS($N$2:$N1941),$N1941,""))</f>
        <v/>
      </c>
    </row>
    <row r="1942" customFormat="false" ht="15" hidden="false" customHeight="false" outlineLevel="0" collapsed="false">
      <c r="E1942" s="25"/>
      <c r="M1942" s="26" t="str">
        <f aca="false">IF($A1942="","",$L1942*$U1942/100)</f>
        <v/>
      </c>
      <c r="W1942" s="26" t="str">
        <f aca="false">IF($A1942="","",U1942*AB1942/100)</f>
        <v/>
      </c>
      <c r="X1942" s="26" t="str">
        <f aca="false">IF($A1942="","",U1942-W1942)</f>
        <v/>
      </c>
      <c r="Y1942" s="26" t="str">
        <f aca="false">IF($A1942="","",U1942-W1942-M1942)</f>
        <v/>
      </c>
      <c r="AB1942" s="27" t="str">
        <f aca="false">IF($A1942="","",IF($AK1942=1,'كشف المطالبة'!$D$5,'كشف المطالبة'!$D$6)*100)</f>
        <v/>
      </c>
      <c r="AK1942" s="28" t="str">
        <f aca="false">IF($A1942="","",IF(OR($Q1942=TRUE(),$Q1942="TRUE"),1,0))</f>
        <v/>
      </c>
      <c r="AL1942" s="28" t="str">
        <f aca="false">IF($N1942="","",IF(MATCH($N1942,$N$2:$N$3001,0)=ROWS($N$2:$N1942),$N1942,""))</f>
        <v/>
      </c>
    </row>
    <row r="1943" customFormat="false" ht="15" hidden="false" customHeight="false" outlineLevel="0" collapsed="false">
      <c r="E1943" s="25"/>
      <c r="M1943" s="26" t="str">
        <f aca="false">IF($A1943="","",$L1943*$U1943/100)</f>
        <v/>
      </c>
      <c r="W1943" s="26" t="str">
        <f aca="false">IF($A1943="","",U1943*AB1943/100)</f>
        <v/>
      </c>
      <c r="X1943" s="26" t="str">
        <f aca="false">IF($A1943="","",U1943-W1943)</f>
        <v/>
      </c>
      <c r="Y1943" s="26" t="str">
        <f aca="false">IF($A1943="","",U1943-W1943-M1943)</f>
        <v/>
      </c>
      <c r="AB1943" s="27" t="str">
        <f aca="false">IF($A1943="","",IF($AK1943=1,'كشف المطالبة'!$D$5,'كشف المطالبة'!$D$6)*100)</f>
        <v/>
      </c>
      <c r="AK1943" s="28" t="str">
        <f aca="false">IF($A1943="","",IF(OR($Q1943=TRUE(),$Q1943="TRUE"),1,0))</f>
        <v/>
      </c>
      <c r="AL1943" s="28" t="str">
        <f aca="false">IF($N1943="","",IF(MATCH($N1943,$N$2:$N$3001,0)=ROWS($N$2:$N1943),$N1943,""))</f>
        <v/>
      </c>
    </row>
    <row r="1944" customFormat="false" ht="15" hidden="false" customHeight="false" outlineLevel="0" collapsed="false">
      <c r="E1944" s="25"/>
      <c r="M1944" s="26" t="str">
        <f aca="false">IF($A1944="","",$L1944*$U1944/100)</f>
        <v/>
      </c>
      <c r="W1944" s="26" t="str">
        <f aca="false">IF($A1944="","",U1944*AB1944/100)</f>
        <v/>
      </c>
      <c r="X1944" s="26" t="str">
        <f aca="false">IF($A1944="","",U1944-W1944)</f>
        <v/>
      </c>
      <c r="Y1944" s="26" t="str">
        <f aca="false">IF($A1944="","",U1944-W1944-M1944)</f>
        <v/>
      </c>
      <c r="AB1944" s="27" t="str">
        <f aca="false">IF($A1944="","",IF($AK1944=1,'كشف المطالبة'!$D$5,'كشف المطالبة'!$D$6)*100)</f>
        <v/>
      </c>
      <c r="AK1944" s="28" t="str">
        <f aca="false">IF($A1944="","",IF(OR($Q1944=TRUE(),$Q1944="TRUE"),1,0))</f>
        <v/>
      </c>
      <c r="AL1944" s="28" t="str">
        <f aca="false">IF($N1944="","",IF(MATCH($N1944,$N$2:$N$3001,0)=ROWS($N$2:$N1944),$N1944,""))</f>
        <v/>
      </c>
    </row>
    <row r="1945" customFormat="false" ht="15" hidden="false" customHeight="false" outlineLevel="0" collapsed="false">
      <c r="E1945" s="25"/>
      <c r="M1945" s="26" t="str">
        <f aca="false">IF($A1945="","",$L1945*$U1945/100)</f>
        <v/>
      </c>
      <c r="W1945" s="26" t="str">
        <f aca="false">IF($A1945="","",U1945*AB1945/100)</f>
        <v/>
      </c>
      <c r="X1945" s="26" t="str">
        <f aca="false">IF($A1945="","",U1945-W1945)</f>
        <v/>
      </c>
      <c r="Y1945" s="26" t="str">
        <f aca="false">IF($A1945="","",U1945-W1945-M1945)</f>
        <v/>
      </c>
      <c r="AB1945" s="27" t="str">
        <f aca="false">IF($A1945="","",IF($AK1945=1,'كشف المطالبة'!$D$5,'كشف المطالبة'!$D$6)*100)</f>
        <v/>
      </c>
      <c r="AK1945" s="28" t="str">
        <f aca="false">IF($A1945="","",IF(OR($Q1945=TRUE(),$Q1945="TRUE"),1,0))</f>
        <v/>
      </c>
      <c r="AL1945" s="28" t="str">
        <f aca="false">IF($N1945="","",IF(MATCH($N1945,$N$2:$N$3001,0)=ROWS($N$2:$N1945),$N1945,""))</f>
        <v/>
      </c>
    </row>
    <row r="1946" customFormat="false" ht="15" hidden="false" customHeight="false" outlineLevel="0" collapsed="false">
      <c r="E1946" s="25"/>
      <c r="M1946" s="26" t="str">
        <f aca="false">IF($A1946="","",$L1946*$U1946/100)</f>
        <v/>
      </c>
      <c r="W1946" s="26" t="str">
        <f aca="false">IF($A1946="","",U1946*AB1946/100)</f>
        <v/>
      </c>
      <c r="X1946" s="26" t="str">
        <f aca="false">IF($A1946="","",U1946-W1946)</f>
        <v/>
      </c>
      <c r="Y1946" s="26" t="str">
        <f aca="false">IF($A1946="","",U1946-W1946-M1946)</f>
        <v/>
      </c>
      <c r="AB1946" s="27" t="str">
        <f aca="false">IF($A1946="","",IF($AK1946=1,'كشف المطالبة'!$D$5,'كشف المطالبة'!$D$6)*100)</f>
        <v/>
      </c>
      <c r="AK1946" s="28" t="str">
        <f aca="false">IF($A1946="","",IF(OR($Q1946=TRUE(),$Q1946="TRUE"),1,0))</f>
        <v/>
      </c>
      <c r="AL1946" s="28" t="str">
        <f aca="false">IF($N1946="","",IF(MATCH($N1946,$N$2:$N$3001,0)=ROWS($N$2:$N1946),$N1946,""))</f>
        <v/>
      </c>
    </row>
    <row r="1947" customFormat="false" ht="15" hidden="false" customHeight="false" outlineLevel="0" collapsed="false">
      <c r="E1947" s="25"/>
      <c r="M1947" s="26" t="str">
        <f aca="false">IF($A1947="","",$L1947*$U1947/100)</f>
        <v/>
      </c>
      <c r="W1947" s="26" t="str">
        <f aca="false">IF($A1947="","",U1947*AB1947/100)</f>
        <v/>
      </c>
      <c r="X1947" s="26" t="str">
        <f aca="false">IF($A1947="","",U1947-W1947)</f>
        <v/>
      </c>
      <c r="Y1947" s="26" t="str">
        <f aca="false">IF($A1947="","",U1947-W1947-M1947)</f>
        <v/>
      </c>
      <c r="AB1947" s="27" t="str">
        <f aca="false">IF($A1947="","",IF($AK1947=1,'كشف المطالبة'!$D$5,'كشف المطالبة'!$D$6)*100)</f>
        <v/>
      </c>
      <c r="AK1947" s="28" t="str">
        <f aca="false">IF($A1947="","",IF(OR($Q1947=TRUE(),$Q1947="TRUE"),1,0))</f>
        <v/>
      </c>
      <c r="AL1947" s="28" t="str">
        <f aca="false">IF($N1947="","",IF(MATCH($N1947,$N$2:$N$3001,0)=ROWS($N$2:$N1947),$N1947,""))</f>
        <v/>
      </c>
    </row>
    <row r="1948" customFormat="false" ht="15" hidden="false" customHeight="false" outlineLevel="0" collapsed="false">
      <c r="E1948" s="25"/>
      <c r="M1948" s="26" t="str">
        <f aca="false">IF($A1948="","",$L1948*$U1948/100)</f>
        <v/>
      </c>
      <c r="W1948" s="26" t="str">
        <f aca="false">IF($A1948="","",U1948*AB1948/100)</f>
        <v/>
      </c>
      <c r="X1948" s="26" t="str">
        <f aca="false">IF($A1948="","",U1948-W1948)</f>
        <v/>
      </c>
      <c r="Y1948" s="26" t="str">
        <f aca="false">IF($A1948="","",U1948-W1948-M1948)</f>
        <v/>
      </c>
      <c r="AB1948" s="27" t="str">
        <f aca="false">IF($A1948="","",IF($AK1948=1,'كشف المطالبة'!$D$5,'كشف المطالبة'!$D$6)*100)</f>
        <v/>
      </c>
      <c r="AK1948" s="28" t="str">
        <f aca="false">IF($A1948="","",IF(OR($Q1948=TRUE(),$Q1948="TRUE"),1,0))</f>
        <v/>
      </c>
      <c r="AL1948" s="28" t="str">
        <f aca="false">IF($N1948="","",IF(MATCH($N1948,$N$2:$N$3001,0)=ROWS($N$2:$N1948),$N1948,""))</f>
        <v/>
      </c>
    </row>
    <row r="1949" customFormat="false" ht="15" hidden="false" customHeight="false" outlineLevel="0" collapsed="false">
      <c r="E1949" s="25"/>
      <c r="M1949" s="26" t="str">
        <f aca="false">IF($A1949="","",$L1949*$U1949/100)</f>
        <v/>
      </c>
      <c r="W1949" s="26" t="str">
        <f aca="false">IF($A1949="","",U1949*AB1949/100)</f>
        <v/>
      </c>
      <c r="X1949" s="26" t="str">
        <f aca="false">IF($A1949="","",U1949-W1949)</f>
        <v/>
      </c>
      <c r="Y1949" s="26" t="str">
        <f aca="false">IF($A1949="","",U1949-W1949-M1949)</f>
        <v/>
      </c>
      <c r="AB1949" s="27" t="str">
        <f aca="false">IF($A1949="","",IF($AK1949=1,'كشف المطالبة'!$D$5,'كشف المطالبة'!$D$6)*100)</f>
        <v/>
      </c>
      <c r="AK1949" s="28" t="str">
        <f aca="false">IF($A1949="","",IF(OR($Q1949=TRUE(),$Q1949="TRUE"),1,0))</f>
        <v/>
      </c>
      <c r="AL1949" s="28" t="str">
        <f aca="false">IF($N1949="","",IF(MATCH($N1949,$N$2:$N$3001,0)=ROWS($N$2:$N1949),$N1949,""))</f>
        <v/>
      </c>
    </row>
    <row r="1950" customFormat="false" ht="15" hidden="false" customHeight="false" outlineLevel="0" collapsed="false">
      <c r="E1950" s="25"/>
      <c r="M1950" s="26" t="str">
        <f aca="false">IF($A1950="","",$L1950*$U1950/100)</f>
        <v/>
      </c>
      <c r="W1950" s="26" t="str">
        <f aca="false">IF($A1950="","",U1950*AB1950/100)</f>
        <v/>
      </c>
      <c r="X1950" s="26" t="str">
        <f aca="false">IF($A1950="","",U1950-W1950)</f>
        <v/>
      </c>
      <c r="Y1950" s="26" t="str">
        <f aca="false">IF($A1950="","",U1950-W1950-M1950)</f>
        <v/>
      </c>
      <c r="AB1950" s="27" t="str">
        <f aca="false">IF($A1950="","",IF($AK1950=1,'كشف المطالبة'!$D$5,'كشف المطالبة'!$D$6)*100)</f>
        <v/>
      </c>
      <c r="AK1950" s="28" t="str">
        <f aca="false">IF($A1950="","",IF(OR($Q1950=TRUE(),$Q1950="TRUE"),1,0))</f>
        <v/>
      </c>
      <c r="AL1950" s="28" t="str">
        <f aca="false">IF($N1950="","",IF(MATCH($N1950,$N$2:$N$3001,0)=ROWS($N$2:$N1950),$N1950,""))</f>
        <v/>
      </c>
    </row>
    <row r="1951" customFormat="false" ht="15" hidden="false" customHeight="false" outlineLevel="0" collapsed="false">
      <c r="E1951" s="25"/>
      <c r="M1951" s="26" t="str">
        <f aca="false">IF($A1951="","",$L1951*$U1951/100)</f>
        <v/>
      </c>
      <c r="W1951" s="26" t="str">
        <f aca="false">IF($A1951="","",U1951*AB1951/100)</f>
        <v/>
      </c>
      <c r="X1951" s="26" t="str">
        <f aca="false">IF($A1951="","",U1951-W1951)</f>
        <v/>
      </c>
      <c r="Y1951" s="26" t="str">
        <f aca="false">IF($A1951="","",U1951-W1951-M1951)</f>
        <v/>
      </c>
      <c r="AB1951" s="27" t="str">
        <f aca="false">IF($A1951="","",IF($AK1951=1,'كشف المطالبة'!$D$5,'كشف المطالبة'!$D$6)*100)</f>
        <v/>
      </c>
      <c r="AK1951" s="28" t="str">
        <f aca="false">IF($A1951="","",IF(OR($Q1951=TRUE(),$Q1951="TRUE"),1,0))</f>
        <v/>
      </c>
      <c r="AL1951" s="28" t="str">
        <f aca="false">IF($N1951="","",IF(MATCH($N1951,$N$2:$N$3001,0)=ROWS($N$2:$N1951),$N1951,""))</f>
        <v/>
      </c>
    </row>
    <row r="1952" customFormat="false" ht="15" hidden="false" customHeight="false" outlineLevel="0" collapsed="false">
      <c r="E1952" s="25"/>
      <c r="M1952" s="26" t="str">
        <f aca="false">IF($A1952="","",$L1952*$U1952/100)</f>
        <v/>
      </c>
      <c r="W1952" s="26" t="str">
        <f aca="false">IF($A1952="","",U1952*AB1952/100)</f>
        <v/>
      </c>
      <c r="X1952" s="26" t="str">
        <f aca="false">IF($A1952="","",U1952-W1952)</f>
        <v/>
      </c>
      <c r="Y1952" s="26" t="str">
        <f aca="false">IF($A1952="","",U1952-W1952-M1952)</f>
        <v/>
      </c>
      <c r="AB1952" s="27" t="str">
        <f aca="false">IF($A1952="","",IF($AK1952=1,'كشف المطالبة'!$D$5,'كشف المطالبة'!$D$6)*100)</f>
        <v/>
      </c>
      <c r="AK1952" s="28" t="str">
        <f aca="false">IF($A1952="","",IF(OR($Q1952=TRUE(),$Q1952="TRUE"),1,0))</f>
        <v/>
      </c>
      <c r="AL1952" s="28" t="str">
        <f aca="false">IF($N1952="","",IF(MATCH($N1952,$N$2:$N$3001,0)=ROWS($N$2:$N1952),$N1952,""))</f>
        <v/>
      </c>
    </row>
    <row r="1953" customFormat="false" ht="15" hidden="false" customHeight="false" outlineLevel="0" collapsed="false">
      <c r="E1953" s="25"/>
      <c r="M1953" s="26" t="str">
        <f aca="false">IF($A1953="","",$L1953*$U1953/100)</f>
        <v/>
      </c>
      <c r="W1953" s="26" t="str">
        <f aca="false">IF($A1953="","",U1953*AB1953/100)</f>
        <v/>
      </c>
      <c r="X1953" s="26" t="str">
        <f aca="false">IF($A1953="","",U1953-W1953)</f>
        <v/>
      </c>
      <c r="Y1953" s="26" t="str">
        <f aca="false">IF($A1953="","",U1953-W1953-M1953)</f>
        <v/>
      </c>
      <c r="AB1953" s="27" t="str">
        <f aca="false">IF($A1953="","",IF($AK1953=1,'كشف المطالبة'!$D$5,'كشف المطالبة'!$D$6)*100)</f>
        <v/>
      </c>
      <c r="AK1953" s="28" t="str">
        <f aca="false">IF($A1953="","",IF(OR($Q1953=TRUE(),$Q1953="TRUE"),1,0))</f>
        <v/>
      </c>
      <c r="AL1953" s="28" t="str">
        <f aca="false">IF($N1953="","",IF(MATCH($N1953,$N$2:$N$3001,0)=ROWS($N$2:$N1953),$N1953,""))</f>
        <v/>
      </c>
    </row>
    <row r="1954" customFormat="false" ht="15" hidden="false" customHeight="false" outlineLevel="0" collapsed="false">
      <c r="E1954" s="25"/>
      <c r="M1954" s="26" t="str">
        <f aca="false">IF($A1954="","",$L1954*$U1954/100)</f>
        <v/>
      </c>
      <c r="W1954" s="26" t="str">
        <f aca="false">IF($A1954="","",U1954*AB1954/100)</f>
        <v/>
      </c>
      <c r="X1954" s="26" t="str">
        <f aca="false">IF($A1954="","",U1954-W1954)</f>
        <v/>
      </c>
      <c r="Y1954" s="26" t="str">
        <f aca="false">IF($A1954="","",U1954-W1954-M1954)</f>
        <v/>
      </c>
      <c r="AB1954" s="27" t="str">
        <f aca="false">IF($A1954="","",IF($AK1954=1,'كشف المطالبة'!$D$5,'كشف المطالبة'!$D$6)*100)</f>
        <v/>
      </c>
      <c r="AK1954" s="28" t="str">
        <f aca="false">IF($A1954="","",IF(OR($Q1954=TRUE(),$Q1954="TRUE"),1,0))</f>
        <v/>
      </c>
      <c r="AL1954" s="28" t="str">
        <f aca="false">IF($N1954="","",IF(MATCH($N1954,$N$2:$N$3001,0)=ROWS($N$2:$N1954),$N1954,""))</f>
        <v/>
      </c>
    </row>
    <row r="1955" customFormat="false" ht="15" hidden="false" customHeight="false" outlineLevel="0" collapsed="false">
      <c r="E1955" s="25"/>
      <c r="M1955" s="26" t="str">
        <f aca="false">IF($A1955="","",$L1955*$U1955/100)</f>
        <v/>
      </c>
      <c r="W1955" s="26" t="str">
        <f aca="false">IF($A1955="","",U1955*AB1955/100)</f>
        <v/>
      </c>
      <c r="X1955" s="26" t="str">
        <f aca="false">IF($A1955="","",U1955-W1955)</f>
        <v/>
      </c>
      <c r="Y1955" s="26" t="str">
        <f aca="false">IF($A1955="","",U1955-W1955-M1955)</f>
        <v/>
      </c>
      <c r="AB1955" s="27" t="str">
        <f aca="false">IF($A1955="","",IF($AK1955=1,'كشف المطالبة'!$D$5,'كشف المطالبة'!$D$6)*100)</f>
        <v/>
      </c>
      <c r="AK1955" s="28" t="str">
        <f aca="false">IF($A1955="","",IF(OR($Q1955=TRUE(),$Q1955="TRUE"),1,0))</f>
        <v/>
      </c>
      <c r="AL1955" s="28" t="str">
        <f aca="false">IF($N1955="","",IF(MATCH($N1955,$N$2:$N$3001,0)=ROWS($N$2:$N1955),$N1955,""))</f>
        <v/>
      </c>
    </row>
    <row r="1956" customFormat="false" ht="15" hidden="false" customHeight="false" outlineLevel="0" collapsed="false">
      <c r="E1956" s="25"/>
      <c r="M1956" s="26" t="str">
        <f aca="false">IF($A1956="","",$L1956*$U1956/100)</f>
        <v/>
      </c>
      <c r="W1956" s="26" t="str">
        <f aca="false">IF($A1956="","",U1956*AB1956/100)</f>
        <v/>
      </c>
      <c r="X1956" s="26" t="str">
        <f aca="false">IF($A1956="","",U1956-W1956)</f>
        <v/>
      </c>
      <c r="Y1956" s="26" t="str">
        <f aca="false">IF($A1956="","",U1956-W1956-M1956)</f>
        <v/>
      </c>
      <c r="AB1956" s="27" t="str">
        <f aca="false">IF($A1956="","",IF($AK1956=1,'كشف المطالبة'!$D$5,'كشف المطالبة'!$D$6)*100)</f>
        <v/>
      </c>
      <c r="AK1956" s="28" t="str">
        <f aca="false">IF($A1956="","",IF(OR($Q1956=TRUE(),$Q1956="TRUE"),1,0))</f>
        <v/>
      </c>
      <c r="AL1956" s="28" t="str">
        <f aca="false">IF($N1956="","",IF(MATCH($N1956,$N$2:$N$3001,0)=ROWS($N$2:$N1956),$N1956,""))</f>
        <v/>
      </c>
    </row>
    <row r="1957" customFormat="false" ht="15" hidden="false" customHeight="false" outlineLevel="0" collapsed="false">
      <c r="E1957" s="25"/>
      <c r="M1957" s="26" t="str">
        <f aca="false">IF($A1957="","",$L1957*$U1957/100)</f>
        <v/>
      </c>
      <c r="W1957" s="26" t="str">
        <f aca="false">IF($A1957="","",U1957*AB1957/100)</f>
        <v/>
      </c>
      <c r="X1957" s="26" t="str">
        <f aca="false">IF($A1957="","",U1957-W1957)</f>
        <v/>
      </c>
      <c r="Y1957" s="26" t="str">
        <f aca="false">IF($A1957="","",U1957-W1957-M1957)</f>
        <v/>
      </c>
      <c r="AB1957" s="27" t="str">
        <f aca="false">IF($A1957="","",IF($AK1957=1,'كشف المطالبة'!$D$5,'كشف المطالبة'!$D$6)*100)</f>
        <v/>
      </c>
      <c r="AK1957" s="28" t="str">
        <f aca="false">IF($A1957="","",IF(OR($Q1957=TRUE(),$Q1957="TRUE"),1,0))</f>
        <v/>
      </c>
      <c r="AL1957" s="28" t="str">
        <f aca="false">IF($N1957="","",IF(MATCH($N1957,$N$2:$N$3001,0)=ROWS($N$2:$N1957),$N1957,""))</f>
        <v/>
      </c>
    </row>
    <row r="1958" customFormat="false" ht="15" hidden="false" customHeight="false" outlineLevel="0" collapsed="false">
      <c r="E1958" s="25"/>
      <c r="M1958" s="26" t="str">
        <f aca="false">IF($A1958="","",$L1958*$U1958/100)</f>
        <v/>
      </c>
      <c r="W1958" s="26" t="str">
        <f aca="false">IF($A1958="","",U1958*AB1958/100)</f>
        <v/>
      </c>
      <c r="X1958" s="26" t="str">
        <f aca="false">IF($A1958="","",U1958-W1958)</f>
        <v/>
      </c>
      <c r="Y1958" s="26" t="str">
        <f aca="false">IF($A1958="","",U1958-W1958-M1958)</f>
        <v/>
      </c>
      <c r="AB1958" s="27" t="str">
        <f aca="false">IF($A1958="","",IF($AK1958=1,'كشف المطالبة'!$D$5,'كشف المطالبة'!$D$6)*100)</f>
        <v/>
      </c>
      <c r="AK1958" s="28" t="str">
        <f aca="false">IF($A1958="","",IF(OR($Q1958=TRUE(),$Q1958="TRUE"),1,0))</f>
        <v/>
      </c>
      <c r="AL1958" s="28" t="str">
        <f aca="false">IF($N1958="","",IF(MATCH($N1958,$N$2:$N$3001,0)=ROWS($N$2:$N1958),$N1958,""))</f>
        <v/>
      </c>
    </row>
    <row r="1959" customFormat="false" ht="15" hidden="false" customHeight="false" outlineLevel="0" collapsed="false">
      <c r="E1959" s="25"/>
      <c r="M1959" s="26" t="str">
        <f aca="false">IF($A1959="","",$L1959*$U1959/100)</f>
        <v/>
      </c>
      <c r="W1959" s="26" t="str">
        <f aca="false">IF($A1959="","",U1959*AB1959/100)</f>
        <v/>
      </c>
      <c r="X1959" s="26" t="str">
        <f aca="false">IF($A1959="","",U1959-W1959)</f>
        <v/>
      </c>
      <c r="Y1959" s="26" t="str">
        <f aca="false">IF($A1959="","",U1959-W1959-M1959)</f>
        <v/>
      </c>
      <c r="AB1959" s="27" t="str">
        <f aca="false">IF($A1959="","",IF($AK1959=1,'كشف المطالبة'!$D$5,'كشف المطالبة'!$D$6)*100)</f>
        <v/>
      </c>
      <c r="AK1959" s="28" t="str">
        <f aca="false">IF($A1959="","",IF(OR($Q1959=TRUE(),$Q1959="TRUE"),1,0))</f>
        <v/>
      </c>
      <c r="AL1959" s="28" t="str">
        <f aca="false">IF($N1959="","",IF(MATCH($N1959,$N$2:$N$3001,0)=ROWS($N$2:$N1959),$N1959,""))</f>
        <v/>
      </c>
    </row>
    <row r="1960" customFormat="false" ht="15" hidden="false" customHeight="false" outlineLevel="0" collapsed="false">
      <c r="E1960" s="25"/>
      <c r="M1960" s="26" t="str">
        <f aca="false">IF($A1960="","",$L1960*$U1960/100)</f>
        <v/>
      </c>
      <c r="W1960" s="26" t="str">
        <f aca="false">IF($A1960="","",U1960*AB1960/100)</f>
        <v/>
      </c>
      <c r="X1960" s="26" t="str">
        <f aca="false">IF($A1960="","",U1960-W1960)</f>
        <v/>
      </c>
      <c r="Y1960" s="26" t="str">
        <f aca="false">IF($A1960="","",U1960-W1960-M1960)</f>
        <v/>
      </c>
      <c r="AB1960" s="27" t="str">
        <f aca="false">IF($A1960="","",IF($AK1960=1,'كشف المطالبة'!$D$5,'كشف المطالبة'!$D$6)*100)</f>
        <v/>
      </c>
      <c r="AK1960" s="28" t="str">
        <f aca="false">IF($A1960="","",IF(OR($Q1960=TRUE(),$Q1960="TRUE"),1,0))</f>
        <v/>
      </c>
      <c r="AL1960" s="28" t="str">
        <f aca="false">IF($N1960="","",IF(MATCH($N1960,$N$2:$N$3001,0)=ROWS($N$2:$N1960),$N1960,""))</f>
        <v/>
      </c>
    </row>
    <row r="1961" customFormat="false" ht="15" hidden="false" customHeight="false" outlineLevel="0" collapsed="false">
      <c r="E1961" s="25"/>
      <c r="M1961" s="26" t="str">
        <f aca="false">IF($A1961="","",$L1961*$U1961/100)</f>
        <v/>
      </c>
      <c r="W1961" s="26" t="str">
        <f aca="false">IF($A1961="","",U1961*AB1961/100)</f>
        <v/>
      </c>
      <c r="X1961" s="26" t="str">
        <f aca="false">IF($A1961="","",U1961-W1961)</f>
        <v/>
      </c>
      <c r="Y1961" s="26" t="str">
        <f aca="false">IF($A1961="","",U1961-W1961-M1961)</f>
        <v/>
      </c>
      <c r="AB1961" s="27" t="str">
        <f aca="false">IF($A1961="","",IF($AK1961=1,'كشف المطالبة'!$D$5,'كشف المطالبة'!$D$6)*100)</f>
        <v/>
      </c>
      <c r="AK1961" s="28" t="str">
        <f aca="false">IF($A1961="","",IF(OR($Q1961=TRUE(),$Q1961="TRUE"),1,0))</f>
        <v/>
      </c>
      <c r="AL1961" s="28" t="str">
        <f aca="false">IF($N1961="","",IF(MATCH($N1961,$N$2:$N$3001,0)=ROWS($N$2:$N1961),$N1961,""))</f>
        <v/>
      </c>
    </row>
    <row r="1962" customFormat="false" ht="15" hidden="false" customHeight="false" outlineLevel="0" collapsed="false">
      <c r="E1962" s="25"/>
      <c r="M1962" s="26" t="str">
        <f aca="false">IF($A1962="","",$L1962*$U1962/100)</f>
        <v/>
      </c>
      <c r="W1962" s="26" t="str">
        <f aca="false">IF($A1962="","",U1962*AB1962/100)</f>
        <v/>
      </c>
      <c r="X1962" s="26" t="str">
        <f aca="false">IF($A1962="","",U1962-W1962)</f>
        <v/>
      </c>
      <c r="Y1962" s="26" t="str">
        <f aca="false">IF($A1962="","",U1962-W1962-M1962)</f>
        <v/>
      </c>
      <c r="AB1962" s="27" t="str">
        <f aca="false">IF($A1962="","",IF($AK1962=1,'كشف المطالبة'!$D$5,'كشف المطالبة'!$D$6)*100)</f>
        <v/>
      </c>
      <c r="AK1962" s="28" t="str">
        <f aca="false">IF($A1962="","",IF(OR($Q1962=TRUE(),$Q1962="TRUE"),1,0))</f>
        <v/>
      </c>
      <c r="AL1962" s="28" t="str">
        <f aca="false">IF($N1962="","",IF(MATCH($N1962,$N$2:$N$3001,0)=ROWS($N$2:$N1962),$N1962,""))</f>
        <v/>
      </c>
    </row>
    <row r="1963" customFormat="false" ht="15" hidden="false" customHeight="false" outlineLevel="0" collapsed="false">
      <c r="E1963" s="25"/>
      <c r="M1963" s="26" t="str">
        <f aca="false">IF($A1963="","",$L1963*$U1963/100)</f>
        <v/>
      </c>
      <c r="W1963" s="26" t="str">
        <f aca="false">IF($A1963="","",U1963*AB1963/100)</f>
        <v/>
      </c>
      <c r="X1963" s="26" t="str">
        <f aca="false">IF($A1963="","",U1963-W1963)</f>
        <v/>
      </c>
      <c r="Y1963" s="26" t="str">
        <f aca="false">IF($A1963="","",U1963-W1963-M1963)</f>
        <v/>
      </c>
      <c r="AB1963" s="27" t="str">
        <f aca="false">IF($A1963="","",IF($AK1963=1,'كشف المطالبة'!$D$5,'كشف المطالبة'!$D$6)*100)</f>
        <v/>
      </c>
      <c r="AK1963" s="28" t="str">
        <f aca="false">IF($A1963="","",IF(OR($Q1963=TRUE(),$Q1963="TRUE"),1,0))</f>
        <v/>
      </c>
      <c r="AL1963" s="28" t="str">
        <f aca="false">IF($N1963="","",IF(MATCH($N1963,$N$2:$N$3001,0)=ROWS($N$2:$N1963),$N1963,""))</f>
        <v/>
      </c>
    </row>
    <row r="1964" customFormat="false" ht="15" hidden="false" customHeight="false" outlineLevel="0" collapsed="false">
      <c r="E1964" s="25"/>
      <c r="M1964" s="26" t="str">
        <f aca="false">IF($A1964="","",$L1964*$U1964/100)</f>
        <v/>
      </c>
      <c r="W1964" s="26" t="str">
        <f aca="false">IF($A1964="","",U1964*AB1964/100)</f>
        <v/>
      </c>
      <c r="X1964" s="26" t="str">
        <f aca="false">IF($A1964="","",U1964-W1964)</f>
        <v/>
      </c>
      <c r="Y1964" s="26" t="str">
        <f aca="false">IF($A1964="","",U1964-W1964-M1964)</f>
        <v/>
      </c>
      <c r="AB1964" s="27" t="str">
        <f aca="false">IF($A1964="","",IF($AK1964=1,'كشف المطالبة'!$D$5,'كشف المطالبة'!$D$6)*100)</f>
        <v/>
      </c>
      <c r="AK1964" s="28" t="str">
        <f aca="false">IF($A1964="","",IF(OR($Q1964=TRUE(),$Q1964="TRUE"),1,0))</f>
        <v/>
      </c>
      <c r="AL1964" s="28" t="str">
        <f aca="false">IF($N1964="","",IF(MATCH($N1964,$N$2:$N$3001,0)=ROWS($N$2:$N1964),$N1964,""))</f>
        <v/>
      </c>
    </row>
    <row r="1965" customFormat="false" ht="15" hidden="false" customHeight="false" outlineLevel="0" collapsed="false">
      <c r="E1965" s="25"/>
      <c r="M1965" s="26" t="str">
        <f aca="false">IF($A1965="","",$L1965*$U1965/100)</f>
        <v/>
      </c>
      <c r="W1965" s="26" t="str">
        <f aca="false">IF($A1965="","",U1965*AB1965/100)</f>
        <v/>
      </c>
      <c r="X1965" s="26" t="str">
        <f aca="false">IF($A1965="","",U1965-W1965)</f>
        <v/>
      </c>
      <c r="Y1965" s="26" t="str">
        <f aca="false">IF($A1965="","",U1965-W1965-M1965)</f>
        <v/>
      </c>
      <c r="AB1965" s="27" t="str">
        <f aca="false">IF($A1965="","",IF($AK1965=1,'كشف المطالبة'!$D$5,'كشف المطالبة'!$D$6)*100)</f>
        <v/>
      </c>
      <c r="AK1965" s="28" t="str">
        <f aca="false">IF($A1965="","",IF(OR($Q1965=TRUE(),$Q1965="TRUE"),1,0))</f>
        <v/>
      </c>
      <c r="AL1965" s="28" t="str">
        <f aca="false">IF($N1965="","",IF(MATCH($N1965,$N$2:$N$3001,0)=ROWS($N$2:$N1965),$N1965,""))</f>
        <v/>
      </c>
    </row>
    <row r="1966" customFormat="false" ht="15" hidden="false" customHeight="false" outlineLevel="0" collapsed="false">
      <c r="E1966" s="25"/>
      <c r="M1966" s="26" t="str">
        <f aca="false">IF($A1966="","",$L1966*$U1966/100)</f>
        <v/>
      </c>
      <c r="W1966" s="26" t="str">
        <f aca="false">IF($A1966="","",U1966*AB1966/100)</f>
        <v/>
      </c>
      <c r="X1966" s="26" t="str">
        <f aca="false">IF($A1966="","",U1966-W1966)</f>
        <v/>
      </c>
      <c r="Y1966" s="26" t="str">
        <f aca="false">IF($A1966="","",U1966-W1966-M1966)</f>
        <v/>
      </c>
      <c r="AB1966" s="27" t="str">
        <f aca="false">IF($A1966="","",IF($AK1966=1,'كشف المطالبة'!$D$5,'كشف المطالبة'!$D$6)*100)</f>
        <v/>
      </c>
      <c r="AK1966" s="28" t="str">
        <f aca="false">IF($A1966="","",IF(OR($Q1966=TRUE(),$Q1966="TRUE"),1,0))</f>
        <v/>
      </c>
      <c r="AL1966" s="28" t="str">
        <f aca="false">IF($N1966="","",IF(MATCH($N1966,$N$2:$N$3001,0)=ROWS($N$2:$N1966),$N1966,""))</f>
        <v/>
      </c>
    </row>
    <row r="1967" customFormat="false" ht="15" hidden="false" customHeight="false" outlineLevel="0" collapsed="false">
      <c r="E1967" s="25"/>
      <c r="M1967" s="26" t="str">
        <f aca="false">IF($A1967="","",$L1967*$U1967/100)</f>
        <v/>
      </c>
      <c r="W1967" s="26" t="str">
        <f aca="false">IF($A1967="","",U1967*AB1967/100)</f>
        <v/>
      </c>
      <c r="X1967" s="26" t="str">
        <f aca="false">IF($A1967="","",U1967-W1967)</f>
        <v/>
      </c>
      <c r="Y1967" s="26" t="str">
        <f aca="false">IF($A1967="","",U1967-W1967-M1967)</f>
        <v/>
      </c>
      <c r="AB1967" s="27" t="str">
        <f aca="false">IF($A1967="","",IF($AK1967=1,'كشف المطالبة'!$D$5,'كشف المطالبة'!$D$6)*100)</f>
        <v/>
      </c>
      <c r="AK1967" s="28" t="str">
        <f aca="false">IF($A1967="","",IF(OR($Q1967=TRUE(),$Q1967="TRUE"),1,0))</f>
        <v/>
      </c>
      <c r="AL1967" s="28" t="str">
        <f aca="false">IF($N1967="","",IF(MATCH($N1967,$N$2:$N$3001,0)=ROWS($N$2:$N1967),$N1967,""))</f>
        <v/>
      </c>
    </row>
    <row r="1968" customFormat="false" ht="15" hidden="false" customHeight="false" outlineLevel="0" collapsed="false">
      <c r="E1968" s="25"/>
      <c r="M1968" s="26" t="str">
        <f aca="false">IF($A1968="","",$L1968*$U1968/100)</f>
        <v/>
      </c>
      <c r="W1968" s="26" t="str">
        <f aca="false">IF($A1968="","",U1968*AB1968/100)</f>
        <v/>
      </c>
      <c r="X1968" s="26" t="str">
        <f aca="false">IF($A1968="","",U1968-W1968)</f>
        <v/>
      </c>
      <c r="Y1968" s="26" t="str">
        <f aca="false">IF($A1968="","",U1968-W1968-M1968)</f>
        <v/>
      </c>
      <c r="AB1968" s="27" t="str">
        <f aca="false">IF($A1968="","",IF($AK1968=1,'كشف المطالبة'!$D$5,'كشف المطالبة'!$D$6)*100)</f>
        <v/>
      </c>
      <c r="AK1968" s="28" t="str">
        <f aca="false">IF($A1968="","",IF(OR($Q1968=TRUE(),$Q1968="TRUE"),1,0))</f>
        <v/>
      </c>
      <c r="AL1968" s="28" t="str">
        <f aca="false">IF($N1968="","",IF(MATCH($N1968,$N$2:$N$3001,0)=ROWS($N$2:$N1968),$N1968,""))</f>
        <v/>
      </c>
    </row>
    <row r="1969" customFormat="false" ht="15" hidden="false" customHeight="false" outlineLevel="0" collapsed="false">
      <c r="E1969" s="25"/>
      <c r="M1969" s="26" t="str">
        <f aca="false">IF($A1969="","",$L1969*$U1969/100)</f>
        <v/>
      </c>
      <c r="W1969" s="26" t="str">
        <f aca="false">IF($A1969="","",U1969*AB1969/100)</f>
        <v/>
      </c>
      <c r="X1969" s="26" t="str">
        <f aca="false">IF($A1969="","",U1969-W1969)</f>
        <v/>
      </c>
      <c r="Y1969" s="26" t="str">
        <f aca="false">IF($A1969="","",U1969-W1969-M1969)</f>
        <v/>
      </c>
      <c r="AB1969" s="27" t="str">
        <f aca="false">IF($A1969="","",IF($AK1969=1,'كشف المطالبة'!$D$5,'كشف المطالبة'!$D$6)*100)</f>
        <v/>
      </c>
      <c r="AK1969" s="28" t="str">
        <f aca="false">IF($A1969="","",IF(OR($Q1969=TRUE(),$Q1969="TRUE"),1,0))</f>
        <v/>
      </c>
      <c r="AL1969" s="28" t="str">
        <f aca="false">IF($N1969="","",IF(MATCH($N1969,$N$2:$N$3001,0)=ROWS($N$2:$N1969),$N1969,""))</f>
        <v/>
      </c>
    </row>
    <row r="1970" customFormat="false" ht="15" hidden="false" customHeight="false" outlineLevel="0" collapsed="false">
      <c r="E1970" s="25"/>
      <c r="M1970" s="26" t="str">
        <f aca="false">IF($A1970="","",$L1970*$U1970/100)</f>
        <v/>
      </c>
      <c r="W1970" s="26" t="str">
        <f aca="false">IF($A1970="","",U1970*AB1970/100)</f>
        <v/>
      </c>
      <c r="X1970" s="26" t="str">
        <f aca="false">IF($A1970="","",U1970-W1970)</f>
        <v/>
      </c>
      <c r="Y1970" s="26" t="str">
        <f aca="false">IF($A1970="","",U1970-W1970-M1970)</f>
        <v/>
      </c>
      <c r="AB1970" s="27" t="str">
        <f aca="false">IF($A1970="","",IF($AK1970=1,'كشف المطالبة'!$D$5,'كشف المطالبة'!$D$6)*100)</f>
        <v/>
      </c>
      <c r="AK1970" s="28" t="str">
        <f aca="false">IF($A1970="","",IF(OR($Q1970=TRUE(),$Q1970="TRUE"),1,0))</f>
        <v/>
      </c>
      <c r="AL1970" s="28" t="str">
        <f aca="false">IF($N1970="","",IF(MATCH($N1970,$N$2:$N$3001,0)=ROWS($N$2:$N1970),$N1970,""))</f>
        <v/>
      </c>
    </row>
    <row r="1971" customFormat="false" ht="15" hidden="false" customHeight="false" outlineLevel="0" collapsed="false">
      <c r="E1971" s="25"/>
      <c r="M1971" s="26" t="str">
        <f aca="false">IF($A1971="","",$L1971*$U1971/100)</f>
        <v/>
      </c>
      <c r="W1971" s="26" t="str">
        <f aca="false">IF($A1971="","",U1971*AB1971/100)</f>
        <v/>
      </c>
      <c r="X1971" s="26" t="str">
        <f aca="false">IF($A1971="","",U1971-W1971)</f>
        <v/>
      </c>
      <c r="Y1971" s="26" t="str">
        <f aca="false">IF($A1971="","",U1971-W1971-M1971)</f>
        <v/>
      </c>
      <c r="AB1971" s="27" t="str">
        <f aca="false">IF($A1971="","",IF($AK1971=1,'كشف المطالبة'!$D$5,'كشف المطالبة'!$D$6)*100)</f>
        <v/>
      </c>
      <c r="AK1971" s="28" t="str">
        <f aca="false">IF($A1971="","",IF(OR($Q1971=TRUE(),$Q1971="TRUE"),1,0))</f>
        <v/>
      </c>
      <c r="AL1971" s="28" t="str">
        <f aca="false">IF($N1971="","",IF(MATCH($N1971,$N$2:$N$3001,0)=ROWS($N$2:$N1971),$N1971,""))</f>
        <v/>
      </c>
    </row>
    <row r="1972" customFormat="false" ht="15" hidden="false" customHeight="false" outlineLevel="0" collapsed="false">
      <c r="E1972" s="25"/>
      <c r="M1972" s="26" t="str">
        <f aca="false">IF($A1972="","",$L1972*$U1972/100)</f>
        <v/>
      </c>
      <c r="W1972" s="26" t="str">
        <f aca="false">IF($A1972="","",U1972*AB1972/100)</f>
        <v/>
      </c>
      <c r="X1972" s="26" t="str">
        <f aca="false">IF($A1972="","",U1972-W1972)</f>
        <v/>
      </c>
      <c r="Y1972" s="26" t="str">
        <f aca="false">IF($A1972="","",U1972-W1972-M1972)</f>
        <v/>
      </c>
      <c r="AB1972" s="27" t="str">
        <f aca="false">IF($A1972="","",IF($AK1972=1,'كشف المطالبة'!$D$5,'كشف المطالبة'!$D$6)*100)</f>
        <v/>
      </c>
      <c r="AK1972" s="28" t="str">
        <f aca="false">IF($A1972="","",IF(OR($Q1972=TRUE(),$Q1972="TRUE"),1,0))</f>
        <v/>
      </c>
      <c r="AL1972" s="28" t="str">
        <f aca="false">IF($N1972="","",IF(MATCH($N1972,$N$2:$N$3001,0)=ROWS($N$2:$N1972),$N1972,""))</f>
        <v/>
      </c>
    </row>
    <row r="1973" customFormat="false" ht="15" hidden="false" customHeight="false" outlineLevel="0" collapsed="false">
      <c r="E1973" s="25"/>
      <c r="M1973" s="26" t="str">
        <f aca="false">IF($A1973="","",$L1973*$U1973/100)</f>
        <v/>
      </c>
      <c r="W1973" s="26" t="str">
        <f aca="false">IF($A1973="","",U1973*AB1973/100)</f>
        <v/>
      </c>
      <c r="X1973" s="26" t="str">
        <f aca="false">IF($A1973="","",U1973-W1973)</f>
        <v/>
      </c>
      <c r="Y1973" s="26" t="str">
        <f aca="false">IF($A1973="","",U1973-W1973-M1973)</f>
        <v/>
      </c>
      <c r="AB1973" s="27" t="str">
        <f aca="false">IF($A1973="","",IF($AK1973=1,'كشف المطالبة'!$D$5,'كشف المطالبة'!$D$6)*100)</f>
        <v/>
      </c>
      <c r="AK1973" s="28" t="str">
        <f aca="false">IF($A1973="","",IF(OR($Q1973=TRUE(),$Q1973="TRUE"),1,0))</f>
        <v/>
      </c>
      <c r="AL1973" s="28" t="str">
        <f aca="false">IF($N1973="","",IF(MATCH($N1973,$N$2:$N$3001,0)=ROWS($N$2:$N1973),$N1973,""))</f>
        <v/>
      </c>
    </row>
    <row r="1974" customFormat="false" ht="15" hidden="false" customHeight="false" outlineLevel="0" collapsed="false">
      <c r="E1974" s="25"/>
      <c r="M1974" s="26" t="str">
        <f aca="false">IF($A1974="","",$L1974*$U1974/100)</f>
        <v/>
      </c>
      <c r="W1974" s="26" t="str">
        <f aca="false">IF($A1974="","",U1974*AB1974/100)</f>
        <v/>
      </c>
      <c r="X1974" s="26" t="str">
        <f aca="false">IF($A1974="","",U1974-W1974)</f>
        <v/>
      </c>
      <c r="Y1974" s="26" t="str">
        <f aca="false">IF($A1974="","",U1974-W1974-M1974)</f>
        <v/>
      </c>
      <c r="AB1974" s="27" t="str">
        <f aca="false">IF($A1974="","",IF($AK1974=1,'كشف المطالبة'!$D$5,'كشف المطالبة'!$D$6)*100)</f>
        <v/>
      </c>
      <c r="AK1974" s="28" t="str">
        <f aca="false">IF($A1974="","",IF(OR($Q1974=TRUE(),$Q1974="TRUE"),1,0))</f>
        <v/>
      </c>
      <c r="AL1974" s="28" t="str">
        <f aca="false">IF($N1974="","",IF(MATCH($N1974,$N$2:$N$3001,0)=ROWS($N$2:$N1974),$N1974,""))</f>
        <v/>
      </c>
    </row>
    <row r="1975" customFormat="false" ht="15" hidden="false" customHeight="false" outlineLevel="0" collapsed="false">
      <c r="E1975" s="25"/>
      <c r="M1975" s="26" t="str">
        <f aca="false">IF($A1975="","",$L1975*$U1975/100)</f>
        <v/>
      </c>
      <c r="W1975" s="26" t="str">
        <f aca="false">IF($A1975="","",U1975*AB1975/100)</f>
        <v/>
      </c>
      <c r="X1975" s="26" t="str">
        <f aca="false">IF($A1975="","",U1975-W1975)</f>
        <v/>
      </c>
      <c r="Y1975" s="26" t="str">
        <f aca="false">IF($A1975="","",U1975-W1975-M1975)</f>
        <v/>
      </c>
      <c r="AB1975" s="27" t="str">
        <f aca="false">IF($A1975="","",IF($AK1975=1,'كشف المطالبة'!$D$5,'كشف المطالبة'!$D$6)*100)</f>
        <v/>
      </c>
      <c r="AK1975" s="28" t="str">
        <f aca="false">IF($A1975="","",IF(OR($Q1975=TRUE(),$Q1975="TRUE"),1,0))</f>
        <v/>
      </c>
      <c r="AL1975" s="28" t="str">
        <f aca="false">IF($N1975="","",IF(MATCH($N1975,$N$2:$N$3001,0)=ROWS($N$2:$N1975),$N1975,""))</f>
        <v/>
      </c>
    </row>
    <row r="1976" customFormat="false" ht="15" hidden="false" customHeight="false" outlineLevel="0" collapsed="false">
      <c r="E1976" s="25"/>
      <c r="M1976" s="26" t="str">
        <f aca="false">IF($A1976="","",$L1976*$U1976/100)</f>
        <v/>
      </c>
      <c r="W1976" s="26" t="str">
        <f aca="false">IF($A1976="","",U1976*AB1976/100)</f>
        <v/>
      </c>
      <c r="X1976" s="26" t="str">
        <f aca="false">IF($A1976="","",U1976-W1976)</f>
        <v/>
      </c>
      <c r="Y1976" s="26" t="str">
        <f aca="false">IF($A1976="","",U1976-W1976-M1976)</f>
        <v/>
      </c>
      <c r="AB1976" s="27" t="str">
        <f aca="false">IF($A1976="","",IF($AK1976=1,'كشف المطالبة'!$D$5,'كشف المطالبة'!$D$6)*100)</f>
        <v/>
      </c>
      <c r="AK1976" s="28" t="str">
        <f aca="false">IF($A1976="","",IF(OR($Q1976=TRUE(),$Q1976="TRUE"),1,0))</f>
        <v/>
      </c>
      <c r="AL1976" s="28" t="str">
        <f aca="false">IF($N1976="","",IF(MATCH($N1976,$N$2:$N$3001,0)=ROWS($N$2:$N1976),$N1976,""))</f>
        <v/>
      </c>
    </row>
    <row r="1977" customFormat="false" ht="15" hidden="false" customHeight="false" outlineLevel="0" collapsed="false">
      <c r="E1977" s="25"/>
      <c r="M1977" s="26" t="str">
        <f aca="false">IF($A1977="","",$L1977*$U1977/100)</f>
        <v/>
      </c>
      <c r="W1977" s="26" t="str">
        <f aca="false">IF($A1977="","",U1977*AB1977/100)</f>
        <v/>
      </c>
      <c r="X1977" s="26" t="str">
        <f aca="false">IF($A1977="","",U1977-W1977)</f>
        <v/>
      </c>
      <c r="Y1977" s="26" t="str">
        <f aca="false">IF($A1977="","",U1977-W1977-M1977)</f>
        <v/>
      </c>
      <c r="AB1977" s="27" t="str">
        <f aca="false">IF($A1977="","",IF($AK1977=1,'كشف المطالبة'!$D$5,'كشف المطالبة'!$D$6)*100)</f>
        <v/>
      </c>
      <c r="AK1977" s="28" t="str">
        <f aca="false">IF($A1977="","",IF(OR($Q1977=TRUE(),$Q1977="TRUE"),1,0))</f>
        <v/>
      </c>
      <c r="AL1977" s="28" t="str">
        <f aca="false">IF($N1977="","",IF(MATCH($N1977,$N$2:$N$3001,0)=ROWS($N$2:$N1977),$N1977,""))</f>
        <v/>
      </c>
    </row>
    <row r="1978" customFormat="false" ht="15" hidden="false" customHeight="false" outlineLevel="0" collapsed="false">
      <c r="E1978" s="25"/>
      <c r="M1978" s="26" t="str">
        <f aca="false">IF($A1978="","",$L1978*$U1978/100)</f>
        <v/>
      </c>
      <c r="W1978" s="26" t="str">
        <f aca="false">IF($A1978="","",U1978*AB1978/100)</f>
        <v/>
      </c>
      <c r="X1978" s="26" t="str">
        <f aca="false">IF($A1978="","",U1978-W1978)</f>
        <v/>
      </c>
      <c r="Y1978" s="26" t="str">
        <f aca="false">IF($A1978="","",U1978-W1978-M1978)</f>
        <v/>
      </c>
      <c r="AB1978" s="27" t="str">
        <f aca="false">IF($A1978="","",IF($AK1978=1,'كشف المطالبة'!$D$5,'كشف المطالبة'!$D$6)*100)</f>
        <v/>
      </c>
      <c r="AK1978" s="28" t="str">
        <f aca="false">IF($A1978="","",IF(OR($Q1978=TRUE(),$Q1978="TRUE"),1,0))</f>
        <v/>
      </c>
      <c r="AL1978" s="28" t="str">
        <f aca="false">IF($N1978="","",IF(MATCH($N1978,$N$2:$N$3001,0)=ROWS($N$2:$N1978),$N1978,""))</f>
        <v/>
      </c>
    </row>
    <row r="1979" customFormat="false" ht="15" hidden="false" customHeight="false" outlineLevel="0" collapsed="false">
      <c r="E1979" s="25"/>
      <c r="M1979" s="26" t="str">
        <f aca="false">IF($A1979="","",$L1979*$U1979/100)</f>
        <v/>
      </c>
      <c r="W1979" s="26" t="str">
        <f aca="false">IF($A1979="","",U1979*AB1979/100)</f>
        <v/>
      </c>
      <c r="X1979" s="26" t="str">
        <f aca="false">IF($A1979="","",U1979-W1979)</f>
        <v/>
      </c>
      <c r="Y1979" s="26" t="str">
        <f aca="false">IF($A1979="","",U1979-W1979-M1979)</f>
        <v/>
      </c>
      <c r="AB1979" s="27" t="str">
        <f aca="false">IF($A1979="","",IF($AK1979=1,'كشف المطالبة'!$D$5,'كشف المطالبة'!$D$6)*100)</f>
        <v/>
      </c>
      <c r="AK1979" s="28" t="str">
        <f aca="false">IF($A1979="","",IF(OR($Q1979=TRUE(),$Q1979="TRUE"),1,0))</f>
        <v/>
      </c>
      <c r="AL1979" s="28" t="str">
        <f aca="false">IF($N1979="","",IF(MATCH($N1979,$N$2:$N$3001,0)=ROWS($N$2:$N1979),$N1979,""))</f>
        <v/>
      </c>
    </row>
    <row r="1980" customFormat="false" ht="15" hidden="false" customHeight="false" outlineLevel="0" collapsed="false">
      <c r="E1980" s="25"/>
      <c r="M1980" s="26" t="str">
        <f aca="false">IF($A1980="","",$L1980*$U1980/100)</f>
        <v/>
      </c>
      <c r="W1980" s="26" t="str">
        <f aca="false">IF($A1980="","",U1980*AB1980/100)</f>
        <v/>
      </c>
      <c r="X1980" s="26" t="str">
        <f aca="false">IF($A1980="","",U1980-W1980)</f>
        <v/>
      </c>
      <c r="Y1980" s="26" t="str">
        <f aca="false">IF($A1980="","",U1980-W1980-M1980)</f>
        <v/>
      </c>
      <c r="AB1980" s="27" t="str">
        <f aca="false">IF($A1980="","",IF($AK1980=1,'كشف المطالبة'!$D$5,'كشف المطالبة'!$D$6)*100)</f>
        <v/>
      </c>
      <c r="AK1980" s="28" t="str">
        <f aca="false">IF($A1980="","",IF(OR($Q1980=TRUE(),$Q1980="TRUE"),1,0))</f>
        <v/>
      </c>
      <c r="AL1980" s="28" t="str">
        <f aca="false">IF($N1980="","",IF(MATCH($N1980,$N$2:$N$3001,0)=ROWS($N$2:$N1980),$N1980,""))</f>
        <v/>
      </c>
    </row>
    <row r="1981" customFormat="false" ht="15" hidden="false" customHeight="false" outlineLevel="0" collapsed="false">
      <c r="E1981" s="25"/>
      <c r="M1981" s="26" t="str">
        <f aca="false">IF($A1981="","",$L1981*$U1981/100)</f>
        <v/>
      </c>
      <c r="W1981" s="26" t="str">
        <f aca="false">IF($A1981="","",U1981*AB1981/100)</f>
        <v/>
      </c>
      <c r="X1981" s="26" t="str">
        <f aca="false">IF($A1981="","",U1981-W1981)</f>
        <v/>
      </c>
      <c r="Y1981" s="26" t="str">
        <f aca="false">IF($A1981="","",U1981-W1981-M1981)</f>
        <v/>
      </c>
      <c r="AB1981" s="27" t="str">
        <f aca="false">IF($A1981="","",IF($AK1981=1,'كشف المطالبة'!$D$5,'كشف المطالبة'!$D$6)*100)</f>
        <v/>
      </c>
      <c r="AK1981" s="28" t="str">
        <f aca="false">IF($A1981="","",IF(OR($Q1981=TRUE(),$Q1981="TRUE"),1,0))</f>
        <v/>
      </c>
      <c r="AL1981" s="28" t="str">
        <f aca="false">IF($N1981="","",IF(MATCH($N1981,$N$2:$N$3001,0)=ROWS($N$2:$N1981),$N1981,""))</f>
        <v/>
      </c>
    </row>
    <row r="1982" customFormat="false" ht="15" hidden="false" customHeight="false" outlineLevel="0" collapsed="false">
      <c r="E1982" s="25"/>
      <c r="M1982" s="26" t="str">
        <f aca="false">IF($A1982="","",$L1982*$U1982/100)</f>
        <v/>
      </c>
      <c r="W1982" s="26" t="str">
        <f aca="false">IF($A1982="","",U1982*AB1982/100)</f>
        <v/>
      </c>
      <c r="X1982" s="26" t="str">
        <f aca="false">IF($A1982="","",U1982-W1982)</f>
        <v/>
      </c>
      <c r="Y1982" s="26" t="str">
        <f aca="false">IF($A1982="","",U1982-W1982-M1982)</f>
        <v/>
      </c>
      <c r="AB1982" s="27" t="str">
        <f aca="false">IF($A1982="","",IF($AK1982=1,'كشف المطالبة'!$D$5,'كشف المطالبة'!$D$6)*100)</f>
        <v/>
      </c>
      <c r="AK1982" s="28" t="str">
        <f aca="false">IF($A1982="","",IF(OR($Q1982=TRUE(),$Q1982="TRUE"),1,0))</f>
        <v/>
      </c>
      <c r="AL1982" s="28" t="str">
        <f aca="false">IF($N1982="","",IF(MATCH($N1982,$N$2:$N$3001,0)=ROWS($N$2:$N1982),$N1982,""))</f>
        <v/>
      </c>
    </row>
    <row r="1983" customFormat="false" ht="15" hidden="false" customHeight="false" outlineLevel="0" collapsed="false">
      <c r="E1983" s="25"/>
      <c r="M1983" s="26" t="str">
        <f aca="false">IF($A1983="","",$L1983*$U1983/100)</f>
        <v/>
      </c>
      <c r="W1983" s="26" t="str">
        <f aca="false">IF($A1983="","",U1983*AB1983/100)</f>
        <v/>
      </c>
      <c r="X1983" s="26" t="str">
        <f aca="false">IF($A1983="","",U1983-W1983)</f>
        <v/>
      </c>
      <c r="Y1983" s="26" t="str">
        <f aca="false">IF($A1983="","",U1983-W1983-M1983)</f>
        <v/>
      </c>
      <c r="AB1983" s="27" t="str">
        <f aca="false">IF($A1983="","",IF($AK1983=1,'كشف المطالبة'!$D$5,'كشف المطالبة'!$D$6)*100)</f>
        <v/>
      </c>
      <c r="AK1983" s="28" t="str">
        <f aca="false">IF($A1983="","",IF(OR($Q1983=TRUE(),$Q1983="TRUE"),1,0))</f>
        <v/>
      </c>
      <c r="AL1983" s="28" t="str">
        <f aca="false">IF($N1983="","",IF(MATCH($N1983,$N$2:$N$3001,0)=ROWS($N$2:$N1983),$N1983,""))</f>
        <v/>
      </c>
    </row>
    <row r="1984" customFormat="false" ht="15" hidden="false" customHeight="false" outlineLevel="0" collapsed="false">
      <c r="E1984" s="25"/>
      <c r="M1984" s="26" t="str">
        <f aca="false">IF($A1984="","",$L1984*$U1984/100)</f>
        <v/>
      </c>
      <c r="W1984" s="26" t="str">
        <f aca="false">IF($A1984="","",U1984*AB1984/100)</f>
        <v/>
      </c>
      <c r="X1984" s="26" t="str">
        <f aca="false">IF($A1984="","",U1984-W1984)</f>
        <v/>
      </c>
      <c r="Y1984" s="26" t="str">
        <f aca="false">IF($A1984="","",U1984-W1984-M1984)</f>
        <v/>
      </c>
      <c r="AB1984" s="27" t="str">
        <f aca="false">IF($A1984="","",IF($AK1984=1,'كشف المطالبة'!$D$5,'كشف المطالبة'!$D$6)*100)</f>
        <v/>
      </c>
      <c r="AK1984" s="28" t="str">
        <f aca="false">IF($A1984="","",IF(OR($Q1984=TRUE(),$Q1984="TRUE"),1,0))</f>
        <v/>
      </c>
      <c r="AL1984" s="28" t="str">
        <f aca="false">IF($N1984="","",IF(MATCH($N1984,$N$2:$N$3001,0)=ROWS($N$2:$N1984),$N1984,""))</f>
        <v/>
      </c>
    </row>
    <row r="1985" customFormat="false" ht="15" hidden="false" customHeight="false" outlineLevel="0" collapsed="false">
      <c r="E1985" s="25"/>
      <c r="M1985" s="26" t="str">
        <f aca="false">IF($A1985="","",$L1985*$U1985/100)</f>
        <v/>
      </c>
      <c r="W1985" s="26" t="str">
        <f aca="false">IF($A1985="","",U1985*AB1985/100)</f>
        <v/>
      </c>
      <c r="X1985" s="26" t="str">
        <f aca="false">IF($A1985="","",U1985-W1985)</f>
        <v/>
      </c>
      <c r="Y1985" s="26" t="str">
        <f aca="false">IF($A1985="","",U1985-W1985-M1985)</f>
        <v/>
      </c>
      <c r="AB1985" s="27" t="str">
        <f aca="false">IF($A1985="","",IF($AK1985=1,'كشف المطالبة'!$D$5,'كشف المطالبة'!$D$6)*100)</f>
        <v/>
      </c>
      <c r="AK1985" s="28" t="str">
        <f aca="false">IF($A1985="","",IF(OR($Q1985=TRUE(),$Q1985="TRUE"),1,0))</f>
        <v/>
      </c>
      <c r="AL1985" s="28" t="str">
        <f aca="false">IF($N1985="","",IF(MATCH($N1985,$N$2:$N$3001,0)=ROWS($N$2:$N1985),$N1985,""))</f>
        <v/>
      </c>
    </row>
    <row r="1986" customFormat="false" ht="15" hidden="false" customHeight="false" outlineLevel="0" collapsed="false">
      <c r="E1986" s="25"/>
      <c r="M1986" s="26" t="str">
        <f aca="false">IF($A1986="","",$L1986*$U1986/100)</f>
        <v/>
      </c>
      <c r="W1986" s="26" t="str">
        <f aca="false">IF($A1986="","",U1986*AB1986/100)</f>
        <v/>
      </c>
      <c r="X1986" s="26" t="str">
        <f aca="false">IF($A1986="","",U1986-W1986)</f>
        <v/>
      </c>
      <c r="Y1986" s="26" t="str">
        <f aca="false">IF($A1986="","",U1986-W1986-M1986)</f>
        <v/>
      </c>
      <c r="AB1986" s="27" t="str">
        <f aca="false">IF($A1986="","",IF($AK1986=1,'كشف المطالبة'!$D$5,'كشف المطالبة'!$D$6)*100)</f>
        <v/>
      </c>
      <c r="AK1986" s="28" t="str">
        <f aca="false">IF($A1986="","",IF(OR($Q1986=TRUE(),$Q1986="TRUE"),1,0))</f>
        <v/>
      </c>
      <c r="AL1986" s="28" t="str">
        <f aca="false">IF($N1986="","",IF(MATCH($N1986,$N$2:$N$3001,0)=ROWS($N$2:$N1986),$N1986,""))</f>
        <v/>
      </c>
    </row>
    <row r="1987" customFormat="false" ht="15" hidden="false" customHeight="false" outlineLevel="0" collapsed="false">
      <c r="E1987" s="25"/>
      <c r="M1987" s="26" t="str">
        <f aca="false">IF($A1987="","",$L1987*$U1987/100)</f>
        <v/>
      </c>
      <c r="W1987" s="26" t="str">
        <f aca="false">IF($A1987="","",U1987*AB1987/100)</f>
        <v/>
      </c>
      <c r="X1987" s="26" t="str">
        <f aca="false">IF($A1987="","",U1987-W1987)</f>
        <v/>
      </c>
      <c r="Y1987" s="26" t="str">
        <f aca="false">IF($A1987="","",U1987-W1987-M1987)</f>
        <v/>
      </c>
      <c r="AB1987" s="27" t="str">
        <f aca="false">IF($A1987="","",IF($AK1987=1,'كشف المطالبة'!$D$5,'كشف المطالبة'!$D$6)*100)</f>
        <v/>
      </c>
      <c r="AK1987" s="28" t="str">
        <f aca="false">IF($A1987="","",IF(OR($Q1987=TRUE(),$Q1987="TRUE"),1,0))</f>
        <v/>
      </c>
      <c r="AL1987" s="28" t="str">
        <f aca="false">IF($N1987="","",IF(MATCH($N1987,$N$2:$N$3001,0)=ROWS($N$2:$N1987),$N1987,""))</f>
        <v/>
      </c>
    </row>
    <row r="1988" customFormat="false" ht="15" hidden="false" customHeight="false" outlineLevel="0" collapsed="false">
      <c r="E1988" s="25"/>
      <c r="M1988" s="26" t="str">
        <f aca="false">IF($A1988="","",$L1988*$U1988/100)</f>
        <v/>
      </c>
      <c r="W1988" s="26" t="str">
        <f aca="false">IF($A1988="","",U1988*AB1988/100)</f>
        <v/>
      </c>
      <c r="X1988" s="26" t="str">
        <f aca="false">IF($A1988="","",U1988-W1988)</f>
        <v/>
      </c>
      <c r="Y1988" s="26" t="str">
        <f aca="false">IF($A1988="","",U1988-W1988-M1988)</f>
        <v/>
      </c>
      <c r="AB1988" s="27" t="str">
        <f aca="false">IF($A1988="","",IF($AK1988=1,'كشف المطالبة'!$D$5,'كشف المطالبة'!$D$6)*100)</f>
        <v/>
      </c>
      <c r="AK1988" s="28" t="str">
        <f aca="false">IF($A1988="","",IF(OR($Q1988=TRUE(),$Q1988="TRUE"),1,0))</f>
        <v/>
      </c>
      <c r="AL1988" s="28" t="str">
        <f aca="false">IF($N1988="","",IF(MATCH($N1988,$N$2:$N$3001,0)=ROWS($N$2:$N1988),$N1988,""))</f>
        <v/>
      </c>
    </row>
    <row r="1989" customFormat="false" ht="15" hidden="false" customHeight="false" outlineLevel="0" collapsed="false">
      <c r="E1989" s="25"/>
      <c r="M1989" s="26" t="str">
        <f aca="false">IF($A1989="","",$L1989*$U1989/100)</f>
        <v/>
      </c>
      <c r="W1989" s="26" t="str">
        <f aca="false">IF($A1989="","",U1989*AB1989/100)</f>
        <v/>
      </c>
      <c r="X1989" s="26" t="str">
        <f aca="false">IF($A1989="","",U1989-W1989)</f>
        <v/>
      </c>
      <c r="Y1989" s="26" t="str">
        <f aca="false">IF($A1989="","",U1989-W1989-M1989)</f>
        <v/>
      </c>
      <c r="AB1989" s="27" t="str">
        <f aca="false">IF($A1989="","",IF($AK1989=1,'كشف المطالبة'!$D$5,'كشف المطالبة'!$D$6)*100)</f>
        <v/>
      </c>
      <c r="AK1989" s="28" t="str">
        <f aca="false">IF($A1989="","",IF(OR($Q1989=TRUE(),$Q1989="TRUE"),1,0))</f>
        <v/>
      </c>
      <c r="AL1989" s="28" t="str">
        <f aca="false">IF($N1989="","",IF(MATCH($N1989,$N$2:$N$3001,0)=ROWS($N$2:$N1989),$N1989,""))</f>
        <v/>
      </c>
    </row>
    <row r="1990" customFormat="false" ht="15" hidden="false" customHeight="false" outlineLevel="0" collapsed="false">
      <c r="E1990" s="25"/>
      <c r="M1990" s="26" t="str">
        <f aca="false">IF($A1990="","",$L1990*$U1990/100)</f>
        <v/>
      </c>
      <c r="W1990" s="26" t="str">
        <f aca="false">IF($A1990="","",U1990*AB1990/100)</f>
        <v/>
      </c>
      <c r="X1990" s="26" t="str">
        <f aca="false">IF($A1990="","",U1990-W1990)</f>
        <v/>
      </c>
      <c r="Y1990" s="26" t="str">
        <f aca="false">IF($A1990="","",U1990-W1990-M1990)</f>
        <v/>
      </c>
      <c r="AB1990" s="27" t="str">
        <f aca="false">IF($A1990="","",IF($AK1990=1,'كشف المطالبة'!$D$5,'كشف المطالبة'!$D$6)*100)</f>
        <v/>
      </c>
      <c r="AK1990" s="28" t="str">
        <f aca="false">IF($A1990="","",IF(OR($Q1990=TRUE(),$Q1990="TRUE"),1,0))</f>
        <v/>
      </c>
      <c r="AL1990" s="28" t="str">
        <f aca="false">IF($N1990="","",IF(MATCH($N1990,$N$2:$N$3001,0)=ROWS($N$2:$N1990),$N1990,""))</f>
        <v/>
      </c>
    </row>
    <row r="1991" customFormat="false" ht="15" hidden="false" customHeight="false" outlineLevel="0" collapsed="false">
      <c r="E1991" s="25"/>
      <c r="M1991" s="26" t="str">
        <f aca="false">IF($A1991="","",$L1991*$U1991/100)</f>
        <v/>
      </c>
      <c r="W1991" s="26" t="str">
        <f aca="false">IF($A1991="","",U1991*AB1991/100)</f>
        <v/>
      </c>
      <c r="X1991" s="26" t="str">
        <f aca="false">IF($A1991="","",U1991-W1991)</f>
        <v/>
      </c>
      <c r="Y1991" s="26" t="str">
        <f aca="false">IF($A1991="","",U1991-W1991-M1991)</f>
        <v/>
      </c>
      <c r="AB1991" s="27" t="str">
        <f aca="false">IF($A1991="","",IF($AK1991=1,'كشف المطالبة'!$D$5,'كشف المطالبة'!$D$6)*100)</f>
        <v/>
      </c>
      <c r="AK1991" s="28" t="str">
        <f aca="false">IF($A1991="","",IF(OR($Q1991=TRUE(),$Q1991="TRUE"),1,0))</f>
        <v/>
      </c>
      <c r="AL1991" s="28" t="str">
        <f aca="false">IF($N1991="","",IF(MATCH($N1991,$N$2:$N$3001,0)=ROWS($N$2:$N1991),$N1991,""))</f>
        <v/>
      </c>
    </row>
    <row r="1992" customFormat="false" ht="15" hidden="false" customHeight="false" outlineLevel="0" collapsed="false">
      <c r="E1992" s="25"/>
      <c r="M1992" s="26" t="str">
        <f aca="false">IF($A1992="","",$L1992*$U1992/100)</f>
        <v/>
      </c>
      <c r="W1992" s="26" t="str">
        <f aca="false">IF($A1992="","",U1992*AB1992/100)</f>
        <v/>
      </c>
      <c r="X1992" s="26" t="str">
        <f aca="false">IF($A1992="","",U1992-W1992)</f>
        <v/>
      </c>
      <c r="Y1992" s="26" t="str">
        <f aca="false">IF($A1992="","",U1992-W1992-M1992)</f>
        <v/>
      </c>
      <c r="AB1992" s="27" t="str">
        <f aca="false">IF($A1992="","",IF($AK1992=1,'كشف المطالبة'!$D$5,'كشف المطالبة'!$D$6)*100)</f>
        <v/>
      </c>
      <c r="AK1992" s="28" t="str">
        <f aca="false">IF($A1992="","",IF(OR($Q1992=TRUE(),$Q1992="TRUE"),1,0))</f>
        <v/>
      </c>
      <c r="AL1992" s="28" t="str">
        <f aca="false">IF($N1992="","",IF(MATCH($N1992,$N$2:$N$3001,0)=ROWS($N$2:$N1992),$N1992,""))</f>
        <v/>
      </c>
    </row>
    <row r="1993" customFormat="false" ht="15" hidden="false" customHeight="false" outlineLevel="0" collapsed="false">
      <c r="E1993" s="25"/>
      <c r="M1993" s="26" t="str">
        <f aca="false">IF($A1993="","",$L1993*$U1993/100)</f>
        <v/>
      </c>
      <c r="W1993" s="26" t="str">
        <f aca="false">IF($A1993="","",U1993*AB1993/100)</f>
        <v/>
      </c>
      <c r="X1993" s="26" t="str">
        <f aca="false">IF($A1993="","",U1993-W1993)</f>
        <v/>
      </c>
      <c r="Y1993" s="26" t="str">
        <f aca="false">IF($A1993="","",U1993-W1993-M1993)</f>
        <v/>
      </c>
      <c r="AB1993" s="27" t="str">
        <f aca="false">IF($A1993="","",IF($AK1993=1,'كشف المطالبة'!$D$5,'كشف المطالبة'!$D$6)*100)</f>
        <v/>
      </c>
      <c r="AK1993" s="28" t="str">
        <f aca="false">IF($A1993="","",IF(OR($Q1993=TRUE(),$Q1993="TRUE"),1,0))</f>
        <v/>
      </c>
      <c r="AL1993" s="28" t="str">
        <f aca="false">IF($N1993="","",IF(MATCH($N1993,$N$2:$N$3001,0)=ROWS($N$2:$N1993),$N1993,""))</f>
        <v/>
      </c>
    </row>
    <row r="1994" customFormat="false" ht="15" hidden="false" customHeight="false" outlineLevel="0" collapsed="false">
      <c r="E1994" s="25"/>
      <c r="M1994" s="26" t="str">
        <f aca="false">IF($A1994="","",$L1994*$U1994/100)</f>
        <v/>
      </c>
      <c r="W1994" s="26" t="str">
        <f aca="false">IF($A1994="","",U1994*AB1994/100)</f>
        <v/>
      </c>
      <c r="X1994" s="26" t="str">
        <f aca="false">IF($A1994="","",U1994-W1994)</f>
        <v/>
      </c>
      <c r="Y1994" s="26" t="str">
        <f aca="false">IF($A1994="","",U1994-W1994-M1994)</f>
        <v/>
      </c>
      <c r="AB1994" s="27" t="str">
        <f aca="false">IF($A1994="","",IF($AK1994=1,'كشف المطالبة'!$D$5,'كشف المطالبة'!$D$6)*100)</f>
        <v/>
      </c>
      <c r="AK1994" s="28" t="str">
        <f aca="false">IF($A1994="","",IF(OR($Q1994=TRUE(),$Q1994="TRUE"),1,0))</f>
        <v/>
      </c>
      <c r="AL1994" s="28" t="str">
        <f aca="false">IF($N1994="","",IF(MATCH($N1994,$N$2:$N$3001,0)=ROWS($N$2:$N1994),$N1994,""))</f>
        <v/>
      </c>
    </row>
    <row r="1995" customFormat="false" ht="15" hidden="false" customHeight="false" outlineLevel="0" collapsed="false">
      <c r="E1995" s="25"/>
      <c r="M1995" s="26" t="str">
        <f aca="false">IF($A1995="","",$L1995*$U1995/100)</f>
        <v/>
      </c>
      <c r="W1995" s="26" t="str">
        <f aca="false">IF($A1995="","",U1995*AB1995/100)</f>
        <v/>
      </c>
      <c r="X1995" s="26" t="str">
        <f aca="false">IF($A1995="","",U1995-W1995)</f>
        <v/>
      </c>
      <c r="Y1995" s="26" t="str">
        <f aca="false">IF($A1995="","",U1995-W1995-M1995)</f>
        <v/>
      </c>
      <c r="AB1995" s="27" t="str">
        <f aca="false">IF($A1995="","",IF($AK1995=1,'كشف المطالبة'!$D$5,'كشف المطالبة'!$D$6)*100)</f>
        <v/>
      </c>
      <c r="AK1995" s="28" t="str">
        <f aca="false">IF($A1995="","",IF(OR($Q1995=TRUE(),$Q1995="TRUE"),1,0))</f>
        <v/>
      </c>
      <c r="AL1995" s="28" t="str">
        <f aca="false">IF($N1995="","",IF(MATCH($N1995,$N$2:$N$3001,0)=ROWS($N$2:$N1995),$N1995,""))</f>
        <v/>
      </c>
    </row>
    <row r="1996" customFormat="false" ht="15" hidden="false" customHeight="false" outlineLevel="0" collapsed="false">
      <c r="E1996" s="25"/>
      <c r="M1996" s="26" t="str">
        <f aca="false">IF($A1996="","",$L1996*$U1996/100)</f>
        <v/>
      </c>
      <c r="W1996" s="26" t="str">
        <f aca="false">IF($A1996="","",U1996*AB1996/100)</f>
        <v/>
      </c>
      <c r="X1996" s="26" t="str">
        <f aca="false">IF($A1996="","",U1996-W1996)</f>
        <v/>
      </c>
      <c r="Y1996" s="26" t="str">
        <f aca="false">IF($A1996="","",U1996-W1996-M1996)</f>
        <v/>
      </c>
      <c r="AB1996" s="27" t="str">
        <f aca="false">IF($A1996="","",IF($AK1996=1,'كشف المطالبة'!$D$5,'كشف المطالبة'!$D$6)*100)</f>
        <v/>
      </c>
      <c r="AK1996" s="28" t="str">
        <f aca="false">IF($A1996="","",IF(OR($Q1996=TRUE(),$Q1996="TRUE"),1,0))</f>
        <v/>
      </c>
      <c r="AL1996" s="28" t="str">
        <f aca="false">IF($N1996="","",IF(MATCH($N1996,$N$2:$N$3001,0)=ROWS($N$2:$N1996),$N1996,""))</f>
        <v/>
      </c>
    </row>
    <row r="1997" customFormat="false" ht="15" hidden="false" customHeight="false" outlineLevel="0" collapsed="false">
      <c r="E1997" s="25"/>
      <c r="M1997" s="26" t="str">
        <f aca="false">IF($A1997="","",$L1997*$U1997/100)</f>
        <v/>
      </c>
      <c r="W1997" s="26" t="str">
        <f aca="false">IF($A1997="","",U1997*AB1997/100)</f>
        <v/>
      </c>
      <c r="X1997" s="26" t="str">
        <f aca="false">IF($A1997="","",U1997-W1997)</f>
        <v/>
      </c>
      <c r="Y1997" s="26" t="str">
        <f aca="false">IF($A1997="","",U1997-W1997-M1997)</f>
        <v/>
      </c>
      <c r="AB1997" s="27" t="str">
        <f aca="false">IF($A1997="","",IF($AK1997=1,'كشف المطالبة'!$D$5,'كشف المطالبة'!$D$6)*100)</f>
        <v/>
      </c>
      <c r="AK1997" s="28" t="str">
        <f aca="false">IF($A1997="","",IF(OR($Q1997=TRUE(),$Q1997="TRUE"),1,0))</f>
        <v/>
      </c>
      <c r="AL1997" s="28" t="str">
        <f aca="false">IF($N1997="","",IF(MATCH($N1997,$N$2:$N$3001,0)=ROWS($N$2:$N1997),$N1997,""))</f>
        <v/>
      </c>
    </row>
    <row r="1998" customFormat="false" ht="15" hidden="false" customHeight="false" outlineLevel="0" collapsed="false">
      <c r="E1998" s="25"/>
      <c r="M1998" s="26" t="str">
        <f aca="false">IF($A1998="","",$L1998*$U1998/100)</f>
        <v/>
      </c>
      <c r="W1998" s="26" t="str">
        <f aca="false">IF($A1998="","",U1998*AB1998/100)</f>
        <v/>
      </c>
      <c r="X1998" s="26" t="str">
        <f aca="false">IF($A1998="","",U1998-W1998)</f>
        <v/>
      </c>
      <c r="Y1998" s="26" t="str">
        <f aca="false">IF($A1998="","",U1998-W1998-M1998)</f>
        <v/>
      </c>
      <c r="AB1998" s="27" t="str">
        <f aca="false">IF($A1998="","",IF($AK1998=1,'كشف المطالبة'!$D$5,'كشف المطالبة'!$D$6)*100)</f>
        <v/>
      </c>
      <c r="AK1998" s="28" t="str">
        <f aca="false">IF($A1998="","",IF(OR($Q1998=TRUE(),$Q1998="TRUE"),1,0))</f>
        <v/>
      </c>
      <c r="AL1998" s="28" t="str">
        <f aca="false">IF($N1998="","",IF(MATCH($N1998,$N$2:$N$3001,0)=ROWS($N$2:$N1998),$N1998,""))</f>
        <v/>
      </c>
    </row>
    <row r="1999" customFormat="false" ht="15" hidden="false" customHeight="false" outlineLevel="0" collapsed="false">
      <c r="E1999" s="25"/>
      <c r="M1999" s="26" t="str">
        <f aca="false">IF($A1999="","",$L1999*$U1999/100)</f>
        <v/>
      </c>
      <c r="W1999" s="26" t="str">
        <f aca="false">IF($A1999="","",U1999*AB1999/100)</f>
        <v/>
      </c>
      <c r="X1999" s="26" t="str">
        <f aca="false">IF($A1999="","",U1999-W1999)</f>
        <v/>
      </c>
      <c r="Y1999" s="26" t="str">
        <f aca="false">IF($A1999="","",U1999-W1999-M1999)</f>
        <v/>
      </c>
      <c r="AB1999" s="27" t="str">
        <f aca="false">IF($A1999="","",IF($AK1999=1,'كشف المطالبة'!$D$5,'كشف المطالبة'!$D$6)*100)</f>
        <v/>
      </c>
      <c r="AK1999" s="28" t="str">
        <f aca="false">IF($A1999="","",IF(OR($Q1999=TRUE(),$Q1999="TRUE"),1,0))</f>
        <v/>
      </c>
      <c r="AL1999" s="28" t="str">
        <f aca="false">IF($N1999="","",IF(MATCH($N1999,$N$2:$N$3001,0)=ROWS($N$2:$N1999),$N1999,""))</f>
        <v/>
      </c>
    </row>
    <row r="2000" customFormat="false" ht="15" hidden="false" customHeight="false" outlineLevel="0" collapsed="false">
      <c r="E2000" s="25"/>
      <c r="M2000" s="26" t="str">
        <f aca="false">IF($A2000="","",$L2000*$U2000/100)</f>
        <v/>
      </c>
      <c r="W2000" s="26" t="str">
        <f aca="false">IF($A2000="","",U2000*AB2000/100)</f>
        <v/>
      </c>
      <c r="X2000" s="26" t="str">
        <f aca="false">IF($A2000="","",U2000-W2000)</f>
        <v/>
      </c>
      <c r="Y2000" s="26" t="str">
        <f aca="false">IF($A2000="","",U2000-W2000-M2000)</f>
        <v/>
      </c>
      <c r="AB2000" s="27" t="str">
        <f aca="false">IF($A2000="","",IF($AK2000=1,'كشف المطالبة'!$D$5,'كشف المطالبة'!$D$6)*100)</f>
        <v/>
      </c>
      <c r="AK2000" s="28" t="str">
        <f aca="false">IF($A2000="","",IF(OR($Q2000=TRUE(),$Q2000="TRUE"),1,0))</f>
        <v/>
      </c>
      <c r="AL2000" s="28" t="str">
        <f aca="false">IF($N2000="","",IF(MATCH($N2000,$N$2:$N$3001,0)=ROWS($N$2:$N2000),$N2000,""))</f>
        <v/>
      </c>
    </row>
    <row r="2001" customFormat="false" ht="15" hidden="false" customHeight="false" outlineLevel="0" collapsed="false">
      <c r="E2001" s="25"/>
      <c r="M2001" s="26" t="str">
        <f aca="false">IF($A2001="","",$L2001*$U2001/100)</f>
        <v/>
      </c>
      <c r="W2001" s="26" t="str">
        <f aca="false">IF($A2001="","",U2001*AB2001/100)</f>
        <v/>
      </c>
      <c r="X2001" s="26" t="str">
        <f aca="false">IF($A2001="","",U2001-W2001)</f>
        <v/>
      </c>
      <c r="Y2001" s="26" t="str">
        <f aca="false">IF($A2001="","",U2001-W2001-M2001)</f>
        <v/>
      </c>
      <c r="AB2001" s="27" t="str">
        <f aca="false">IF($A2001="","",IF($AK2001=1,'كشف المطالبة'!$D$5,'كشف المطالبة'!$D$6)*100)</f>
        <v/>
      </c>
      <c r="AK2001" s="28" t="str">
        <f aca="false">IF($A2001="","",IF(OR($Q2001=TRUE(),$Q2001="TRUE"),1,0))</f>
        <v/>
      </c>
      <c r="AL2001" s="28" t="str">
        <f aca="false">IF($N2001="","",IF(MATCH($N2001,$N$2:$N$3001,0)=ROWS($N$2:$N2001),$N2001,""))</f>
        <v/>
      </c>
    </row>
    <row r="2002" customFormat="false" ht="15" hidden="false" customHeight="false" outlineLevel="0" collapsed="false">
      <c r="E2002" s="25"/>
      <c r="M2002" s="26" t="str">
        <f aca="false">IF($A2002="","",$L2002*$U2002/100)</f>
        <v/>
      </c>
      <c r="W2002" s="26" t="str">
        <f aca="false">IF($A2002="","",U2002*AB2002/100)</f>
        <v/>
      </c>
      <c r="X2002" s="26" t="str">
        <f aca="false">IF($A2002="","",U2002-W2002)</f>
        <v/>
      </c>
      <c r="Y2002" s="26" t="str">
        <f aca="false">IF($A2002="","",U2002-W2002-M2002)</f>
        <v/>
      </c>
      <c r="AB2002" s="27" t="str">
        <f aca="false">IF($A2002="","",IF($AK2002=1,'كشف المطالبة'!$D$5,'كشف المطالبة'!$D$6)*100)</f>
        <v/>
      </c>
      <c r="AK2002" s="28" t="str">
        <f aca="false">IF($A2002="","",IF(OR($Q2002=TRUE(),$Q2002="TRUE"),1,0))</f>
        <v/>
      </c>
      <c r="AL2002" s="28" t="str">
        <f aca="false">IF($N2002="","",IF(MATCH($N2002,$N$2:$N$3001,0)=ROWS($N$2:$N2002),$N2002,""))</f>
        <v/>
      </c>
    </row>
    <row r="2003" customFormat="false" ht="15" hidden="false" customHeight="false" outlineLevel="0" collapsed="false">
      <c r="E2003" s="25"/>
      <c r="M2003" s="26" t="str">
        <f aca="false">IF($A2003="","",$L2003*$U2003/100)</f>
        <v/>
      </c>
      <c r="W2003" s="26" t="str">
        <f aca="false">IF($A2003="","",U2003*AB2003/100)</f>
        <v/>
      </c>
      <c r="X2003" s="26" t="str">
        <f aca="false">IF($A2003="","",U2003-W2003)</f>
        <v/>
      </c>
      <c r="Y2003" s="26" t="str">
        <f aca="false">IF($A2003="","",U2003-W2003-M2003)</f>
        <v/>
      </c>
      <c r="AB2003" s="27" t="str">
        <f aca="false">IF($A2003="","",IF($AK2003=1,'كشف المطالبة'!$D$5,'كشف المطالبة'!$D$6)*100)</f>
        <v/>
      </c>
      <c r="AK2003" s="28" t="str">
        <f aca="false">IF($A2003="","",IF(OR($Q2003=TRUE(),$Q2003="TRUE"),1,0))</f>
        <v/>
      </c>
      <c r="AL2003" s="28" t="str">
        <f aca="false">IF($N2003="","",IF(MATCH($N2003,$N$2:$N$3001,0)=ROWS($N$2:$N2003),$N2003,""))</f>
        <v/>
      </c>
    </row>
    <row r="2004" customFormat="false" ht="15" hidden="false" customHeight="false" outlineLevel="0" collapsed="false">
      <c r="E2004" s="25"/>
      <c r="M2004" s="26" t="str">
        <f aca="false">IF($A2004="","",$L2004*$U2004/100)</f>
        <v/>
      </c>
      <c r="W2004" s="26" t="str">
        <f aca="false">IF($A2004="","",U2004*AB2004/100)</f>
        <v/>
      </c>
      <c r="X2004" s="26" t="str">
        <f aca="false">IF($A2004="","",U2004-W2004)</f>
        <v/>
      </c>
      <c r="Y2004" s="26" t="str">
        <f aca="false">IF($A2004="","",U2004-W2004-M2004)</f>
        <v/>
      </c>
      <c r="AB2004" s="27" t="str">
        <f aca="false">IF($A2004="","",IF($AK2004=1,'كشف المطالبة'!$D$5,'كشف المطالبة'!$D$6)*100)</f>
        <v/>
      </c>
      <c r="AK2004" s="28" t="str">
        <f aca="false">IF($A2004="","",IF(OR($Q2004=TRUE(),$Q2004="TRUE"),1,0))</f>
        <v/>
      </c>
      <c r="AL2004" s="28" t="str">
        <f aca="false">IF($N2004="","",IF(MATCH($N2004,$N$2:$N$3001,0)=ROWS($N$2:$N2004),$N2004,""))</f>
        <v/>
      </c>
    </row>
    <row r="2005" customFormat="false" ht="15" hidden="false" customHeight="false" outlineLevel="0" collapsed="false">
      <c r="E2005" s="25"/>
      <c r="M2005" s="26" t="str">
        <f aca="false">IF($A2005="","",$L2005*$U2005/100)</f>
        <v/>
      </c>
      <c r="W2005" s="26" t="str">
        <f aca="false">IF($A2005="","",U2005*AB2005/100)</f>
        <v/>
      </c>
      <c r="X2005" s="26" t="str">
        <f aca="false">IF($A2005="","",U2005-W2005)</f>
        <v/>
      </c>
      <c r="Y2005" s="26" t="str">
        <f aca="false">IF($A2005="","",U2005-W2005-M2005)</f>
        <v/>
      </c>
      <c r="AB2005" s="27" t="str">
        <f aca="false">IF($A2005="","",IF($AK2005=1,'كشف المطالبة'!$D$5,'كشف المطالبة'!$D$6)*100)</f>
        <v/>
      </c>
      <c r="AK2005" s="28" t="str">
        <f aca="false">IF($A2005="","",IF(OR($Q2005=TRUE(),$Q2005="TRUE"),1,0))</f>
        <v/>
      </c>
      <c r="AL2005" s="28" t="str">
        <f aca="false">IF($N2005="","",IF(MATCH($N2005,$N$2:$N$3001,0)=ROWS($N$2:$N2005),$N2005,""))</f>
        <v/>
      </c>
    </row>
    <row r="2006" customFormat="false" ht="15" hidden="false" customHeight="false" outlineLevel="0" collapsed="false">
      <c r="E2006" s="25"/>
      <c r="M2006" s="26" t="str">
        <f aca="false">IF($A2006="","",$L2006*$U2006/100)</f>
        <v/>
      </c>
      <c r="W2006" s="26" t="str">
        <f aca="false">IF($A2006="","",U2006*AB2006/100)</f>
        <v/>
      </c>
      <c r="X2006" s="26" t="str">
        <f aca="false">IF($A2006="","",U2006-W2006)</f>
        <v/>
      </c>
      <c r="Y2006" s="26" t="str">
        <f aca="false">IF($A2006="","",U2006-W2006-M2006)</f>
        <v/>
      </c>
      <c r="AB2006" s="27" t="str">
        <f aca="false">IF($A2006="","",IF($AK2006=1,'كشف المطالبة'!$D$5,'كشف المطالبة'!$D$6)*100)</f>
        <v/>
      </c>
      <c r="AK2006" s="28" t="str">
        <f aca="false">IF($A2006="","",IF(OR($Q2006=TRUE(),$Q2006="TRUE"),1,0))</f>
        <v/>
      </c>
      <c r="AL2006" s="28" t="str">
        <f aca="false">IF($N2006="","",IF(MATCH($N2006,$N$2:$N$3001,0)=ROWS($N$2:$N2006),$N2006,""))</f>
        <v/>
      </c>
    </row>
    <row r="2007" customFormat="false" ht="15" hidden="false" customHeight="false" outlineLevel="0" collapsed="false">
      <c r="E2007" s="25"/>
      <c r="M2007" s="26" t="str">
        <f aca="false">IF($A2007="","",$L2007*$U2007/100)</f>
        <v/>
      </c>
      <c r="W2007" s="26" t="str">
        <f aca="false">IF($A2007="","",U2007*AB2007/100)</f>
        <v/>
      </c>
      <c r="X2007" s="26" t="str">
        <f aca="false">IF($A2007="","",U2007-W2007)</f>
        <v/>
      </c>
      <c r="Y2007" s="26" t="str">
        <f aca="false">IF($A2007="","",U2007-W2007-M2007)</f>
        <v/>
      </c>
      <c r="AB2007" s="27" t="str">
        <f aca="false">IF($A2007="","",IF($AK2007=1,'كشف المطالبة'!$D$5,'كشف المطالبة'!$D$6)*100)</f>
        <v/>
      </c>
      <c r="AK2007" s="28" t="str">
        <f aca="false">IF($A2007="","",IF(OR($Q2007=TRUE(),$Q2007="TRUE"),1,0))</f>
        <v/>
      </c>
      <c r="AL2007" s="28" t="str">
        <f aca="false">IF($N2007="","",IF(MATCH($N2007,$N$2:$N$3001,0)=ROWS($N$2:$N2007),$N2007,""))</f>
        <v/>
      </c>
    </row>
    <row r="2008" customFormat="false" ht="15" hidden="false" customHeight="false" outlineLevel="0" collapsed="false">
      <c r="E2008" s="25"/>
      <c r="M2008" s="26" t="str">
        <f aca="false">IF($A2008="","",$L2008*$U2008/100)</f>
        <v/>
      </c>
      <c r="W2008" s="26" t="str">
        <f aca="false">IF($A2008="","",U2008*AB2008/100)</f>
        <v/>
      </c>
      <c r="X2008" s="26" t="str">
        <f aca="false">IF($A2008="","",U2008-W2008)</f>
        <v/>
      </c>
      <c r="Y2008" s="26" t="str">
        <f aca="false">IF($A2008="","",U2008-W2008-M2008)</f>
        <v/>
      </c>
      <c r="AB2008" s="27" t="str">
        <f aca="false">IF($A2008="","",IF($AK2008=1,'كشف المطالبة'!$D$5,'كشف المطالبة'!$D$6)*100)</f>
        <v/>
      </c>
      <c r="AK2008" s="28" t="str">
        <f aca="false">IF($A2008="","",IF(OR($Q2008=TRUE(),$Q2008="TRUE"),1,0))</f>
        <v/>
      </c>
      <c r="AL2008" s="28" t="str">
        <f aca="false">IF($N2008="","",IF(MATCH($N2008,$N$2:$N$3001,0)=ROWS($N$2:$N2008),$N2008,""))</f>
        <v/>
      </c>
    </row>
    <row r="2009" customFormat="false" ht="15" hidden="false" customHeight="false" outlineLevel="0" collapsed="false">
      <c r="E2009" s="25"/>
      <c r="M2009" s="26" t="str">
        <f aca="false">IF($A2009="","",$L2009*$U2009/100)</f>
        <v/>
      </c>
      <c r="W2009" s="26" t="str">
        <f aca="false">IF($A2009="","",U2009*AB2009/100)</f>
        <v/>
      </c>
      <c r="X2009" s="26" t="str">
        <f aca="false">IF($A2009="","",U2009-W2009)</f>
        <v/>
      </c>
      <c r="Y2009" s="26" t="str">
        <f aca="false">IF($A2009="","",U2009-W2009-M2009)</f>
        <v/>
      </c>
      <c r="AB2009" s="27" t="str">
        <f aca="false">IF($A2009="","",IF($AK2009=1,'كشف المطالبة'!$D$5,'كشف المطالبة'!$D$6)*100)</f>
        <v/>
      </c>
      <c r="AK2009" s="28" t="str">
        <f aca="false">IF($A2009="","",IF(OR($Q2009=TRUE(),$Q2009="TRUE"),1,0))</f>
        <v/>
      </c>
      <c r="AL2009" s="28" t="str">
        <f aca="false">IF($N2009="","",IF(MATCH($N2009,$N$2:$N$3001,0)=ROWS($N$2:$N2009),$N2009,""))</f>
        <v/>
      </c>
    </row>
    <row r="2010" customFormat="false" ht="15" hidden="false" customHeight="false" outlineLevel="0" collapsed="false">
      <c r="E2010" s="25"/>
      <c r="M2010" s="26" t="str">
        <f aca="false">IF($A2010="","",$L2010*$U2010/100)</f>
        <v/>
      </c>
      <c r="W2010" s="26" t="str">
        <f aca="false">IF($A2010="","",U2010*AB2010/100)</f>
        <v/>
      </c>
      <c r="X2010" s="26" t="str">
        <f aca="false">IF($A2010="","",U2010-W2010)</f>
        <v/>
      </c>
      <c r="Y2010" s="26" t="str">
        <f aca="false">IF($A2010="","",U2010-W2010-M2010)</f>
        <v/>
      </c>
      <c r="AB2010" s="27" t="str">
        <f aca="false">IF($A2010="","",IF($AK2010=1,'كشف المطالبة'!$D$5,'كشف المطالبة'!$D$6)*100)</f>
        <v/>
      </c>
      <c r="AK2010" s="28" t="str">
        <f aca="false">IF($A2010="","",IF(OR($Q2010=TRUE(),$Q2010="TRUE"),1,0))</f>
        <v/>
      </c>
      <c r="AL2010" s="28" t="str">
        <f aca="false">IF($N2010="","",IF(MATCH($N2010,$N$2:$N$3001,0)=ROWS($N$2:$N2010),$N2010,""))</f>
        <v/>
      </c>
    </row>
    <row r="2011" customFormat="false" ht="15" hidden="false" customHeight="false" outlineLevel="0" collapsed="false">
      <c r="E2011" s="25"/>
      <c r="M2011" s="26" t="str">
        <f aca="false">IF($A2011="","",$L2011*$U2011/100)</f>
        <v/>
      </c>
      <c r="W2011" s="26" t="str">
        <f aca="false">IF($A2011="","",U2011*AB2011/100)</f>
        <v/>
      </c>
      <c r="X2011" s="26" t="str">
        <f aca="false">IF($A2011="","",U2011-W2011)</f>
        <v/>
      </c>
      <c r="Y2011" s="26" t="str">
        <f aca="false">IF($A2011="","",U2011-W2011-M2011)</f>
        <v/>
      </c>
      <c r="AB2011" s="27" t="str">
        <f aca="false">IF($A2011="","",IF($AK2011=1,'كشف المطالبة'!$D$5,'كشف المطالبة'!$D$6)*100)</f>
        <v/>
      </c>
      <c r="AK2011" s="28" t="str">
        <f aca="false">IF($A2011="","",IF(OR($Q2011=TRUE(),$Q2011="TRUE"),1,0))</f>
        <v/>
      </c>
      <c r="AL2011" s="28" t="str">
        <f aca="false">IF($N2011="","",IF(MATCH($N2011,$N$2:$N$3001,0)=ROWS($N$2:$N2011),$N2011,""))</f>
        <v/>
      </c>
    </row>
    <row r="2012" customFormat="false" ht="15" hidden="false" customHeight="false" outlineLevel="0" collapsed="false">
      <c r="E2012" s="25"/>
      <c r="M2012" s="26" t="str">
        <f aca="false">IF($A2012="","",$L2012*$U2012/100)</f>
        <v/>
      </c>
      <c r="W2012" s="26" t="str">
        <f aca="false">IF($A2012="","",U2012*AB2012/100)</f>
        <v/>
      </c>
      <c r="X2012" s="26" t="str">
        <f aca="false">IF($A2012="","",U2012-W2012)</f>
        <v/>
      </c>
      <c r="Y2012" s="26" t="str">
        <f aca="false">IF($A2012="","",U2012-W2012-M2012)</f>
        <v/>
      </c>
      <c r="AB2012" s="27" t="str">
        <f aca="false">IF($A2012="","",IF($AK2012=1,'كشف المطالبة'!$D$5,'كشف المطالبة'!$D$6)*100)</f>
        <v/>
      </c>
      <c r="AK2012" s="28" t="str">
        <f aca="false">IF($A2012="","",IF(OR($Q2012=TRUE(),$Q2012="TRUE"),1,0))</f>
        <v/>
      </c>
      <c r="AL2012" s="28" t="str">
        <f aca="false">IF($N2012="","",IF(MATCH($N2012,$N$2:$N$3001,0)=ROWS($N$2:$N2012),$N2012,""))</f>
        <v/>
      </c>
    </row>
    <row r="2013" customFormat="false" ht="15" hidden="false" customHeight="false" outlineLevel="0" collapsed="false">
      <c r="E2013" s="25"/>
      <c r="M2013" s="26" t="str">
        <f aca="false">IF($A2013="","",$L2013*$U2013/100)</f>
        <v/>
      </c>
      <c r="W2013" s="26" t="str">
        <f aca="false">IF($A2013="","",U2013*AB2013/100)</f>
        <v/>
      </c>
      <c r="X2013" s="26" t="str">
        <f aca="false">IF($A2013="","",U2013-W2013)</f>
        <v/>
      </c>
      <c r="Y2013" s="26" t="str">
        <f aca="false">IF($A2013="","",U2013-W2013-M2013)</f>
        <v/>
      </c>
      <c r="AB2013" s="27" t="str">
        <f aca="false">IF($A2013="","",IF($AK2013=1,'كشف المطالبة'!$D$5,'كشف المطالبة'!$D$6)*100)</f>
        <v/>
      </c>
      <c r="AK2013" s="28" t="str">
        <f aca="false">IF($A2013="","",IF(OR($Q2013=TRUE(),$Q2013="TRUE"),1,0))</f>
        <v/>
      </c>
      <c r="AL2013" s="28" t="str">
        <f aca="false">IF($N2013="","",IF(MATCH($N2013,$N$2:$N$3001,0)=ROWS($N$2:$N2013),$N2013,""))</f>
        <v/>
      </c>
    </row>
    <row r="2014" customFormat="false" ht="15" hidden="false" customHeight="false" outlineLevel="0" collapsed="false">
      <c r="E2014" s="25"/>
      <c r="M2014" s="26" t="str">
        <f aca="false">IF($A2014="","",$L2014*$U2014/100)</f>
        <v/>
      </c>
      <c r="W2014" s="26" t="str">
        <f aca="false">IF($A2014="","",U2014*AB2014/100)</f>
        <v/>
      </c>
      <c r="X2014" s="26" t="str">
        <f aca="false">IF($A2014="","",U2014-W2014)</f>
        <v/>
      </c>
      <c r="Y2014" s="26" t="str">
        <f aca="false">IF($A2014="","",U2014-W2014-M2014)</f>
        <v/>
      </c>
      <c r="AB2014" s="27" t="str">
        <f aca="false">IF($A2014="","",IF($AK2014=1,'كشف المطالبة'!$D$5,'كشف المطالبة'!$D$6)*100)</f>
        <v/>
      </c>
      <c r="AK2014" s="28" t="str">
        <f aca="false">IF($A2014="","",IF(OR($Q2014=TRUE(),$Q2014="TRUE"),1,0))</f>
        <v/>
      </c>
      <c r="AL2014" s="28" t="str">
        <f aca="false">IF($N2014="","",IF(MATCH($N2014,$N$2:$N$3001,0)=ROWS($N$2:$N2014),$N2014,""))</f>
        <v/>
      </c>
    </row>
    <row r="2015" customFormat="false" ht="15" hidden="false" customHeight="false" outlineLevel="0" collapsed="false">
      <c r="E2015" s="25"/>
      <c r="M2015" s="26" t="str">
        <f aca="false">IF($A2015="","",$L2015*$U2015/100)</f>
        <v/>
      </c>
      <c r="W2015" s="26" t="str">
        <f aca="false">IF($A2015="","",U2015*AB2015/100)</f>
        <v/>
      </c>
      <c r="X2015" s="26" t="str">
        <f aca="false">IF($A2015="","",U2015-W2015)</f>
        <v/>
      </c>
      <c r="Y2015" s="26" t="str">
        <f aca="false">IF($A2015="","",U2015-W2015-M2015)</f>
        <v/>
      </c>
      <c r="AB2015" s="27" t="str">
        <f aca="false">IF($A2015="","",IF($AK2015=1,'كشف المطالبة'!$D$5,'كشف المطالبة'!$D$6)*100)</f>
        <v/>
      </c>
      <c r="AK2015" s="28" t="str">
        <f aca="false">IF($A2015="","",IF(OR($Q2015=TRUE(),$Q2015="TRUE"),1,0))</f>
        <v/>
      </c>
      <c r="AL2015" s="28" t="str">
        <f aca="false">IF($N2015="","",IF(MATCH($N2015,$N$2:$N$3001,0)=ROWS($N$2:$N2015),$N2015,""))</f>
        <v/>
      </c>
    </row>
    <row r="2016" customFormat="false" ht="15" hidden="false" customHeight="false" outlineLevel="0" collapsed="false">
      <c r="E2016" s="25"/>
      <c r="M2016" s="26" t="str">
        <f aca="false">IF($A2016="","",$L2016*$U2016/100)</f>
        <v/>
      </c>
      <c r="W2016" s="26" t="str">
        <f aca="false">IF($A2016="","",U2016*AB2016/100)</f>
        <v/>
      </c>
      <c r="X2016" s="26" t="str">
        <f aca="false">IF($A2016="","",U2016-W2016)</f>
        <v/>
      </c>
      <c r="Y2016" s="26" t="str">
        <f aca="false">IF($A2016="","",U2016-W2016-M2016)</f>
        <v/>
      </c>
      <c r="AB2016" s="27" t="str">
        <f aca="false">IF($A2016="","",IF($AK2016=1,'كشف المطالبة'!$D$5,'كشف المطالبة'!$D$6)*100)</f>
        <v/>
      </c>
      <c r="AK2016" s="28" t="str">
        <f aca="false">IF($A2016="","",IF(OR($Q2016=TRUE(),$Q2016="TRUE"),1,0))</f>
        <v/>
      </c>
      <c r="AL2016" s="28" t="str">
        <f aca="false">IF($N2016="","",IF(MATCH($N2016,$N$2:$N$3001,0)=ROWS($N$2:$N2016),$N2016,""))</f>
        <v/>
      </c>
    </row>
    <row r="2017" customFormat="false" ht="15" hidden="false" customHeight="false" outlineLevel="0" collapsed="false">
      <c r="E2017" s="25"/>
      <c r="M2017" s="26" t="str">
        <f aca="false">IF($A2017="","",$L2017*$U2017/100)</f>
        <v/>
      </c>
      <c r="W2017" s="26" t="str">
        <f aca="false">IF($A2017="","",U2017*AB2017/100)</f>
        <v/>
      </c>
      <c r="X2017" s="26" t="str">
        <f aca="false">IF($A2017="","",U2017-W2017)</f>
        <v/>
      </c>
      <c r="Y2017" s="26" t="str">
        <f aca="false">IF($A2017="","",U2017-W2017-M2017)</f>
        <v/>
      </c>
      <c r="AB2017" s="27" t="str">
        <f aca="false">IF($A2017="","",IF($AK2017=1,'كشف المطالبة'!$D$5,'كشف المطالبة'!$D$6)*100)</f>
        <v/>
      </c>
      <c r="AK2017" s="28" t="str">
        <f aca="false">IF($A2017="","",IF(OR($Q2017=TRUE(),$Q2017="TRUE"),1,0))</f>
        <v/>
      </c>
      <c r="AL2017" s="28" t="str">
        <f aca="false">IF($N2017="","",IF(MATCH($N2017,$N$2:$N$3001,0)=ROWS($N$2:$N2017),$N2017,""))</f>
        <v/>
      </c>
    </row>
    <row r="2018" customFormat="false" ht="15" hidden="false" customHeight="false" outlineLevel="0" collapsed="false">
      <c r="E2018" s="25"/>
      <c r="M2018" s="26" t="str">
        <f aca="false">IF($A2018="","",$L2018*$U2018/100)</f>
        <v/>
      </c>
      <c r="W2018" s="26" t="str">
        <f aca="false">IF($A2018="","",U2018*AB2018/100)</f>
        <v/>
      </c>
      <c r="X2018" s="26" t="str">
        <f aca="false">IF($A2018="","",U2018-W2018)</f>
        <v/>
      </c>
      <c r="Y2018" s="26" t="str">
        <f aca="false">IF($A2018="","",U2018-W2018-M2018)</f>
        <v/>
      </c>
      <c r="AB2018" s="27" t="str">
        <f aca="false">IF($A2018="","",IF($AK2018=1,'كشف المطالبة'!$D$5,'كشف المطالبة'!$D$6)*100)</f>
        <v/>
      </c>
      <c r="AK2018" s="28" t="str">
        <f aca="false">IF($A2018="","",IF(OR($Q2018=TRUE(),$Q2018="TRUE"),1,0))</f>
        <v/>
      </c>
      <c r="AL2018" s="28" t="str">
        <f aca="false">IF($N2018="","",IF(MATCH($N2018,$N$2:$N$3001,0)=ROWS($N$2:$N2018),$N2018,""))</f>
        <v/>
      </c>
    </row>
    <row r="2019" customFormat="false" ht="15" hidden="false" customHeight="false" outlineLevel="0" collapsed="false">
      <c r="E2019" s="25"/>
      <c r="M2019" s="26" t="str">
        <f aca="false">IF($A2019="","",$L2019*$U2019/100)</f>
        <v/>
      </c>
      <c r="W2019" s="26" t="str">
        <f aca="false">IF($A2019="","",U2019*AB2019/100)</f>
        <v/>
      </c>
      <c r="X2019" s="26" t="str">
        <f aca="false">IF($A2019="","",U2019-W2019)</f>
        <v/>
      </c>
      <c r="Y2019" s="26" t="str">
        <f aca="false">IF($A2019="","",U2019-W2019-M2019)</f>
        <v/>
      </c>
      <c r="AB2019" s="27" t="str">
        <f aca="false">IF($A2019="","",IF($AK2019=1,'كشف المطالبة'!$D$5,'كشف المطالبة'!$D$6)*100)</f>
        <v/>
      </c>
      <c r="AK2019" s="28" t="str">
        <f aca="false">IF($A2019="","",IF(OR($Q2019=TRUE(),$Q2019="TRUE"),1,0))</f>
        <v/>
      </c>
      <c r="AL2019" s="28" t="str">
        <f aca="false">IF($N2019="","",IF(MATCH($N2019,$N$2:$N$3001,0)=ROWS($N$2:$N2019),$N2019,""))</f>
        <v/>
      </c>
    </row>
    <row r="2020" customFormat="false" ht="15" hidden="false" customHeight="false" outlineLevel="0" collapsed="false">
      <c r="E2020" s="25"/>
      <c r="M2020" s="26" t="str">
        <f aca="false">IF($A2020="","",$L2020*$U2020/100)</f>
        <v/>
      </c>
      <c r="W2020" s="26" t="str">
        <f aca="false">IF($A2020="","",U2020*AB2020/100)</f>
        <v/>
      </c>
      <c r="X2020" s="26" t="str">
        <f aca="false">IF($A2020="","",U2020-W2020)</f>
        <v/>
      </c>
      <c r="Y2020" s="26" t="str">
        <f aca="false">IF($A2020="","",U2020-W2020-M2020)</f>
        <v/>
      </c>
      <c r="AB2020" s="27" t="str">
        <f aca="false">IF($A2020="","",IF($AK2020=1,'كشف المطالبة'!$D$5,'كشف المطالبة'!$D$6)*100)</f>
        <v/>
      </c>
      <c r="AK2020" s="28" t="str">
        <f aca="false">IF($A2020="","",IF(OR($Q2020=TRUE(),$Q2020="TRUE"),1,0))</f>
        <v/>
      </c>
      <c r="AL2020" s="28" t="str">
        <f aca="false">IF($N2020="","",IF(MATCH($N2020,$N$2:$N$3001,0)=ROWS($N$2:$N2020),$N2020,""))</f>
        <v/>
      </c>
    </row>
    <row r="2021" customFormat="false" ht="15" hidden="false" customHeight="false" outlineLevel="0" collapsed="false">
      <c r="E2021" s="25"/>
      <c r="M2021" s="26" t="str">
        <f aca="false">IF($A2021="","",$L2021*$U2021/100)</f>
        <v/>
      </c>
      <c r="W2021" s="26" t="str">
        <f aca="false">IF($A2021="","",U2021*AB2021/100)</f>
        <v/>
      </c>
      <c r="X2021" s="26" t="str">
        <f aca="false">IF($A2021="","",U2021-W2021)</f>
        <v/>
      </c>
      <c r="Y2021" s="26" t="str">
        <f aca="false">IF($A2021="","",U2021-W2021-M2021)</f>
        <v/>
      </c>
      <c r="AB2021" s="27" t="str">
        <f aca="false">IF($A2021="","",IF($AK2021=1,'كشف المطالبة'!$D$5,'كشف المطالبة'!$D$6)*100)</f>
        <v/>
      </c>
      <c r="AK2021" s="28" t="str">
        <f aca="false">IF($A2021="","",IF(OR($Q2021=TRUE(),$Q2021="TRUE"),1,0))</f>
        <v/>
      </c>
      <c r="AL2021" s="28" t="str">
        <f aca="false">IF($N2021="","",IF(MATCH($N2021,$N$2:$N$3001,0)=ROWS($N$2:$N2021),$N2021,""))</f>
        <v/>
      </c>
    </row>
    <row r="2022" customFormat="false" ht="15" hidden="false" customHeight="false" outlineLevel="0" collapsed="false">
      <c r="E2022" s="25"/>
      <c r="M2022" s="26" t="str">
        <f aca="false">IF($A2022="","",$L2022*$U2022/100)</f>
        <v/>
      </c>
      <c r="W2022" s="26" t="str">
        <f aca="false">IF($A2022="","",U2022*AB2022/100)</f>
        <v/>
      </c>
      <c r="X2022" s="26" t="str">
        <f aca="false">IF($A2022="","",U2022-W2022)</f>
        <v/>
      </c>
      <c r="Y2022" s="26" t="str">
        <f aca="false">IF($A2022="","",U2022-W2022-M2022)</f>
        <v/>
      </c>
      <c r="AB2022" s="27" t="str">
        <f aca="false">IF($A2022="","",IF($AK2022=1,'كشف المطالبة'!$D$5,'كشف المطالبة'!$D$6)*100)</f>
        <v/>
      </c>
      <c r="AK2022" s="28" t="str">
        <f aca="false">IF($A2022="","",IF(OR($Q2022=TRUE(),$Q2022="TRUE"),1,0))</f>
        <v/>
      </c>
      <c r="AL2022" s="28" t="str">
        <f aca="false">IF($N2022="","",IF(MATCH($N2022,$N$2:$N$3001,0)=ROWS($N$2:$N2022),$N2022,""))</f>
        <v/>
      </c>
    </row>
    <row r="2023" customFormat="false" ht="15" hidden="false" customHeight="false" outlineLevel="0" collapsed="false">
      <c r="E2023" s="25"/>
      <c r="M2023" s="26" t="str">
        <f aca="false">IF($A2023="","",$L2023*$U2023/100)</f>
        <v/>
      </c>
      <c r="W2023" s="26" t="str">
        <f aca="false">IF($A2023="","",U2023*AB2023/100)</f>
        <v/>
      </c>
      <c r="X2023" s="26" t="str">
        <f aca="false">IF($A2023="","",U2023-W2023)</f>
        <v/>
      </c>
      <c r="Y2023" s="26" t="str">
        <f aca="false">IF($A2023="","",U2023-W2023-M2023)</f>
        <v/>
      </c>
      <c r="AB2023" s="27" t="str">
        <f aca="false">IF($A2023="","",IF($AK2023=1,'كشف المطالبة'!$D$5,'كشف المطالبة'!$D$6)*100)</f>
        <v/>
      </c>
      <c r="AK2023" s="28" t="str">
        <f aca="false">IF($A2023="","",IF(OR($Q2023=TRUE(),$Q2023="TRUE"),1,0))</f>
        <v/>
      </c>
      <c r="AL2023" s="28" t="str">
        <f aca="false">IF($N2023="","",IF(MATCH($N2023,$N$2:$N$3001,0)=ROWS($N$2:$N2023),$N2023,""))</f>
        <v/>
      </c>
    </row>
    <row r="2024" customFormat="false" ht="15" hidden="false" customHeight="false" outlineLevel="0" collapsed="false">
      <c r="E2024" s="25"/>
      <c r="M2024" s="26" t="str">
        <f aca="false">IF($A2024="","",$L2024*$U2024/100)</f>
        <v/>
      </c>
      <c r="W2024" s="26" t="str">
        <f aca="false">IF($A2024="","",U2024*AB2024/100)</f>
        <v/>
      </c>
      <c r="X2024" s="26" t="str">
        <f aca="false">IF($A2024="","",U2024-W2024)</f>
        <v/>
      </c>
      <c r="Y2024" s="26" t="str">
        <f aca="false">IF($A2024="","",U2024-W2024-M2024)</f>
        <v/>
      </c>
      <c r="AB2024" s="27" t="str">
        <f aca="false">IF($A2024="","",IF($AK2024=1,'كشف المطالبة'!$D$5,'كشف المطالبة'!$D$6)*100)</f>
        <v/>
      </c>
      <c r="AK2024" s="28" t="str">
        <f aca="false">IF($A2024="","",IF(OR($Q2024=TRUE(),$Q2024="TRUE"),1,0))</f>
        <v/>
      </c>
      <c r="AL2024" s="28" t="str">
        <f aca="false">IF($N2024="","",IF(MATCH($N2024,$N$2:$N$3001,0)=ROWS($N$2:$N2024),$N2024,""))</f>
        <v/>
      </c>
    </row>
    <row r="2025" customFormat="false" ht="15" hidden="false" customHeight="false" outlineLevel="0" collapsed="false">
      <c r="E2025" s="25"/>
      <c r="M2025" s="26" t="str">
        <f aca="false">IF($A2025="","",$L2025*$U2025/100)</f>
        <v/>
      </c>
      <c r="W2025" s="26" t="str">
        <f aca="false">IF($A2025="","",U2025*AB2025/100)</f>
        <v/>
      </c>
      <c r="X2025" s="26" t="str">
        <f aca="false">IF($A2025="","",U2025-W2025)</f>
        <v/>
      </c>
      <c r="Y2025" s="26" t="str">
        <f aca="false">IF($A2025="","",U2025-W2025-M2025)</f>
        <v/>
      </c>
      <c r="AB2025" s="27" t="str">
        <f aca="false">IF($A2025="","",IF($AK2025=1,'كشف المطالبة'!$D$5,'كشف المطالبة'!$D$6)*100)</f>
        <v/>
      </c>
      <c r="AK2025" s="28" t="str">
        <f aca="false">IF($A2025="","",IF(OR($Q2025=TRUE(),$Q2025="TRUE"),1,0))</f>
        <v/>
      </c>
      <c r="AL2025" s="28" t="str">
        <f aca="false">IF($N2025="","",IF(MATCH($N2025,$N$2:$N$3001,0)=ROWS($N$2:$N2025),$N2025,""))</f>
        <v/>
      </c>
    </row>
    <row r="2026" customFormat="false" ht="15" hidden="false" customHeight="false" outlineLevel="0" collapsed="false">
      <c r="E2026" s="25"/>
      <c r="M2026" s="26" t="str">
        <f aca="false">IF($A2026="","",$L2026*$U2026/100)</f>
        <v/>
      </c>
      <c r="W2026" s="26" t="str">
        <f aca="false">IF($A2026="","",U2026*AB2026/100)</f>
        <v/>
      </c>
      <c r="X2026" s="26" t="str">
        <f aca="false">IF($A2026="","",U2026-W2026)</f>
        <v/>
      </c>
      <c r="Y2026" s="26" t="str">
        <f aca="false">IF($A2026="","",U2026-W2026-M2026)</f>
        <v/>
      </c>
      <c r="AB2026" s="27" t="str">
        <f aca="false">IF($A2026="","",IF($AK2026=1,'كشف المطالبة'!$D$5,'كشف المطالبة'!$D$6)*100)</f>
        <v/>
      </c>
      <c r="AK2026" s="28" t="str">
        <f aca="false">IF($A2026="","",IF(OR($Q2026=TRUE(),$Q2026="TRUE"),1,0))</f>
        <v/>
      </c>
      <c r="AL2026" s="28" t="str">
        <f aca="false">IF($N2026="","",IF(MATCH($N2026,$N$2:$N$3001,0)=ROWS($N$2:$N2026),$N2026,""))</f>
        <v/>
      </c>
    </row>
    <row r="2027" customFormat="false" ht="15" hidden="false" customHeight="false" outlineLevel="0" collapsed="false">
      <c r="E2027" s="25"/>
      <c r="M2027" s="26" t="str">
        <f aca="false">IF($A2027="","",$L2027*$U2027/100)</f>
        <v/>
      </c>
      <c r="W2027" s="26" t="str">
        <f aca="false">IF($A2027="","",U2027*AB2027/100)</f>
        <v/>
      </c>
      <c r="X2027" s="26" t="str">
        <f aca="false">IF($A2027="","",U2027-W2027)</f>
        <v/>
      </c>
      <c r="Y2027" s="26" t="str">
        <f aca="false">IF($A2027="","",U2027-W2027-M2027)</f>
        <v/>
      </c>
      <c r="AB2027" s="27" t="str">
        <f aca="false">IF($A2027="","",IF($AK2027=1,'كشف المطالبة'!$D$5,'كشف المطالبة'!$D$6)*100)</f>
        <v/>
      </c>
      <c r="AK2027" s="28" t="str">
        <f aca="false">IF($A2027="","",IF(OR($Q2027=TRUE(),$Q2027="TRUE"),1,0))</f>
        <v/>
      </c>
      <c r="AL2027" s="28" t="str">
        <f aca="false">IF($N2027="","",IF(MATCH($N2027,$N$2:$N$3001,0)=ROWS($N$2:$N2027),$N2027,""))</f>
        <v/>
      </c>
    </row>
    <row r="2028" customFormat="false" ht="15" hidden="false" customHeight="false" outlineLevel="0" collapsed="false">
      <c r="E2028" s="25"/>
      <c r="M2028" s="26" t="str">
        <f aca="false">IF($A2028="","",$L2028*$U2028/100)</f>
        <v/>
      </c>
      <c r="W2028" s="26" t="str">
        <f aca="false">IF($A2028="","",U2028*AB2028/100)</f>
        <v/>
      </c>
      <c r="X2028" s="26" t="str">
        <f aca="false">IF($A2028="","",U2028-W2028)</f>
        <v/>
      </c>
      <c r="Y2028" s="26" t="str">
        <f aca="false">IF($A2028="","",U2028-W2028-M2028)</f>
        <v/>
      </c>
      <c r="AB2028" s="27" t="str">
        <f aca="false">IF($A2028="","",IF($AK2028=1,'كشف المطالبة'!$D$5,'كشف المطالبة'!$D$6)*100)</f>
        <v/>
      </c>
      <c r="AK2028" s="28" t="str">
        <f aca="false">IF($A2028="","",IF(OR($Q2028=TRUE(),$Q2028="TRUE"),1,0))</f>
        <v/>
      </c>
      <c r="AL2028" s="28" t="str">
        <f aca="false">IF($N2028="","",IF(MATCH($N2028,$N$2:$N$3001,0)=ROWS($N$2:$N2028),$N2028,""))</f>
        <v/>
      </c>
    </row>
    <row r="2029" customFormat="false" ht="15" hidden="false" customHeight="false" outlineLevel="0" collapsed="false">
      <c r="E2029" s="25"/>
      <c r="M2029" s="26" t="str">
        <f aca="false">IF($A2029="","",$L2029*$U2029/100)</f>
        <v/>
      </c>
      <c r="W2029" s="26" t="str">
        <f aca="false">IF($A2029="","",U2029*AB2029/100)</f>
        <v/>
      </c>
      <c r="X2029" s="26" t="str">
        <f aca="false">IF($A2029="","",U2029-W2029)</f>
        <v/>
      </c>
      <c r="Y2029" s="26" t="str">
        <f aca="false">IF($A2029="","",U2029-W2029-M2029)</f>
        <v/>
      </c>
      <c r="AB2029" s="27" t="str">
        <f aca="false">IF($A2029="","",IF($AK2029=1,'كشف المطالبة'!$D$5,'كشف المطالبة'!$D$6)*100)</f>
        <v/>
      </c>
      <c r="AK2029" s="28" t="str">
        <f aca="false">IF($A2029="","",IF(OR($Q2029=TRUE(),$Q2029="TRUE"),1,0))</f>
        <v/>
      </c>
      <c r="AL2029" s="28" t="str">
        <f aca="false">IF($N2029="","",IF(MATCH($N2029,$N$2:$N$3001,0)=ROWS($N$2:$N2029),$N2029,""))</f>
        <v/>
      </c>
    </row>
    <row r="2030" customFormat="false" ht="15" hidden="false" customHeight="false" outlineLevel="0" collapsed="false">
      <c r="E2030" s="25"/>
      <c r="M2030" s="26" t="str">
        <f aca="false">IF($A2030="","",$L2030*$U2030/100)</f>
        <v/>
      </c>
      <c r="W2030" s="26" t="str">
        <f aca="false">IF($A2030="","",U2030*AB2030/100)</f>
        <v/>
      </c>
      <c r="X2030" s="26" t="str">
        <f aca="false">IF($A2030="","",U2030-W2030)</f>
        <v/>
      </c>
      <c r="Y2030" s="26" t="str">
        <f aca="false">IF($A2030="","",U2030-W2030-M2030)</f>
        <v/>
      </c>
      <c r="AB2030" s="27" t="str">
        <f aca="false">IF($A2030="","",IF($AK2030=1,'كشف المطالبة'!$D$5,'كشف المطالبة'!$D$6)*100)</f>
        <v/>
      </c>
      <c r="AK2030" s="28" t="str">
        <f aca="false">IF($A2030="","",IF(OR($Q2030=TRUE(),$Q2030="TRUE"),1,0))</f>
        <v/>
      </c>
      <c r="AL2030" s="28" t="str">
        <f aca="false">IF($N2030="","",IF(MATCH($N2030,$N$2:$N$3001,0)=ROWS($N$2:$N2030),$N2030,""))</f>
        <v/>
      </c>
    </row>
    <row r="2031" customFormat="false" ht="15" hidden="false" customHeight="false" outlineLevel="0" collapsed="false">
      <c r="E2031" s="25"/>
      <c r="M2031" s="26" t="str">
        <f aca="false">IF($A2031="","",$L2031*$U2031/100)</f>
        <v/>
      </c>
      <c r="W2031" s="26" t="str">
        <f aca="false">IF($A2031="","",U2031*AB2031/100)</f>
        <v/>
      </c>
      <c r="X2031" s="26" t="str">
        <f aca="false">IF($A2031="","",U2031-W2031)</f>
        <v/>
      </c>
      <c r="Y2031" s="26" t="str">
        <f aca="false">IF($A2031="","",U2031-W2031-M2031)</f>
        <v/>
      </c>
      <c r="AB2031" s="27" t="str">
        <f aca="false">IF($A2031="","",IF($AK2031=1,'كشف المطالبة'!$D$5,'كشف المطالبة'!$D$6)*100)</f>
        <v/>
      </c>
      <c r="AK2031" s="28" t="str">
        <f aca="false">IF($A2031="","",IF(OR($Q2031=TRUE(),$Q2031="TRUE"),1,0))</f>
        <v/>
      </c>
      <c r="AL2031" s="28" t="str">
        <f aca="false">IF($N2031="","",IF(MATCH($N2031,$N$2:$N$3001,0)=ROWS($N$2:$N2031),$N2031,""))</f>
        <v/>
      </c>
    </row>
    <row r="2032" customFormat="false" ht="15" hidden="false" customHeight="false" outlineLevel="0" collapsed="false">
      <c r="E2032" s="25"/>
      <c r="M2032" s="26" t="str">
        <f aca="false">IF($A2032="","",$L2032*$U2032/100)</f>
        <v/>
      </c>
      <c r="W2032" s="26" t="str">
        <f aca="false">IF($A2032="","",U2032*AB2032/100)</f>
        <v/>
      </c>
      <c r="X2032" s="26" t="str">
        <f aca="false">IF($A2032="","",U2032-W2032)</f>
        <v/>
      </c>
      <c r="Y2032" s="26" t="str">
        <f aca="false">IF($A2032="","",U2032-W2032-M2032)</f>
        <v/>
      </c>
      <c r="AB2032" s="27" t="str">
        <f aca="false">IF($A2032="","",IF($AK2032=1,'كشف المطالبة'!$D$5,'كشف المطالبة'!$D$6)*100)</f>
        <v/>
      </c>
      <c r="AK2032" s="28" t="str">
        <f aca="false">IF($A2032="","",IF(OR($Q2032=TRUE(),$Q2032="TRUE"),1,0))</f>
        <v/>
      </c>
      <c r="AL2032" s="28" t="str">
        <f aca="false">IF($N2032="","",IF(MATCH($N2032,$N$2:$N$3001,0)=ROWS($N$2:$N2032),$N2032,""))</f>
        <v/>
      </c>
    </row>
    <row r="2033" customFormat="false" ht="15" hidden="false" customHeight="false" outlineLevel="0" collapsed="false">
      <c r="E2033" s="25"/>
      <c r="M2033" s="26" t="str">
        <f aca="false">IF($A2033="","",$L2033*$U2033/100)</f>
        <v/>
      </c>
      <c r="W2033" s="26" t="str">
        <f aca="false">IF($A2033="","",U2033*AB2033/100)</f>
        <v/>
      </c>
      <c r="X2033" s="26" t="str">
        <f aca="false">IF($A2033="","",U2033-W2033)</f>
        <v/>
      </c>
      <c r="Y2033" s="26" t="str">
        <f aca="false">IF($A2033="","",U2033-W2033-M2033)</f>
        <v/>
      </c>
      <c r="AB2033" s="27" t="str">
        <f aca="false">IF($A2033="","",IF($AK2033=1,'كشف المطالبة'!$D$5,'كشف المطالبة'!$D$6)*100)</f>
        <v/>
      </c>
      <c r="AK2033" s="28" t="str">
        <f aca="false">IF($A2033="","",IF(OR($Q2033=TRUE(),$Q2033="TRUE"),1,0))</f>
        <v/>
      </c>
      <c r="AL2033" s="28" t="str">
        <f aca="false">IF($N2033="","",IF(MATCH($N2033,$N$2:$N$3001,0)=ROWS($N$2:$N2033),$N2033,""))</f>
        <v/>
      </c>
    </row>
    <row r="2034" customFormat="false" ht="15" hidden="false" customHeight="false" outlineLevel="0" collapsed="false">
      <c r="E2034" s="25"/>
      <c r="M2034" s="26" t="str">
        <f aca="false">IF($A2034="","",$L2034*$U2034/100)</f>
        <v/>
      </c>
      <c r="W2034" s="26" t="str">
        <f aca="false">IF($A2034="","",U2034*AB2034/100)</f>
        <v/>
      </c>
      <c r="X2034" s="26" t="str">
        <f aca="false">IF($A2034="","",U2034-W2034)</f>
        <v/>
      </c>
      <c r="Y2034" s="26" t="str">
        <f aca="false">IF($A2034="","",U2034-W2034-M2034)</f>
        <v/>
      </c>
      <c r="AB2034" s="27" t="str">
        <f aca="false">IF($A2034="","",IF($AK2034=1,'كشف المطالبة'!$D$5,'كشف المطالبة'!$D$6)*100)</f>
        <v/>
      </c>
      <c r="AK2034" s="28" t="str">
        <f aca="false">IF($A2034="","",IF(OR($Q2034=TRUE(),$Q2034="TRUE"),1,0))</f>
        <v/>
      </c>
      <c r="AL2034" s="28" t="str">
        <f aca="false">IF($N2034="","",IF(MATCH($N2034,$N$2:$N$3001,0)=ROWS($N$2:$N2034),$N2034,""))</f>
        <v/>
      </c>
    </row>
    <row r="2035" customFormat="false" ht="15" hidden="false" customHeight="false" outlineLevel="0" collapsed="false">
      <c r="E2035" s="25"/>
      <c r="M2035" s="26" t="str">
        <f aca="false">IF($A2035="","",$L2035*$U2035/100)</f>
        <v/>
      </c>
      <c r="W2035" s="26" t="str">
        <f aca="false">IF($A2035="","",U2035*AB2035/100)</f>
        <v/>
      </c>
      <c r="X2035" s="26" t="str">
        <f aca="false">IF($A2035="","",U2035-W2035)</f>
        <v/>
      </c>
      <c r="Y2035" s="26" t="str">
        <f aca="false">IF($A2035="","",U2035-W2035-M2035)</f>
        <v/>
      </c>
      <c r="AB2035" s="27" t="str">
        <f aca="false">IF($A2035="","",IF($AK2035=1,'كشف المطالبة'!$D$5,'كشف المطالبة'!$D$6)*100)</f>
        <v/>
      </c>
      <c r="AK2035" s="28" t="str">
        <f aca="false">IF($A2035="","",IF(OR($Q2035=TRUE(),$Q2035="TRUE"),1,0))</f>
        <v/>
      </c>
      <c r="AL2035" s="28" t="str">
        <f aca="false">IF($N2035="","",IF(MATCH($N2035,$N$2:$N$3001,0)=ROWS($N$2:$N2035),$N2035,""))</f>
        <v/>
      </c>
    </row>
    <row r="2036" customFormat="false" ht="15" hidden="false" customHeight="false" outlineLevel="0" collapsed="false">
      <c r="E2036" s="25"/>
      <c r="M2036" s="26" t="str">
        <f aca="false">IF($A2036="","",$L2036*$U2036/100)</f>
        <v/>
      </c>
      <c r="W2036" s="26" t="str">
        <f aca="false">IF($A2036="","",U2036*AB2036/100)</f>
        <v/>
      </c>
      <c r="X2036" s="26" t="str">
        <f aca="false">IF($A2036="","",U2036-W2036)</f>
        <v/>
      </c>
      <c r="Y2036" s="26" t="str">
        <f aca="false">IF($A2036="","",U2036-W2036-M2036)</f>
        <v/>
      </c>
      <c r="AB2036" s="27" t="str">
        <f aca="false">IF($A2036="","",IF($AK2036=1,'كشف المطالبة'!$D$5,'كشف المطالبة'!$D$6)*100)</f>
        <v/>
      </c>
      <c r="AK2036" s="28" t="str">
        <f aca="false">IF($A2036="","",IF(OR($Q2036=TRUE(),$Q2036="TRUE"),1,0))</f>
        <v/>
      </c>
      <c r="AL2036" s="28" t="str">
        <f aca="false">IF($N2036="","",IF(MATCH($N2036,$N$2:$N$3001,0)=ROWS($N$2:$N2036),$N2036,""))</f>
        <v/>
      </c>
    </row>
    <row r="2037" customFormat="false" ht="15" hidden="false" customHeight="false" outlineLevel="0" collapsed="false">
      <c r="E2037" s="25"/>
      <c r="M2037" s="26" t="str">
        <f aca="false">IF($A2037="","",$L2037*$U2037/100)</f>
        <v/>
      </c>
      <c r="W2037" s="26" t="str">
        <f aca="false">IF($A2037="","",U2037*AB2037/100)</f>
        <v/>
      </c>
      <c r="X2037" s="26" t="str">
        <f aca="false">IF($A2037="","",U2037-W2037)</f>
        <v/>
      </c>
      <c r="Y2037" s="26" t="str">
        <f aca="false">IF($A2037="","",U2037-W2037-M2037)</f>
        <v/>
      </c>
      <c r="AB2037" s="27" t="str">
        <f aca="false">IF($A2037="","",IF($AK2037=1,'كشف المطالبة'!$D$5,'كشف المطالبة'!$D$6)*100)</f>
        <v/>
      </c>
      <c r="AK2037" s="28" t="str">
        <f aca="false">IF($A2037="","",IF(OR($Q2037=TRUE(),$Q2037="TRUE"),1,0))</f>
        <v/>
      </c>
      <c r="AL2037" s="28" t="str">
        <f aca="false">IF($N2037="","",IF(MATCH($N2037,$N$2:$N$3001,0)=ROWS($N$2:$N2037),$N2037,""))</f>
        <v/>
      </c>
    </row>
    <row r="2038" customFormat="false" ht="15" hidden="false" customHeight="false" outlineLevel="0" collapsed="false">
      <c r="E2038" s="25"/>
      <c r="M2038" s="26" t="str">
        <f aca="false">IF($A2038="","",$L2038*$U2038/100)</f>
        <v/>
      </c>
      <c r="W2038" s="26" t="str">
        <f aca="false">IF($A2038="","",U2038*AB2038/100)</f>
        <v/>
      </c>
      <c r="X2038" s="26" t="str">
        <f aca="false">IF($A2038="","",U2038-W2038)</f>
        <v/>
      </c>
      <c r="Y2038" s="26" t="str">
        <f aca="false">IF($A2038="","",U2038-W2038-M2038)</f>
        <v/>
      </c>
      <c r="AB2038" s="27" t="str">
        <f aca="false">IF($A2038="","",IF($AK2038=1,'كشف المطالبة'!$D$5,'كشف المطالبة'!$D$6)*100)</f>
        <v/>
      </c>
      <c r="AK2038" s="28" t="str">
        <f aca="false">IF($A2038="","",IF(OR($Q2038=TRUE(),$Q2038="TRUE"),1,0))</f>
        <v/>
      </c>
      <c r="AL2038" s="28" t="str">
        <f aca="false">IF($N2038="","",IF(MATCH($N2038,$N$2:$N$3001,0)=ROWS($N$2:$N2038),$N2038,""))</f>
        <v/>
      </c>
    </row>
    <row r="2039" customFormat="false" ht="15" hidden="false" customHeight="false" outlineLevel="0" collapsed="false">
      <c r="E2039" s="25"/>
      <c r="M2039" s="26" t="str">
        <f aca="false">IF($A2039="","",$L2039*$U2039/100)</f>
        <v/>
      </c>
      <c r="W2039" s="26" t="str">
        <f aca="false">IF($A2039="","",U2039*AB2039/100)</f>
        <v/>
      </c>
      <c r="X2039" s="26" t="str">
        <f aca="false">IF($A2039="","",U2039-W2039)</f>
        <v/>
      </c>
      <c r="Y2039" s="26" t="str">
        <f aca="false">IF($A2039="","",U2039-W2039-M2039)</f>
        <v/>
      </c>
      <c r="AB2039" s="27" t="str">
        <f aca="false">IF($A2039="","",IF($AK2039=1,'كشف المطالبة'!$D$5,'كشف المطالبة'!$D$6)*100)</f>
        <v/>
      </c>
      <c r="AK2039" s="28" t="str">
        <f aca="false">IF($A2039="","",IF(OR($Q2039=TRUE(),$Q2039="TRUE"),1,0))</f>
        <v/>
      </c>
      <c r="AL2039" s="28" t="str">
        <f aca="false">IF($N2039="","",IF(MATCH($N2039,$N$2:$N$3001,0)=ROWS($N$2:$N2039),$N2039,""))</f>
        <v/>
      </c>
    </row>
    <row r="2040" customFormat="false" ht="15" hidden="false" customHeight="false" outlineLevel="0" collapsed="false">
      <c r="E2040" s="25"/>
      <c r="M2040" s="26" t="str">
        <f aca="false">IF($A2040="","",$L2040*$U2040/100)</f>
        <v/>
      </c>
      <c r="W2040" s="26" t="str">
        <f aca="false">IF($A2040="","",U2040*AB2040/100)</f>
        <v/>
      </c>
      <c r="X2040" s="26" t="str">
        <f aca="false">IF($A2040="","",U2040-W2040)</f>
        <v/>
      </c>
      <c r="Y2040" s="26" t="str">
        <f aca="false">IF($A2040="","",U2040-W2040-M2040)</f>
        <v/>
      </c>
      <c r="AB2040" s="27" t="str">
        <f aca="false">IF($A2040="","",IF($AK2040=1,'كشف المطالبة'!$D$5,'كشف المطالبة'!$D$6)*100)</f>
        <v/>
      </c>
      <c r="AK2040" s="28" t="str">
        <f aca="false">IF($A2040="","",IF(OR($Q2040=TRUE(),$Q2040="TRUE"),1,0))</f>
        <v/>
      </c>
      <c r="AL2040" s="28" t="str">
        <f aca="false">IF($N2040="","",IF(MATCH($N2040,$N$2:$N$3001,0)=ROWS($N$2:$N2040),$N2040,""))</f>
        <v/>
      </c>
    </row>
    <row r="2041" customFormat="false" ht="15" hidden="false" customHeight="false" outlineLevel="0" collapsed="false">
      <c r="E2041" s="25"/>
      <c r="M2041" s="26" t="str">
        <f aca="false">IF($A2041="","",$L2041*$U2041/100)</f>
        <v/>
      </c>
      <c r="W2041" s="26" t="str">
        <f aca="false">IF($A2041="","",U2041*AB2041/100)</f>
        <v/>
      </c>
      <c r="X2041" s="26" t="str">
        <f aca="false">IF($A2041="","",U2041-W2041)</f>
        <v/>
      </c>
      <c r="Y2041" s="26" t="str">
        <f aca="false">IF($A2041="","",U2041-W2041-M2041)</f>
        <v/>
      </c>
      <c r="AB2041" s="27" t="str">
        <f aca="false">IF($A2041="","",IF($AK2041=1,'كشف المطالبة'!$D$5,'كشف المطالبة'!$D$6)*100)</f>
        <v/>
      </c>
      <c r="AK2041" s="28" t="str">
        <f aca="false">IF($A2041="","",IF(OR($Q2041=TRUE(),$Q2041="TRUE"),1,0))</f>
        <v/>
      </c>
      <c r="AL2041" s="28" t="str">
        <f aca="false">IF($N2041="","",IF(MATCH($N2041,$N$2:$N$3001,0)=ROWS($N$2:$N2041),$N2041,""))</f>
        <v/>
      </c>
    </row>
    <row r="2042" customFormat="false" ht="15" hidden="false" customHeight="false" outlineLevel="0" collapsed="false">
      <c r="E2042" s="25"/>
      <c r="M2042" s="26" t="str">
        <f aca="false">IF($A2042="","",$L2042*$U2042/100)</f>
        <v/>
      </c>
      <c r="W2042" s="26" t="str">
        <f aca="false">IF($A2042="","",U2042*AB2042/100)</f>
        <v/>
      </c>
      <c r="X2042" s="26" t="str">
        <f aca="false">IF($A2042="","",U2042-W2042)</f>
        <v/>
      </c>
      <c r="Y2042" s="26" t="str">
        <f aca="false">IF($A2042="","",U2042-W2042-M2042)</f>
        <v/>
      </c>
      <c r="AB2042" s="27" t="str">
        <f aca="false">IF($A2042="","",IF($AK2042=1,'كشف المطالبة'!$D$5,'كشف المطالبة'!$D$6)*100)</f>
        <v/>
      </c>
      <c r="AK2042" s="28" t="str">
        <f aca="false">IF($A2042="","",IF(OR($Q2042=TRUE(),$Q2042="TRUE"),1,0))</f>
        <v/>
      </c>
      <c r="AL2042" s="28" t="str">
        <f aca="false">IF($N2042="","",IF(MATCH($N2042,$N$2:$N$3001,0)=ROWS($N$2:$N2042),$N2042,""))</f>
        <v/>
      </c>
    </row>
    <row r="2043" customFormat="false" ht="15" hidden="false" customHeight="false" outlineLevel="0" collapsed="false">
      <c r="E2043" s="25"/>
      <c r="M2043" s="26" t="str">
        <f aca="false">IF($A2043="","",$L2043*$U2043/100)</f>
        <v/>
      </c>
      <c r="W2043" s="26" t="str">
        <f aca="false">IF($A2043="","",U2043*AB2043/100)</f>
        <v/>
      </c>
      <c r="X2043" s="26" t="str">
        <f aca="false">IF($A2043="","",U2043-W2043)</f>
        <v/>
      </c>
      <c r="Y2043" s="26" t="str">
        <f aca="false">IF($A2043="","",U2043-W2043-M2043)</f>
        <v/>
      </c>
      <c r="AB2043" s="27" t="str">
        <f aca="false">IF($A2043="","",IF($AK2043=1,'كشف المطالبة'!$D$5,'كشف المطالبة'!$D$6)*100)</f>
        <v/>
      </c>
      <c r="AK2043" s="28" t="str">
        <f aca="false">IF($A2043="","",IF(OR($Q2043=TRUE(),$Q2043="TRUE"),1,0))</f>
        <v/>
      </c>
      <c r="AL2043" s="28" t="str">
        <f aca="false">IF($N2043="","",IF(MATCH($N2043,$N$2:$N$3001,0)=ROWS($N$2:$N2043),$N2043,""))</f>
        <v/>
      </c>
    </row>
    <row r="2044" customFormat="false" ht="15" hidden="false" customHeight="false" outlineLevel="0" collapsed="false">
      <c r="E2044" s="25"/>
      <c r="M2044" s="26" t="str">
        <f aca="false">IF($A2044="","",$L2044*$U2044/100)</f>
        <v/>
      </c>
      <c r="W2044" s="26" t="str">
        <f aca="false">IF($A2044="","",U2044*AB2044/100)</f>
        <v/>
      </c>
      <c r="X2044" s="26" t="str">
        <f aca="false">IF($A2044="","",U2044-W2044)</f>
        <v/>
      </c>
      <c r="Y2044" s="26" t="str">
        <f aca="false">IF($A2044="","",U2044-W2044-M2044)</f>
        <v/>
      </c>
      <c r="AB2044" s="27" t="str">
        <f aca="false">IF($A2044="","",IF($AK2044=1,'كشف المطالبة'!$D$5,'كشف المطالبة'!$D$6)*100)</f>
        <v/>
      </c>
      <c r="AK2044" s="28" t="str">
        <f aca="false">IF($A2044="","",IF(OR($Q2044=TRUE(),$Q2044="TRUE"),1,0))</f>
        <v/>
      </c>
      <c r="AL2044" s="28" t="str">
        <f aca="false">IF($N2044="","",IF(MATCH($N2044,$N$2:$N$3001,0)=ROWS($N$2:$N2044),$N2044,""))</f>
        <v/>
      </c>
    </row>
    <row r="2045" customFormat="false" ht="15" hidden="false" customHeight="false" outlineLevel="0" collapsed="false">
      <c r="E2045" s="25"/>
      <c r="M2045" s="26" t="str">
        <f aca="false">IF($A2045="","",$L2045*$U2045/100)</f>
        <v/>
      </c>
      <c r="W2045" s="26" t="str">
        <f aca="false">IF($A2045="","",U2045*AB2045/100)</f>
        <v/>
      </c>
      <c r="X2045" s="26" t="str">
        <f aca="false">IF($A2045="","",U2045-W2045)</f>
        <v/>
      </c>
      <c r="Y2045" s="26" t="str">
        <f aca="false">IF($A2045="","",U2045-W2045-M2045)</f>
        <v/>
      </c>
      <c r="AB2045" s="27" t="str">
        <f aca="false">IF($A2045="","",IF($AK2045=1,'كشف المطالبة'!$D$5,'كشف المطالبة'!$D$6)*100)</f>
        <v/>
      </c>
      <c r="AK2045" s="28" t="str">
        <f aca="false">IF($A2045="","",IF(OR($Q2045=TRUE(),$Q2045="TRUE"),1,0))</f>
        <v/>
      </c>
      <c r="AL2045" s="28" t="str">
        <f aca="false">IF($N2045="","",IF(MATCH($N2045,$N$2:$N$3001,0)=ROWS($N$2:$N2045),$N2045,""))</f>
        <v/>
      </c>
    </row>
    <row r="2046" customFormat="false" ht="15" hidden="false" customHeight="false" outlineLevel="0" collapsed="false">
      <c r="E2046" s="25"/>
      <c r="M2046" s="26" t="str">
        <f aca="false">IF($A2046="","",$L2046*$U2046/100)</f>
        <v/>
      </c>
      <c r="W2046" s="26" t="str">
        <f aca="false">IF($A2046="","",U2046*AB2046/100)</f>
        <v/>
      </c>
      <c r="X2046" s="26" t="str">
        <f aca="false">IF($A2046="","",U2046-W2046)</f>
        <v/>
      </c>
      <c r="Y2046" s="26" t="str">
        <f aca="false">IF($A2046="","",U2046-W2046-M2046)</f>
        <v/>
      </c>
      <c r="AB2046" s="27" t="str">
        <f aca="false">IF($A2046="","",IF($AK2046=1,'كشف المطالبة'!$D$5,'كشف المطالبة'!$D$6)*100)</f>
        <v/>
      </c>
      <c r="AK2046" s="28" t="str">
        <f aca="false">IF($A2046="","",IF(OR($Q2046=TRUE(),$Q2046="TRUE"),1,0))</f>
        <v/>
      </c>
      <c r="AL2046" s="28" t="str">
        <f aca="false">IF($N2046="","",IF(MATCH($N2046,$N$2:$N$3001,0)=ROWS($N$2:$N2046),$N2046,""))</f>
        <v/>
      </c>
    </row>
    <row r="2047" customFormat="false" ht="15" hidden="false" customHeight="false" outlineLevel="0" collapsed="false">
      <c r="E2047" s="25"/>
      <c r="M2047" s="26" t="str">
        <f aca="false">IF($A2047="","",$L2047*$U2047/100)</f>
        <v/>
      </c>
      <c r="W2047" s="26" t="str">
        <f aca="false">IF($A2047="","",U2047*AB2047/100)</f>
        <v/>
      </c>
      <c r="X2047" s="26" t="str">
        <f aca="false">IF($A2047="","",U2047-W2047)</f>
        <v/>
      </c>
      <c r="Y2047" s="26" t="str">
        <f aca="false">IF($A2047="","",U2047-W2047-M2047)</f>
        <v/>
      </c>
      <c r="AB2047" s="27" t="str">
        <f aca="false">IF($A2047="","",IF($AK2047=1,'كشف المطالبة'!$D$5,'كشف المطالبة'!$D$6)*100)</f>
        <v/>
      </c>
      <c r="AK2047" s="28" t="str">
        <f aca="false">IF($A2047="","",IF(OR($Q2047=TRUE(),$Q2047="TRUE"),1,0))</f>
        <v/>
      </c>
      <c r="AL2047" s="28" t="str">
        <f aca="false">IF($N2047="","",IF(MATCH($N2047,$N$2:$N$3001,0)=ROWS($N$2:$N2047),$N2047,""))</f>
        <v/>
      </c>
    </row>
    <row r="2048" customFormat="false" ht="15" hidden="false" customHeight="false" outlineLevel="0" collapsed="false">
      <c r="E2048" s="25"/>
      <c r="M2048" s="26" t="str">
        <f aca="false">IF($A2048="","",$L2048*$U2048/100)</f>
        <v/>
      </c>
      <c r="W2048" s="26" t="str">
        <f aca="false">IF($A2048="","",U2048*AB2048/100)</f>
        <v/>
      </c>
      <c r="X2048" s="26" t="str">
        <f aca="false">IF($A2048="","",U2048-W2048)</f>
        <v/>
      </c>
      <c r="Y2048" s="26" t="str">
        <f aca="false">IF($A2048="","",U2048-W2048-M2048)</f>
        <v/>
      </c>
      <c r="AB2048" s="27" t="str">
        <f aca="false">IF($A2048="","",IF($AK2048=1,'كشف المطالبة'!$D$5,'كشف المطالبة'!$D$6)*100)</f>
        <v/>
      </c>
      <c r="AK2048" s="28" t="str">
        <f aca="false">IF($A2048="","",IF(OR($Q2048=TRUE(),$Q2048="TRUE"),1,0))</f>
        <v/>
      </c>
      <c r="AL2048" s="28" t="str">
        <f aca="false">IF($N2048="","",IF(MATCH($N2048,$N$2:$N$3001,0)=ROWS($N$2:$N2048),$N2048,""))</f>
        <v/>
      </c>
    </row>
    <row r="2049" customFormat="false" ht="15" hidden="false" customHeight="false" outlineLevel="0" collapsed="false">
      <c r="E2049" s="25"/>
      <c r="M2049" s="26" t="str">
        <f aca="false">IF($A2049="","",$L2049*$U2049/100)</f>
        <v/>
      </c>
      <c r="W2049" s="26" t="str">
        <f aca="false">IF($A2049="","",U2049*AB2049/100)</f>
        <v/>
      </c>
      <c r="X2049" s="26" t="str">
        <f aca="false">IF($A2049="","",U2049-W2049)</f>
        <v/>
      </c>
      <c r="Y2049" s="26" t="str">
        <f aca="false">IF($A2049="","",U2049-W2049-M2049)</f>
        <v/>
      </c>
      <c r="AB2049" s="27" t="str">
        <f aca="false">IF($A2049="","",IF($AK2049=1,'كشف المطالبة'!$D$5,'كشف المطالبة'!$D$6)*100)</f>
        <v/>
      </c>
      <c r="AK2049" s="28" t="str">
        <f aca="false">IF($A2049="","",IF(OR($Q2049=TRUE(),$Q2049="TRUE"),1,0))</f>
        <v/>
      </c>
      <c r="AL2049" s="28" t="str">
        <f aca="false">IF($N2049="","",IF(MATCH($N2049,$N$2:$N$3001,0)=ROWS($N$2:$N2049),$N2049,""))</f>
        <v/>
      </c>
    </row>
    <row r="2050" customFormat="false" ht="15" hidden="false" customHeight="false" outlineLevel="0" collapsed="false">
      <c r="E2050" s="25"/>
      <c r="M2050" s="26" t="str">
        <f aca="false">IF($A2050="","",$L2050*$U2050/100)</f>
        <v/>
      </c>
      <c r="W2050" s="26" t="str">
        <f aca="false">IF($A2050="","",U2050*AB2050/100)</f>
        <v/>
      </c>
      <c r="X2050" s="26" t="str">
        <f aca="false">IF($A2050="","",U2050-W2050)</f>
        <v/>
      </c>
      <c r="Y2050" s="26" t="str">
        <f aca="false">IF($A2050="","",U2050-W2050-M2050)</f>
        <v/>
      </c>
      <c r="AB2050" s="27" t="str">
        <f aca="false">IF($A2050="","",IF($AK2050=1,'كشف المطالبة'!$D$5,'كشف المطالبة'!$D$6)*100)</f>
        <v/>
      </c>
      <c r="AK2050" s="28" t="str">
        <f aca="false">IF($A2050="","",IF(OR($Q2050=TRUE(),$Q2050="TRUE"),1,0))</f>
        <v/>
      </c>
      <c r="AL2050" s="28" t="str">
        <f aca="false">IF($N2050="","",IF(MATCH($N2050,$N$2:$N$3001,0)=ROWS($N$2:$N2050),$N2050,""))</f>
        <v/>
      </c>
    </row>
    <row r="2051" customFormat="false" ht="15" hidden="false" customHeight="false" outlineLevel="0" collapsed="false">
      <c r="E2051" s="25"/>
      <c r="M2051" s="26" t="str">
        <f aca="false">IF($A2051="","",$L2051*$U2051/100)</f>
        <v/>
      </c>
      <c r="W2051" s="26" t="str">
        <f aca="false">IF($A2051="","",U2051*AB2051/100)</f>
        <v/>
      </c>
      <c r="X2051" s="26" t="str">
        <f aca="false">IF($A2051="","",U2051-W2051)</f>
        <v/>
      </c>
      <c r="Y2051" s="26" t="str">
        <f aca="false">IF($A2051="","",U2051-W2051-M2051)</f>
        <v/>
      </c>
      <c r="AB2051" s="27" t="str">
        <f aca="false">IF($A2051="","",IF($AK2051=1,'كشف المطالبة'!$D$5,'كشف المطالبة'!$D$6)*100)</f>
        <v/>
      </c>
      <c r="AK2051" s="28" t="str">
        <f aca="false">IF($A2051="","",IF(OR($Q2051=TRUE(),$Q2051="TRUE"),1,0))</f>
        <v/>
      </c>
      <c r="AL2051" s="28" t="str">
        <f aca="false">IF($N2051="","",IF(MATCH($N2051,$N$2:$N$3001,0)=ROWS($N$2:$N2051),$N2051,""))</f>
        <v/>
      </c>
    </row>
    <row r="2052" customFormat="false" ht="15" hidden="false" customHeight="false" outlineLevel="0" collapsed="false">
      <c r="E2052" s="25"/>
      <c r="M2052" s="26" t="str">
        <f aca="false">IF($A2052="","",$L2052*$U2052/100)</f>
        <v/>
      </c>
      <c r="W2052" s="26" t="str">
        <f aca="false">IF($A2052="","",U2052*AB2052/100)</f>
        <v/>
      </c>
      <c r="X2052" s="26" t="str">
        <f aca="false">IF($A2052="","",U2052-W2052)</f>
        <v/>
      </c>
      <c r="Y2052" s="26" t="str">
        <f aca="false">IF($A2052="","",U2052-W2052-M2052)</f>
        <v/>
      </c>
      <c r="AB2052" s="27" t="str">
        <f aca="false">IF($A2052="","",IF($AK2052=1,'كشف المطالبة'!$D$5,'كشف المطالبة'!$D$6)*100)</f>
        <v/>
      </c>
      <c r="AK2052" s="28" t="str">
        <f aca="false">IF($A2052="","",IF(OR($Q2052=TRUE(),$Q2052="TRUE"),1,0))</f>
        <v/>
      </c>
      <c r="AL2052" s="28" t="str">
        <f aca="false">IF($N2052="","",IF(MATCH($N2052,$N$2:$N$3001,0)=ROWS($N$2:$N2052),$N2052,""))</f>
        <v/>
      </c>
    </row>
    <row r="2053" customFormat="false" ht="15" hidden="false" customHeight="false" outlineLevel="0" collapsed="false">
      <c r="E2053" s="25"/>
      <c r="M2053" s="26" t="str">
        <f aca="false">IF($A2053="","",$L2053*$U2053/100)</f>
        <v/>
      </c>
      <c r="W2053" s="26" t="str">
        <f aca="false">IF($A2053="","",U2053*AB2053/100)</f>
        <v/>
      </c>
      <c r="X2053" s="26" t="str">
        <f aca="false">IF($A2053="","",U2053-W2053)</f>
        <v/>
      </c>
      <c r="Y2053" s="26" t="str">
        <f aca="false">IF($A2053="","",U2053-W2053-M2053)</f>
        <v/>
      </c>
      <c r="AB2053" s="27" t="str">
        <f aca="false">IF($A2053="","",IF($AK2053=1,'كشف المطالبة'!$D$5,'كشف المطالبة'!$D$6)*100)</f>
        <v/>
      </c>
      <c r="AK2053" s="28" t="str">
        <f aca="false">IF($A2053="","",IF(OR($Q2053=TRUE(),$Q2053="TRUE"),1,0))</f>
        <v/>
      </c>
      <c r="AL2053" s="28" t="str">
        <f aca="false">IF($N2053="","",IF(MATCH($N2053,$N$2:$N$3001,0)=ROWS($N$2:$N2053),$N2053,""))</f>
        <v/>
      </c>
    </row>
    <row r="2054" customFormat="false" ht="15" hidden="false" customHeight="false" outlineLevel="0" collapsed="false">
      <c r="E2054" s="25"/>
      <c r="M2054" s="26" t="str">
        <f aca="false">IF($A2054="","",$L2054*$U2054/100)</f>
        <v/>
      </c>
      <c r="W2054" s="26" t="str">
        <f aca="false">IF($A2054="","",U2054*AB2054/100)</f>
        <v/>
      </c>
      <c r="X2054" s="26" t="str">
        <f aca="false">IF($A2054="","",U2054-W2054)</f>
        <v/>
      </c>
      <c r="Y2054" s="26" t="str">
        <f aca="false">IF($A2054="","",U2054-W2054-M2054)</f>
        <v/>
      </c>
      <c r="AB2054" s="27" t="str">
        <f aca="false">IF($A2054="","",IF($AK2054=1,'كشف المطالبة'!$D$5,'كشف المطالبة'!$D$6)*100)</f>
        <v/>
      </c>
      <c r="AK2054" s="28" t="str">
        <f aca="false">IF($A2054="","",IF(OR($Q2054=TRUE(),$Q2054="TRUE"),1,0))</f>
        <v/>
      </c>
      <c r="AL2054" s="28" t="str">
        <f aca="false">IF($N2054="","",IF(MATCH($N2054,$N$2:$N$3001,0)=ROWS($N$2:$N2054),$N2054,""))</f>
        <v/>
      </c>
    </row>
    <row r="2055" customFormat="false" ht="15" hidden="false" customHeight="false" outlineLevel="0" collapsed="false">
      <c r="E2055" s="25"/>
      <c r="M2055" s="26" t="str">
        <f aca="false">IF($A2055="","",$L2055*$U2055/100)</f>
        <v/>
      </c>
      <c r="W2055" s="26" t="str">
        <f aca="false">IF($A2055="","",U2055*AB2055/100)</f>
        <v/>
      </c>
      <c r="X2055" s="26" t="str">
        <f aca="false">IF($A2055="","",U2055-W2055)</f>
        <v/>
      </c>
      <c r="Y2055" s="26" t="str">
        <f aca="false">IF($A2055="","",U2055-W2055-M2055)</f>
        <v/>
      </c>
      <c r="AB2055" s="27" t="str">
        <f aca="false">IF($A2055="","",IF($AK2055=1,'كشف المطالبة'!$D$5,'كشف المطالبة'!$D$6)*100)</f>
        <v/>
      </c>
      <c r="AK2055" s="28" t="str">
        <f aca="false">IF($A2055="","",IF(OR($Q2055=TRUE(),$Q2055="TRUE"),1,0))</f>
        <v/>
      </c>
      <c r="AL2055" s="28" t="str">
        <f aca="false">IF($N2055="","",IF(MATCH($N2055,$N$2:$N$3001,0)=ROWS($N$2:$N2055),$N2055,""))</f>
        <v/>
      </c>
    </row>
    <row r="2056" customFormat="false" ht="15" hidden="false" customHeight="false" outlineLevel="0" collapsed="false">
      <c r="E2056" s="25"/>
      <c r="M2056" s="26" t="str">
        <f aca="false">IF($A2056="","",$L2056*$U2056/100)</f>
        <v/>
      </c>
      <c r="W2056" s="26" t="str">
        <f aca="false">IF($A2056="","",U2056*AB2056/100)</f>
        <v/>
      </c>
      <c r="X2056" s="26" t="str">
        <f aca="false">IF($A2056="","",U2056-W2056)</f>
        <v/>
      </c>
      <c r="Y2056" s="26" t="str">
        <f aca="false">IF($A2056="","",U2056-W2056-M2056)</f>
        <v/>
      </c>
      <c r="AB2056" s="27" t="str">
        <f aca="false">IF($A2056="","",IF($AK2056=1,'كشف المطالبة'!$D$5,'كشف المطالبة'!$D$6)*100)</f>
        <v/>
      </c>
      <c r="AK2056" s="28" t="str">
        <f aca="false">IF($A2056="","",IF(OR($Q2056=TRUE(),$Q2056="TRUE"),1,0))</f>
        <v/>
      </c>
      <c r="AL2056" s="28" t="str">
        <f aca="false">IF($N2056="","",IF(MATCH($N2056,$N$2:$N$3001,0)=ROWS($N$2:$N2056),$N2056,""))</f>
        <v/>
      </c>
    </row>
    <row r="2057" customFormat="false" ht="15" hidden="false" customHeight="false" outlineLevel="0" collapsed="false">
      <c r="E2057" s="25"/>
      <c r="M2057" s="26" t="str">
        <f aca="false">IF($A2057="","",$L2057*$U2057/100)</f>
        <v/>
      </c>
      <c r="W2057" s="26" t="str">
        <f aca="false">IF($A2057="","",U2057*AB2057/100)</f>
        <v/>
      </c>
      <c r="X2057" s="26" t="str">
        <f aca="false">IF($A2057="","",U2057-W2057)</f>
        <v/>
      </c>
      <c r="Y2057" s="26" t="str">
        <f aca="false">IF($A2057="","",U2057-W2057-M2057)</f>
        <v/>
      </c>
      <c r="AB2057" s="27" t="str">
        <f aca="false">IF($A2057="","",IF($AK2057=1,'كشف المطالبة'!$D$5,'كشف المطالبة'!$D$6)*100)</f>
        <v/>
      </c>
      <c r="AK2057" s="28" t="str">
        <f aca="false">IF($A2057="","",IF(OR($Q2057=TRUE(),$Q2057="TRUE"),1,0))</f>
        <v/>
      </c>
      <c r="AL2057" s="28" t="str">
        <f aca="false">IF($N2057="","",IF(MATCH($N2057,$N$2:$N$3001,0)=ROWS($N$2:$N2057),$N2057,""))</f>
        <v/>
      </c>
    </row>
    <row r="2058" customFormat="false" ht="15" hidden="false" customHeight="false" outlineLevel="0" collapsed="false">
      <c r="E2058" s="25"/>
      <c r="M2058" s="26" t="str">
        <f aca="false">IF($A2058="","",$L2058*$U2058/100)</f>
        <v/>
      </c>
      <c r="W2058" s="26" t="str">
        <f aca="false">IF($A2058="","",U2058*AB2058/100)</f>
        <v/>
      </c>
      <c r="X2058" s="26" t="str">
        <f aca="false">IF($A2058="","",U2058-W2058)</f>
        <v/>
      </c>
      <c r="Y2058" s="26" t="str">
        <f aca="false">IF($A2058="","",U2058-W2058-M2058)</f>
        <v/>
      </c>
      <c r="AB2058" s="27" t="str">
        <f aca="false">IF($A2058="","",IF($AK2058=1,'كشف المطالبة'!$D$5,'كشف المطالبة'!$D$6)*100)</f>
        <v/>
      </c>
      <c r="AK2058" s="28" t="str">
        <f aca="false">IF($A2058="","",IF(OR($Q2058=TRUE(),$Q2058="TRUE"),1,0))</f>
        <v/>
      </c>
      <c r="AL2058" s="28" t="str">
        <f aca="false">IF($N2058="","",IF(MATCH($N2058,$N$2:$N$3001,0)=ROWS($N$2:$N2058),$N2058,""))</f>
        <v/>
      </c>
    </row>
    <row r="2059" customFormat="false" ht="15" hidden="false" customHeight="false" outlineLevel="0" collapsed="false">
      <c r="E2059" s="25"/>
      <c r="M2059" s="26" t="str">
        <f aca="false">IF($A2059="","",$L2059*$U2059/100)</f>
        <v/>
      </c>
      <c r="W2059" s="26" t="str">
        <f aca="false">IF($A2059="","",U2059*AB2059/100)</f>
        <v/>
      </c>
      <c r="X2059" s="26" t="str">
        <f aca="false">IF($A2059="","",U2059-W2059)</f>
        <v/>
      </c>
      <c r="Y2059" s="26" t="str">
        <f aca="false">IF($A2059="","",U2059-W2059-M2059)</f>
        <v/>
      </c>
      <c r="AB2059" s="27" t="str">
        <f aca="false">IF($A2059="","",IF($AK2059=1,'كشف المطالبة'!$D$5,'كشف المطالبة'!$D$6)*100)</f>
        <v/>
      </c>
      <c r="AK2059" s="28" t="str">
        <f aca="false">IF($A2059="","",IF(OR($Q2059=TRUE(),$Q2059="TRUE"),1,0))</f>
        <v/>
      </c>
      <c r="AL2059" s="28" t="str">
        <f aca="false">IF($N2059="","",IF(MATCH($N2059,$N$2:$N$3001,0)=ROWS($N$2:$N2059),$N2059,""))</f>
        <v/>
      </c>
    </row>
    <row r="2060" customFormat="false" ht="15" hidden="false" customHeight="false" outlineLevel="0" collapsed="false">
      <c r="E2060" s="25"/>
      <c r="M2060" s="26" t="str">
        <f aca="false">IF($A2060="","",$L2060*$U2060/100)</f>
        <v/>
      </c>
      <c r="W2060" s="26" t="str">
        <f aca="false">IF($A2060="","",U2060*AB2060/100)</f>
        <v/>
      </c>
      <c r="X2060" s="26" t="str">
        <f aca="false">IF($A2060="","",U2060-W2060)</f>
        <v/>
      </c>
      <c r="Y2060" s="26" t="str">
        <f aca="false">IF($A2060="","",U2060-W2060-M2060)</f>
        <v/>
      </c>
      <c r="AB2060" s="27" t="str">
        <f aca="false">IF($A2060="","",IF($AK2060=1,'كشف المطالبة'!$D$5,'كشف المطالبة'!$D$6)*100)</f>
        <v/>
      </c>
      <c r="AK2060" s="28" t="str">
        <f aca="false">IF($A2060="","",IF(OR($Q2060=TRUE(),$Q2060="TRUE"),1,0))</f>
        <v/>
      </c>
      <c r="AL2060" s="28" t="str">
        <f aca="false">IF($N2060="","",IF(MATCH($N2060,$N$2:$N$3001,0)=ROWS($N$2:$N2060),$N2060,""))</f>
        <v/>
      </c>
    </row>
    <row r="2061" customFormat="false" ht="15" hidden="false" customHeight="false" outlineLevel="0" collapsed="false">
      <c r="E2061" s="25"/>
      <c r="M2061" s="26" t="str">
        <f aca="false">IF($A2061="","",$L2061*$U2061/100)</f>
        <v/>
      </c>
      <c r="W2061" s="26" t="str">
        <f aca="false">IF($A2061="","",U2061*AB2061/100)</f>
        <v/>
      </c>
      <c r="X2061" s="26" t="str">
        <f aca="false">IF($A2061="","",U2061-W2061)</f>
        <v/>
      </c>
      <c r="Y2061" s="26" t="str">
        <f aca="false">IF($A2061="","",U2061-W2061-M2061)</f>
        <v/>
      </c>
      <c r="AB2061" s="27" t="str">
        <f aca="false">IF($A2061="","",IF($AK2061=1,'كشف المطالبة'!$D$5,'كشف المطالبة'!$D$6)*100)</f>
        <v/>
      </c>
      <c r="AK2061" s="28" t="str">
        <f aca="false">IF($A2061="","",IF(OR($Q2061=TRUE(),$Q2061="TRUE"),1,0))</f>
        <v/>
      </c>
      <c r="AL2061" s="28" t="str">
        <f aca="false">IF($N2061="","",IF(MATCH($N2061,$N$2:$N$3001,0)=ROWS($N$2:$N2061),$N2061,""))</f>
        <v/>
      </c>
    </row>
    <row r="2062" customFormat="false" ht="15" hidden="false" customHeight="false" outlineLevel="0" collapsed="false">
      <c r="E2062" s="25"/>
      <c r="M2062" s="26" t="str">
        <f aca="false">IF($A2062="","",$L2062*$U2062/100)</f>
        <v/>
      </c>
      <c r="W2062" s="26" t="str">
        <f aca="false">IF($A2062="","",U2062*AB2062/100)</f>
        <v/>
      </c>
      <c r="X2062" s="26" t="str">
        <f aca="false">IF($A2062="","",U2062-W2062)</f>
        <v/>
      </c>
      <c r="Y2062" s="26" t="str">
        <f aca="false">IF($A2062="","",U2062-W2062-M2062)</f>
        <v/>
      </c>
      <c r="AB2062" s="27" t="str">
        <f aca="false">IF($A2062="","",IF($AK2062=1,'كشف المطالبة'!$D$5,'كشف المطالبة'!$D$6)*100)</f>
        <v/>
      </c>
      <c r="AK2062" s="28" t="str">
        <f aca="false">IF($A2062="","",IF(OR($Q2062=TRUE(),$Q2062="TRUE"),1,0))</f>
        <v/>
      </c>
      <c r="AL2062" s="28" t="str">
        <f aca="false">IF($N2062="","",IF(MATCH($N2062,$N$2:$N$3001,0)=ROWS($N$2:$N2062),$N2062,""))</f>
        <v/>
      </c>
    </row>
    <row r="2063" customFormat="false" ht="15" hidden="false" customHeight="false" outlineLevel="0" collapsed="false">
      <c r="E2063" s="25"/>
      <c r="M2063" s="26" t="str">
        <f aca="false">IF($A2063="","",$L2063*$U2063/100)</f>
        <v/>
      </c>
      <c r="W2063" s="26" t="str">
        <f aca="false">IF($A2063="","",U2063*AB2063/100)</f>
        <v/>
      </c>
      <c r="X2063" s="26" t="str">
        <f aca="false">IF($A2063="","",U2063-W2063)</f>
        <v/>
      </c>
      <c r="Y2063" s="26" t="str">
        <f aca="false">IF($A2063="","",U2063-W2063-M2063)</f>
        <v/>
      </c>
      <c r="AB2063" s="27" t="str">
        <f aca="false">IF($A2063="","",IF($AK2063=1,'كشف المطالبة'!$D$5,'كشف المطالبة'!$D$6)*100)</f>
        <v/>
      </c>
      <c r="AK2063" s="28" t="str">
        <f aca="false">IF($A2063="","",IF(OR($Q2063=TRUE(),$Q2063="TRUE"),1,0))</f>
        <v/>
      </c>
      <c r="AL2063" s="28" t="str">
        <f aca="false">IF($N2063="","",IF(MATCH($N2063,$N$2:$N$3001,0)=ROWS($N$2:$N2063),$N2063,""))</f>
        <v/>
      </c>
    </row>
    <row r="2064" customFormat="false" ht="15" hidden="false" customHeight="false" outlineLevel="0" collapsed="false">
      <c r="E2064" s="25"/>
      <c r="M2064" s="26" t="str">
        <f aca="false">IF($A2064="","",$L2064*$U2064/100)</f>
        <v/>
      </c>
      <c r="W2064" s="26" t="str">
        <f aca="false">IF($A2064="","",U2064*AB2064/100)</f>
        <v/>
      </c>
      <c r="X2064" s="26" t="str">
        <f aca="false">IF($A2064="","",U2064-W2064)</f>
        <v/>
      </c>
      <c r="Y2064" s="26" t="str">
        <f aca="false">IF($A2064="","",U2064-W2064-M2064)</f>
        <v/>
      </c>
      <c r="AB2064" s="27" t="str">
        <f aca="false">IF($A2064="","",IF($AK2064=1,'كشف المطالبة'!$D$5,'كشف المطالبة'!$D$6)*100)</f>
        <v/>
      </c>
      <c r="AK2064" s="28" t="str">
        <f aca="false">IF($A2064="","",IF(OR($Q2064=TRUE(),$Q2064="TRUE"),1,0))</f>
        <v/>
      </c>
      <c r="AL2064" s="28" t="str">
        <f aca="false">IF($N2064="","",IF(MATCH($N2064,$N$2:$N$3001,0)=ROWS($N$2:$N2064),$N2064,""))</f>
        <v/>
      </c>
    </row>
    <row r="2065" customFormat="false" ht="15" hidden="false" customHeight="false" outlineLevel="0" collapsed="false">
      <c r="E2065" s="25"/>
      <c r="M2065" s="26" t="str">
        <f aca="false">IF($A2065="","",$L2065*$U2065/100)</f>
        <v/>
      </c>
      <c r="W2065" s="26" t="str">
        <f aca="false">IF($A2065="","",U2065*AB2065/100)</f>
        <v/>
      </c>
      <c r="X2065" s="26" t="str">
        <f aca="false">IF($A2065="","",U2065-W2065)</f>
        <v/>
      </c>
      <c r="Y2065" s="26" t="str">
        <f aca="false">IF($A2065="","",U2065-W2065-M2065)</f>
        <v/>
      </c>
      <c r="AB2065" s="27" t="str">
        <f aca="false">IF($A2065="","",IF($AK2065=1,'كشف المطالبة'!$D$5,'كشف المطالبة'!$D$6)*100)</f>
        <v/>
      </c>
      <c r="AK2065" s="28" t="str">
        <f aca="false">IF($A2065="","",IF(OR($Q2065=TRUE(),$Q2065="TRUE"),1,0))</f>
        <v/>
      </c>
      <c r="AL2065" s="28" t="str">
        <f aca="false">IF($N2065="","",IF(MATCH($N2065,$N$2:$N$3001,0)=ROWS($N$2:$N2065),$N2065,""))</f>
        <v/>
      </c>
    </row>
    <row r="2066" customFormat="false" ht="15" hidden="false" customHeight="false" outlineLevel="0" collapsed="false">
      <c r="E2066" s="25"/>
      <c r="M2066" s="26" t="str">
        <f aca="false">IF($A2066="","",$L2066*$U2066/100)</f>
        <v/>
      </c>
      <c r="W2066" s="26" t="str">
        <f aca="false">IF($A2066="","",U2066*AB2066/100)</f>
        <v/>
      </c>
      <c r="X2066" s="26" t="str">
        <f aca="false">IF($A2066="","",U2066-W2066)</f>
        <v/>
      </c>
      <c r="Y2066" s="26" t="str">
        <f aca="false">IF($A2066="","",U2066-W2066-M2066)</f>
        <v/>
      </c>
      <c r="AB2066" s="27" t="str">
        <f aca="false">IF($A2066="","",IF($AK2066=1,'كشف المطالبة'!$D$5,'كشف المطالبة'!$D$6)*100)</f>
        <v/>
      </c>
      <c r="AK2066" s="28" t="str">
        <f aca="false">IF($A2066="","",IF(OR($Q2066=TRUE(),$Q2066="TRUE"),1,0))</f>
        <v/>
      </c>
      <c r="AL2066" s="28" t="str">
        <f aca="false">IF($N2066="","",IF(MATCH($N2066,$N$2:$N$3001,0)=ROWS($N$2:$N2066),$N2066,""))</f>
        <v/>
      </c>
    </row>
    <row r="2067" customFormat="false" ht="15" hidden="false" customHeight="false" outlineLevel="0" collapsed="false">
      <c r="E2067" s="25"/>
      <c r="M2067" s="26" t="str">
        <f aca="false">IF($A2067="","",$L2067*$U2067/100)</f>
        <v/>
      </c>
      <c r="W2067" s="26" t="str">
        <f aca="false">IF($A2067="","",U2067*AB2067/100)</f>
        <v/>
      </c>
      <c r="X2067" s="26" t="str">
        <f aca="false">IF($A2067="","",U2067-W2067)</f>
        <v/>
      </c>
      <c r="Y2067" s="26" t="str">
        <f aca="false">IF($A2067="","",U2067-W2067-M2067)</f>
        <v/>
      </c>
      <c r="AB2067" s="27" t="str">
        <f aca="false">IF($A2067="","",IF($AK2067=1,'كشف المطالبة'!$D$5,'كشف المطالبة'!$D$6)*100)</f>
        <v/>
      </c>
      <c r="AK2067" s="28" t="str">
        <f aca="false">IF($A2067="","",IF(OR($Q2067=TRUE(),$Q2067="TRUE"),1,0))</f>
        <v/>
      </c>
      <c r="AL2067" s="28" t="str">
        <f aca="false">IF($N2067="","",IF(MATCH($N2067,$N$2:$N$3001,0)=ROWS($N$2:$N2067),$N2067,""))</f>
        <v/>
      </c>
    </row>
    <row r="2068" customFormat="false" ht="15" hidden="false" customHeight="false" outlineLevel="0" collapsed="false">
      <c r="E2068" s="25"/>
      <c r="M2068" s="26" t="str">
        <f aca="false">IF($A2068="","",$L2068*$U2068/100)</f>
        <v/>
      </c>
      <c r="W2068" s="26" t="str">
        <f aca="false">IF($A2068="","",U2068*AB2068/100)</f>
        <v/>
      </c>
      <c r="X2068" s="26" t="str">
        <f aca="false">IF($A2068="","",U2068-W2068)</f>
        <v/>
      </c>
      <c r="Y2068" s="26" t="str">
        <f aca="false">IF($A2068="","",U2068-W2068-M2068)</f>
        <v/>
      </c>
      <c r="AB2068" s="27" t="str">
        <f aca="false">IF($A2068="","",IF($AK2068=1,'كشف المطالبة'!$D$5,'كشف المطالبة'!$D$6)*100)</f>
        <v/>
      </c>
      <c r="AK2068" s="28" t="str">
        <f aca="false">IF($A2068="","",IF(OR($Q2068=TRUE(),$Q2068="TRUE"),1,0))</f>
        <v/>
      </c>
      <c r="AL2068" s="28" t="str">
        <f aca="false">IF($N2068="","",IF(MATCH($N2068,$N$2:$N$3001,0)=ROWS($N$2:$N2068),$N2068,""))</f>
        <v/>
      </c>
    </row>
    <row r="2069" customFormat="false" ht="15" hidden="false" customHeight="false" outlineLevel="0" collapsed="false">
      <c r="E2069" s="25"/>
      <c r="M2069" s="26" t="str">
        <f aca="false">IF($A2069="","",$L2069*$U2069/100)</f>
        <v/>
      </c>
      <c r="W2069" s="26" t="str">
        <f aca="false">IF($A2069="","",U2069*AB2069/100)</f>
        <v/>
      </c>
      <c r="X2069" s="26" t="str">
        <f aca="false">IF($A2069="","",U2069-W2069)</f>
        <v/>
      </c>
      <c r="Y2069" s="26" t="str">
        <f aca="false">IF($A2069="","",U2069-W2069-M2069)</f>
        <v/>
      </c>
      <c r="AB2069" s="27" t="str">
        <f aca="false">IF($A2069="","",IF($AK2069=1,'كشف المطالبة'!$D$5,'كشف المطالبة'!$D$6)*100)</f>
        <v/>
      </c>
      <c r="AK2069" s="28" t="str">
        <f aca="false">IF($A2069="","",IF(OR($Q2069=TRUE(),$Q2069="TRUE"),1,0))</f>
        <v/>
      </c>
      <c r="AL2069" s="28" t="str">
        <f aca="false">IF($N2069="","",IF(MATCH($N2069,$N$2:$N$3001,0)=ROWS($N$2:$N2069),$N2069,""))</f>
        <v/>
      </c>
    </row>
    <row r="2070" customFormat="false" ht="15" hidden="false" customHeight="false" outlineLevel="0" collapsed="false">
      <c r="E2070" s="25"/>
      <c r="M2070" s="26" t="str">
        <f aca="false">IF($A2070="","",$L2070*$U2070/100)</f>
        <v/>
      </c>
      <c r="W2070" s="26" t="str">
        <f aca="false">IF($A2070="","",U2070*AB2070/100)</f>
        <v/>
      </c>
      <c r="X2070" s="26" t="str">
        <f aca="false">IF($A2070="","",U2070-W2070)</f>
        <v/>
      </c>
      <c r="Y2070" s="26" t="str">
        <f aca="false">IF($A2070="","",U2070-W2070-M2070)</f>
        <v/>
      </c>
      <c r="AB2070" s="27" t="str">
        <f aca="false">IF($A2070="","",IF($AK2070=1,'كشف المطالبة'!$D$5,'كشف المطالبة'!$D$6)*100)</f>
        <v/>
      </c>
      <c r="AK2070" s="28" t="str">
        <f aca="false">IF($A2070="","",IF(OR($Q2070=TRUE(),$Q2070="TRUE"),1,0))</f>
        <v/>
      </c>
      <c r="AL2070" s="28" t="str">
        <f aca="false">IF($N2070="","",IF(MATCH($N2070,$N$2:$N$3001,0)=ROWS($N$2:$N2070),$N2070,""))</f>
        <v/>
      </c>
    </row>
    <row r="2071" customFormat="false" ht="15" hidden="false" customHeight="false" outlineLevel="0" collapsed="false">
      <c r="E2071" s="25"/>
      <c r="M2071" s="26" t="str">
        <f aca="false">IF($A2071="","",$L2071*$U2071/100)</f>
        <v/>
      </c>
      <c r="W2071" s="26" t="str">
        <f aca="false">IF($A2071="","",U2071*AB2071/100)</f>
        <v/>
      </c>
      <c r="X2071" s="26" t="str">
        <f aca="false">IF($A2071="","",U2071-W2071)</f>
        <v/>
      </c>
      <c r="Y2071" s="26" t="str">
        <f aca="false">IF($A2071="","",U2071-W2071-M2071)</f>
        <v/>
      </c>
      <c r="AB2071" s="27" t="str">
        <f aca="false">IF($A2071="","",IF($AK2071=1,'كشف المطالبة'!$D$5,'كشف المطالبة'!$D$6)*100)</f>
        <v/>
      </c>
      <c r="AK2071" s="28" t="str">
        <f aca="false">IF($A2071="","",IF(OR($Q2071=TRUE(),$Q2071="TRUE"),1,0))</f>
        <v/>
      </c>
      <c r="AL2071" s="28" t="str">
        <f aca="false">IF($N2071="","",IF(MATCH($N2071,$N$2:$N$3001,0)=ROWS($N$2:$N2071),$N2071,""))</f>
        <v/>
      </c>
    </row>
    <row r="2072" customFormat="false" ht="15" hidden="false" customHeight="false" outlineLevel="0" collapsed="false">
      <c r="E2072" s="25"/>
      <c r="M2072" s="26" t="str">
        <f aca="false">IF($A2072="","",$L2072*$U2072/100)</f>
        <v/>
      </c>
      <c r="W2072" s="26" t="str">
        <f aca="false">IF($A2072="","",U2072*AB2072/100)</f>
        <v/>
      </c>
      <c r="X2072" s="26" t="str">
        <f aca="false">IF($A2072="","",U2072-W2072)</f>
        <v/>
      </c>
      <c r="Y2072" s="26" t="str">
        <f aca="false">IF($A2072="","",U2072-W2072-M2072)</f>
        <v/>
      </c>
      <c r="AB2072" s="27" t="str">
        <f aca="false">IF($A2072="","",IF($AK2072=1,'كشف المطالبة'!$D$5,'كشف المطالبة'!$D$6)*100)</f>
        <v/>
      </c>
      <c r="AK2072" s="28" t="str">
        <f aca="false">IF($A2072="","",IF(OR($Q2072=TRUE(),$Q2072="TRUE"),1,0))</f>
        <v/>
      </c>
      <c r="AL2072" s="28" t="str">
        <f aca="false">IF($N2072="","",IF(MATCH($N2072,$N$2:$N$3001,0)=ROWS($N$2:$N2072),$N2072,""))</f>
        <v/>
      </c>
    </row>
    <row r="2073" customFormat="false" ht="15" hidden="false" customHeight="false" outlineLevel="0" collapsed="false">
      <c r="E2073" s="25"/>
      <c r="M2073" s="26" t="str">
        <f aca="false">IF($A2073="","",$L2073*$U2073/100)</f>
        <v/>
      </c>
      <c r="W2073" s="26" t="str">
        <f aca="false">IF($A2073="","",U2073*AB2073/100)</f>
        <v/>
      </c>
      <c r="X2073" s="26" t="str">
        <f aca="false">IF($A2073="","",U2073-W2073)</f>
        <v/>
      </c>
      <c r="Y2073" s="26" t="str">
        <f aca="false">IF($A2073="","",U2073-W2073-M2073)</f>
        <v/>
      </c>
      <c r="AB2073" s="27" t="str">
        <f aca="false">IF($A2073="","",IF($AK2073=1,'كشف المطالبة'!$D$5,'كشف المطالبة'!$D$6)*100)</f>
        <v/>
      </c>
      <c r="AK2073" s="28" t="str">
        <f aca="false">IF($A2073="","",IF(OR($Q2073=TRUE(),$Q2073="TRUE"),1,0))</f>
        <v/>
      </c>
      <c r="AL2073" s="28" t="str">
        <f aca="false">IF($N2073="","",IF(MATCH($N2073,$N$2:$N$3001,0)=ROWS($N$2:$N2073),$N2073,""))</f>
        <v/>
      </c>
    </row>
    <row r="2074" customFormat="false" ht="15" hidden="false" customHeight="false" outlineLevel="0" collapsed="false">
      <c r="E2074" s="25"/>
      <c r="M2074" s="26" t="str">
        <f aca="false">IF($A2074="","",$L2074*$U2074/100)</f>
        <v/>
      </c>
      <c r="W2074" s="26" t="str">
        <f aca="false">IF($A2074="","",U2074*AB2074/100)</f>
        <v/>
      </c>
      <c r="X2074" s="26" t="str">
        <f aca="false">IF($A2074="","",U2074-W2074)</f>
        <v/>
      </c>
      <c r="Y2074" s="26" t="str">
        <f aca="false">IF($A2074="","",U2074-W2074-M2074)</f>
        <v/>
      </c>
      <c r="AB2074" s="27" t="str">
        <f aca="false">IF($A2074="","",IF($AK2074=1,'كشف المطالبة'!$D$5,'كشف المطالبة'!$D$6)*100)</f>
        <v/>
      </c>
      <c r="AK2074" s="28" t="str">
        <f aca="false">IF($A2074="","",IF(OR($Q2074=TRUE(),$Q2074="TRUE"),1,0))</f>
        <v/>
      </c>
      <c r="AL2074" s="28" t="str">
        <f aca="false">IF($N2074="","",IF(MATCH($N2074,$N$2:$N$3001,0)=ROWS($N$2:$N2074),$N2074,""))</f>
        <v/>
      </c>
    </row>
    <row r="2075" customFormat="false" ht="15" hidden="false" customHeight="false" outlineLevel="0" collapsed="false">
      <c r="E2075" s="25"/>
      <c r="M2075" s="26" t="str">
        <f aca="false">IF($A2075="","",$L2075*$U2075/100)</f>
        <v/>
      </c>
      <c r="W2075" s="26" t="str">
        <f aca="false">IF($A2075="","",U2075*AB2075/100)</f>
        <v/>
      </c>
      <c r="X2075" s="26" t="str">
        <f aca="false">IF($A2075="","",U2075-W2075)</f>
        <v/>
      </c>
      <c r="Y2075" s="26" t="str">
        <f aca="false">IF($A2075="","",U2075-W2075-M2075)</f>
        <v/>
      </c>
      <c r="AB2075" s="27" t="str">
        <f aca="false">IF($A2075="","",IF($AK2075=1,'كشف المطالبة'!$D$5,'كشف المطالبة'!$D$6)*100)</f>
        <v/>
      </c>
      <c r="AK2075" s="28" t="str">
        <f aca="false">IF($A2075="","",IF(OR($Q2075=TRUE(),$Q2075="TRUE"),1,0))</f>
        <v/>
      </c>
      <c r="AL2075" s="28" t="str">
        <f aca="false">IF($N2075="","",IF(MATCH($N2075,$N$2:$N$3001,0)=ROWS($N$2:$N2075),$N2075,""))</f>
        <v/>
      </c>
    </row>
    <row r="2076" customFormat="false" ht="15" hidden="false" customHeight="false" outlineLevel="0" collapsed="false">
      <c r="E2076" s="25"/>
      <c r="M2076" s="26" t="str">
        <f aca="false">IF($A2076="","",$L2076*$U2076/100)</f>
        <v/>
      </c>
      <c r="W2076" s="26" t="str">
        <f aca="false">IF($A2076="","",U2076*AB2076/100)</f>
        <v/>
      </c>
      <c r="X2076" s="26" t="str">
        <f aca="false">IF($A2076="","",U2076-W2076)</f>
        <v/>
      </c>
      <c r="Y2076" s="26" t="str">
        <f aca="false">IF($A2076="","",U2076-W2076-M2076)</f>
        <v/>
      </c>
      <c r="AB2076" s="27" t="str">
        <f aca="false">IF($A2076="","",IF($AK2076=1,'كشف المطالبة'!$D$5,'كشف المطالبة'!$D$6)*100)</f>
        <v/>
      </c>
      <c r="AK2076" s="28" t="str">
        <f aca="false">IF($A2076="","",IF(OR($Q2076=TRUE(),$Q2076="TRUE"),1,0))</f>
        <v/>
      </c>
      <c r="AL2076" s="28" t="str">
        <f aca="false">IF($N2076="","",IF(MATCH($N2076,$N$2:$N$3001,0)=ROWS($N$2:$N2076),$N2076,""))</f>
        <v/>
      </c>
    </row>
    <row r="2077" customFormat="false" ht="15" hidden="false" customHeight="false" outlineLevel="0" collapsed="false">
      <c r="E2077" s="25"/>
      <c r="M2077" s="26" t="str">
        <f aca="false">IF($A2077="","",$L2077*$U2077/100)</f>
        <v/>
      </c>
      <c r="W2077" s="26" t="str">
        <f aca="false">IF($A2077="","",U2077*AB2077/100)</f>
        <v/>
      </c>
      <c r="X2077" s="26" t="str">
        <f aca="false">IF($A2077="","",U2077-W2077)</f>
        <v/>
      </c>
      <c r="Y2077" s="26" t="str">
        <f aca="false">IF($A2077="","",U2077-W2077-M2077)</f>
        <v/>
      </c>
      <c r="AB2077" s="27" t="str">
        <f aca="false">IF($A2077="","",IF($AK2077=1,'كشف المطالبة'!$D$5,'كشف المطالبة'!$D$6)*100)</f>
        <v/>
      </c>
      <c r="AK2077" s="28" t="str">
        <f aca="false">IF($A2077="","",IF(OR($Q2077=TRUE(),$Q2077="TRUE"),1,0))</f>
        <v/>
      </c>
      <c r="AL2077" s="28" t="str">
        <f aca="false">IF($N2077="","",IF(MATCH($N2077,$N$2:$N$3001,0)=ROWS($N$2:$N2077),$N2077,""))</f>
        <v/>
      </c>
    </row>
    <row r="2078" customFormat="false" ht="15" hidden="false" customHeight="false" outlineLevel="0" collapsed="false">
      <c r="E2078" s="25"/>
      <c r="M2078" s="26" t="str">
        <f aca="false">IF($A2078="","",$L2078*$U2078/100)</f>
        <v/>
      </c>
      <c r="W2078" s="26" t="str">
        <f aca="false">IF($A2078="","",U2078*AB2078/100)</f>
        <v/>
      </c>
      <c r="X2078" s="26" t="str">
        <f aca="false">IF($A2078="","",U2078-W2078)</f>
        <v/>
      </c>
      <c r="Y2078" s="26" t="str">
        <f aca="false">IF($A2078="","",U2078-W2078-M2078)</f>
        <v/>
      </c>
      <c r="AB2078" s="27" t="str">
        <f aca="false">IF($A2078="","",IF($AK2078=1,'كشف المطالبة'!$D$5,'كشف المطالبة'!$D$6)*100)</f>
        <v/>
      </c>
      <c r="AK2078" s="28" t="str">
        <f aca="false">IF($A2078="","",IF(OR($Q2078=TRUE(),$Q2078="TRUE"),1,0))</f>
        <v/>
      </c>
      <c r="AL2078" s="28" t="str">
        <f aca="false">IF($N2078="","",IF(MATCH($N2078,$N$2:$N$3001,0)=ROWS($N$2:$N2078),$N2078,""))</f>
        <v/>
      </c>
    </row>
    <row r="2079" customFormat="false" ht="15" hidden="false" customHeight="false" outlineLevel="0" collapsed="false">
      <c r="E2079" s="25"/>
      <c r="M2079" s="26" t="str">
        <f aca="false">IF($A2079="","",$L2079*$U2079/100)</f>
        <v/>
      </c>
      <c r="W2079" s="26" t="str">
        <f aca="false">IF($A2079="","",U2079*AB2079/100)</f>
        <v/>
      </c>
      <c r="X2079" s="26" t="str">
        <f aca="false">IF($A2079="","",U2079-W2079)</f>
        <v/>
      </c>
      <c r="Y2079" s="26" t="str">
        <f aca="false">IF($A2079="","",U2079-W2079-M2079)</f>
        <v/>
      </c>
      <c r="AB2079" s="27" t="str">
        <f aca="false">IF($A2079="","",IF($AK2079=1,'كشف المطالبة'!$D$5,'كشف المطالبة'!$D$6)*100)</f>
        <v/>
      </c>
      <c r="AK2079" s="28" t="str">
        <f aca="false">IF($A2079="","",IF(OR($Q2079=TRUE(),$Q2079="TRUE"),1,0))</f>
        <v/>
      </c>
      <c r="AL2079" s="28" t="str">
        <f aca="false">IF($N2079="","",IF(MATCH($N2079,$N$2:$N$3001,0)=ROWS($N$2:$N2079),$N2079,""))</f>
        <v/>
      </c>
    </row>
    <row r="2080" customFormat="false" ht="15" hidden="false" customHeight="false" outlineLevel="0" collapsed="false">
      <c r="E2080" s="25"/>
      <c r="M2080" s="26" t="str">
        <f aca="false">IF($A2080="","",$L2080*$U2080/100)</f>
        <v/>
      </c>
      <c r="W2080" s="26" t="str">
        <f aca="false">IF($A2080="","",U2080*AB2080/100)</f>
        <v/>
      </c>
      <c r="X2080" s="26" t="str">
        <f aca="false">IF($A2080="","",U2080-W2080)</f>
        <v/>
      </c>
      <c r="Y2080" s="26" t="str">
        <f aca="false">IF($A2080="","",U2080-W2080-M2080)</f>
        <v/>
      </c>
      <c r="AB2080" s="27" t="str">
        <f aca="false">IF($A2080="","",IF($AK2080=1,'كشف المطالبة'!$D$5,'كشف المطالبة'!$D$6)*100)</f>
        <v/>
      </c>
      <c r="AK2080" s="28" t="str">
        <f aca="false">IF($A2080="","",IF(OR($Q2080=TRUE(),$Q2080="TRUE"),1,0))</f>
        <v/>
      </c>
      <c r="AL2080" s="28" t="str">
        <f aca="false">IF($N2080="","",IF(MATCH($N2080,$N$2:$N$3001,0)=ROWS($N$2:$N2080),$N2080,""))</f>
        <v/>
      </c>
    </row>
    <row r="2081" customFormat="false" ht="15" hidden="false" customHeight="false" outlineLevel="0" collapsed="false">
      <c r="E2081" s="25"/>
      <c r="M2081" s="26" t="str">
        <f aca="false">IF($A2081="","",$L2081*$U2081/100)</f>
        <v/>
      </c>
      <c r="W2081" s="26" t="str">
        <f aca="false">IF($A2081="","",U2081*AB2081/100)</f>
        <v/>
      </c>
      <c r="X2081" s="26" t="str">
        <f aca="false">IF($A2081="","",U2081-W2081)</f>
        <v/>
      </c>
      <c r="Y2081" s="26" t="str">
        <f aca="false">IF($A2081="","",U2081-W2081-M2081)</f>
        <v/>
      </c>
      <c r="AB2081" s="27" t="str">
        <f aca="false">IF($A2081="","",IF($AK2081=1,'كشف المطالبة'!$D$5,'كشف المطالبة'!$D$6)*100)</f>
        <v/>
      </c>
      <c r="AK2081" s="28" t="str">
        <f aca="false">IF($A2081="","",IF(OR($Q2081=TRUE(),$Q2081="TRUE"),1,0))</f>
        <v/>
      </c>
      <c r="AL2081" s="28" t="str">
        <f aca="false">IF($N2081="","",IF(MATCH($N2081,$N$2:$N$3001,0)=ROWS($N$2:$N2081),$N2081,""))</f>
        <v/>
      </c>
    </row>
    <row r="2082" customFormat="false" ht="15" hidden="false" customHeight="false" outlineLevel="0" collapsed="false">
      <c r="E2082" s="25"/>
      <c r="M2082" s="26" t="str">
        <f aca="false">IF($A2082="","",$L2082*$U2082/100)</f>
        <v/>
      </c>
      <c r="W2082" s="26" t="str">
        <f aca="false">IF($A2082="","",U2082*AB2082/100)</f>
        <v/>
      </c>
      <c r="X2082" s="26" t="str">
        <f aca="false">IF($A2082="","",U2082-W2082)</f>
        <v/>
      </c>
      <c r="Y2082" s="26" t="str">
        <f aca="false">IF($A2082="","",U2082-W2082-M2082)</f>
        <v/>
      </c>
      <c r="AB2082" s="27" t="str">
        <f aca="false">IF($A2082="","",IF($AK2082=1,'كشف المطالبة'!$D$5,'كشف المطالبة'!$D$6)*100)</f>
        <v/>
      </c>
      <c r="AK2082" s="28" t="str">
        <f aca="false">IF($A2082="","",IF(OR($Q2082=TRUE(),$Q2082="TRUE"),1,0))</f>
        <v/>
      </c>
      <c r="AL2082" s="28" t="str">
        <f aca="false">IF($N2082="","",IF(MATCH($N2082,$N$2:$N$3001,0)=ROWS($N$2:$N2082),$N2082,""))</f>
        <v/>
      </c>
    </row>
    <row r="2083" customFormat="false" ht="15" hidden="false" customHeight="false" outlineLevel="0" collapsed="false">
      <c r="E2083" s="25"/>
      <c r="M2083" s="26" t="str">
        <f aca="false">IF($A2083="","",$L2083*$U2083/100)</f>
        <v/>
      </c>
      <c r="W2083" s="26" t="str">
        <f aca="false">IF($A2083="","",U2083*AB2083/100)</f>
        <v/>
      </c>
      <c r="X2083" s="26" t="str">
        <f aca="false">IF($A2083="","",U2083-W2083)</f>
        <v/>
      </c>
      <c r="Y2083" s="26" t="str">
        <f aca="false">IF($A2083="","",U2083-W2083-M2083)</f>
        <v/>
      </c>
      <c r="AB2083" s="27" t="str">
        <f aca="false">IF($A2083="","",IF($AK2083=1,'كشف المطالبة'!$D$5,'كشف المطالبة'!$D$6)*100)</f>
        <v/>
      </c>
      <c r="AK2083" s="28" t="str">
        <f aca="false">IF($A2083="","",IF(OR($Q2083=TRUE(),$Q2083="TRUE"),1,0))</f>
        <v/>
      </c>
      <c r="AL2083" s="28" t="str">
        <f aca="false">IF($N2083="","",IF(MATCH($N2083,$N$2:$N$3001,0)=ROWS($N$2:$N2083),$N2083,""))</f>
        <v/>
      </c>
    </row>
    <row r="2084" customFormat="false" ht="15" hidden="false" customHeight="false" outlineLevel="0" collapsed="false">
      <c r="E2084" s="25"/>
      <c r="M2084" s="26" t="str">
        <f aca="false">IF($A2084="","",$L2084*$U2084/100)</f>
        <v/>
      </c>
      <c r="W2084" s="26" t="str">
        <f aca="false">IF($A2084="","",U2084*AB2084/100)</f>
        <v/>
      </c>
      <c r="X2084" s="26" t="str">
        <f aca="false">IF($A2084="","",U2084-W2084)</f>
        <v/>
      </c>
      <c r="Y2084" s="26" t="str">
        <f aca="false">IF($A2084="","",U2084-W2084-M2084)</f>
        <v/>
      </c>
      <c r="AB2084" s="27" t="str">
        <f aca="false">IF($A2084="","",IF($AK2084=1,'كشف المطالبة'!$D$5,'كشف المطالبة'!$D$6)*100)</f>
        <v/>
      </c>
      <c r="AK2084" s="28" t="str">
        <f aca="false">IF($A2084="","",IF(OR($Q2084=TRUE(),$Q2084="TRUE"),1,0))</f>
        <v/>
      </c>
      <c r="AL2084" s="28" t="str">
        <f aca="false">IF($N2084="","",IF(MATCH($N2084,$N$2:$N$3001,0)=ROWS($N$2:$N2084),$N2084,""))</f>
        <v/>
      </c>
    </row>
    <row r="2085" customFormat="false" ht="15" hidden="false" customHeight="false" outlineLevel="0" collapsed="false">
      <c r="E2085" s="25"/>
      <c r="M2085" s="26" t="str">
        <f aca="false">IF($A2085="","",$L2085*$U2085/100)</f>
        <v/>
      </c>
      <c r="W2085" s="26" t="str">
        <f aca="false">IF($A2085="","",U2085*AB2085/100)</f>
        <v/>
      </c>
      <c r="X2085" s="26" t="str">
        <f aca="false">IF($A2085="","",U2085-W2085)</f>
        <v/>
      </c>
      <c r="Y2085" s="26" t="str">
        <f aca="false">IF($A2085="","",U2085-W2085-M2085)</f>
        <v/>
      </c>
      <c r="AB2085" s="27" t="str">
        <f aca="false">IF($A2085="","",IF($AK2085=1,'كشف المطالبة'!$D$5,'كشف المطالبة'!$D$6)*100)</f>
        <v/>
      </c>
      <c r="AK2085" s="28" t="str">
        <f aca="false">IF($A2085="","",IF(OR($Q2085=TRUE(),$Q2085="TRUE"),1,0))</f>
        <v/>
      </c>
      <c r="AL2085" s="28" t="str">
        <f aca="false">IF($N2085="","",IF(MATCH($N2085,$N$2:$N$3001,0)=ROWS($N$2:$N2085),$N2085,""))</f>
        <v/>
      </c>
    </row>
    <row r="2086" customFormat="false" ht="15" hidden="false" customHeight="false" outlineLevel="0" collapsed="false">
      <c r="E2086" s="25"/>
      <c r="M2086" s="26" t="str">
        <f aca="false">IF($A2086="","",$L2086*$U2086/100)</f>
        <v/>
      </c>
      <c r="W2086" s="26" t="str">
        <f aca="false">IF($A2086="","",U2086*AB2086/100)</f>
        <v/>
      </c>
      <c r="X2086" s="26" t="str">
        <f aca="false">IF($A2086="","",U2086-W2086)</f>
        <v/>
      </c>
      <c r="Y2086" s="26" t="str">
        <f aca="false">IF($A2086="","",U2086-W2086-M2086)</f>
        <v/>
      </c>
      <c r="AB2086" s="27" t="str">
        <f aca="false">IF($A2086="","",IF($AK2086=1,'كشف المطالبة'!$D$5,'كشف المطالبة'!$D$6)*100)</f>
        <v/>
      </c>
      <c r="AK2086" s="28" t="str">
        <f aca="false">IF($A2086="","",IF(OR($Q2086=TRUE(),$Q2086="TRUE"),1,0))</f>
        <v/>
      </c>
      <c r="AL2086" s="28" t="str">
        <f aca="false">IF($N2086="","",IF(MATCH($N2086,$N$2:$N$3001,0)=ROWS($N$2:$N2086),$N2086,""))</f>
        <v/>
      </c>
    </row>
    <row r="2087" customFormat="false" ht="15" hidden="false" customHeight="false" outlineLevel="0" collapsed="false">
      <c r="E2087" s="25"/>
      <c r="M2087" s="26" t="str">
        <f aca="false">IF($A2087="","",$L2087*$U2087/100)</f>
        <v/>
      </c>
      <c r="W2087" s="26" t="str">
        <f aca="false">IF($A2087="","",U2087*AB2087/100)</f>
        <v/>
      </c>
      <c r="X2087" s="26" t="str">
        <f aca="false">IF($A2087="","",U2087-W2087)</f>
        <v/>
      </c>
      <c r="Y2087" s="26" t="str">
        <f aca="false">IF($A2087="","",U2087-W2087-M2087)</f>
        <v/>
      </c>
      <c r="AB2087" s="27" t="str">
        <f aca="false">IF($A2087="","",IF($AK2087=1,'كشف المطالبة'!$D$5,'كشف المطالبة'!$D$6)*100)</f>
        <v/>
      </c>
      <c r="AK2087" s="28" t="str">
        <f aca="false">IF($A2087="","",IF(OR($Q2087=TRUE(),$Q2087="TRUE"),1,0))</f>
        <v/>
      </c>
      <c r="AL2087" s="28" t="str">
        <f aca="false">IF($N2087="","",IF(MATCH($N2087,$N$2:$N$3001,0)=ROWS($N$2:$N2087),$N2087,""))</f>
        <v/>
      </c>
    </row>
    <row r="2088" customFormat="false" ht="15" hidden="false" customHeight="false" outlineLevel="0" collapsed="false">
      <c r="E2088" s="25"/>
      <c r="M2088" s="26" t="str">
        <f aca="false">IF($A2088="","",$L2088*$U2088/100)</f>
        <v/>
      </c>
      <c r="W2088" s="26" t="str">
        <f aca="false">IF($A2088="","",U2088*AB2088/100)</f>
        <v/>
      </c>
      <c r="X2088" s="26" t="str">
        <f aca="false">IF($A2088="","",U2088-W2088)</f>
        <v/>
      </c>
      <c r="Y2088" s="26" t="str">
        <f aca="false">IF($A2088="","",U2088-W2088-M2088)</f>
        <v/>
      </c>
      <c r="AB2088" s="27" t="str">
        <f aca="false">IF($A2088="","",IF($AK2088=1,'كشف المطالبة'!$D$5,'كشف المطالبة'!$D$6)*100)</f>
        <v/>
      </c>
      <c r="AK2088" s="28" t="str">
        <f aca="false">IF($A2088="","",IF(OR($Q2088=TRUE(),$Q2088="TRUE"),1,0))</f>
        <v/>
      </c>
      <c r="AL2088" s="28" t="str">
        <f aca="false">IF($N2088="","",IF(MATCH($N2088,$N$2:$N$3001,0)=ROWS($N$2:$N2088),$N2088,""))</f>
        <v/>
      </c>
    </row>
    <row r="2089" customFormat="false" ht="15" hidden="false" customHeight="false" outlineLevel="0" collapsed="false">
      <c r="E2089" s="25"/>
      <c r="M2089" s="26" t="str">
        <f aca="false">IF($A2089="","",$L2089*$U2089/100)</f>
        <v/>
      </c>
      <c r="W2089" s="26" t="str">
        <f aca="false">IF($A2089="","",U2089*AB2089/100)</f>
        <v/>
      </c>
      <c r="X2089" s="26" t="str">
        <f aca="false">IF($A2089="","",U2089-W2089)</f>
        <v/>
      </c>
      <c r="Y2089" s="26" t="str">
        <f aca="false">IF($A2089="","",U2089-W2089-M2089)</f>
        <v/>
      </c>
      <c r="AB2089" s="27" t="str">
        <f aca="false">IF($A2089="","",IF($AK2089=1,'كشف المطالبة'!$D$5,'كشف المطالبة'!$D$6)*100)</f>
        <v/>
      </c>
      <c r="AK2089" s="28" t="str">
        <f aca="false">IF($A2089="","",IF(OR($Q2089=TRUE(),$Q2089="TRUE"),1,0))</f>
        <v/>
      </c>
      <c r="AL2089" s="28" t="str">
        <f aca="false">IF($N2089="","",IF(MATCH($N2089,$N$2:$N$3001,0)=ROWS($N$2:$N2089),$N2089,""))</f>
        <v/>
      </c>
    </row>
    <row r="2090" customFormat="false" ht="15" hidden="false" customHeight="false" outlineLevel="0" collapsed="false">
      <c r="E2090" s="25"/>
      <c r="M2090" s="26" t="str">
        <f aca="false">IF($A2090="","",$L2090*$U2090/100)</f>
        <v/>
      </c>
      <c r="W2090" s="26" t="str">
        <f aca="false">IF($A2090="","",U2090*AB2090/100)</f>
        <v/>
      </c>
      <c r="X2090" s="26" t="str">
        <f aca="false">IF($A2090="","",U2090-W2090)</f>
        <v/>
      </c>
      <c r="Y2090" s="26" t="str">
        <f aca="false">IF($A2090="","",U2090-W2090-M2090)</f>
        <v/>
      </c>
      <c r="AB2090" s="27" t="str">
        <f aca="false">IF($A2090="","",IF($AK2090=1,'كشف المطالبة'!$D$5,'كشف المطالبة'!$D$6)*100)</f>
        <v/>
      </c>
      <c r="AK2090" s="28" t="str">
        <f aca="false">IF($A2090="","",IF(OR($Q2090=TRUE(),$Q2090="TRUE"),1,0))</f>
        <v/>
      </c>
      <c r="AL2090" s="28" t="str">
        <f aca="false">IF($N2090="","",IF(MATCH($N2090,$N$2:$N$3001,0)=ROWS($N$2:$N2090),$N2090,""))</f>
        <v/>
      </c>
    </row>
    <row r="2091" customFormat="false" ht="15" hidden="false" customHeight="false" outlineLevel="0" collapsed="false">
      <c r="E2091" s="25"/>
      <c r="M2091" s="26" t="str">
        <f aca="false">IF($A2091="","",$L2091*$U2091/100)</f>
        <v/>
      </c>
      <c r="W2091" s="26" t="str">
        <f aca="false">IF($A2091="","",U2091*AB2091/100)</f>
        <v/>
      </c>
      <c r="X2091" s="26" t="str">
        <f aca="false">IF($A2091="","",U2091-W2091)</f>
        <v/>
      </c>
      <c r="Y2091" s="26" t="str">
        <f aca="false">IF($A2091="","",U2091-W2091-M2091)</f>
        <v/>
      </c>
      <c r="AB2091" s="27" t="str">
        <f aca="false">IF($A2091="","",IF($AK2091=1,'كشف المطالبة'!$D$5,'كشف المطالبة'!$D$6)*100)</f>
        <v/>
      </c>
      <c r="AK2091" s="28" t="str">
        <f aca="false">IF($A2091="","",IF(OR($Q2091=TRUE(),$Q2091="TRUE"),1,0))</f>
        <v/>
      </c>
      <c r="AL2091" s="28" t="str">
        <f aca="false">IF($N2091="","",IF(MATCH($N2091,$N$2:$N$3001,0)=ROWS($N$2:$N2091),$N2091,""))</f>
        <v/>
      </c>
    </row>
    <row r="2092" customFormat="false" ht="15" hidden="false" customHeight="false" outlineLevel="0" collapsed="false">
      <c r="E2092" s="25"/>
      <c r="M2092" s="26" t="str">
        <f aca="false">IF($A2092="","",$L2092*$U2092/100)</f>
        <v/>
      </c>
      <c r="W2092" s="26" t="str">
        <f aca="false">IF($A2092="","",U2092*AB2092/100)</f>
        <v/>
      </c>
      <c r="X2092" s="26" t="str">
        <f aca="false">IF($A2092="","",U2092-W2092)</f>
        <v/>
      </c>
      <c r="Y2092" s="26" t="str">
        <f aca="false">IF($A2092="","",U2092-W2092-M2092)</f>
        <v/>
      </c>
      <c r="AB2092" s="27" t="str">
        <f aca="false">IF($A2092="","",IF($AK2092=1,'كشف المطالبة'!$D$5,'كشف المطالبة'!$D$6)*100)</f>
        <v/>
      </c>
      <c r="AK2092" s="28" t="str">
        <f aca="false">IF($A2092="","",IF(OR($Q2092=TRUE(),$Q2092="TRUE"),1,0))</f>
        <v/>
      </c>
      <c r="AL2092" s="28" t="str">
        <f aca="false">IF($N2092="","",IF(MATCH($N2092,$N$2:$N$3001,0)=ROWS($N$2:$N2092),$N2092,""))</f>
        <v/>
      </c>
    </row>
    <row r="2093" customFormat="false" ht="15" hidden="false" customHeight="false" outlineLevel="0" collapsed="false">
      <c r="E2093" s="25"/>
      <c r="M2093" s="26" t="str">
        <f aca="false">IF($A2093="","",$L2093*$U2093/100)</f>
        <v/>
      </c>
      <c r="W2093" s="26" t="str">
        <f aca="false">IF($A2093="","",U2093*AB2093/100)</f>
        <v/>
      </c>
      <c r="X2093" s="26" t="str">
        <f aca="false">IF($A2093="","",U2093-W2093)</f>
        <v/>
      </c>
      <c r="Y2093" s="26" t="str">
        <f aca="false">IF($A2093="","",U2093-W2093-M2093)</f>
        <v/>
      </c>
      <c r="AB2093" s="27" t="str">
        <f aca="false">IF($A2093="","",IF($AK2093=1,'كشف المطالبة'!$D$5,'كشف المطالبة'!$D$6)*100)</f>
        <v/>
      </c>
      <c r="AK2093" s="28" t="str">
        <f aca="false">IF($A2093="","",IF(OR($Q2093=TRUE(),$Q2093="TRUE"),1,0))</f>
        <v/>
      </c>
      <c r="AL2093" s="28" t="str">
        <f aca="false">IF($N2093="","",IF(MATCH($N2093,$N$2:$N$3001,0)=ROWS($N$2:$N2093),$N2093,""))</f>
        <v/>
      </c>
    </row>
    <row r="2094" customFormat="false" ht="15" hidden="false" customHeight="false" outlineLevel="0" collapsed="false">
      <c r="E2094" s="25"/>
      <c r="M2094" s="26" t="str">
        <f aca="false">IF($A2094="","",$L2094*$U2094/100)</f>
        <v/>
      </c>
      <c r="W2094" s="26" t="str">
        <f aca="false">IF($A2094="","",U2094*AB2094/100)</f>
        <v/>
      </c>
      <c r="X2094" s="26" t="str">
        <f aca="false">IF($A2094="","",U2094-W2094)</f>
        <v/>
      </c>
      <c r="Y2094" s="26" t="str">
        <f aca="false">IF($A2094="","",U2094-W2094-M2094)</f>
        <v/>
      </c>
      <c r="AB2094" s="27" t="str">
        <f aca="false">IF($A2094="","",IF($AK2094=1,'كشف المطالبة'!$D$5,'كشف المطالبة'!$D$6)*100)</f>
        <v/>
      </c>
      <c r="AK2094" s="28" t="str">
        <f aca="false">IF($A2094="","",IF(OR($Q2094=TRUE(),$Q2094="TRUE"),1,0))</f>
        <v/>
      </c>
      <c r="AL2094" s="28" t="str">
        <f aca="false">IF($N2094="","",IF(MATCH($N2094,$N$2:$N$3001,0)=ROWS($N$2:$N2094),$N2094,""))</f>
        <v/>
      </c>
    </row>
    <row r="2095" customFormat="false" ht="15" hidden="false" customHeight="false" outlineLevel="0" collapsed="false">
      <c r="E2095" s="25"/>
      <c r="M2095" s="26" t="str">
        <f aca="false">IF($A2095="","",$L2095*$U2095/100)</f>
        <v/>
      </c>
      <c r="W2095" s="26" t="str">
        <f aca="false">IF($A2095="","",U2095*AB2095/100)</f>
        <v/>
      </c>
      <c r="X2095" s="26" t="str">
        <f aca="false">IF($A2095="","",U2095-W2095)</f>
        <v/>
      </c>
      <c r="Y2095" s="26" t="str">
        <f aca="false">IF($A2095="","",U2095-W2095-M2095)</f>
        <v/>
      </c>
      <c r="AB2095" s="27" t="str">
        <f aca="false">IF($A2095="","",IF($AK2095=1,'كشف المطالبة'!$D$5,'كشف المطالبة'!$D$6)*100)</f>
        <v/>
      </c>
      <c r="AK2095" s="28" t="str">
        <f aca="false">IF($A2095="","",IF(OR($Q2095=TRUE(),$Q2095="TRUE"),1,0))</f>
        <v/>
      </c>
      <c r="AL2095" s="28" t="str">
        <f aca="false">IF($N2095="","",IF(MATCH($N2095,$N$2:$N$3001,0)=ROWS($N$2:$N2095),$N2095,""))</f>
        <v/>
      </c>
    </row>
    <row r="2096" customFormat="false" ht="15" hidden="false" customHeight="false" outlineLevel="0" collapsed="false">
      <c r="E2096" s="25"/>
      <c r="M2096" s="26" t="str">
        <f aca="false">IF($A2096="","",$L2096*$U2096/100)</f>
        <v/>
      </c>
      <c r="W2096" s="26" t="str">
        <f aca="false">IF($A2096="","",U2096*AB2096/100)</f>
        <v/>
      </c>
      <c r="X2096" s="26" t="str">
        <f aca="false">IF($A2096="","",U2096-W2096)</f>
        <v/>
      </c>
      <c r="Y2096" s="26" t="str">
        <f aca="false">IF($A2096="","",U2096-W2096-M2096)</f>
        <v/>
      </c>
      <c r="AB2096" s="27" t="str">
        <f aca="false">IF($A2096="","",IF($AK2096=1,'كشف المطالبة'!$D$5,'كشف المطالبة'!$D$6)*100)</f>
        <v/>
      </c>
      <c r="AK2096" s="28" t="str">
        <f aca="false">IF($A2096="","",IF(OR($Q2096=TRUE(),$Q2096="TRUE"),1,0))</f>
        <v/>
      </c>
      <c r="AL2096" s="28" t="str">
        <f aca="false">IF($N2096="","",IF(MATCH($N2096,$N$2:$N$3001,0)=ROWS($N$2:$N2096),$N2096,""))</f>
        <v/>
      </c>
    </row>
    <row r="2097" customFormat="false" ht="15" hidden="false" customHeight="false" outlineLevel="0" collapsed="false">
      <c r="E2097" s="25"/>
      <c r="M2097" s="26" t="str">
        <f aca="false">IF($A2097="","",$L2097*$U2097/100)</f>
        <v/>
      </c>
      <c r="W2097" s="26" t="str">
        <f aca="false">IF($A2097="","",U2097*AB2097/100)</f>
        <v/>
      </c>
      <c r="X2097" s="26" t="str">
        <f aca="false">IF($A2097="","",U2097-W2097)</f>
        <v/>
      </c>
      <c r="Y2097" s="26" t="str">
        <f aca="false">IF($A2097="","",U2097-W2097-M2097)</f>
        <v/>
      </c>
      <c r="AB2097" s="27" t="str">
        <f aca="false">IF($A2097="","",IF($AK2097=1,'كشف المطالبة'!$D$5,'كشف المطالبة'!$D$6)*100)</f>
        <v/>
      </c>
      <c r="AK2097" s="28" t="str">
        <f aca="false">IF($A2097="","",IF(OR($Q2097=TRUE(),$Q2097="TRUE"),1,0))</f>
        <v/>
      </c>
      <c r="AL2097" s="28" t="str">
        <f aca="false">IF($N2097="","",IF(MATCH($N2097,$N$2:$N$3001,0)=ROWS($N$2:$N2097),$N2097,""))</f>
        <v/>
      </c>
    </row>
    <row r="2098" customFormat="false" ht="15" hidden="false" customHeight="false" outlineLevel="0" collapsed="false">
      <c r="E2098" s="25"/>
      <c r="M2098" s="26" t="str">
        <f aca="false">IF($A2098="","",$L2098*$U2098/100)</f>
        <v/>
      </c>
      <c r="W2098" s="26" t="str">
        <f aca="false">IF($A2098="","",U2098*AB2098/100)</f>
        <v/>
      </c>
      <c r="X2098" s="26" t="str">
        <f aca="false">IF($A2098="","",U2098-W2098)</f>
        <v/>
      </c>
      <c r="Y2098" s="26" t="str">
        <f aca="false">IF($A2098="","",U2098-W2098-M2098)</f>
        <v/>
      </c>
      <c r="AB2098" s="27" t="str">
        <f aca="false">IF($A2098="","",IF($AK2098=1,'كشف المطالبة'!$D$5,'كشف المطالبة'!$D$6)*100)</f>
        <v/>
      </c>
      <c r="AK2098" s="28" t="str">
        <f aca="false">IF($A2098="","",IF(OR($Q2098=TRUE(),$Q2098="TRUE"),1,0))</f>
        <v/>
      </c>
      <c r="AL2098" s="28" t="str">
        <f aca="false">IF($N2098="","",IF(MATCH($N2098,$N$2:$N$3001,0)=ROWS($N$2:$N2098),$N2098,""))</f>
        <v/>
      </c>
    </row>
    <row r="2099" customFormat="false" ht="15" hidden="false" customHeight="false" outlineLevel="0" collapsed="false">
      <c r="E2099" s="25"/>
      <c r="M2099" s="26" t="str">
        <f aca="false">IF($A2099="","",$L2099*$U2099/100)</f>
        <v/>
      </c>
      <c r="W2099" s="26" t="str">
        <f aca="false">IF($A2099="","",U2099*AB2099/100)</f>
        <v/>
      </c>
      <c r="X2099" s="26" t="str">
        <f aca="false">IF($A2099="","",U2099-W2099)</f>
        <v/>
      </c>
      <c r="Y2099" s="26" t="str">
        <f aca="false">IF($A2099="","",U2099-W2099-M2099)</f>
        <v/>
      </c>
      <c r="AB2099" s="27" t="str">
        <f aca="false">IF($A2099="","",IF($AK2099=1,'كشف المطالبة'!$D$5,'كشف المطالبة'!$D$6)*100)</f>
        <v/>
      </c>
      <c r="AK2099" s="28" t="str">
        <f aca="false">IF($A2099="","",IF(OR($Q2099=TRUE(),$Q2099="TRUE"),1,0))</f>
        <v/>
      </c>
      <c r="AL2099" s="28" t="str">
        <f aca="false">IF($N2099="","",IF(MATCH($N2099,$N$2:$N$3001,0)=ROWS($N$2:$N2099),$N2099,""))</f>
        <v/>
      </c>
    </row>
    <row r="2100" customFormat="false" ht="15" hidden="false" customHeight="false" outlineLevel="0" collapsed="false">
      <c r="E2100" s="25"/>
      <c r="M2100" s="26" t="str">
        <f aca="false">IF($A2100="","",$L2100*$U2100/100)</f>
        <v/>
      </c>
      <c r="W2100" s="26" t="str">
        <f aca="false">IF($A2100="","",U2100*AB2100/100)</f>
        <v/>
      </c>
      <c r="X2100" s="26" t="str">
        <f aca="false">IF($A2100="","",U2100-W2100)</f>
        <v/>
      </c>
      <c r="Y2100" s="26" t="str">
        <f aca="false">IF($A2100="","",U2100-W2100-M2100)</f>
        <v/>
      </c>
      <c r="AB2100" s="27" t="str">
        <f aca="false">IF($A2100="","",IF($AK2100=1,'كشف المطالبة'!$D$5,'كشف المطالبة'!$D$6)*100)</f>
        <v/>
      </c>
      <c r="AK2100" s="28" t="str">
        <f aca="false">IF($A2100="","",IF(OR($Q2100=TRUE(),$Q2100="TRUE"),1,0))</f>
        <v/>
      </c>
      <c r="AL2100" s="28" t="str">
        <f aca="false">IF($N2100="","",IF(MATCH($N2100,$N$2:$N$3001,0)=ROWS($N$2:$N2100),$N2100,""))</f>
        <v/>
      </c>
    </row>
    <row r="2101" customFormat="false" ht="15" hidden="false" customHeight="false" outlineLevel="0" collapsed="false">
      <c r="E2101" s="25"/>
      <c r="M2101" s="26" t="str">
        <f aca="false">IF($A2101="","",$L2101*$U2101/100)</f>
        <v/>
      </c>
      <c r="W2101" s="26" t="str">
        <f aca="false">IF($A2101="","",U2101*AB2101/100)</f>
        <v/>
      </c>
      <c r="X2101" s="26" t="str">
        <f aca="false">IF($A2101="","",U2101-W2101)</f>
        <v/>
      </c>
      <c r="Y2101" s="26" t="str">
        <f aca="false">IF($A2101="","",U2101-W2101-M2101)</f>
        <v/>
      </c>
      <c r="AB2101" s="27" t="str">
        <f aca="false">IF($A2101="","",IF($AK2101=1,'كشف المطالبة'!$D$5,'كشف المطالبة'!$D$6)*100)</f>
        <v/>
      </c>
      <c r="AK2101" s="28" t="str">
        <f aca="false">IF($A2101="","",IF(OR($Q2101=TRUE(),$Q2101="TRUE"),1,0))</f>
        <v/>
      </c>
      <c r="AL2101" s="28" t="str">
        <f aca="false">IF($N2101="","",IF(MATCH($N2101,$N$2:$N$3001,0)=ROWS($N$2:$N2101),$N2101,""))</f>
        <v/>
      </c>
    </row>
    <row r="2102" customFormat="false" ht="15" hidden="false" customHeight="false" outlineLevel="0" collapsed="false">
      <c r="E2102" s="25"/>
      <c r="M2102" s="26" t="str">
        <f aca="false">IF($A2102="","",$L2102*$U2102/100)</f>
        <v/>
      </c>
      <c r="W2102" s="26" t="str">
        <f aca="false">IF($A2102="","",U2102*AB2102/100)</f>
        <v/>
      </c>
      <c r="X2102" s="26" t="str">
        <f aca="false">IF($A2102="","",U2102-W2102)</f>
        <v/>
      </c>
      <c r="Y2102" s="26" t="str">
        <f aca="false">IF($A2102="","",U2102-W2102-M2102)</f>
        <v/>
      </c>
      <c r="AB2102" s="27" t="str">
        <f aca="false">IF($A2102="","",IF($AK2102=1,'كشف المطالبة'!$D$5,'كشف المطالبة'!$D$6)*100)</f>
        <v/>
      </c>
      <c r="AK2102" s="28" t="str">
        <f aca="false">IF($A2102="","",IF(OR($Q2102=TRUE(),$Q2102="TRUE"),1,0))</f>
        <v/>
      </c>
      <c r="AL2102" s="28" t="str">
        <f aca="false">IF($N2102="","",IF(MATCH($N2102,$N$2:$N$3001,0)=ROWS($N$2:$N2102),$N2102,""))</f>
        <v/>
      </c>
    </row>
    <row r="2103" customFormat="false" ht="15" hidden="false" customHeight="false" outlineLevel="0" collapsed="false">
      <c r="E2103" s="25"/>
      <c r="M2103" s="26" t="str">
        <f aca="false">IF($A2103="","",$L2103*$U2103/100)</f>
        <v/>
      </c>
      <c r="W2103" s="26" t="str">
        <f aca="false">IF($A2103="","",U2103*AB2103/100)</f>
        <v/>
      </c>
      <c r="X2103" s="26" t="str">
        <f aca="false">IF($A2103="","",U2103-W2103)</f>
        <v/>
      </c>
      <c r="Y2103" s="26" t="str">
        <f aca="false">IF($A2103="","",U2103-W2103-M2103)</f>
        <v/>
      </c>
      <c r="AB2103" s="27" t="str">
        <f aca="false">IF($A2103="","",IF($AK2103=1,'كشف المطالبة'!$D$5,'كشف المطالبة'!$D$6)*100)</f>
        <v/>
      </c>
      <c r="AK2103" s="28" t="str">
        <f aca="false">IF($A2103="","",IF(OR($Q2103=TRUE(),$Q2103="TRUE"),1,0))</f>
        <v/>
      </c>
      <c r="AL2103" s="28" t="str">
        <f aca="false">IF($N2103="","",IF(MATCH($N2103,$N$2:$N$3001,0)=ROWS($N$2:$N2103),$N2103,""))</f>
        <v/>
      </c>
    </row>
    <row r="2104" customFormat="false" ht="15" hidden="false" customHeight="false" outlineLevel="0" collapsed="false">
      <c r="E2104" s="25"/>
      <c r="M2104" s="26" t="str">
        <f aca="false">IF($A2104="","",$L2104*$U2104/100)</f>
        <v/>
      </c>
      <c r="W2104" s="26" t="str">
        <f aca="false">IF($A2104="","",U2104*AB2104/100)</f>
        <v/>
      </c>
      <c r="X2104" s="26" t="str">
        <f aca="false">IF($A2104="","",U2104-W2104)</f>
        <v/>
      </c>
      <c r="Y2104" s="26" t="str">
        <f aca="false">IF($A2104="","",U2104-W2104-M2104)</f>
        <v/>
      </c>
      <c r="AB2104" s="27" t="str">
        <f aca="false">IF($A2104="","",IF($AK2104=1,'كشف المطالبة'!$D$5,'كشف المطالبة'!$D$6)*100)</f>
        <v/>
      </c>
      <c r="AK2104" s="28" t="str">
        <f aca="false">IF($A2104="","",IF(OR($Q2104=TRUE(),$Q2104="TRUE"),1,0))</f>
        <v/>
      </c>
      <c r="AL2104" s="28" t="str">
        <f aca="false">IF($N2104="","",IF(MATCH($N2104,$N$2:$N$3001,0)=ROWS($N$2:$N2104),$N2104,""))</f>
        <v/>
      </c>
    </row>
    <row r="2105" customFormat="false" ht="15" hidden="false" customHeight="false" outlineLevel="0" collapsed="false">
      <c r="E2105" s="25"/>
      <c r="M2105" s="26" t="str">
        <f aca="false">IF($A2105="","",$L2105*$U2105/100)</f>
        <v/>
      </c>
      <c r="W2105" s="26" t="str">
        <f aca="false">IF($A2105="","",U2105*AB2105/100)</f>
        <v/>
      </c>
      <c r="X2105" s="26" t="str">
        <f aca="false">IF($A2105="","",U2105-W2105)</f>
        <v/>
      </c>
      <c r="Y2105" s="26" t="str">
        <f aca="false">IF($A2105="","",U2105-W2105-M2105)</f>
        <v/>
      </c>
      <c r="AB2105" s="27" t="str">
        <f aca="false">IF($A2105="","",IF($AK2105=1,'كشف المطالبة'!$D$5,'كشف المطالبة'!$D$6)*100)</f>
        <v/>
      </c>
      <c r="AK2105" s="28" t="str">
        <f aca="false">IF($A2105="","",IF(OR($Q2105=TRUE(),$Q2105="TRUE"),1,0))</f>
        <v/>
      </c>
      <c r="AL2105" s="28" t="str">
        <f aca="false">IF($N2105="","",IF(MATCH($N2105,$N$2:$N$3001,0)=ROWS($N$2:$N2105),$N2105,""))</f>
        <v/>
      </c>
    </row>
    <row r="2106" customFormat="false" ht="15" hidden="false" customHeight="false" outlineLevel="0" collapsed="false">
      <c r="E2106" s="25"/>
      <c r="M2106" s="26" t="str">
        <f aca="false">IF($A2106="","",$L2106*$U2106/100)</f>
        <v/>
      </c>
      <c r="W2106" s="26" t="str">
        <f aca="false">IF($A2106="","",U2106*AB2106/100)</f>
        <v/>
      </c>
      <c r="X2106" s="26" t="str">
        <f aca="false">IF($A2106="","",U2106-W2106)</f>
        <v/>
      </c>
      <c r="Y2106" s="26" t="str">
        <f aca="false">IF($A2106="","",U2106-W2106-M2106)</f>
        <v/>
      </c>
      <c r="AB2106" s="27" t="str">
        <f aca="false">IF($A2106="","",IF($AK2106=1,'كشف المطالبة'!$D$5,'كشف المطالبة'!$D$6)*100)</f>
        <v/>
      </c>
      <c r="AK2106" s="28" t="str">
        <f aca="false">IF($A2106="","",IF(OR($Q2106=TRUE(),$Q2106="TRUE"),1,0))</f>
        <v/>
      </c>
      <c r="AL2106" s="28" t="str">
        <f aca="false">IF($N2106="","",IF(MATCH($N2106,$N$2:$N$3001,0)=ROWS($N$2:$N2106),$N2106,""))</f>
        <v/>
      </c>
    </row>
    <row r="2107" customFormat="false" ht="15" hidden="false" customHeight="false" outlineLevel="0" collapsed="false">
      <c r="E2107" s="25"/>
      <c r="M2107" s="26" t="str">
        <f aca="false">IF($A2107="","",$L2107*$U2107/100)</f>
        <v/>
      </c>
      <c r="W2107" s="26" t="str">
        <f aca="false">IF($A2107="","",U2107*AB2107/100)</f>
        <v/>
      </c>
      <c r="X2107" s="26" t="str">
        <f aca="false">IF($A2107="","",U2107-W2107)</f>
        <v/>
      </c>
      <c r="Y2107" s="26" t="str">
        <f aca="false">IF($A2107="","",U2107-W2107-M2107)</f>
        <v/>
      </c>
      <c r="AB2107" s="27" t="str">
        <f aca="false">IF($A2107="","",IF($AK2107=1,'كشف المطالبة'!$D$5,'كشف المطالبة'!$D$6)*100)</f>
        <v/>
      </c>
      <c r="AK2107" s="28" t="str">
        <f aca="false">IF($A2107="","",IF(OR($Q2107=TRUE(),$Q2107="TRUE"),1,0))</f>
        <v/>
      </c>
      <c r="AL2107" s="28" t="str">
        <f aca="false">IF($N2107="","",IF(MATCH($N2107,$N$2:$N$3001,0)=ROWS($N$2:$N2107),$N2107,""))</f>
        <v/>
      </c>
    </row>
    <row r="2108" customFormat="false" ht="15" hidden="false" customHeight="false" outlineLevel="0" collapsed="false">
      <c r="E2108" s="25"/>
      <c r="M2108" s="26" t="str">
        <f aca="false">IF($A2108="","",$L2108*$U2108/100)</f>
        <v/>
      </c>
      <c r="W2108" s="26" t="str">
        <f aca="false">IF($A2108="","",U2108*AB2108/100)</f>
        <v/>
      </c>
      <c r="X2108" s="26" t="str">
        <f aca="false">IF($A2108="","",U2108-W2108)</f>
        <v/>
      </c>
      <c r="Y2108" s="26" t="str">
        <f aca="false">IF($A2108="","",U2108-W2108-M2108)</f>
        <v/>
      </c>
      <c r="AB2108" s="27" t="str">
        <f aca="false">IF($A2108="","",IF($AK2108=1,'كشف المطالبة'!$D$5,'كشف المطالبة'!$D$6)*100)</f>
        <v/>
      </c>
      <c r="AK2108" s="28" t="str">
        <f aca="false">IF($A2108="","",IF(OR($Q2108=TRUE(),$Q2108="TRUE"),1,0))</f>
        <v/>
      </c>
      <c r="AL2108" s="28" t="str">
        <f aca="false">IF($N2108="","",IF(MATCH($N2108,$N$2:$N$3001,0)=ROWS($N$2:$N2108),$N2108,""))</f>
        <v/>
      </c>
    </row>
    <row r="2109" customFormat="false" ht="15" hidden="false" customHeight="false" outlineLevel="0" collapsed="false">
      <c r="E2109" s="25"/>
      <c r="M2109" s="26" t="str">
        <f aca="false">IF($A2109="","",$L2109*$U2109/100)</f>
        <v/>
      </c>
      <c r="W2109" s="26" t="str">
        <f aca="false">IF($A2109="","",U2109*AB2109/100)</f>
        <v/>
      </c>
      <c r="X2109" s="26" t="str">
        <f aca="false">IF($A2109="","",U2109-W2109)</f>
        <v/>
      </c>
      <c r="Y2109" s="26" t="str">
        <f aca="false">IF($A2109="","",U2109-W2109-M2109)</f>
        <v/>
      </c>
      <c r="AB2109" s="27" t="str">
        <f aca="false">IF($A2109="","",IF($AK2109=1,'كشف المطالبة'!$D$5,'كشف المطالبة'!$D$6)*100)</f>
        <v/>
      </c>
      <c r="AK2109" s="28" t="str">
        <f aca="false">IF($A2109="","",IF(OR($Q2109=TRUE(),$Q2109="TRUE"),1,0))</f>
        <v/>
      </c>
      <c r="AL2109" s="28" t="str">
        <f aca="false">IF($N2109="","",IF(MATCH($N2109,$N$2:$N$3001,0)=ROWS($N$2:$N2109),$N2109,""))</f>
        <v/>
      </c>
    </row>
    <row r="2110" customFormat="false" ht="15" hidden="false" customHeight="false" outlineLevel="0" collapsed="false">
      <c r="E2110" s="25"/>
      <c r="M2110" s="26" t="str">
        <f aca="false">IF($A2110="","",$L2110*$U2110/100)</f>
        <v/>
      </c>
      <c r="W2110" s="26" t="str">
        <f aca="false">IF($A2110="","",U2110*AB2110/100)</f>
        <v/>
      </c>
      <c r="X2110" s="26" t="str">
        <f aca="false">IF($A2110="","",U2110-W2110)</f>
        <v/>
      </c>
      <c r="Y2110" s="26" t="str">
        <f aca="false">IF($A2110="","",U2110-W2110-M2110)</f>
        <v/>
      </c>
      <c r="AB2110" s="27" t="str">
        <f aca="false">IF($A2110="","",IF($AK2110=1,'كشف المطالبة'!$D$5,'كشف المطالبة'!$D$6)*100)</f>
        <v/>
      </c>
      <c r="AK2110" s="28" t="str">
        <f aca="false">IF($A2110="","",IF(OR($Q2110=TRUE(),$Q2110="TRUE"),1,0))</f>
        <v/>
      </c>
      <c r="AL2110" s="28" t="str">
        <f aca="false">IF($N2110="","",IF(MATCH($N2110,$N$2:$N$3001,0)=ROWS($N$2:$N2110),$N2110,""))</f>
        <v/>
      </c>
    </row>
    <row r="2111" customFormat="false" ht="15" hidden="false" customHeight="false" outlineLevel="0" collapsed="false">
      <c r="E2111" s="25"/>
      <c r="M2111" s="26" t="str">
        <f aca="false">IF($A2111="","",$L2111*$U2111/100)</f>
        <v/>
      </c>
      <c r="W2111" s="26" t="str">
        <f aca="false">IF($A2111="","",U2111*AB2111/100)</f>
        <v/>
      </c>
      <c r="X2111" s="26" t="str">
        <f aca="false">IF($A2111="","",U2111-W2111)</f>
        <v/>
      </c>
      <c r="Y2111" s="26" t="str">
        <f aca="false">IF($A2111="","",U2111-W2111-M2111)</f>
        <v/>
      </c>
      <c r="AB2111" s="27" t="str">
        <f aca="false">IF($A2111="","",IF($AK2111=1,'كشف المطالبة'!$D$5,'كشف المطالبة'!$D$6)*100)</f>
        <v/>
      </c>
      <c r="AK2111" s="28" t="str">
        <f aca="false">IF($A2111="","",IF(OR($Q2111=TRUE(),$Q2111="TRUE"),1,0))</f>
        <v/>
      </c>
      <c r="AL2111" s="28" t="str">
        <f aca="false">IF($N2111="","",IF(MATCH($N2111,$N$2:$N$3001,0)=ROWS($N$2:$N2111),$N2111,""))</f>
        <v/>
      </c>
    </row>
    <row r="2112" customFormat="false" ht="15" hidden="false" customHeight="false" outlineLevel="0" collapsed="false">
      <c r="E2112" s="25"/>
      <c r="M2112" s="26" t="str">
        <f aca="false">IF($A2112="","",$L2112*$U2112/100)</f>
        <v/>
      </c>
      <c r="W2112" s="26" t="str">
        <f aca="false">IF($A2112="","",U2112*AB2112/100)</f>
        <v/>
      </c>
      <c r="X2112" s="26" t="str">
        <f aca="false">IF($A2112="","",U2112-W2112)</f>
        <v/>
      </c>
      <c r="Y2112" s="26" t="str">
        <f aca="false">IF($A2112="","",U2112-W2112-M2112)</f>
        <v/>
      </c>
      <c r="AB2112" s="27" t="str">
        <f aca="false">IF($A2112="","",IF($AK2112=1,'كشف المطالبة'!$D$5,'كشف المطالبة'!$D$6)*100)</f>
        <v/>
      </c>
      <c r="AK2112" s="28" t="str">
        <f aca="false">IF($A2112="","",IF(OR($Q2112=TRUE(),$Q2112="TRUE"),1,0))</f>
        <v/>
      </c>
      <c r="AL2112" s="28" t="str">
        <f aca="false">IF($N2112="","",IF(MATCH($N2112,$N$2:$N$3001,0)=ROWS($N$2:$N2112),$N2112,""))</f>
        <v/>
      </c>
    </row>
    <row r="2113" customFormat="false" ht="15" hidden="false" customHeight="false" outlineLevel="0" collapsed="false">
      <c r="E2113" s="25"/>
      <c r="M2113" s="26" t="str">
        <f aca="false">IF($A2113="","",$L2113*$U2113/100)</f>
        <v/>
      </c>
      <c r="W2113" s="26" t="str">
        <f aca="false">IF($A2113="","",U2113*AB2113/100)</f>
        <v/>
      </c>
      <c r="X2113" s="26" t="str">
        <f aca="false">IF($A2113="","",U2113-W2113)</f>
        <v/>
      </c>
      <c r="Y2113" s="26" t="str">
        <f aca="false">IF($A2113="","",U2113-W2113-M2113)</f>
        <v/>
      </c>
      <c r="AB2113" s="27" t="str">
        <f aca="false">IF($A2113="","",IF($AK2113=1,'كشف المطالبة'!$D$5,'كشف المطالبة'!$D$6)*100)</f>
        <v/>
      </c>
      <c r="AK2113" s="28" t="str">
        <f aca="false">IF($A2113="","",IF(OR($Q2113=TRUE(),$Q2113="TRUE"),1,0))</f>
        <v/>
      </c>
      <c r="AL2113" s="28" t="str">
        <f aca="false">IF($N2113="","",IF(MATCH($N2113,$N$2:$N$3001,0)=ROWS($N$2:$N2113),$N2113,""))</f>
        <v/>
      </c>
    </row>
    <row r="2114" customFormat="false" ht="15" hidden="false" customHeight="false" outlineLevel="0" collapsed="false">
      <c r="E2114" s="25"/>
      <c r="M2114" s="26" t="str">
        <f aca="false">IF($A2114="","",$L2114*$U2114/100)</f>
        <v/>
      </c>
      <c r="W2114" s="26" t="str">
        <f aca="false">IF($A2114="","",U2114*AB2114/100)</f>
        <v/>
      </c>
      <c r="X2114" s="26" t="str">
        <f aca="false">IF($A2114="","",U2114-W2114)</f>
        <v/>
      </c>
      <c r="Y2114" s="26" t="str">
        <f aca="false">IF($A2114="","",U2114-W2114-M2114)</f>
        <v/>
      </c>
      <c r="AB2114" s="27" t="str">
        <f aca="false">IF($A2114="","",IF($AK2114=1,'كشف المطالبة'!$D$5,'كشف المطالبة'!$D$6)*100)</f>
        <v/>
      </c>
      <c r="AK2114" s="28" t="str">
        <f aca="false">IF($A2114="","",IF(OR($Q2114=TRUE(),$Q2114="TRUE"),1,0))</f>
        <v/>
      </c>
      <c r="AL2114" s="28" t="str">
        <f aca="false">IF($N2114="","",IF(MATCH($N2114,$N$2:$N$3001,0)=ROWS($N$2:$N2114),$N2114,""))</f>
        <v/>
      </c>
    </row>
    <row r="2115" customFormat="false" ht="15" hidden="false" customHeight="false" outlineLevel="0" collapsed="false">
      <c r="E2115" s="25"/>
      <c r="M2115" s="26" t="str">
        <f aca="false">IF($A2115="","",$L2115*$U2115/100)</f>
        <v/>
      </c>
      <c r="W2115" s="26" t="str">
        <f aca="false">IF($A2115="","",U2115*AB2115/100)</f>
        <v/>
      </c>
      <c r="X2115" s="26" t="str">
        <f aca="false">IF($A2115="","",U2115-W2115)</f>
        <v/>
      </c>
      <c r="Y2115" s="26" t="str">
        <f aca="false">IF($A2115="","",U2115-W2115-M2115)</f>
        <v/>
      </c>
      <c r="AB2115" s="27" t="str">
        <f aca="false">IF($A2115="","",IF($AK2115=1,'كشف المطالبة'!$D$5,'كشف المطالبة'!$D$6)*100)</f>
        <v/>
      </c>
      <c r="AK2115" s="28" t="str">
        <f aca="false">IF($A2115="","",IF(OR($Q2115=TRUE(),$Q2115="TRUE"),1,0))</f>
        <v/>
      </c>
      <c r="AL2115" s="28" t="str">
        <f aca="false">IF($N2115="","",IF(MATCH($N2115,$N$2:$N$3001,0)=ROWS($N$2:$N2115),$N2115,""))</f>
        <v/>
      </c>
    </row>
    <row r="2116" customFormat="false" ht="15" hidden="false" customHeight="false" outlineLevel="0" collapsed="false">
      <c r="E2116" s="25"/>
      <c r="M2116" s="26" t="str">
        <f aca="false">IF($A2116="","",$L2116*$U2116/100)</f>
        <v/>
      </c>
      <c r="W2116" s="26" t="str">
        <f aca="false">IF($A2116="","",U2116*AB2116/100)</f>
        <v/>
      </c>
      <c r="X2116" s="26" t="str">
        <f aca="false">IF($A2116="","",U2116-W2116)</f>
        <v/>
      </c>
      <c r="Y2116" s="26" t="str">
        <f aca="false">IF($A2116="","",U2116-W2116-M2116)</f>
        <v/>
      </c>
      <c r="AB2116" s="27" t="str">
        <f aca="false">IF($A2116="","",IF($AK2116=1,'كشف المطالبة'!$D$5,'كشف المطالبة'!$D$6)*100)</f>
        <v/>
      </c>
      <c r="AK2116" s="28" t="str">
        <f aca="false">IF($A2116="","",IF(OR($Q2116=TRUE(),$Q2116="TRUE"),1,0))</f>
        <v/>
      </c>
      <c r="AL2116" s="28" t="str">
        <f aca="false">IF($N2116="","",IF(MATCH($N2116,$N$2:$N$3001,0)=ROWS($N$2:$N2116),$N2116,""))</f>
        <v/>
      </c>
    </row>
    <row r="2117" customFormat="false" ht="15" hidden="false" customHeight="false" outlineLevel="0" collapsed="false">
      <c r="E2117" s="25"/>
      <c r="M2117" s="26" t="str">
        <f aca="false">IF($A2117="","",$L2117*$U2117/100)</f>
        <v/>
      </c>
      <c r="W2117" s="26" t="str">
        <f aca="false">IF($A2117="","",U2117*AB2117/100)</f>
        <v/>
      </c>
      <c r="X2117" s="26" t="str">
        <f aca="false">IF($A2117="","",U2117-W2117)</f>
        <v/>
      </c>
      <c r="Y2117" s="26" t="str">
        <f aca="false">IF($A2117="","",U2117-W2117-M2117)</f>
        <v/>
      </c>
      <c r="AB2117" s="27" t="str">
        <f aca="false">IF($A2117="","",IF($AK2117=1,'كشف المطالبة'!$D$5,'كشف المطالبة'!$D$6)*100)</f>
        <v/>
      </c>
      <c r="AK2117" s="28" t="str">
        <f aca="false">IF($A2117="","",IF(OR($Q2117=TRUE(),$Q2117="TRUE"),1,0))</f>
        <v/>
      </c>
      <c r="AL2117" s="28" t="str">
        <f aca="false">IF($N2117="","",IF(MATCH($N2117,$N$2:$N$3001,0)=ROWS($N$2:$N2117),$N2117,""))</f>
        <v/>
      </c>
    </row>
    <row r="2118" customFormat="false" ht="15" hidden="false" customHeight="false" outlineLevel="0" collapsed="false">
      <c r="E2118" s="25"/>
      <c r="M2118" s="26" t="str">
        <f aca="false">IF($A2118="","",$L2118*$U2118/100)</f>
        <v/>
      </c>
      <c r="W2118" s="26" t="str">
        <f aca="false">IF($A2118="","",U2118*AB2118/100)</f>
        <v/>
      </c>
      <c r="X2118" s="26" t="str">
        <f aca="false">IF($A2118="","",U2118-W2118)</f>
        <v/>
      </c>
      <c r="Y2118" s="26" t="str">
        <f aca="false">IF($A2118="","",U2118-W2118-M2118)</f>
        <v/>
      </c>
      <c r="AB2118" s="27" t="str">
        <f aca="false">IF($A2118="","",IF($AK2118=1,'كشف المطالبة'!$D$5,'كشف المطالبة'!$D$6)*100)</f>
        <v/>
      </c>
      <c r="AK2118" s="28" t="str">
        <f aca="false">IF($A2118="","",IF(OR($Q2118=TRUE(),$Q2118="TRUE"),1,0))</f>
        <v/>
      </c>
      <c r="AL2118" s="28" t="str">
        <f aca="false">IF($N2118="","",IF(MATCH($N2118,$N$2:$N$3001,0)=ROWS($N$2:$N2118),$N2118,""))</f>
        <v/>
      </c>
    </row>
    <row r="2119" customFormat="false" ht="15" hidden="false" customHeight="false" outlineLevel="0" collapsed="false">
      <c r="E2119" s="25"/>
      <c r="M2119" s="26" t="str">
        <f aca="false">IF($A2119="","",$L2119*$U2119/100)</f>
        <v/>
      </c>
      <c r="W2119" s="26" t="str">
        <f aca="false">IF($A2119="","",U2119*AB2119/100)</f>
        <v/>
      </c>
      <c r="X2119" s="26" t="str">
        <f aca="false">IF($A2119="","",U2119-W2119)</f>
        <v/>
      </c>
      <c r="Y2119" s="26" t="str">
        <f aca="false">IF($A2119="","",U2119-W2119-M2119)</f>
        <v/>
      </c>
      <c r="AB2119" s="27" t="str">
        <f aca="false">IF($A2119="","",IF($AK2119=1,'كشف المطالبة'!$D$5,'كشف المطالبة'!$D$6)*100)</f>
        <v/>
      </c>
      <c r="AK2119" s="28" t="str">
        <f aca="false">IF($A2119="","",IF(OR($Q2119=TRUE(),$Q2119="TRUE"),1,0))</f>
        <v/>
      </c>
      <c r="AL2119" s="28" t="str">
        <f aca="false">IF($N2119="","",IF(MATCH($N2119,$N$2:$N$3001,0)=ROWS($N$2:$N2119),$N2119,""))</f>
        <v/>
      </c>
    </row>
    <row r="2120" customFormat="false" ht="15" hidden="false" customHeight="false" outlineLevel="0" collapsed="false">
      <c r="E2120" s="25"/>
      <c r="M2120" s="26" t="str">
        <f aca="false">IF($A2120="","",$L2120*$U2120/100)</f>
        <v/>
      </c>
      <c r="W2120" s="26" t="str">
        <f aca="false">IF($A2120="","",U2120*AB2120/100)</f>
        <v/>
      </c>
      <c r="X2120" s="26" t="str">
        <f aca="false">IF($A2120="","",U2120-W2120)</f>
        <v/>
      </c>
      <c r="Y2120" s="26" t="str">
        <f aca="false">IF($A2120="","",U2120-W2120-M2120)</f>
        <v/>
      </c>
      <c r="AB2120" s="27" t="str">
        <f aca="false">IF($A2120="","",IF($AK2120=1,'كشف المطالبة'!$D$5,'كشف المطالبة'!$D$6)*100)</f>
        <v/>
      </c>
      <c r="AK2120" s="28" t="str">
        <f aca="false">IF($A2120="","",IF(OR($Q2120=TRUE(),$Q2120="TRUE"),1,0))</f>
        <v/>
      </c>
      <c r="AL2120" s="28" t="str">
        <f aca="false">IF($N2120="","",IF(MATCH($N2120,$N$2:$N$3001,0)=ROWS($N$2:$N2120),$N2120,""))</f>
        <v/>
      </c>
    </row>
    <row r="2121" customFormat="false" ht="15" hidden="false" customHeight="false" outlineLevel="0" collapsed="false">
      <c r="E2121" s="25"/>
      <c r="M2121" s="26" t="str">
        <f aca="false">IF($A2121="","",$L2121*$U2121/100)</f>
        <v/>
      </c>
      <c r="W2121" s="26" t="str">
        <f aca="false">IF($A2121="","",U2121*AB2121/100)</f>
        <v/>
      </c>
      <c r="X2121" s="26" t="str">
        <f aca="false">IF($A2121="","",U2121-W2121)</f>
        <v/>
      </c>
      <c r="Y2121" s="26" t="str">
        <f aca="false">IF($A2121="","",U2121-W2121-M2121)</f>
        <v/>
      </c>
      <c r="AB2121" s="27" t="str">
        <f aca="false">IF($A2121="","",IF($AK2121=1,'كشف المطالبة'!$D$5,'كشف المطالبة'!$D$6)*100)</f>
        <v/>
      </c>
      <c r="AK2121" s="28" t="str">
        <f aca="false">IF($A2121="","",IF(OR($Q2121=TRUE(),$Q2121="TRUE"),1,0))</f>
        <v/>
      </c>
      <c r="AL2121" s="28" t="str">
        <f aca="false">IF($N2121="","",IF(MATCH($N2121,$N$2:$N$3001,0)=ROWS($N$2:$N2121),$N2121,""))</f>
        <v/>
      </c>
    </row>
    <row r="2122" customFormat="false" ht="15" hidden="false" customHeight="false" outlineLevel="0" collapsed="false">
      <c r="E2122" s="25"/>
      <c r="M2122" s="26" t="str">
        <f aca="false">IF($A2122="","",$L2122*$U2122/100)</f>
        <v/>
      </c>
      <c r="W2122" s="26" t="str">
        <f aca="false">IF($A2122="","",U2122*AB2122/100)</f>
        <v/>
      </c>
      <c r="X2122" s="26" t="str">
        <f aca="false">IF($A2122="","",U2122-W2122)</f>
        <v/>
      </c>
      <c r="Y2122" s="26" t="str">
        <f aca="false">IF($A2122="","",U2122-W2122-M2122)</f>
        <v/>
      </c>
      <c r="AB2122" s="27" t="str">
        <f aca="false">IF($A2122="","",IF($AK2122=1,'كشف المطالبة'!$D$5,'كشف المطالبة'!$D$6)*100)</f>
        <v/>
      </c>
      <c r="AK2122" s="28" t="str">
        <f aca="false">IF($A2122="","",IF(OR($Q2122=TRUE(),$Q2122="TRUE"),1,0))</f>
        <v/>
      </c>
      <c r="AL2122" s="28" t="str">
        <f aca="false">IF($N2122="","",IF(MATCH($N2122,$N$2:$N$3001,0)=ROWS($N$2:$N2122),$N2122,""))</f>
        <v/>
      </c>
    </row>
    <row r="2123" customFormat="false" ht="15" hidden="false" customHeight="false" outlineLevel="0" collapsed="false">
      <c r="E2123" s="25"/>
      <c r="M2123" s="26" t="str">
        <f aca="false">IF($A2123="","",$L2123*$U2123/100)</f>
        <v/>
      </c>
      <c r="W2123" s="26" t="str">
        <f aca="false">IF($A2123="","",U2123*AB2123/100)</f>
        <v/>
      </c>
      <c r="X2123" s="26" t="str">
        <f aca="false">IF($A2123="","",U2123-W2123)</f>
        <v/>
      </c>
      <c r="Y2123" s="26" t="str">
        <f aca="false">IF($A2123="","",U2123-W2123-M2123)</f>
        <v/>
      </c>
      <c r="AB2123" s="27" t="str">
        <f aca="false">IF($A2123="","",IF($AK2123=1,'كشف المطالبة'!$D$5,'كشف المطالبة'!$D$6)*100)</f>
        <v/>
      </c>
      <c r="AK2123" s="28" t="str">
        <f aca="false">IF($A2123="","",IF(OR($Q2123=TRUE(),$Q2123="TRUE"),1,0))</f>
        <v/>
      </c>
      <c r="AL2123" s="28" t="str">
        <f aca="false">IF($N2123="","",IF(MATCH($N2123,$N$2:$N$3001,0)=ROWS($N$2:$N2123),$N2123,""))</f>
        <v/>
      </c>
    </row>
    <row r="2124" customFormat="false" ht="15" hidden="false" customHeight="false" outlineLevel="0" collapsed="false">
      <c r="E2124" s="25"/>
      <c r="M2124" s="26" t="str">
        <f aca="false">IF($A2124="","",$L2124*$U2124/100)</f>
        <v/>
      </c>
      <c r="W2124" s="26" t="str">
        <f aca="false">IF($A2124="","",U2124*AB2124/100)</f>
        <v/>
      </c>
      <c r="X2124" s="26" t="str">
        <f aca="false">IF($A2124="","",U2124-W2124)</f>
        <v/>
      </c>
      <c r="Y2124" s="26" t="str">
        <f aca="false">IF($A2124="","",U2124-W2124-M2124)</f>
        <v/>
      </c>
      <c r="AB2124" s="27" t="str">
        <f aca="false">IF($A2124="","",IF($AK2124=1,'كشف المطالبة'!$D$5,'كشف المطالبة'!$D$6)*100)</f>
        <v/>
      </c>
      <c r="AK2124" s="28" t="str">
        <f aca="false">IF($A2124="","",IF(OR($Q2124=TRUE(),$Q2124="TRUE"),1,0))</f>
        <v/>
      </c>
      <c r="AL2124" s="28" t="str">
        <f aca="false">IF($N2124="","",IF(MATCH($N2124,$N$2:$N$3001,0)=ROWS($N$2:$N2124),$N2124,""))</f>
        <v/>
      </c>
    </row>
    <row r="2125" customFormat="false" ht="15" hidden="false" customHeight="false" outlineLevel="0" collapsed="false">
      <c r="E2125" s="25"/>
      <c r="M2125" s="26" t="str">
        <f aca="false">IF($A2125="","",$L2125*$U2125/100)</f>
        <v/>
      </c>
      <c r="W2125" s="26" t="str">
        <f aca="false">IF($A2125="","",U2125*AB2125/100)</f>
        <v/>
      </c>
      <c r="X2125" s="26" t="str">
        <f aca="false">IF($A2125="","",U2125-W2125)</f>
        <v/>
      </c>
      <c r="Y2125" s="26" t="str">
        <f aca="false">IF($A2125="","",U2125-W2125-M2125)</f>
        <v/>
      </c>
      <c r="AB2125" s="27" t="str">
        <f aca="false">IF($A2125="","",IF($AK2125=1,'كشف المطالبة'!$D$5,'كشف المطالبة'!$D$6)*100)</f>
        <v/>
      </c>
      <c r="AK2125" s="28" t="str">
        <f aca="false">IF($A2125="","",IF(OR($Q2125=TRUE(),$Q2125="TRUE"),1,0))</f>
        <v/>
      </c>
      <c r="AL2125" s="28" t="str">
        <f aca="false">IF($N2125="","",IF(MATCH($N2125,$N$2:$N$3001,0)=ROWS($N$2:$N2125),$N2125,""))</f>
        <v/>
      </c>
    </row>
    <row r="2126" customFormat="false" ht="15" hidden="false" customHeight="false" outlineLevel="0" collapsed="false">
      <c r="E2126" s="25"/>
      <c r="M2126" s="26" t="str">
        <f aca="false">IF($A2126="","",$L2126*$U2126/100)</f>
        <v/>
      </c>
      <c r="W2126" s="26" t="str">
        <f aca="false">IF($A2126="","",U2126*AB2126/100)</f>
        <v/>
      </c>
      <c r="X2126" s="26" t="str">
        <f aca="false">IF($A2126="","",U2126-W2126)</f>
        <v/>
      </c>
      <c r="Y2126" s="26" t="str">
        <f aca="false">IF($A2126="","",U2126-W2126-M2126)</f>
        <v/>
      </c>
      <c r="AB2126" s="27" t="str">
        <f aca="false">IF($A2126="","",IF($AK2126=1,'كشف المطالبة'!$D$5,'كشف المطالبة'!$D$6)*100)</f>
        <v/>
      </c>
      <c r="AK2126" s="28" t="str">
        <f aca="false">IF($A2126="","",IF(OR($Q2126=TRUE(),$Q2126="TRUE"),1,0))</f>
        <v/>
      </c>
      <c r="AL2126" s="28" t="str">
        <f aca="false">IF($N2126="","",IF(MATCH($N2126,$N$2:$N$3001,0)=ROWS($N$2:$N2126),$N2126,""))</f>
        <v/>
      </c>
    </row>
    <row r="2127" customFormat="false" ht="15" hidden="false" customHeight="false" outlineLevel="0" collapsed="false">
      <c r="E2127" s="25"/>
      <c r="M2127" s="26" t="str">
        <f aca="false">IF($A2127="","",$L2127*$U2127/100)</f>
        <v/>
      </c>
      <c r="W2127" s="26" t="str">
        <f aca="false">IF($A2127="","",U2127*AB2127/100)</f>
        <v/>
      </c>
      <c r="X2127" s="26" t="str">
        <f aca="false">IF($A2127="","",U2127-W2127)</f>
        <v/>
      </c>
      <c r="Y2127" s="26" t="str">
        <f aca="false">IF($A2127="","",U2127-W2127-M2127)</f>
        <v/>
      </c>
      <c r="AB2127" s="27" t="str">
        <f aca="false">IF($A2127="","",IF($AK2127=1,'كشف المطالبة'!$D$5,'كشف المطالبة'!$D$6)*100)</f>
        <v/>
      </c>
      <c r="AK2127" s="28" t="str">
        <f aca="false">IF($A2127="","",IF(OR($Q2127=TRUE(),$Q2127="TRUE"),1,0))</f>
        <v/>
      </c>
      <c r="AL2127" s="28" t="str">
        <f aca="false">IF($N2127="","",IF(MATCH($N2127,$N$2:$N$3001,0)=ROWS($N$2:$N2127),$N2127,""))</f>
        <v/>
      </c>
    </row>
    <row r="2128" customFormat="false" ht="15" hidden="false" customHeight="false" outlineLevel="0" collapsed="false">
      <c r="E2128" s="25"/>
      <c r="M2128" s="26" t="str">
        <f aca="false">IF($A2128="","",$L2128*$U2128/100)</f>
        <v/>
      </c>
      <c r="W2128" s="26" t="str">
        <f aca="false">IF($A2128="","",U2128*AB2128/100)</f>
        <v/>
      </c>
      <c r="X2128" s="26" t="str">
        <f aca="false">IF($A2128="","",U2128-W2128)</f>
        <v/>
      </c>
      <c r="Y2128" s="26" t="str">
        <f aca="false">IF($A2128="","",U2128-W2128-M2128)</f>
        <v/>
      </c>
      <c r="AB2128" s="27" t="str">
        <f aca="false">IF($A2128="","",IF($AK2128=1,'كشف المطالبة'!$D$5,'كشف المطالبة'!$D$6)*100)</f>
        <v/>
      </c>
      <c r="AK2128" s="28" t="str">
        <f aca="false">IF($A2128="","",IF(OR($Q2128=TRUE(),$Q2128="TRUE"),1,0))</f>
        <v/>
      </c>
      <c r="AL2128" s="28" t="str">
        <f aca="false">IF($N2128="","",IF(MATCH($N2128,$N$2:$N$3001,0)=ROWS($N$2:$N2128),$N2128,""))</f>
        <v/>
      </c>
    </row>
    <row r="2129" customFormat="false" ht="15" hidden="false" customHeight="false" outlineLevel="0" collapsed="false">
      <c r="E2129" s="25"/>
      <c r="M2129" s="26" t="str">
        <f aca="false">IF($A2129="","",$L2129*$U2129/100)</f>
        <v/>
      </c>
      <c r="W2129" s="26" t="str">
        <f aca="false">IF($A2129="","",U2129*AB2129/100)</f>
        <v/>
      </c>
      <c r="X2129" s="26" t="str">
        <f aca="false">IF($A2129="","",U2129-W2129)</f>
        <v/>
      </c>
      <c r="Y2129" s="26" t="str">
        <f aca="false">IF($A2129="","",U2129-W2129-M2129)</f>
        <v/>
      </c>
      <c r="AB2129" s="27" t="str">
        <f aca="false">IF($A2129="","",IF($AK2129=1,'كشف المطالبة'!$D$5,'كشف المطالبة'!$D$6)*100)</f>
        <v/>
      </c>
      <c r="AK2129" s="28" t="str">
        <f aca="false">IF($A2129="","",IF(OR($Q2129=TRUE(),$Q2129="TRUE"),1,0))</f>
        <v/>
      </c>
      <c r="AL2129" s="28" t="str">
        <f aca="false">IF($N2129="","",IF(MATCH($N2129,$N$2:$N$3001,0)=ROWS($N$2:$N2129),$N2129,""))</f>
        <v/>
      </c>
    </row>
    <row r="2130" customFormat="false" ht="15" hidden="false" customHeight="false" outlineLevel="0" collapsed="false">
      <c r="E2130" s="25"/>
      <c r="M2130" s="26" t="str">
        <f aca="false">IF($A2130="","",$L2130*$U2130/100)</f>
        <v/>
      </c>
      <c r="W2130" s="26" t="str">
        <f aca="false">IF($A2130="","",U2130*AB2130/100)</f>
        <v/>
      </c>
      <c r="X2130" s="26" t="str">
        <f aca="false">IF($A2130="","",U2130-W2130)</f>
        <v/>
      </c>
      <c r="Y2130" s="26" t="str">
        <f aca="false">IF($A2130="","",U2130-W2130-M2130)</f>
        <v/>
      </c>
      <c r="AB2130" s="27" t="str">
        <f aca="false">IF($A2130="","",IF($AK2130=1,'كشف المطالبة'!$D$5,'كشف المطالبة'!$D$6)*100)</f>
        <v/>
      </c>
      <c r="AK2130" s="28" t="str">
        <f aca="false">IF($A2130="","",IF(OR($Q2130=TRUE(),$Q2130="TRUE"),1,0))</f>
        <v/>
      </c>
      <c r="AL2130" s="28" t="str">
        <f aca="false">IF($N2130="","",IF(MATCH($N2130,$N$2:$N$3001,0)=ROWS($N$2:$N2130),$N2130,""))</f>
        <v/>
      </c>
    </row>
    <row r="2131" customFormat="false" ht="15" hidden="false" customHeight="false" outlineLevel="0" collapsed="false">
      <c r="E2131" s="25"/>
      <c r="M2131" s="26" t="str">
        <f aca="false">IF($A2131="","",$L2131*$U2131/100)</f>
        <v/>
      </c>
      <c r="W2131" s="26" t="str">
        <f aca="false">IF($A2131="","",U2131*AB2131/100)</f>
        <v/>
      </c>
      <c r="X2131" s="26" t="str">
        <f aca="false">IF($A2131="","",U2131-W2131)</f>
        <v/>
      </c>
      <c r="Y2131" s="26" t="str">
        <f aca="false">IF($A2131="","",U2131-W2131-M2131)</f>
        <v/>
      </c>
      <c r="AB2131" s="27" t="str">
        <f aca="false">IF($A2131="","",IF($AK2131=1,'كشف المطالبة'!$D$5,'كشف المطالبة'!$D$6)*100)</f>
        <v/>
      </c>
      <c r="AK2131" s="28" t="str">
        <f aca="false">IF($A2131="","",IF(OR($Q2131=TRUE(),$Q2131="TRUE"),1,0))</f>
        <v/>
      </c>
      <c r="AL2131" s="28" t="str">
        <f aca="false">IF($N2131="","",IF(MATCH($N2131,$N$2:$N$3001,0)=ROWS($N$2:$N2131),$N2131,""))</f>
        <v/>
      </c>
    </row>
    <row r="2132" customFormat="false" ht="15" hidden="false" customHeight="false" outlineLevel="0" collapsed="false">
      <c r="E2132" s="25"/>
      <c r="M2132" s="26" t="str">
        <f aca="false">IF($A2132="","",$L2132*$U2132/100)</f>
        <v/>
      </c>
      <c r="W2132" s="26" t="str">
        <f aca="false">IF($A2132="","",U2132*AB2132/100)</f>
        <v/>
      </c>
      <c r="X2132" s="26" t="str">
        <f aca="false">IF($A2132="","",U2132-W2132)</f>
        <v/>
      </c>
      <c r="Y2132" s="26" t="str">
        <f aca="false">IF($A2132="","",U2132-W2132-M2132)</f>
        <v/>
      </c>
      <c r="AB2132" s="27" t="str">
        <f aca="false">IF($A2132="","",IF($AK2132=1,'كشف المطالبة'!$D$5,'كشف المطالبة'!$D$6)*100)</f>
        <v/>
      </c>
      <c r="AK2132" s="28" t="str">
        <f aca="false">IF($A2132="","",IF(OR($Q2132=TRUE(),$Q2132="TRUE"),1,0))</f>
        <v/>
      </c>
      <c r="AL2132" s="28" t="str">
        <f aca="false">IF($N2132="","",IF(MATCH($N2132,$N$2:$N$3001,0)=ROWS($N$2:$N2132),$N2132,""))</f>
        <v/>
      </c>
    </row>
    <row r="2133" customFormat="false" ht="15" hidden="false" customHeight="false" outlineLevel="0" collapsed="false">
      <c r="E2133" s="25"/>
      <c r="M2133" s="26" t="str">
        <f aca="false">IF($A2133="","",$L2133*$U2133/100)</f>
        <v/>
      </c>
      <c r="W2133" s="26" t="str">
        <f aca="false">IF($A2133="","",U2133*AB2133/100)</f>
        <v/>
      </c>
      <c r="X2133" s="26" t="str">
        <f aca="false">IF($A2133="","",U2133-W2133)</f>
        <v/>
      </c>
      <c r="Y2133" s="26" t="str">
        <f aca="false">IF($A2133="","",U2133-W2133-M2133)</f>
        <v/>
      </c>
      <c r="AB2133" s="27" t="str">
        <f aca="false">IF($A2133="","",IF($AK2133=1,'كشف المطالبة'!$D$5,'كشف المطالبة'!$D$6)*100)</f>
        <v/>
      </c>
      <c r="AK2133" s="28" t="str">
        <f aca="false">IF($A2133="","",IF(OR($Q2133=TRUE(),$Q2133="TRUE"),1,0))</f>
        <v/>
      </c>
      <c r="AL2133" s="28" t="str">
        <f aca="false">IF($N2133="","",IF(MATCH($N2133,$N$2:$N$3001,0)=ROWS($N$2:$N2133),$N2133,""))</f>
        <v/>
      </c>
    </row>
    <row r="2134" customFormat="false" ht="15" hidden="false" customHeight="false" outlineLevel="0" collapsed="false">
      <c r="E2134" s="25"/>
      <c r="M2134" s="26" t="str">
        <f aca="false">IF($A2134="","",$L2134*$U2134/100)</f>
        <v/>
      </c>
      <c r="W2134" s="26" t="str">
        <f aca="false">IF($A2134="","",U2134*AB2134/100)</f>
        <v/>
      </c>
      <c r="X2134" s="26" t="str">
        <f aca="false">IF($A2134="","",U2134-W2134)</f>
        <v/>
      </c>
      <c r="Y2134" s="26" t="str">
        <f aca="false">IF($A2134="","",U2134-W2134-M2134)</f>
        <v/>
      </c>
      <c r="AB2134" s="27" t="str">
        <f aca="false">IF($A2134="","",IF($AK2134=1,'كشف المطالبة'!$D$5,'كشف المطالبة'!$D$6)*100)</f>
        <v/>
      </c>
      <c r="AK2134" s="28" t="str">
        <f aca="false">IF($A2134="","",IF(OR($Q2134=TRUE(),$Q2134="TRUE"),1,0))</f>
        <v/>
      </c>
      <c r="AL2134" s="28" t="str">
        <f aca="false">IF($N2134="","",IF(MATCH($N2134,$N$2:$N$3001,0)=ROWS($N$2:$N2134),$N2134,""))</f>
        <v/>
      </c>
    </row>
    <row r="2135" customFormat="false" ht="15" hidden="false" customHeight="false" outlineLevel="0" collapsed="false">
      <c r="E2135" s="25"/>
      <c r="M2135" s="26" t="str">
        <f aca="false">IF($A2135="","",$L2135*$U2135/100)</f>
        <v/>
      </c>
      <c r="W2135" s="26" t="str">
        <f aca="false">IF($A2135="","",U2135*AB2135/100)</f>
        <v/>
      </c>
      <c r="X2135" s="26" t="str">
        <f aca="false">IF($A2135="","",U2135-W2135)</f>
        <v/>
      </c>
      <c r="Y2135" s="26" t="str">
        <f aca="false">IF($A2135="","",U2135-W2135-M2135)</f>
        <v/>
      </c>
      <c r="AB2135" s="27" t="str">
        <f aca="false">IF($A2135="","",IF($AK2135=1,'كشف المطالبة'!$D$5,'كشف المطالبة'!$D$6)*100)</f>
        <v/>
      </c>
      <c r="AK2135" s="28" t="str">
        <f aca="false">IF($A2135="","",IF(OR($Q2135=TRUE(),$Q2135="TRUE"),1,0))</f>
        <v/>
      </c>
      <c r="AL2135" s="28" t="str">
        <f aca="false">IF($N2135="","",IF(MATCH($N2135,$N$2:$N$3001,0)=ROWS($N$2:$N2135),$N2135,""))</f>
        <v/>
      </c>
    </row>
    <row r="2136" customFormat="false" ht="15" hidden="false" customHeight="false" outlineLevel="0" collapsed="false">
      <c r="E2136" s="25"/>
      <c r="M2136" s="26" t="str">
        <f aca="false">IF($A2136="","",$L2136*$U2136/100)</f>
        <v/>
      </c>
      <c r="W2136" s="26" t="str">
        <f aca="false">IF($A2136="","",U2136*AB2136/100)</f>
        <v/>
      </c>
      <c r="X2136" s="26" t="str">
        <f aca="false">IF($A2136="","",U2136-W2136)</f>
        <v/>
      </c>
      <c r="Y2136" s="26" t="str">
        <f aca="false">IF($A2136="","",U2136-W2136-M2136)</f>
        <v/>
      </c>
      <c r="AB2136" s="27" t="str">
        <f aca="false">IF($A2136="","",IF($AK2136=1,'كشف المطالبة'!$D$5,'كشف المطالبة'!$D$6)*100)</f>
        <v/>
      </c>
      <c r="AK2136" s="28" t="str">
        <f aca="false">IF($A2136="","",IF(OR($Q2136=TRUE(),$Q2136="TRUE"),1,0))</f>
        <v/>
      </c>
      <c r="AL2136" s="28" t="str">
        <f aca="false">IF($N2136="","",IF(MATCH($N2136,$N$2:$N$3001,0)=ROWS($N$2:$N2136),$N2136,""))</f>
        <v/>
      </c>
    </row>
    <row r="2137" customFormat="false" ht="15" hidden="false" customHeight="false" outlineLevel="0" collapsed="false">
      <c r="E2137" s="25"/>
      <c r="M2137" s="26" t="str">
        <f aca="false">IF($A2137="","",$L2137*$U2137/100)</f>
        <v/>
      </c>
      <c r="W2137" s="26" t="str">
        <f aca="false">IF($A2137="","",U2137*AB2137/100)</f>
        <v/>
      </c>
      <c r="X2137" s="26" t="str">
        <f aca="false">IF($A2137="","",U2137-W2137)</f>
        <v/>
      </c>
      <c r="Y2137" s="26" t="str">
        <f aca="false">IF($A2137="","",U2137-W2137-M2137)</f>
        <v/>
      </c>
      <c r="AB2137" s="27" t="str">
        <f aca="false">IF($A2137="","",IF($AK2137=1,'كشف المطالبة'!$D$5,'كشف المطالبة'!$D$6)*100)</f>
        <v/>
      </c>
      <c r="AK2137" s="28" t="str">
        <f aca="false">IF($A2137="","",IF(OR($Q2137=TRUE(),$Q2137="TRUE"),1,0))</f>
        <v/>
      </c>
      <c r="AL2137" s="28" t="str">
        <f aca="false">IF($N2137="","",IF(MATCH($N2137,$N$2:$N$3001,0)=ROWS($N$2:$N2137),$N2137,""))</f>
        <v/>
      </c>
    </row>
    <row r="2138" customFormat="false" ht="15" hidden="false" customHeight="false" outlineLevel="0" collapsed="false">
      <c r="E2138" s="25"/>
      <c r="M2138" s="26" t="str">
        <f aca="false">IF($A2138="","",$L2138*$U2138/100)</f>
        <v/>
      </c>
      <c r="W2138" s="26" t="str">
        <f aca="false">IF($A2138="","",U2138*AB2138/100)</f>
        <v/>
      </c>
      <c r="X2138" s="26" t="str">
        <f aca="false">IF($A2138="","",U2138-W2138)</f>
        <v/>
      </c>
      <c r="Y2138" s="26" t="str">
        <f aca="false">IF($A2138="","",U2138-W2138-M2138)</f>
        <v/>
      </c>
      <c r="AB2138" s="27" t="str">
        <f aca="false">IF($A2138="","",IF($AK2138=1,'كشف المطالبة'!$D$5,'كشف المطالبة'!$D$6)*100)</f>
        <v/>
      </c>
      <c r="AK2138" s="28" t="str">
        <f aca="false">IF($A2138="","",IF(OR($Q2138=TRUE(),$Q2138="TRUE"),1,0))</f>
        <v/>
      </c>
      <c r="AL2138" s="28" t="str">
        <f aca="false">IF($N2138="","",IF(MATCH($N2138,$N$2:$N$3001,0)=ROWS($N$2:$N2138),$N2138,""))</f>
        <v/>
      </c>
    </row>
    <row r="2139" customFormat="false" ht="15" hidden="false" customHeight="false" outlineLevel="0" collapsed="false">
      <c r="E2139" s="25"/>
      <c r="M2139" s="26" t="str">
        <f aca="false">IF($A2139="","",$L2139*$U2139/100)</f>
        <v/>
      </c>
      <c r="W2139" s="26" t="str">
        <f aca="false">IF($A2139="","",U2139*AB2139/100)</f>
        <v/>
      </c>
      <c r="X2139" s="26" t="str">
        <f aca="false">IF($A2139="","",U2139-W2139)</f>
        <v/>
      </c>
      <c r="Y2139" s="26" t="str">
        <f aca="false">IF($A2139="","",U2139-W2139-M2139)</f>
        <v/>
      </c>
      <c r="AB2139" s="27" t="str">
        <f aca="false">IF($A2139="","",IF($AK2139=1,'كشف المطالبة'!$D$5,'كشف المطالبة'!$D$6)*100)</f>
        <v/>
      </c>
      <c r="AK2139" s="28" t="str">
        <f aca="false">IF($A2139="","",IF(OR($Q2139=TRUE(),$Q2139="TRUE"),1,0))</f>
        <v/>
      </c>
      <c r="AL2139" s="28" t="str">
        <f aca="false">IF($N2139="","",IF(MATCH($N2139,$N$2:$N$3001,0)=ROWS($N$2:$N2139),$N2139,""))</f>
        <v/>
      </c>
    </row>
    <row r="2140" customFormat="false" ht="15" hidden="false" customHeight="false" outlineLevel="0" collapsed="false">
      <c r="E2140" s="25"/>
      <c r="M2140" s="26" t="str">
        <f aca="false">IF($A2140="","",$L2140*$U2140/100)</f>
        <v/>
      </c>
      <c r="W2140" s="26" t="str">
        <f aca="false">IF($A2140="","",U2140*AB2140/100)</f>
        <v/>
      </c>
      <c r="X2140" s="26" t="str">
        <f aca="false">IF($A2140="","",U2140-W2140)</f>
        <v/>
      </c>
      <c r="Y2140" s="26" t="str">
        <f aca="false">IF($A2140="","",U2140-W2140-M2140)</f>
        <v/>
      </c>
      <c r="AB2140" s="27" t="str">
        <f aca="false">IF($A2140="","",IF($AK2140=1,'كشف المطالبة'!$D$5,'كشف المطالبة'!$D$6)*100)</f>
        <v/>
      </c>
      <c r="AK2140" s="28" t="str">
        <f aca="false">IF($A2140="","",IF(OR($Q2140=TRUE(),$Q2140="TRUE"),1,0))</f>
        <v/>
      </c>
      <c r="AL2140" s="28" t="str">
        <f aca="false">IF($N2140="","",IF(MATCH($N2140,$N$2:$N$3001,0)=ROWS($N$2:$N2140),$N2140,""))</f>
        <v/>
      </c>
    </row>
    <row r="2141" customFormat="false" ht="15" hidden="false" customHeight="false" outlineLevel="0" collapsed="false">
      <c r="E2141" s="25"/>
      <c r="M2141" s="26" t="str">
        <f aca="false">IF($A2141="","",$L2141*$U2141/100)</f>
        <v/>
      </c>
      <c r="W2141" s="26" t="str">
        <f aca="false">IF($A2141="","",U2141*AB2141/100)</f>
        <v/>
      </c>
      <c r="X2141" s="26" t="str">
        <f aca="false">IF($A2141="","",U2141-W2141)</f>
        <v/>
      </c>
      <c r="Y2141" s="26" t="str">
        <f aca="false">IF($A2141="","",U2141-W2141-M2141)</f>
        <v/>
      </c>
      <c r="AB2141" s="27" t="str">
        <f aca="false">IF($A2141="","",IF($AK2141=1,'كشف المطالبة'!$D$5,'كشف المطالبة'!$D$6)*100)</f>
        <v/>
      </c>
      <c r="AK2141" s="28" t="str">
        <f aca="false">IF($A2141="","",IF(OR($Q2141=TRUE(),$Q2141="TRUE"),1,0))</f>
        <v/>
      </c>
      <c r="AL2141" s="28" t="str">
        <f aca="false">IF($N2141="","",IF(MATCH($N2141,$N$2:$N$3001,0)=ROWS($N$2:$N2141),$N2141,""))</f>
        <v/>
      </c>
    </row>
    <row r="2142" customFormat="false" ht="15" hidden="false" customHeight="false" outlineLevel="0" collapsed="false">
      <c r="E2142" s="25"/>
      <c r="M2142" s="26" t="str">
        <f aca="false">IF($A2142="","",$L2142*$U2142/100)</f>
        <v/>
      </c>
      <c r="W2142" s="26" t="str">
        <f aca="false">IF($A2142="","",U2142*AB2142/100)</f>
        <v/>
      </c>
      <c r="X2142" s="26" t="str">
        <f aca="false">IF($A2142="","",U2142-W2142)</f>
        <v/>
      </c>
      <c r="Y2142" s="26" t="str">
        <f aca="false">IF($A2142="","",U2142-W2142-M2142)</f>
        <v/>
      </c>
      <c r="AB2142" s="27" t="str">
        <f aca="false">IF($A2142="","",IF($AK2142=1,'كشف المطالبة'!$D$5,'كشف المطالبة'!$D$6)*100)</f>
        <v/>
      </c>
      <c r="AK2142" s="28" t="str">
        <f aca="false">IF($A2142="","",IF(OR($Q2142=TRUE(),$Q2142="TRUE"),1,0))</f>
        <v/>
      </c>
      <c r="AL2142" s="28" t="str">
        <f aca="false">IF($N2142="","",IF(MATCH($N2142,$N$2:$N$3001,0)=ROWS($N$2:$N2142),$N2142,""))</f>
        <v/>
      </c>
    </row>
    <row r="2143" customFormat="false" ht="15" hidden="false" customHeight="false" outlineLevel="0" collapsed="false">
      <c r="E2143" s="25"/>
      <c r="M2143" s="26" t="str">
        <f aca="false">IF($A2143="","",$L2143*$U2143/100)</f>
        <v/>
      </c>
      <c r="W2143" s="26" t="str">
        <f aca="false">IF($A2143="","",U2143*AB2143/100)</f>
        <v/>
      </c>
      <c r="X2143" s="26" t="str">
        <f aca="false">IF($A2143="","",U2143-W2143)</f>
        <v/>
      </c>
      <c r="Y2143" s="26" t="str">
        <f aca="false">IF($A2143="","",U2143-W2143-M2143)</f>
        <v/>
      </c>
      <c r="AB2143" s="27" t="str">
        <f aca="false">IF($A2143="","",IF($AK2143=1,'كشف المطالبة'!$D$5,'كشف المطالبة'!$D$6)*100)</f>
        <v/>
      </c>
      <c r="AK2143" s="28" t="str">
        <f aca="false">IF($A2143="","",IF(OR($Q2143=TRUE(),$Q2143="TRUE"),1,0))</f>
        <v/>
      </c>
      <c r="AL2143" s="28" t="str">
        <f aca="false">IF($N2143="","",IF(MATCH($N2143,$N$2:$N$3001,0)=ROWS($N$2:$N2143),$N2143,""))</f>
        <v/>
      </c>
    </row>
    <row r="2144" customFormat="false" ht="15" hidden="false" customHeight="false" outlineLevel="0" collapsed="false">
      <c r="E2144" s="25"/>
      <c r="M2144" s="26" t="str">
        <f aca="false">IF($A2144="","",$L2144*$U2144/100)</f>
        <v/>
      </c>
      <c r="W2144" s="26" t="str">
        <f aca="false">IF($A2144="","",U2144*AB2144/100)</f>
        <v/>
      </c>
      <c r="X2144" s="26" t="str">
        <f aca="false">IF($A2144="","",U2144-W2144)</f>
        <v/>
      </c>
      <c r="Y2144" s="26" t="str">
        <f aca="false">IF($A2144="","",U2144-W2144-M2144)</f>
        <v/>
      </c>
      <c r="AB2144" s="27" t="str">
        <f aca="false">IF($A2144="","",IF($AK2144=1,'كشف المطالبة'!$D$5,'كشف المطالبة'!$D$6)*100)</f>
        <v/>
      </c>
      <c r="AK2144" s="28" t="str">
        <f aca="false">IF($A2144="","",IF(OR($Q2144=TRUE(),$Q2144="TRUE"),1,0))</f>
        <v/>
      </c>
      <c r="AL2144" s="28" t="str">
        <f aca="false">IF($N2144="","",IF(MATCH($N2144,$N$2:$N$3001,0)=ROWS($N$2:$N2144),$N2144,""))</f>
        <v/>
      </c>
    </row>
    <row r="2145" customFormat="false" ht="15" hidden="false" customHeight="false" outlineLevel="0" collapsed="false">
      <c r="E2145" s="25"/>
      <c r="M2145" s="26" t="str">
        <f aca="false">IF($A2145="","",$L2145*$U2145/100)</f>
        <v/>
      </c>
      <c r="W2145" s="26" t="str">
        <f aca="false">IF($A2145="","",U2145*AB2145/100)</f>
        <v/>
      </c>
      <c r="X2145" s="26" t="str">
        <f aca="false">IF($A2145="","",U2145-W2145)</f>
        <v/>
      </c>
      <c r="Y2145" s="26" t="str">
        <f aca="false">IF($A2145="","",U2145-W2145-M2145)</f>
        <v/>
      </c>
      <c r="AB2145" s="27" t="str">
        <f aca="false">IF($A2145="","",IF($AK2145=1,'كشف المطالبة'!$D$5,'كشف المطالبة'!$D$6)*100)</f>
        <v/>
      </c>
      <c r="AK2145" s="28" t="str">
        <f aca="false">IF($A2145="","",IF(OR($Q2145=TRUE(),$Q2145="TRUE"),1,0))</f>
        <v/>
      </c>
      <c r="AL2145" s="28" t="str">
        <f aca="false">IF($N2145="","",IF(MATCH($N2145,$N$2:$N$3001,0)=ROWS($N$2:$N2145),$N2145,""))</f>
        <v/>
      </c>
    </row>
    <row r="2146" customFormat="false" ht="15" hidden="false" customHeight="false" outlineLevel="0" collapsed="false">
      <c r="E2146" s="25"/>
      <c r="M2146" s="26" t="str">
        <f aca="false">IF($A2146="","",$L2146*$U2146/100)</f>
        <v/>
      </c>
      <c r="W2146" s="26" t="str">
        <f aca="false">IF($A2146="","",U2146*AB2146/100)</f>
        <v/>
      </c>
      <c r="X2146" s="26" t="str">
        <f aca="false">IF($A2146="","",U2146-W2146)</f>
        <v/>
      </c>
      <c r="Y2146" s="26" t="str">
        <f aca="false">IF($A2146="","",U2146-W2146-M2146)</f>
        <v/>
      </c>
      <c r="AB2146" s="27" t="str">
        <f aca="false">IF($A2146="","",IF($AK2146=1,'كشف المطالبة'!$D$5,'كشف المطالبة'!$D$6)*100)</f>
        <v/>
      </c>
      <c r="AK2146" s="28" t="str">
        <f aca="false">IF($A2146="","",IF(OR($Q2146=TRUE(),$Q2146="TRUE"),1,0))</f>
        <v/>
      </c>
      <c r="AL2146" s="28" t="str">
        <f aca="false">IF($N2146="","",IF(MATCH($N2146,$N$2:$N$3001,0)=ROWS($N$2:$N2146),$N2146,""))</f>
        <v/>
      </c>
    </row>
    <row r="2147" customFormat="false" ht="15" hidden="false" customHeight="false" outlineLevel="0" collapsed="false">
      <c r="E2147" s="25"/>
      <c r="M2147" s="26" t="str">
        <f aca="false">IF($A2147="","",$L2147*$U2147/100)</f>
        <v/>
      </c>
      <c r="W2147" s="26" t="str">
        <f aca="false">IF($A2147="","",U2147*AB2147/100)</f>
        <v/>
      </c>
      <c r="X2147" s="26" t="str">
        <f aca="false">IF($A2147="","",U2147-W2147)</f>
        <v/>
      </c>
      <c r="Y2147" s="26" t="str">
        <f aca="false">IF($A2147="","",U2147-W2147-M2147)</f>
        <v/>
      </c>
      <c r="AB2147" s="27" t="str">
        <f aca="false">IF($A2147="","",IF($AK2147=1,'كشف المطالبة'!$D$5,'كشف المطالبة'!$D$6)*100)</f>
        <v/>
      </c>
      <c r="AK2147" s="28" t="str">
        <f aca="false">IF($A2147="","",IF(OR($Q2147=TRUE(),$Q2147="TRUE"),1,0))</f>
        <v/>
      </c>
      <c r="AL2147" s="28" t="str">
        <f aca="false">IF($N2147="","",IF(MATCH($N2147,$N$2:$N$3001,0)=ROWS($N$2:$N2147),$N2147,""))</f>
        <v/>
      </c>
    </row>
    <row r="2148" customFormat="false" ht="15" hidden="false" customHeight="false" outlineLevel="0" collapsed="false">
      <c r="E2148" s="25"/>
      <c r="M2148" s="26" t="str">
        <f aca="false">IF($A2148="","",$L2148*$U2148/100)</f>
        <v/>
      </c>
      <c r="W2148" s="26" t="str">
        <f aca="false">IF($A2148="","",U2148*AB2148/100)</f>
        <v/>
      </c>
      <c r="X2148" s="26" t="str">
        <f aca="false">IF($A2148="","",U2148-W2148)</f>
        <v/>
      </c>
      <c r="Y2148" s="26" t="str">
        <f aca="false">IF($A2148="","",U2148-W2148-M2148)</f>
        <v/>
      </c>
      <c r="AB2148" s="27" t="str">
        <f aca="false">IF($A2148="","",IF($AK2148=1,'كشف المطالبة'!$D$5,'كشف المطالبة'!$D$6)*100)</f>
        <v/>
      </c>
      <c r="AK2148" s="28" t="str">
        <f aca="false">IF($A2148="","",IF(OR($Q2148=TRUE(),$Q2148="TRUE"),1,0))</f>
        <v/>
      </c>
      <c r="AL2148" s="28" t="str">
        <f aca="false">IF($N2148="","",IF(MATCH($N2148,$N$2:$N$3001,0)=ROWS($N$2:$N2148),$N2148,""))</f>
        <v/>
      </c>
    </row>
    <row r="2149" customFormat="false" ht="15" hidden="false" customHeight="false" outlineLevel="0" collapsed="false">
      <c r="E2149" s="25"/>
      <c r="M2149" s="26" t="str">
        <f aca="false">IF($A2149="","",$L2149*$U2149/100)</f>
        <v/>
      </c>
      <c r="W2149" s="26" t="str">
        <f aca="false">IF($A2149="","",U2149*AB2149/100)</f>
        <v/>
      </c>
      <c r="X2149" s="26" t="str">
        <f aca="false">IF($A2149="","",U2149-W2149)</f>
        <v/>
      </c>
      <c r="Y2149" s="26" t="str">
        <f aca="false">IF($A2149="","",U2149-W2149-M2149)</f>
        <v/>
      </c>
      <c r="AB2149" s="27" t="str">
        <f aca="false">IF($A2149="","",IF($AK2149=1,'كشف المطالبة'!$D$5,'كشف المطالبة'!$D$6)*100)</f>
        <v/>
      </c>
      <c r="AK2149" s="28" t="str">
        <f aca="false">IF($A2149="","",IF(OR($Q2149=TRUE(),$Q2149="TRUE"),1,0))</f>
        <v/>
      </c>
      <c r="AL2149" s="28" t="str">
        <f aca="false">IF($N2149="","",IF(MATCH($N2149,$N$2:$N$3001,0)=ROWS($N$2:$N2149),$N2149,""))</f>
        <v/>
      </c>
    </row>
    <row r="2150" customFormat="false" ht="15" hidden="false" customHeight="false" outlineLevel="0" collapsed="false">
      <c r="E2150" s="25"/>
      <c r="M2150" s="26" t="str">
        <f aca="false">IF($A2150="","",$L2150*$U2150/100)</f>
        <v/>
      </c>
      <c r="W2150" s="26" t="str">
        <f aca="false">IF($A2150="","",U2150*AB2150/100)</f>
        <v/>
      </c>
      <c r="X2150" s="26" t="str">
        <f aca="false">IF($A2150="","",U2150-W2150)</f>
        <v/>
      </c>
      <c r="Y2150" s="26" t="str">
        <f aca="false">IF($A2150="","",U2150-W2150-M2150)</f>
        <v/>
      </c>
      <c r="AB2150" s="27" t="str">
        <f aca="false">IF($A2150="","",IF($AK2150=1,'كشف المطالبة'!$D$5,'كشف المطالبة'!$D$6)*100)</f>
        <v/>
      </c>
      <c r="AK2150" s="28" t="str">
        <f aca="false">IF($A2150="","",IF(OR($Q2150=TRUE(),$Q2150="TRUE"),1,0))</f>
        <v/>
      </c>
      <c r="AL2150" s="28" t="str">
        <f aca="false">IF($N2150="","",IF(MATCH($N2150,$N$2:$N$3001,0)=ROWS($N$2:$N2150),$N2150,""))</f>
        <v/>
      </c>
    </row>
    <row r="2151" customFormat="false" ht="15" hidden="false" customHeight="false" outlineLevel="0" collapsed="false">
      <c r="E2151" s="25"/>
      <c r="M2151" s="26" t="str">
        <f aca="false">IF($A2151="","",$L2151*$U2151/100)</f>
        <v/>
      </c>
      <c r="W2151" s="26" t="str">
        <f aca="false">IF($A2151="","",U2151*AB2151/100)</f>
        <v/>
      </c>
      <c r="X2151" s="26" t="str">
        <f aca="false">IF($A2151="","",U2151-W2151)</f>
        <v/>
      </c>
      <c r="Y2151" s="26" t="str">
        <f aca="false">IF($A2151="","",U2151-W2151-M2151)</f>
        <v/>
      </c>
      <c r="AB2151" s="27" t="str">
        <f aca="false">IF($A2151="","",IF($AK2151=1,'كشف المطالبة'!$D$5,'كشف المطالبة'!$D$6)*100)</f>
        <v/>
      </c>
      <c r="AK2151" s="28" t="str">
        <f aca="false">IF($A2151="","",IF(OR($Q2151=TRUE(),$Q2151="TRUE"),1,0))</f>
        <v/>
      </c>
      <c r="AL2151" s="28" t="str">
        <f aca="false">IF($N2151="","",IF(MATCH($N2151,$N$2:$N$3001,0)=ROWS($N$2:$N2151),$N2151,""))</f>
        <v/>
      </c>
    </row>
    <row r="2152" customFormat="false" ht="15" hidden="false" customHeight="false" outlineLevel="0" collapsed="false">
      <c r="E2152" s="25"/>
      <c r="M2152" s="26" t="str">
        <f aca="false">IF($A2152="","",$L2152*$U2152/100)</f>
        <v/>
      </c>
      <c r="W2152" s="26" t="str">
        <f aca="false">IF($A2152="","",U2152*AB2152/100)</f>
        <v/>
      </c>
      <c r="X2152" s="26" t="str">
        <f aca="false">IF($A2152="","",U2152-W2152)</f>
        <v/>
      </c>
      <c r="Y2152" s="26" t="str">
        <f aca="false">IF($A2152="","",U2152-W2152-M2152)</f>
        <v/>
      </c>
      <c r="AB2152" s="27" t="str">
        <f aca="false">IF($A2152="","",IF($AK2152=1,'كشف المطالبة'!$D$5,'كشف المطالبة'!$D$6)*100)</f>
        <v/>
      </c>
      <c r="AK2152" s="28" t="str">
        <f aca="false">IF($A2152="","",IF(OR($Q2152=TRUE(),$Q2152="TRUE"),1,0))</f>
        <v/>
      </c>
      <c r="AL2152" s="28" t="str">
        <f aca="false">IF($N2152="","",IF(MATCH($N2152,$N$2:$N$3001,0)=ROWS($N$2:$N2152),$N2152,""))</f>
        <v/>
      </c>
    </row>
    <row r="2153" customFormat="false" ht="15" hidden="false" customHeight="false" outlineLevel="0" collapsed="false">
      <c r="E2153" s="25"/>
      <c r="M2153" s="26" t="str">
        <f aca="false">IF($A2153="","",$L2153*$U2153/100)</f>
        <v/>
      </c>
      <c r="W2153" s="26" t="str">
        <f aca="false">IF($A2153="","",U2153*AB2153/100)</f>
        <v/>
      </c>
      <c r="X2153" s="26" t="str">
        <f aca="false">IF($A2153="","",U2153-W2153)</f>
        <v/>
      </c>
      <c r="Y2153" s="26" t="str">
        <f aca="false">IF($A2153="","",U2153-W2153-M2153)</f>
        <v/>
      </c>
      <c r="AB2153" s="27" t="str">
        <f aca="false">IF($A2153="","",IF($AK2153=1,'كشف المطالبة'!$D$5,'كشف المطالبة'!$D$6)*100)</f>
        <v/>
      </c>
      <c r="AK2153" s="28" t="str">
        <f aca="false">IF($A2153="","",IF(OR($Q2153=TRUE(),$Q2153="TRUE"),1,0))</f>
        <v/>
      </c>
      <c r="AL2153" s="28" t="str">
        <f aca="false">IF($N2153="","",IF(MATCH($N2153,$N$2:$N$3001,0)=ROWS($N$2:$N2153),$N2153,""))</f>
        <v/>
      </c>
    </row>
    <row r="2154" customFormat="false" ht="15" hidden="false" customHeight="false" outlineLevel="0" collapsed="false">
      <c r="E2154" s="25"/>
      <c r="M2154" s="26" t="str">
        <f aca="false">IF($A2154="","",$L2154*$U2154/100)</f>
        <v/>
      </c>
      <c r="W2154" s="26" t="str">
        <f aca="false">IF($A2154="","",U2154*AB2154/100)</f>
        <v/>
      </c>
      <c r="X2154" s="26" t="str">
        <f aca="false">IF($A2154="","",U2154-W2154)</f>
        <v/>
      </c>
      <c r="Y2154" s="26" t="str">
        <f aca="false">IF($A2154="","",U2154-W2154-M2154)</f>
        <v/>
      </c>
      <c r="AB2154" s="27" t="str">
        <f aca="false">IF($A2154="","",IF($AK2154=1,'كشف المطالبة'!$D$5,'كشف المطالبة'!$D$6)*100)</f>
        <v/>
      </c>
      <c r="AK2154" s="28" t="str">
        <f aca="false">IF($A2154="","",IF(OR($Q2154=TRUE(),$Q2154="TRUE"),1,0))</f>
        <v/>
      </c>
      <c r="AL2154" s="28" t="str">
        <f aca="false">IF($N2154="","",IF(MATCH($N2154,$N$2:$N$3001,0)=ROWS($N$2:$N2154),$N2154,""))</f>
        <v/>
      </c>
    </row>
    <row r="2155" customFormat="false" ht="15" hidden="false" customHeight="false" outlineLevel="0" collapsed="false">
      <c r="E2155" s="25"/>
      <c r="M2155" s="26" t="str">
        <f aca="false">IF($A2155="","",$L2155*$U2155/100)</f>
        <v/>
      </c>
      <c r="W2155" s="26" t="str">
        <f aca="false">IF($A2155="","",U2155*AB2155/100)</f>
        <v/>
      </c>
      <c r="X2155" s="26" t="str">
        <f aca="false">IF($A2155="","",U2155-W2155)</f>
        <v/>
      </c>
      <c r="Y2155" s="26" t="str">
        <f aca="false">IF($A2155="","",U2155-W2155-M2155)</f>
        <v/>
      </c>
      <c r="AB2155" s="27" t="str">
        <f aca="false">IF($A2155="","",IF($AK2155=1,'كشف المطالبة'!$D$5,'كشف المطالبة'!$D$6)*100)</f>
        <v/>
      </c>
      <c r="AK2155" s="28" t="str">
        <f aca="false">IF($A2155="","",IF(OR($Q2155=TRUE(),$Q2155="TRUE"),1,0))</f>
        <v/>
      </c>
      <c r="AL2155" s="28" t="str">
        <f aca="false">IF($N2155="","",IF(MATCH($N2155,$N$2:$N$3001,0)=ROWS($N$2:$N2155),$N2155,""))</f>
        <v/>
      </c>
    </row>
    <row r="2156" customFormat="false" ht="15" hidden="false" customHeight="false" outlineLevel="0" collapsed="false">
      <c r="E2156" s="25"/>
      <c r="M2156" s="26" t="str">
        <f aca="false">IF($A2156="","",$L2156*$U2156/100)</f>
        <v/>
      </c>
      <c r="W2156" s="26" t="str">
        <f aca="false">IF($A2156="","",U2156*AB2156/100)</f>
        <v/>
      </c>
      <c r="X2156" s="26" t="str">
        <f aca="false">IF($A2156="","",U2156-W2156)</f>
        <v/>
      </c>
      <c r="Y2156" s="26" t="str">
        <f aca="false">IF($A2156="","",U2156-W2156-M2156)</f>
        <v/>
      </c>
      <c r="AB2156" s="27" t="str">
        <f aca="false">IF($A2156="","",IF($AK2156=1,'كشف المطالبة'!$D$5,'كشف المطالبة'!$D$6)*100)</f>
        <v/>
      </c>
      <c r="AK2156" s="28" t="str">
        <f aca="false">IF($A2156="","",IF(OR($Q2156=TRUE(),$Q2156="TRUE"),1,0))</f>
        <v/>
      </c>
      <c r="AL2156" s="28" t="str">
        <f aca="false">IF($N2156="","",IF(MATCH($N2156,$N$2:$N$3001,0)=ROWS($N$2:$N2156),$N2156,""))</f>
        <v/>
      </c>
    </row>
    <row r="2157" customFormat="false" ht="15" hidden="false" customHeight="false" outlineLevel="0" collapsed="false">
      <c r="E2157" s="25"/>
      <c r="M2157" s="26" t="str">
        <f aca="false">IF($A2157="","",$L2157*$U2157/100)</f>
        <v/>
      </c>
      <c r="W2157" s="26" t="str">
        <f aca="false">IF($A2157="","",U2157*AB2157/100)</f>
        <v/>
      </c>
      <c r="X2157" s="26" t="str">
        <f aca="false">IF($A2157="","",U2157-W2157)</f>
        <v/>
      </c>
      <c r="Y2157" s="26" t="str">
        <f aca="false">IF($A2157="","",U2157-W2157-M2157)</f>
        <v/>
      </c>
      <c r="AB2157" s="27" t="str">
        <f aca="false">IF($A2157="","",IF($AK2157=1,'كشف المطالبة'!$D$5,'كشف المطالبة'!$D$6)*100)</f>
        <v/>
      </c>
      <c r="AK2157" s="28" t="str">
        <f aca="false">IF($A2157="","",IF(OR($Q2157=TRUE(),$Q2157="TRUE"),1,0))</f>
        <v/>
      </c>
      <c r="AL2157" s="28" t="str">
        <f aca="false">IF($N2157="","",IF(MATCH($N2157,$N$2:$N$3001,0)=ROWS($N$2:$N2157),$N2157,""))</f>
        <v/>
      </c>
    </row>
    <row r="2158" customFormat="false" ht="15" hidden="false" customHeight="false" outlineLevel="0" collapsed="false">
      <c r="E2158" s="25"/>
      <c r="M2158" s="26" t="str">
        <f aca="false">IF($A2158="","",$L2158*$U2158/100)</f>
        <v/>
      </c>
      <c r="W2158" s="26" t="str">
        <f aca="false">IF($A2158="","",U2158*AB2158/100)</f>
        <v/>
      </c>
      <c r="X2158" s="26" t="str">
        <f aca="false">IF($A2158="","",U2158-W2158)</f>
        <v/>
      </c>
      <c r="Y2158" s="26" t="str">
        <f aca="false">IF($A2158="","",U2158-W2158-M2158)</f>
        <v/>
      </c>
      <c r="AB2158" s="27" t="str">
        <f aca="false">IF($A2158="","",IF($AK2158=1,'كشف المطالبة'!$D$5,'كشف المطالبة'!$D$6)*100)</f>
        <v/>
      </c>
      <c r="AK2158" s="28" t="str">
        <f aca="false">IF($A2158="","",IF(OR($Q2158=TRUE(),$Q2158="TRUE"),1,0))</f>
        <v/>
      </c>
      <c r="AL2158" s="28" t="str">
        <f aca="false">IF($N2158="","",IF(MATCH($N2158,$N$2:$N$3001,0)=ROWS($N$2:$N2158),$N2158,""))</f>
        <v/>
      </c>
    </row>
    <row r="2159" customFormat="false" ht="15" hidden="false" customHeight="false" outlineLevel="0" collapsed="false">
      <c r="E2159" s="25"/>
      <c r="M2159" s="26" t="str">
        <f aca="false">IF($A2159="","",$L2159*$U2159/100)</f>
        <v/>
      </c>
      <c r="W2159" s="26" t="str">
        <f aca="false">IF($A2159="","",U2159*AB2159/100)</f>
        <v/>
      </c>
      <c r="X2159" s="26" t="str">
        <f aca="false">IF($A2159="","",U2159-W2159)</f>
        <v/>
      </c>
      <c r="Y2159" s="26" t="str">
        <f aca="false">IF($A2159="","",U2159-W2159-M2159)</f>
        <v/>
      </c>
      <c r="AB2159" s="27" t="str">
        <f aca="false">IF($A2159="","",IF($AK2159=1,'كشف المطالبة'!$D$5,'كشف المطالبة'!$D$6)*100)</f>
        <v/>
      </c>
      <c r="AK2159" s="28" t="str">
        <f aca="false">IF($A2159="","",IF(OR($Q2159=TRUE(),$Q2159="TRUE"),1,0))</f>
        <v/>
      </c>
      <c r="AL2159" s="28" t="str">
        <f aca="false">IF($N2159="","",IF(MATCH($N2159,$N$2:$N$3001,0)=ROWS($N$2:$N2159),$N2159,""))</f>
        <v/>
      </c>
    </row>
    <row r="2160" customFormat="false" ht="15" hidden="false" customHeight="false" outlineLevel="0" collapsed="false">
      <c r="E2160" s="25"/>
      <c r="M2160" s="26" t="str">
        <f aca="false">IF($A2160="","",$L2160*$U2160/100)</f>
        <v/>
      </c>
      <c r="W2160" s="26" t="str">
        <f aca="false">IF($A2160="","",U2160*AB2160/100)</f>
        <v/>
      </c>
      <c r="X2160" s="26" t="str">
        <f aca="false">IF($A2160="","",U2160-W2160)</f>
        <v/>
      </c>
      <c r="Y2160" s="26" t="str">
        <f aca="false">IF($A2160="","",U2160-W2160-M2160)</f>
        <v/>
      </c>
      <c r="AB2160" s="27" t="str">
        <f aca="false">IF($A2160="","",IF($AK2160=1,'كشف المطالبة'!$D$5,'كشف المطالبة'!$D$6)*100)</f>
        <v/>
      </c>
      <c r="AK2160" s="28" t="str">
        <f aca="false">IF($A2160="","",IF(OR($Q2160=TRUE(),$Q2160="TRUE"),1,0))</f>
        <v/>
      </c>
      <c r="AL2160" s="28" t="str">
        <f aca="false">IF($N2160="","",IF(MATCH($N2160,$N$2:$N$3001,0)=ROWS($N$2:$N2160),$N2160,""))</f>
        <v/>
      </c>
    </row>
    <row r="2161" customFormat="false" ht="15" hidden="false" customHeight="false" outlineLevel="0" collapsed="false">
      <c r="E2161" s="25"/>
      <c r="M2161" s="26" t="str">
        <f aca="false">IF($A2161="","",$L2161*$U2161/100)</f>
        <v/>
      </c>
      <c r="W2161" s="26" t="str">
        <f aca="false">IF($A2161="","",U2161*AB2161/100)</f>
        <v/>
      </c>
      <c r="X2161" s="26" t="str">
        <f aca="false">IF($A2161="","",U2161-W2161)</f>
        <v/>
      </c>
      <c r="Y2161" s="26" t="str">
        <f aca="false">IF($A2161="","",U2161-W2161-M2161)</f>
        <v/>
      </c>
      <c r="AB2161" s="27" t="str">
        <f aca="false">IF($A2161="","",IF($AK2161=1,'كشف المطالبة'!$D$5,'كشف المطالبة'!$D$6)*100)</f>
        <v/>
      </c>
      <c r="AK2161" s="28" t="str">
        <f aca="false">IF($A2161="","",IF(OR($Q2161=TRUE(),$Q2161="TRUE"),1,0))</f>
        <v/>
      </c>
      <c r="AL2161" s="28" t="str">
        <f aca="false">IF($N2161="","",IF(MATCH($N2161,$N$2:$N$3001,0)=ROWS($N$2:$N2161),$N2161,""))</f>
        <v/>
      </c>
    </row>
    <row r="2162" customFormat="false" ht="15" hidden="false" customHeight="false" outlineLevel="0" collapsed="false">
      <c r="E2162" s="25"/>
      <c r="M2162" s="26" t="str">
        <f aca="false">IF($A2162="","",$L2162*$U2162/100)</f>
        <v/>
      </c>
      <c r="W2162" s="26" t="str">
        <f aca="false">IF($A2162="","",U2162*AB2162/100)</f>
        <v/>
      </c>
      <c r="X2162" s="26" t="str">
        <f aca="false">IF($A2162="","",U2162-W2162)</f>
        <v/>
      </c>
      <c r="Y2162" s="26" t="str">
        <f aca="false">IF($A2162="","",U2162-W2162-M2162)</f>
        <v/>
      </c>
      <c r="AB2162" s="27" t="str">
        <f aca="false">IF($A2162="","",IF($AK2162=1,'كشف المطالبة'!$D$5,'كشف المطالبة'!$D$6)*100)</f>
        <v/>
      </c>
      <c r="AK2162" s="28" t="str">
        <f aca="false">IF($A2162="","",IF(OR($Q2162=TRUE(),$Q2162="TRUE"),1,0))</f>
        <v/>
      </c>
      <c r="AL2162" s="28" t="str">
        <f aca="false">IF($N2162="","",IF(MATCH($N2162,$N$2:$N$3001,0)=ROWS($N$2:$N2162),$N2162,""))</f>
        <v/>
      </c>
    </row>
    <row r="2163" customFormat="false" ht="15" hidden="false" customHeight="false" outlineLevel="0" collapsed="false">
      <c r="E2163" s="25"/>
      <c r="M2163" s="26" t="str">
        <f aca="false">IF($A2163="","",$L2163*$U2163/100)</f>
        <v/>
      </c>
      <c r="W2163" s="26" t="str">
        <f aca="false">IF($A2163="","",U2163*AB2163/100)</f>
        <v/>
      </c>
      <c r="X2163" s="26" t="str">
        <f aca="false">IF($A2163="","",U2163-W2163)</f>
        <v/>
      </c>
      <c r="Y2163" s="26" t="str">
        <f aca="false">IF($A2163="","",U2163-W2163-M2163)</f>
        <v/>
      </c>
      <c r="AB2163" s="27" t="str">
        <f aca="false">IF($A2163="","",IF($AK2163=1,'كشف المطالبة'!$D$5,'كشف المطالبة'!$D$6)*100)</f>
        <v/>
      </c>
      <c r="AK2163" s="28" t="str">
        <f aca="false">IF($A2163="","",IF(OR($Q2163=TRUE(),$Q2163="TRUE"),1,0))</f>
        <v/>
      </c>
      <c r="AL2163" s="28" t="str">
        <f aca="false">IF($N2163="","",IF(MATCH($N2163,$N$2:$N$3001,0)=ROWS($N$2:$N2163),$N2163,""))</f>
        <v/>
      </c>
    </row>
    <row r="2164" customFormat="false" ht="15" hidden="false" customHeight="false" outlineLevel="0" collapsed="false">
      <c r="E2164" s="25"/>
      <c r="M2164" s="26" t="str">
        <f aca="false">IF($A2164="","",$L2164*$U2164/100)</f>
        <v/>
      </c>
      <c r="W2164" s="26" t="str">
        <f aca="false">IF($A2164="","",U2164*AB2164/100)</f>
        <v/>
      </c>
      <c r="X2164" s="26" t="str">
        <f aca="false">IF($A2164="","",U2164-W2164)</f>
        <v/>
      </c>
      <c r="Y2164" s="26" t="str">
        <f aca="false">IF($A2164="","",U2164-W2164-M2164)</f>
        <v/>
      </c>
      <c r="AB2164" s="27" t="str">
        <f aca="false">IF($A2164="","",IF($AK2164=1,'كشف المطالبة'!$D$5,'كشف المطالبة'!$D$6)*100)</f>
        <v/>
      </c>
      <c r="AK2164" s="28" t="str">
        <f aca="false">IF($A2164="","",IF(OR($Q2164=TRUE(),$Q2164="TRUE"),1,0))</f>
        <v/>
      </c>
      <c r="AL2164" s="28" t="str">
        <f aca="false">IF($N2164="","",IF(MATCH($N2164,$N$2:$N$3001,0)=ROWS($N$2:$N2164),$N2164,""))</f>
        <v/>
      </c>
    </row>
    <row r="2165" customFormat="false" ht="15" hidden="false" customHeight="false" outlineLevel="0" collapsed="false">
      <c r="E2165" s="25"/>
      <c r="M2165" s="26" t="str">
        <f aca="false">IF($A2165="","",$L2165*$U2165/100)</f>
        <v/>
      </c>
      <c r="W2165" s="26" t="str">
        <f aca="false">IF($A2165="","",U2165*AB2165/100)</f>
        <v/>
      </c>
      <c r="X2165" s="26" t="str">
        <f aca="false">IF($A2165="","",U2165-W2165)</f>
        <v/>
      </c>
      <c r="Y2165" s="26" t="str">
        <f aca="false">IF($A2165="","",U2165-W2165-M2165)</f>
        <v/>
      </c>
      <c r="AB2165" s="27" t="str">
        <f aca="false">IF($A2165="","",IF($AK2165=1,'كشف المطالبة'!$D$5,'كشف المطالبة'!$D$6)*100)</f>
        <v/>
      </c>
      <c r="AK2165" s="28" t="str">
        <f aca="false">IF($A2165="","",IF(OR($Q2165=TRUE(),$Q2165="TRUE"),1,0))</f>
        <v/>
      </c>
      <c r="AL2165" s="28" t="str">
        <f aca="false">IF($N2165="","",IF(MATCH($N2165,$N$2:$N$3001,0)=ROWS($N$2:$N2165),$N2165,""))</f>
        <v/>
      </c>
    </row>
    <row r="2166" customFormat="false" ht="15" hidden="false" customHeight="false" outlineLevel="0" collapsed="false">
      <c r="E2166" s="25"/>
      <c r="M2166" s="26" t="str">
        <f aca="false">IF($A2166="","",$L2166*$U2166/100)</f>
        <v/>
      </c>
      <c r="W2166" s="26" t="str">
        <f aca="false">IF($A2166="","",U2166*AB2166/100)</f>
        <v/>
      </c>
      <c r="X2166" s="26" t="str">
        <f aca="false">IF($A2166="","",U2166-W2166)</f>
        <v/>
      </c>
      <c r="Y2166" s="26" t="str">
        <f aca="false">IF($A2166="","",U2166-W2166-M2166)</f>
        <v/>
      </c>
      <c r="AB2166" s="27" t="str">
        <f aca="false">IF($A2166="","",IF($AK2166=1,'كشف المطالبة'!$D$5,'كشف المطالبة'!$D$6)*100)</f>
        <v/>
      </c>
      <c r="AK2166" s="28" t="str">
        <f aca="false">IF($A2166="","",IF(OR($Q2166=TRUE(),$Q2166="TRUE"),1,0))</f>
        <v/>
      </c>
      <c r="AL2166" s="28" t="str">
        <f aca="false">IF($N2166="","",IF(MATCH($N2166,$N$2:$N$3001,0)=ROWS($N$2:$N2166),$N2166,""))</f>
        <v/>
      </c>
    </row>
    <row r="2167" customFormat="false" ht="15" hidden="false" customHeight="false" outlineLevel="0" collapsed="false">
      <c r="E2167" s="25"/>
      <c r="M2167" s="26" t="str">
        <f aca="false">IF($A2167="","",$L2167*$U2167/100)</f>
        <v/>
      </c>
      <c r="W2167" s="26" t="str">
        <f aca="false">IF($A2167="","",U2167*AB2167/100)</f>
        <v/>
      </c>
      <c r="X2167" s="26" t="str">
        <f aca="false">IF($A2167="","",U2167-W2167)</f>
        <v/>
      </c>
      <c r="Y2167" s="26" t="str">
        <f aca="false">IF($A2167="","",U2167-W2167-M2167)</f>
        <v/>
      </c>
      <c r="AB2167" s="27" t="str">
        <f aca="false">IF($A2167="","",IF($AK2167=1,'كشف المطالبة'!$D$5,'كشف المطالبة'!$D$6)*100)</f>
        <v/>
      </c>
      <c r="AK2167" s="28" t="str">
        <f aca="false">IF($A2167="","",IF(OR($Q2167=TRUE(),$Q2167="TRUE"),1,0))</f>
        <v/>
      </c>
      <c r="AL2167" s="28" t="str">
        <f aca="false">IF($N2167="","",IF(MATCH($N2167,$N$2:$N$3001,0)=ROWS($N$2:$N2167),$N2167,""))</f>
        <v/>
      </c>
    </row>
    <row r="2168" customFormat="false" ht="15" hidden="false" customHeight="false" outlineLevel="0" collapsed="false">
      <c r="E2168" s="25"/>
      <c r="M2168" s="26" t="str">
        <f aca="false">IF($A2168="","",$L2168*$U2168/100)</f>
        <v/>
      </c>
      <c r="W2168" s="26" t="str">
        <f aca="false">IF($A2168="","",U2168*AB2168/100)</f>
        <v/>
      </c>
      <c r="X2168" s="26" t="str">
        <f aca="false">IF($A2168="","",U2168-W2168)</f>
        <v/>
      </c>
      <c r="Y2168" s="26" t="str">
        <f aca="false">IF($A2168="","",U2168-W2168-M2168)</f>
        <v/>
      </c>
      <c r="AB2168" s="27" t="str">
        <f aca="false">IF($A2168="","",IF($AK2168=1,'كشف المطالبة'!$D$5,'كشف المطالبة'!$D$6)*100)</f>
        <v/>
      </c>
      <c r="AK2168" s="28" t="str">
        <f aca="false">IF($A2168="","",IF(OR($Q2168=TRUE(),$Q2168="TRUE"),1,0))</f>
        <v/>
      </c>
      <c r="AL2168" s="28" t="str">
        <f aca="false">IF($N2168="","",IF(MATCH($N2168,$N$2:$N$3001,0)=ROWS($N$2:$N2168),$N2168,""))</f>
        <v/>
      </c>
    </row>
    <row r="2169" customFormat="false" ht="15" hidden="false" customHeight="false" outlineLevel="0" collapsed="false">
      <c r="E2169" s="25"/>
      <c r="M2169" s="26" t="str">
        <f aca="false">IF($A2169="","",$L2169*$U2169/100)</f>
        <v/>
      </c>
      <c r="W2169" s="26" t="str">
        <f aca="false">IF($A2169="","",U2169*AB2169/100)</f>
        <v/>
      </c>
      <c r="X2169" s="26" t="str">
        <f aca="false">IF($A2169="","",U2169-W2169)</f>
        <v/>
      </c>
      <c r="Y2169" s="26" t="str">
        <f aca="false">IF($A2169="","",U2169-W2169-M2169)</f>
        <v/>
      </c>
      <c r="AB2169" s="27" t="str">
        <f aca="false">IF($A2169="","",IF($AK2169=1,'كشف المطالبة'!$D$5,'كشف المطالبة'!$D$6)*100)</f>
        <v/>
      </c>
      <c r="AK2169" s="28" t="str">
        <f aca="false">IF($A2169="","",IF(OR($Q2169=TRUE(),$Q2169="TRUE"),1,0))</f>
        <v/>
      </c>
      <c r="AL2169" s="28" t="str">
        <f aca="false">IF($N2169="","",IF(MATCH($N2169,$N$2:$N$3001,0)=ROWS($N$2:$N2169),$N2169,""))</f>
        <v/>
      </c>
    </row>
    <row r="2170" customFormat="false" ht="15" hidden="false" customHeight="false" outlineLevel="0" collapsed="false">
      <c r="E2170" s="25"/>
      <c r="M2170" s="26" t="str">
        <f aca="false">IF($A2170="","",$L2170*$U2170/100)</f>
        <v/>
      </c>
      <c r="W2170" s="26" t="str">
        <f aca="false">IF($A2170="","",U2170*AB2170/100)</f>
        <v/>
      </c>
      <c r="X2170" s="26" t="str">
        <f aca="false">IF($A2170="","",U2170-W2170)</f>
        <v/>
      </c>
      <c r="Y2170" s="26" t="str">
        <f aca="false">IF($A2170="","",U2170-W2170-M2170)</f>
        <v/>
      </c>
      <c r="AB2170" s="27" t="str">
        <f aca="false">IF($A2170="","",IF($AK2170=1,'كشف المطالبة'!$D$5,'كشف المطالبة'!$D$6)*100)</f>
        <v/>
      </c>
      <c r="AK2170" s="28" t="str">
        <f aca="false">IF($A2170="","",IF(OR($Q2170=TRUE(),$Q2170="TRUE"),1,0))</f>
        <v/>
      </c>
      <c r="AL2170" s="28" t="str">
        <f aca="false">IF($N2170="","",IF(MATCH($N2170,$N$2:$N$3001,0)=ROWS($N$2:$N2170),$N2170,""))</f>
        <v/>
      </c>
    </row>
    <row r="2171" customFormat="false" ht="15" hidden="false" customHeight="false" outlineLevel="0" collapsed="false">
      <c r="E2171" s="25"/>
      <c r="M2171" s="26" t="str">
        <f aca="false">IF($A2171="","",$L2171*$U2171/100)</f>
        <v/>
      </c>
      <c r="W2171" s="26" t="str">
        <f aca="false">IF($A2171="","",U2171*AB2171/100)</f>
        <v/>
      </c>
      <c r="X2171" s="26" t="str">
        <f aca="false">IF($A2171="","",U2171-W2171)</f>
        <v/>
      </c>
      <c r="Y2171" s="26" t="str">
        <f aca="false">IF($A2171="","",U2171-W2171-M2171)</f>
        <v/>
      </c>
      <c r="AB2171" s="27" t="str">
        <f aca="false">IF($A2171="","",IF($AK2171=1,'كشف المطالبة'!$D$5,'كشف المطالبة'!$D$6)*100)</f>
        <v/>
      </c>
      <c r="AK2171" s="28" t="str">
        <f aca="false">IF($A2171="","",IF(OR($Q2171=TRUE(),$Q2171="TRUE"),1,0))</f>
        <v/>
      </c>
      <c r="AL2171" s="28" t="str">
        <f aca="false">IF($N2171="","",IF(MATCH($N2171,$N$2:$N$3001,0)=ROWS($N$2:$N2171),$N2171,""))</f>
        <v/>
      </c>
    </row>
    <row r="2172" customFormat="false" ht="15" hidden="false" customHeight="false" outlineLevel="0" collapsed="false">
      <c r="E2172" s="25"/>
      <c r="M2172" s="26" t="str">
        <f aca="false">IF($A2172="","",$L2172*$U2172/100)</f>
        <v/>
      </c>
      <c r="W2172" s="26" t="str">
        <f aca="false">IF($A2172="","",U2172*AB2172/100)</f>
        <v/>
      </c>
      <c r="X2172" s="26" t="str">
        <f aca="false">IF($A2172="","",U2172-W2172)</f>
        <v/>
      </c>
      <c r="Y2172" s="26" t="str">
        <f aca="false">IF($A2172="","",U2172-W2172-M2172)</f>
        <v/>
      </c>
      <c r="AB2172" s="27" t="str">
        <f aca="false">IF($A2172="","",IF($AK2172=1,'كشف المطالبة'!$D$5,'كشف المطالبة'!$D$6)*100)</f>
        <v/>
      </c>
      <c r="AK2172" s="28" t="str">
        <f aca="false">IF($A2172="","",IF(OR($Q2172=TRUE(),$Q2172="TRUE"),1,0))</f>
        <v/>
      </c>
      <c r="AL2172" s="28" t="str">
        <f aca="false">IF($N2172="","",IF(MATCH($N2172,$N$2:$N$3001,0)=ROWS($N$2:$N2172),$N2172,""))</f>
        <v/>
      </c>
    </row>
    <row r="2173" customFormat="false" ht="15" hidden="false" customHeight="false" outlineLevel="0" collapsed="false">
      <c r="E2173" s="25"/>
      <c r="M2173" s="26" t="str">
        <f aca="false">IF($A2173="","",$L2173*$U2173/100)</f>
        <v/>
      </c>
      <c r="W2173" s="26" t="str">
        <f aca="false">IF($A2173="","",U2173*AB2173/100)</f>
        <v/>
      </c>
      <c r="X2173" s="26" t="str">
        <f aca="false">IF($A2173="","",U2173-W2173)</f>
        <v/>
      </c>
      <c r="Y2173" s="26" t="str">
        <f aca="false">IF($A2173="","",U2173-W2173-M2173)</f>
        <v/>
      </c>
      <c r="AB2173" s="27" t="str">
        <f aca="false">IF($A2173="","",IF($AK2173=1,'كشف المطالبة'!$D$5,'كشف المطالبة'!$D$6)*100)</f>
        <v/>
      </c>
      <c r="AK2173" s="28" t="str">
        <f aca="false">IF($A2173="","",IF(OR($Q2173=TRUE(),$Q2173="TRUE"),1,0))</f>
        <v/>
      </c>
      <c r="AL2173" s="28" t="str">
        <f aca="false">IF($N2173="","",IF(MATCH($N2173,$N$2:$N$3001,0)=ROWS($N$2:$N2173),$N2173,""))</f>
        <v/>
      </c>
    </row>
    <row r="2174" customFormat="false" ht="15" hidden="false" customHeight="false" outlineLevel="0" collapsed="false">
      <c r="E2174" s="25"/>
      <c r="M2174" s="26" t="str">
        <f aca="false">IF($A2174="","",$L2174*$U2174/100)</f>
        <v/>
      </c>
      <c r="W2174" s="26" t="str">
        <f aca="false">IF($A2174="","",U2174*AB2174/100)</f>
        <v/>
      </c>
      <c r="X2174" s="26" t="str">
        <f aca="false">IF($A2174="","",U2174-W2174)</f>
        <v/>
      </c>
      <c r="Y2174" s="26" t="str">
        <f aca="false">IF($A2174="","",U2174-W2174-M2174)</f>
        <v/>
      </c>
      <c r="AB2174" s="27" t="str">
        <f aca="false">IF($A2174="","",IF($AK2174=1,'كشف المطالبة'!$D$5,'كشف المطالبة'!$D$6)*100)</f>
        <v/>
      </c>
      <c r="AK2174" s="28" t="str">
        <f aca="false">IF($A2174="","",IF(OR($Q2174=TRUE(),$Q2174="TRUE"),1,0))</f>
        <v/>
      </c>
      <c r="AL2174" s="28" t="str">
        <f aca="false">IF($N2174="","",IF(MATCH($N2174,$N$2:$N$3001,0)=ROWS($N$2:$N2174),$N2174,""))</f>
        <v/>
      </c>
    </row>
    <row r="2175" customFormat="false" ht="15" hidden="false" customHeight="false" outlineLevel="0" collapsed="false">
      <c r="E2175" s="25"/>
      <c r="M2175" s="26" t="str">
        <f aca="false">IF($A2175="","",$L2175*$U2175/100)</f>
        <v/>
      </c>
      <c r="W2175" s="26" t="str">
        <f aca="false">IF($A2175="","",U2175*AB2175/100)</f>
        <v/>
      </c>
      <c r="X2175" s="26" t="str">
        <f aca="false">IF($A2175="","",U2175-W2175)</f>
        <v/>
      </c>
      <c r="Y2175" s="26" t="str">
        <f aca="false">IF($A2175="","",U2175-W2175-M2175)</f>
        <v/>
      </c>
      <c r="AB2175" s="27" t="str">
        <f aca="false">IF($A2175="","",IF($AK2175=1,'كشف المطالبة'!$D$5,'كشف المطالبة'!$D$6)*100)</f>
        <v/>
      </c>
      <c r="AK2175" s="28" t="str">
        <f aca="false">IF($A2175="","",IF(OR($Q2175=TRUE(),$Q2175="TRUE"),1,0))</f>
        <v/>
      </c>
      <c r="AL2175" s="28" t="str">
        <f aca="false">IF($N2175="","",IF(MATCH($N2175,$N$2:$N$3001,0)=ROWS($N$2:$N2175),$N2175,""))</f>
        <v/>
      </c>
    </row>
    <row r="2176" customFormat="false" ht="15" hidden="false" customHeight="false" outlineLevel="0" collapsed="false">
      <c r="E2176" s="25"/>
      <c r="M2176" s="26" t="str">
        <f aca="false">IF($A2176="","",$L2176*$U2176/100)</f>
        <v/>
      </c>
      <c r="W2176" s="26" t="str">
        <f aca="false">IF($A2176="","",U2176*AB2176/100)</f>
        <v/>
      </c>
      <c r="X2176" s="26" t="str">
        <f aca="false">IF($A2176="","",U2176-W2176)</f>
        <v/>
      </c>
      <c r="Y2176" s="26" t="str">
        <f aca="false">IF($A2176="","",U2176-W2176-M2176)</f>
        <v/>
      </c>
      <c r="AB2176" s="27" t="str">
        <f aca="false">IF($A2176="","",IF($AK2176=1,'كشف المطالبة'!$D$5,'كشف المطالبة'!$D$6)*100)</f>
        <v/>
      </c>
      <c r="AK2176" s="28" t="str">
        <f aca="false">IF($A2176="","",IF(OR($Q2176=TRUE(),$Q2176="TRUE"),1,0))</f>
        <v/>
      </c>
      <c r="AL2176" s="28" t="str">
        <f aca="false">IF($N2176="","",IF(MATCH($N2176,$N$2:$N$3001,0)=ROWS($N$2:$N2176),$N2176,""))</f>
        <v/>
      </c>
    </row>
    <row r="2177" customFormat="false" ht="15" hidden="false" customHeight="false" outlineLevel="0" collapsed="false">
      <c r="E2177" s="25"/>
      <c r="M2177" s="26" t="str">
        <f aca="false">IF($A2177="","",$L2177*$U2177/100)</f>
        <v/>
      </c>
      <c r="W2177" s="26" t="str">
        <f aca="false">IF($A2177="","",U2177*AB2177/100)</f>
        <v/>
      </c>
      <c r="X2177" s="26" t="str">
        <f aca="false">IF($A2177="","",U2177-W2177)</f>
        <v/>
      </c>
      <c r="Y2177" s="26" t="str">
        <f aca="false">IF($A2177="","",U2177-W2177-M2177)</f>
        <v/>
      </c>
      <c r="AB2177" s="27" t="str">
        <f aca="false">IF($A2177="","",IF($AK2177=1,'كشف المطالبة'!$D$5,'كشف المطالبة'!$D$6)*100)</f>
        <v/>
      </c>
      <c r="AK2177" s="28" t="str">
        <f aca="false">IF($A2177="","",IF(OR($Q2177=TRUE(),$Q2177="TRUE"),1,0))</f>
        <v/>
      </c>
      <c r="AL2177" s="28" t="str">
        <f aca="false">IF($N2177="","",IF(MATCH($N2177,$N$2:$N$3001,0)=ROWS($N$2:$N2177),$N2177,""))</f>
        <v/>
      </c>
    </row>
    <row r="2178" customFormat="false" ht="15" hidden="false" customHeight="false" outlineLevel="0" collapsed="false">
      <c r="E2178" s="25"/>
      <c r="M2178" s="26" t="str">
        <f aca="false">IF($A2178="","",$L2178*$U2178/100)</f>
        <v/>
      </c>
      <c r="W2178" s="26" t="str">
        <f aca="false">IF($A2178="","",U2178*AB2178/100)</f>
        <v/>
      </c>
      <c r="X2178" s="26" t="str">
        <f aca="false">IF($A2178="","",U2178-W2178)</f>
        <v/>
      </c>
      <c r="Y2178" s="26" t="str">
        <f aca="false">IF($A2178="","",U2178-W2178-M2178)</f>
        <v/>
      </c>
      <c r="AB2178" s="27" t="str">
        <f aca="false">IF($A2178="","",IF($AK2178=1,'كشف المطالبة'!$D$5,'كشف المطالبة'!$D$6)*100)</f>
        <v/>
      </c>
      <c r="AK2178" s="28" t="str">
        <f aca="false">IF($A2178="","",IF(OR($Q2178=TRUE(),$Q2178="TRUE"),1,0))</f>
        <v/>
      </c>
      <c r="AL2178" s="28" t="str">
        <f aca="false">IF($N2178="","",IF(MATCH($N2178,$N$2:$N$3001,0)=ROWS($N$2:$N2178),$N2178,""))</f>
        <v/>
      </c>
    </row>
    <row r="2179" customFormat="false" ht="15" hidden="false" customHeight="false" outlineLevel="0" collapsed="false">
      <c r="E2179" s="25"/>
      <c r="M2179" s="26" t="str">
        <f aca="false">IF($A2179="","",$L2179*$U2179/100)</f>
        <v/>
      </c>
      <c r="W2179" s="26" t="str">
        <f aca="false">IF($A2179="","",U2179*AB2179/100)</f>
        <v/>
      </c>
      <c r="X2179" s="26" t="str">
        <f aca="false">IF($A2179="","",U2179-W2179)</f>
        <v/>
      </c>
      <c r="Y2179" s="26" t="str">
        <f aca="false">IF($A2179="","",U2179-W2179-M2179)</f>
        <v/>
      </c>
      <c r="AB2179" s="27" t="str">
        <f aca="false">IF($A2179="","",IF($AK2179=1,'كشف المطالبة'!$D$5,'كشف المطالبة'!$D$6)*100)</f>
        <v/>
      </c>
      <c r="AK2179" s="28" t="str">
        <f aca="false">IF($A2179="","",IF(OR($Q2179=TRUE(),$Q2179="TRUE"),1,0))</f>
        <v/>
      </c>
      <c r="AL2179" s="28" t="str">
        <f aca="false">IF($N2179="","",IF(MATCH($N2179,$N$2:$N$3001,0)=ROWS($N$2:$N2179),$N2179,""))</f>
        <v/>
      </c>
    </row>
    <row r="2180" customFormat="false" ht="15" hidden="false" customHeight="false" outlineLevel="0" collapsed="false">
      <c r="E2180" s="25"/>
      <c r="M2180" s="26" t="str">
        <f aca="false">IF($A2180="","",$L2180*$U2180/100)</f>
        <v/>
      </c>
      <c r="W2180" s="26" t="str">
        <f aca="false">IF($A2180="","",U2180*AB2180/100)</f>
        <v/>
      </c>
      <c r="X2180" s="26" t="str">
        <f aca="false">IF($A2180="","",U2180-W2180)</f>
        <v/>
      </c>
      <c r="Y2180" s="26" t="str">
        <f aca="false">IF($A2180="","",U2180-W2180-M2180)</f>
        <v/>
      </c>
      <c r="AB2180" s="27" t="str">
        <f aca="false">IF($A2180="","",IF($AK2180=1,'كشف المطالبة'!$D$5,'كشف المطالبة'!$D$6)*100)</f>
        <v/>
      </c>
      <c r="AK2180" s="28" t="str">
        <f aca="false">IF($A2180="","",IF(OR($Q2180=TRUE(),$Q2180="TRUE"),1,0))</f>
        <v/>
      </c>
      <c r="AL2180" s="28" t="str">
        <f aca="false">IF($N2180="","",IF(MATCH($N2180,$N$2:$N$3001,0)=ROWS($N$2:$N2180),$N2180,""))</f>
        <v/>
      </c>
    </row>
    <row r="2181" customFormat="false" ht="15" hidden="false" customHeight="false" outlineLevel="0" collapsed="false">
      <c r="E2181" s="25"/>
      <c r="M2181" s="26" t="str">
        <f aca="false">IF($A2181="","",$L2181*$U2181/100)</f>
        <v/>
      </c>
      <c r="W2181" s="26" t="str">
        <f aca="false">IF($A2181="","",U2181*AB2181/100)</f>
        <v/>
      </c>
      <c r="X2181" s="26" t="str">
        <f aca="false">IF($A2181="","",U2181-W2181)</f>
        <v/>
      </c>
      <c r="Y2181" s="26" t="str">
        <f aca="false">IF($A2181="","",U2181-W2181-M2181)</f>
        <v/>
      </c>
      <c r="AB2181" s="27" t="str">
        <f aca="false">IF($A2181="","",IF($AK2181=1,'كشف المطالبة'!$D$5,'كشف المطالبة'!$D$6)*100)</f>
        <v/>
      </c>
      <c r="AK2181" s="28" t="str">
        <f aca="false">IF($A2181="","",IF(OR($Q2181=TRUE(),$Q2181="TRUE"),1,0))</f>
        <v/>
      </c>
      <c r="AL2181" s="28" t="str">
        <f aca="false">IF($N2181="","",IF(MATCH($N2181,$N$2:$N$3001,0)=ROWS($N$2:$N2181),$N2181,""))</f>
        <v/>
      </c>
    </row>
    <row r="2182" customFormat="false" ht="15" hidden="false" customHeight="false" outlineLevel="0" collapsed="false">
      <c r="E2182" s="25"/>
      <c r="M2182" s="26" t="str">
        <f aca="false">IF($A2182="","",$L2182*$U2182/100)</f>
        <v/>
      </c>
      <c r="W2182" s="26" t="str">
        <f aca="false">IF($A2182="","",U2182*AB2182/100)</f>
        <v/>
      </c>
      <c r="X2182" s="26" t="str">
        <f aca="false">IF($A2182="","",U2182-W2182)</f>
        <v/>
      </c>
      <c r="Y2182" s="26" t="str">
        <f aca="false">IF($A2182="","",U2182-W2182-M2182)</f>
        <v/>
      </c>
      <c r="AB2182" s="27" t="str">
        <f aca="false">IF($A2182="","",IF($AK2182=1,'كشف المطالبة'!$D$5,'كشف المطالبة'!$D$6)*100)</f>
        <v/>
      </c>
      <c r="AK2182" s="28" t="str">
        <f aca="false">IF($A2182="","",IF(OR($Q2182=TRUE(),$Q2182="TRUE"),1,0))</f>
        <v/>
      </c>
      <c r="AL2182" s="28" t="str">
        <f aca="false">IF($N2182="","",IF(MATCH($N2182,$N$2:$N$3001,0)=ROWS($N$2:$N2182),$N2182,""))</f>
        <v/>
      </c>
    </row>
    <row r="2183" customFormat="false" ht="15" hidden="false" customHeight="false" outlineLevel="0" collapsed="false">
      <c r="E2183" s="25"/>
      <c r="M2183" s="26" t="str">
        <f aca="false">IF($A2183="","",$L2183*$U2183/100)</f>
        <v/>
      </c>
      <c r="W2183" s="26" t="str">
        <f aca="false">IF($A2183="","",U2183*AB2183/100)</f>
        <v/>
      </c>
      <c r="X2183" s="26" t="str">
        <f aca="false">IF($A2183="","",U2183-W2183)</f>
        <v/>
      </c>
      <c r="Y2183" s="26" t="str">
        <f aca="false">IF($A2183="","",U2183-W2183-M2183)</f>
        <v/>
      </c>
      <c r="AB2183" s="27" t="str">
        <f aca="false">IF($A2183="","",IF($AK2183=1,'كشف المطالبة'!$D$5,'كشف المطالبة'!$D$6)*100)</f>
        <v/>
      </c>
      <c r="AK2183" s="28" t="str">
        <f aca="false">IF($A2183="","",IF(OR($Q2183=TRUE(),$Q2183="TRUE"),1,0))</f>
        <v/>
      </c>
      <c r="AL2183" s="28" t="str">
        <f aca="false">IF($N2183="","",IF(MATCH($N2183,$N$2:$N$3001,0)=ROWS($N$2:$N2183),$N2183,""))</f>
        <v/>
      </c>
    </row>
    <row r="2184" customFormat="false" ht="15" hidden="false" customHeight="false" outlineLevel="0" collapsed="false">
      <c r="E2184" s="25"/>
      <c r="M2184" s="26" t="str">
        <f aca="false">IF($A2184="","",$L2184*$U2184/100)</f>
        <v/>
      </c>
      <c r="W2184" s="26" t="str">
        <f aca="false">IF($A2184="","",U2184*AB2184/100)</f>
        <v/>
      </c>
      <c r="X2184" s="26" t="str">
        <f aca="false">IF($A2184="","",U2184-W2184)</f>
        <v/>
      </c>
      <c r="Y2184" s="26" t="str">
        <f aca="false">IF($A2184="","",U2184-W2184-M2184)</f>
        <v/>
      </c>
      <c r="AB2184" s="27" t="str">
        <f aca="false">IF($A2184="","",IF($AK2184=1,'كشف المطالبة'!$D$5,'كشف المطالبة'!$D$6)*100)</f>
        <v/>
      </c>
      <c r="AK2184" s="28" t="str">
        <f aca="false">IF($A2184="","",IF(OR($Q2184=TRUE(),$Q2184="TRUE"),1,0))</f>
        <v/>
      </c>
      <c r="AL2184" s="28" t="str">
        <f aca="false">IF($N2184="","",IF(MATCH($N2184,$N$2:$N$3001,0)=ROWS($N$2:$N2184),$N2184,""))</f>
        <v/>
      </c>
    </row>
    <row r="2185" customFormat="false" ht="15" hidden="false" customHeight="false" outlineLevel="0" collapsed="false">
      <c r="E2185" s="25"/>
      <c r="M2185" s="26" t="str">
        <f aca="false">IF($A2185="","",$L2185*$U2185/100)</f>
        <v/>
      </c>
      <c r="W2185" s="26" t="str">
        <f aca="false">IF($A2185="","",U2185*AB2185/100)</f>
        <v/>
      </c>
      <c r="X2185" s="26" t="str">
        <f aca="false">IF($A2185="","",U2185-W2185)</f>
        <v/>
      </c>
      <c r="Y2185" s="26" t="str">
        <f aca="false">IF($A2185="","",U2185-W2185-M2185)</f>
        <v/>
      </c>
      <c r="AB2185" s="27" t="str">
        <f aca="false">IF($A2185="","",IF($AK2185=1,'كشف المطالبة'!$D$5,'كشف المطالبة'!$D$6)*100)</f>
        <v/>
      </c>
      <c r="AK2185" s="28" t="str">
        <f aca="false">IF($A2185="","",IF(OR($Q2185=TRUE(),$Q2185="TRUE"),1,0))</f>
        <v/>
      </c>
      <c r="AL2185" s="28" t="str">
        <f aca="false">IF($N2185="","",IF(MATCH($N2185,$N$2:$N$3001,0)=ROWS($N$2:$N2185),$N2185,""))</f>
        <v/>
      </c>
    </row>
    <row r="2186" customFormat="false" ht="15" hidden="false" customHeight="false" outlineLevel="0" collapsed="false">
      <c r="E2186" s="25"/>
      <c r="M2186" s="26" t="str">
        <f aca="false">IF($A2186="","",$L2186*$U2186/100)</f>
        <v/>
      </c>
      <c r="W2186" s="26" t="str">
        <f aca="false">IF($A2186="","",U2186*AB2186/100)</f>
        <v/>
      </c>
      <c r="X2186" s="26" t="str">
        <f aca="false">IF($A2186="","",U2186-W2186)</f>
        <v/>
      </c>
      <c r="Y2186" s="26" t="str">
        <f aca="false">IF($A2186="","",U2186-W2186-M2186)</f>
        <v/>
      </c>
      <c r="AB2186" s="27" t="str">
        <f aca="false">IF($A2186="","",IF($AK2186=1,'كشف المطالبة'!$D$5,'كشف المطالبة'!$D$6)*100)</f>
        <v/>
      </c>
      <c r="AK2186" s="28" t="str">
        <f aca="false">IF($A2186="","",IF(OR($Q2186=TRUE(),$Q2186="TRUE"),1,0))</f>
        <v/>
      </c>
      <c r="AL2186" s="28" t="str">
        <f aca="false">IF($N2186="","",IF(MATCH($N2186,$N$2:$N$3001,0)=ROWS($N$2:$N2186),$N2186,""))</f>
        <v/>
      </c>
    </row>
    <row r="2187" customFormat="false" ht="15" hidden="false" customHeight="false" outlineLevel="0" collapsed="false">
      <c r="E2187" s="25"/>
      <c r="M2187" s="26" t="str">
        <f aca="false">IF($A2187="","",$L2187*$U2187/100)</f>
        <v/>
      </c>
      <c r="W2187" s="26" t="str">
        <f aca="false">IF($A2187="","",U2187*AB2187/100)</f>
        <v/>
      </c>
      <c r="X2187" s="26" t="str">
        <f aca="false">IF($A2187="","",U2187-W2187)</f>
        <v/>
      </c>
      <c r="Y2187" s="26" t="str">
        <f aca="false">IF($A2187="","",U2187-W2187-M2187)</f>
        <v/>
      </c>
      <c r="AB2187" s="27" t="str">
        <f aca="false">IF($A2187="","",IF($AK2187=1,'كشف المطالبة'!$D$5,'كشف المطالبة'!$D$6)*100)</f>
        <v/>
      </c>
      <c r="AK2187" s="28" t="str">
        <f aca="false">IF($A2187="","",IF(OR($Q2187=TRUE(),$Q2187="TRUE"),1,0))</f>
        <v/>
      </c>
      <c r="AL2187" s="28" t="str">
        <f aca="false">IF($N2187="","",IF(MATCH($N2187,$N$2:$N$3001,0)=ROWS($N$2:$N2187),$N2187,""))</f>
        <v/>
      </c>
    </row>
    <row r="2188" customFormat="false" ht="15" hidden="false" customHeight="false" outlineLevel="0" collapsed="false">
      <c r="E2188" s="25"/>
      <c r="M2188" s="26" t="str">
        <f aca="false">IF($A2188="","",$L2188*$U2188/100)</f>
        <v/>
      </c>
      <c r="W2188" s="26" t="str">
        <f aca="false">IF($A2188="","",U2188*AB2188/100)</f>
        <v/>
      </c>
      <c r="X2188" s="26" t="str">
        <f aca="false">IF($A2188="","",U2188-W2188)</f>
        <v/>
      </c>
      <c r="Y2188" s="26" t="str">
        <f aca="false">IF($A2188="","",U2188-W2188-M2188)</f>
        <v/>
      </c>
      <c r="AB2188" s="27" t="str">
        <f aca="false">IF($A2188="","",IF($AK2188=1,'كشف المطالبة'!$D$5,'كشف المطالبة'!$D$6)*100)</f>
        <v/>
      </c>
      <c r="AK2188" s="28" t="str">
        <f aca="false">IF($A2188="","",IF(OR($Q2188=TRUE(),$Q2188="TRUE"),1,0))</f>
        <v/>
      </c>
      <c r="AL2188" s="28" t="str">
        <f aca="false">IF($N2188="","",IF(MATCH($N2188,$N$2:$N$3001,0)=ROWS($N$2:$N2188),$N2188,""))</f>
        <v/>
      </c>
    </row>
    <row r="2189" customFormat="false" ht="15" hidden="false" customHeight="false" outlineLevel="0" collapsed="false">
      <c r="E2189" s="25"/>
      <c r="M2189" s="26" t="str">
        <f aca="false">IF($A2189="","",$L2189*$U2189/100)</f>
        <v/>
      </c>
      <c r="W2189" s="26" t="str">
        <f aca="false">IF($A2189="","",U2189*AB2189/100)</f>
        <v/>
      </c>
      <c r="X2189" s="26" t="str">
        <f aca="false">IF($A2189="","",U2189-W2189)</f>
        <v/>
      </c>
      <c r="Y2189" s="26" t="str">
        <f aca="false">IF($A2189="","",U2189-W2189-M2189)</f>
        <v/>
      </c>
      <c r="AB2189" s="27" t="str">
        <f aca="false">IF($A2189="","",IF($AK2189=1,'كشف المطالبة'!$D$5,'كشف المطالبة'!$D$6)*100)</f>
        <v/>
      </c>
      <c r="AK2189" s="28" t="str">
        <f aca="false">IF($A2189="","",IF(OR($Q2189=TRUE(),$Q2189="TRUE"),1,0))</f>
        <v/>
      </c>
      <c r="AL2189" s="28" t="str">
        <f aca="false">IF($N2189="","",IF(MATCH($N2189,$N$2:$N$3001,0)=ROWS($N$2:$N2189),$N2189,""))</f>
        <v/>
      </c>
    </row>
    <row r="2190" customFormat="false" ht="15" hidden="false" customHeight="false" outlineLevel="0" collapsed="false">
      <c r="E2190" s="25"/>
      <c r="M2190" s="26" t="str">
        <f aca="false">IF($A2190="","",$L2190*$U2190/100)</f>
        <v/>
      </c>
      <c r="W2190" s="26" t="str">
        <f aca="false">IF($A2190="","",U2190*AB2190/100)</f>
        <v/>
      </c>
      <c r="X2190" s="26" t="str">
        <f aca="false">IF($A2190="","",U2190-W2190)</f>
        <v/>
      </c>
      <c r="Y2190" s="26" t="str">
        <f aca="false">IF($A2190="","",U2190-W2190-M2190)</f>
        <v/>
      </c>
      <c r="AB2190" s="27" t="str">
        <f aca="false">IF($A2190="","",IF($AK2190=1,'كشف المطالبة'!$D$5,'كشف المطالبة'!$D$6)*100)</f>
        <v/>
      </c>
      <c r="AK2190" s="28" t="str">
        <f aca="false">IF($A2190="","",IF(OR($Q2190=TRUE(),$Q2190="TRUE"),1,0))</f>
        <v/>
      </c>
      <c r="AL2190" s="28" t="str">
        <f aca="false">IF($N2190="","",IF(MATCH($N2190,$N$2:$N$3001,0)=ROWS($N$2:$N2190),$N2190,""))</f>
        <v/>
      </c>
    </row>
    <row r="2191" customFormat="false" ht="15" hidden="false" customHeight="false" outlineLevel="0" collapsed="false">
      <c r="E2191" s="25"/>
      <c r="M2191" s="26" t="str">
        <f aca="false">IF($A2191="","",$L2191*$U2191/100)</f>
        <v/>
      </c>
      <c r="W2191" s="26" t="str">
        <f aca="false">IF($A2191="","",U2191*AB2191/100)</f>
        <v/>
      </c>
      <c r="X2191" s="26" t="str">
        <f aca="false">IF($A2191="","",U2191-W2191)</f>
        <v/>
      </c>
      <c r="Y2191" s="26" t="str">
        <f aca="false">IF($A2191="","",U2191-W2191-M2191)</f>
        <v/>
      </c>
      <c r="AB2191" s="27" t="str">
        <f aca="false">IF($A2191="","",IF($AK2191=1,'كشف المطالبة'!$D$5,'كشف المطالبة'!$D$6)*100)</f>
        <v/>
      </c>
      <c r="AK2191" s="28" t="str">
        <f aca="false">IF($A2191="","",IF(OR($Q2191=TRUE(),$Q2191="TRUE"),1,0))</f>
        <v/>
      </c>
      <c r="AL2191" s="28" t="str">
        <f aca="false">IF($N2191="","",IF(MATCH($N2191,$N$2:$N$3001,0)=ROWS($N$2:$N2191),$N2191,""))</f>
        <v/>
      </c>
    </row>
    <row r="2192" customFormat="false" ht="15" hidden="false" customHeight="false" outlineLevel="0" collapsed="false">
      <c r="E2192" s="25"/>
      <c r="M2192" s="26" t="str">
        <f aca="false">IF($A2192="","",$L2192*$U2192/100)</f>
        <v/>
      </c>
      <c r="W2192" s="26" t="str">
        <f aca="false">IF($A2192="","",U2192*AB2192/100)</f>
        <v/>
      </c>
      <c r="X2192" s="26" t="str">
        <f aca="false">IF($A2192="","",U2192-W2192)</f>
        <v/>
      </c>
      <c r="Y2192" s="26" t="str">
        <f aca="false">IF($A2192="","",U2192-W2192-M2192)</f>
        <v/>
      </c>
      <c r="AB2192" s="27" t="str">
        <f aca="false">IF($A2192="","",IF($AK2192=1,'كشف المطالبة'!$D$5,'كشف المطالبة'!$D$6)*100)</f>
        <v/>
      </c>
      <c r="AK2192" s="28" t="str">
        <f aca="false">IF($A2192="","",IF(OR($Q2192=TRUE(),$Q2192="TRUE"),1,0))</f>
        <v/>
      </c>
      <c r="AL2192" s="28" t="str">
        <f aca="false">IF($N2192="","",IF(MATCH($N2192,$N$2:$N$3001,0)=ROWS($N$2:$N2192),$N2192,""))</f>
        <v/>
      </c>
    </row>
    <row r="2193" customFormat="false" ht="15" hidden="false" customHeight="false" outlineLevel="0" collapsed="false">
      <c r="E2193" s="25"/>
      <c r="M2193" s="26" t="str">
        <f aca="false">IF($A2193="","",$L2193*$U2193/100)</f>
        <v/>
      </c>
      <c r="W2193" s="26" t="str">
        <f aca="false">IF($A2193="","",U2193*AB2193/100)</f>
        <v/>
      </c>
      <c r="X2193" s="26" t="str">
        <f aca="false">IF($A2193="","",U2193-W2193)</f>
        <v/>
      </c>
      <c r="Y2193" s="26" t="str">
        <f aca="false">IF($A2193="","",U2193-W2193-M2193)</f>
        <v/>
      </c>
      <c r="AB2193" s="27" t="str">
        <f aca="false">IF($A2193="","",IF($AK2193=1,'كشف المطالبة'!$D$5,'كشف المطالبة'!$D$6)*100)</f>
        <v/>
      </c>
      <c r="AK2193" s="28" t="str">
        <f aca="false">IF($A2193="","",IF(OR($Q2193=TRUE(),$Q2193="TRUE"),1,0))</f>
        <v/>
      </c>
      <c r="AL2193" s="28" t="str">
        <f aca="false">IF($N2193="","",IF(MATCH($N2193,$N$2:$N$3001,0)=ROWS($N$2:$N2193),$N2193,""))</f>
        <v/>
      </c>
    </row>
    <row r="2194" customFormat="false" ht="15" hidden="false" customHeight="false" outlineLevel="0" collapsed="false">
      <c r="E2194" s="25"/>
      <c r="M2194" s="26" t="str">
        <f aca="false">IF($A2194="","",$L2194*$U2194/100)</f>
        <v/>
      </c>
      <c r="W2194" s="26" t="str">
        <f aca="false">IF($A2194="","",U2194*AB2194/100)</f>
        <v/>
      </c>
      <c r="X2194" s="26" t="str">
        <f aca="false">IF($A2194="","",U2194-W2194)</f>
        <v/>
      </c>
      <c r="Y2194" s="26" t="str">
        <f aca="false">IF($A2194="","",U2194-W2194-M2194)</f>
        <v/>
      </c>
      <c r="AB2194" s="27" t="str">
        <f aca="false">IF($A2194="","",IF($AK2194=1,'كشف المطالبة'!$D$5,'كشف المطالبة'!$D$6)*100)</f>
        <v/>
      </c>
      <c r="AK2194" s="28" t="str">
        <f aca="false">IF($A2194="","",IF(OR($Q2194=TRUE(),$Q2194="TRUE"),1,0))</f>
        <v/>
      </c>
      <c r="AL2194" s="28" t="str">
        <f aca="false">IF($N2194="","",IF(MATCH($N2194,$N$2:$N$3001,0)=ROWS($N$2:$N2194),$N2194,""))</f>
        <v/>
      </c>
    </row>
    <row r="2195" customFormat="false" ht="15" hidden="false" customHeight="false" outlineLevel="0" collapsed="false">
      <c r="E2195" s="25"/>
      <c r="M2195" s="26" t="str">
        <f aca="false">IF($A2195="","",$L2195*$U2195/100)</f>
        <v/>
      </c>
      <c r="W2195" s="26" t="str">
        <f aca="false">IF($A2195="","",U2195*AB2195/100)</f>
        <v/>
      </c>
      <c r="X2195" s="26" t="str">
        <f aca="false">IF($A2195="","",U2195-W2195)</f>
        <v/>
      </c>
      <c r="Y2195" s="26" t="str">
        <f aca="false">IF($A2195="","",U2195-W2195-M2195)</f>
        <v/>
      </c>
      <c r="AB2195" s="27" t="str">
        <f aca="false">IF($A2195="","",IF($AK2195=1,'كشف المطالبة'!$D$5,'كشف المطالبة'!$D$6)*100)</f>
        <v/>
      </c>
      <c r="AK2195" s="28" t="str">
        <f aca="false">IF($A2195="","",IF(OR($Q2195=TRUE(),$Q2195="TRUE"),1,0))</f>
        <v/>
      </c>
      <c r="AL2195" s="28" t="str">
        <f aca="false">IF($N2195="","",IF(MATCH($N2195,$N$2:$N$3001,0)=ROWS($N$2:$N2195),$N2195,""))</f>
        <v/>
      </c>
    </row>
    <row r="2196" customFormat="false" ht="15" hidden="false" customHeight="false" outlineLevel="0" collapsed="false">
      <c r="E2196" s="25"/>
      <c r="M2196" s="26" t="str">
        <f aca="false">IF($A2196="","",$L2196*$U2196/100)</f>
        <v/>
      </c>
      <c r="W2196" s="26" t="str">
        <f aca="false">IF($A2196="","",U2196*AB2196/100)</f>
        <v/>
      </c>
      <c r="X2196" s="26" t="str">
        <f aca="false">IF($A2196="","",U2196-W2196)</f>
        <v/>
      </c>
      <c r="Y2196" s="26" t="str">
        <f aca="false">IF($A2196="","",U2196-W2196-M2196)</f>
        <v/>
      </c>
      <c r="AB2196" s="27" t="str">
        <f aca="false">IF($A2196="","",IF($AK2196=1,'كشف المطالبة'!$D$5,'كشف المطالبة'!$D$6)*100)</f>
        <v/>
      </c>
      <c r="AK2196" s="28" t="str">
        <f aca="false">IF($A2196="","",IF(OR($Q2196=TRUE(),$Q2196="TRUE"),1,0))</f>
        <v/>
      </c>
      <c r="AL2196" s="28" t="str">
        <f aca="false">IF($N2196="","",IF(MATCH($N2196,$N$2:$N$3001,0)=ROWS($N$2:$N2196),$N2196,""))</f>
        <v/>
      </c>
    </row>
    <row r="2197" customFormat="false" ht="15" hidden="false" customHeight="false" outlineLevel="0" collapsed="false">
      <c r="E2197" s="25"/>
      <c r="M2197" s="26" t="str">
        <f aca="false">IF($A2197="","",$L2197*$U2197/100)</f>
        <v/>
      </c>
      <c r="W2197" s="26" t="str">
        <f aca="false">IF($A2197="","",U2197*AB2197/100)</f>
        <v/>
      </c>
      <c r="X2197" s="26" t="str">
        <f aca="false">IF($A2197="","",U2197-W2197)</f>
        <v/>
      </c>
      <c r="Y2197" s="26" t="str">
        <f aca="false">IF($A2197="","",U2197-W2197-M2197)</f>
        <v/>
      </c>
      <c r="AB2197" s="27" t="str">
        <f aca="false">IF($A2197="","",IF($AK2197=1,'كشف المطالبة'!$D$5,'كشف المطالبة'!$D$6)*100)</f>
        <v/>
      </c>
      <c r="AK2197" s="28" t="str">
        <f aca="false">IF($A2197="","",IF(OR($Q2197=TRUE(),$Q2197="TRUE"),1,0))</f>
        <v/>
      </c>
      <c r="AL2197" s="28" t="str">
        <f aca="false">IF($N2197="","",IF(MATCH($N2197,$N$2:$N$3001,0)=ROWS($N$2:$N2197),$N2197,""))</f>
        <v/>
      </c>
    </row>
    <row r="2198" customFormat="false" ht="15" hidden="false" customHeight="false" outlineLevel="0" collapsed="false">
      <c r="E2198" s="25"/>
      <c r="M2198" s="26" t="str">
        <f aca="false">IF($A2198="","",$L2198*$U2198/100)</f>
        <v/>
      </c>
      <c r="W2198" s="26" t="str">
        <f aca="false">IF($A2198="","",U2198*AB2198/100)</f>
        <v/>
      </c>
      <c r="X2198" s="26" t="str">
        <f aca="false">IF($A2198="","",U2198-W2198)</f>
        <v/>
      </c>
      <c r="Y2198" s="26" t="str">
        <f aca="false">IF($A2198="","",U2198-W2198-M2198)</f>
        <v/>
      </c>
      <c r="AB2198" s="27" t="str">
        <f aca="false">IF($A2198="","",IF($AK2198=1,'كشف المطالبة'!$D$5,'كشف المطالبة'!$D$6)*100)</f>
        <v/>
      </c>
      <c r="AK2198" s="28" t="str">
        <f aca="false">IF($A2198="","",IF(OR($Q2198=TRUE(),$Q2198="TRUE"),1,0))</f>
        <v/>
      </c>
      <c r="AL2198" s="28" t="str">
        <f aca="false">IF($N2198="","",IF(MATCH($N2198,$N$2:$N$3001,0)=ROWS($N$2:$N2198),$N2198,""))</f>
        <v/>
      </c>
    </row>
    <row r="2199" customFormat="false" ht="15" hidden="false" customHeight="false" outlineLevel="0" collapsed="false">
      <c r="E2199" s="25"/>
      <c r="M2199" s="26" t="str">
        <f aca="false">IF($A2199="","",$L2199*$U2199/100)</f>
        <v/>
      </c>
      <c r="W2199" s="26" t="str">
        <f aca="false">IF($A2199="","",U2199*AB2199/100)</f>
        <v/>
      </c>
      <c r="X2199" s="26" t="str">
        <f aca="false">IF($A2199="","",U2199-W2199)</f>
        <v/>
      </c>
      <c r="Y2199" s="26" t="str">
        <f aca="false">IF($A2199="","",U2199-W2199-M2199)</f>
        <v/>
      </c>
      <c r="AB2199" s="27" t="str">
        <f aca="false">IF($A2199="","",IF($AK2199=1,'كشف المطالبة'!$D$5,'كشف المطالبة'!$D$6)*100)</f>
        <v/>
      </c>
      <c r="AK2199" s="28" t="str">
        <f aca="false">IF($A2199="","",IF(OR($Q2199=TRUE(),$Q2199="TRUE"),1,0))</f>
        <v/>
      </c>
      <c r="AL2199" s="28" t="str">
        <f aca="false">IF($N2199="","",IF(MATCH($N2199,$N$2:$N$3001,0)=ROWS($N$2:$N2199),$N2199,""))</f>
        <v/>
      </c>
    </row>
    <row r="2200" customFormat="false" ht="15" hidden="false" customHeight="false" outlineLevel="0" collapsed="false">
      <c r="E2200" s="25"/>
      <c r="M2200" s="26" t="str">
        <f aca="false">IF($A2200="","",$L2200*$U2200/100)</f>
        <v/>
      </c>
      <c r="W2200" s="26" t="str">
        <f aca="false">IF($A2200="","",U2200*AB2200/100)</f>
        <v/>
      </c>
      <c r="X2200" s="26" t="str">
        <f aca="false">IF($A2200="","",U2200-W2200)</f>
        <v/>
      </c>
      <c r="Y2200" s="26" t="str">
        <f aca="false">IF($A2200="","",U2200-W2200-M2200)</f>
        <v/>
      </c>
      <c r="AB2200" s="27" t="str">
        <f aca="false">IF($A2200="","",IF($AK2200=1,'كشف المطالبة'!$D$5,'كشف المطالبة'!$D$6)*100)</f>
        <v/>
      </c>
      <c r="AK2200" s="28" t="str">
        <f aca="false">IF($A2200="","",IF(OR($Q2200=TRUE(),$Q2200="TRUE"),1,0))</f>
        <v/>
      </c>
      <c r="AL2200" s="28" t="str">
        <f aca="false">IF($N2200="","",IF(MATCH($N2200,$N$2:$N$3001,0)=ROWS($N$2:$N2200),$N2200,""))</f>
        <v/>
      </c>
    </row>
    <row r="2201" customFormat="false" ht="15" hidden="false" customHeight="false" outlineLevel="0" collapsed="false">
      <c r="E2201" s="25"/>
      <c r="M2201" s="26" t="str">
        <f aca="false">IF($A2201="","",$L2201*$U2201/100)</f>
        <v/>
      </c>
      <c r="W2201" s="26" t="str">
        <f aca="false">IF($A2201="","",U2201*AB2201/100)</f>
        <v/>
      </c>
      <c r="X2201" s="26" t="str">
        <f aca="false">IF($A2201="","",U2201-W2201)</f>
        <v/>
      </c>
      <c r="Y2201" s="26" t="str">
        <f aca="false">IF($A2201="","",U2201-W2201-M2201)</f>
        <v/>
      </c>
      <c r="AB2201" s="27" t="str">
        <f aca="false">IF($A2201="","",IF($AK2201=1,'كشف المطالبة'!$D$5,'كشف المطالبة'!$D$6)*100)</f>
        <v/>
      </c>
      <c r="AK2201" s="28" t="str">
        <f aca="false">IF($A2201="","",IF(OR($Q2201=TRUE(),$Q2201="TRUE"),1,0))</f>
        <v/>
      </c>
      <c r="AL2201" s="28" t="str">
        <f aca="false">IF($N2201="","",IF(MATCH($N2201,$N$2:$N$3001,0)=ROWS($N$2:$N2201),$N2201,""))</f>
        <v/>
      </c>
    </row>
    <row r="2202" customFormat="false" ht="15" hidden="false" customHeight="false" outlineLevel="0" collapsed="false">
      <c r="E2202" s="25"/>
      <c r="M2202" s="26" t="str">
        <f aca="false">IF($A2202="","",$L2202*$U2202/100)</f>
        <v/>
      </c>
      <c r="W2202" s="26" t="str">
        <f aca="false">IF($A2202="","",U2202*AB2202/100)</f>
        <v/>
      </c>
      <c r="X2202" s="26" t="str">
        <f aca="false">IF($A2202="","",U2202-W2202)</f>
        <v/>
      </c>
      <c r="Y2202" s="26" t="str">
        <f aca="false">IF($A2202="","",U2202-W2202-M2202)</f>
        <v/>
      </c>
      <c r="AB2202" s="27" t="str">
        <f aca="false">IF($A2202="","",IF($AK2202=1,'كشف المطالبة'!$D$5,'كشف المطالبة'!$D$6)*100)</f>
        <v/>
      </c>
      <c r="AK2202" s="28" t="str">
        <f aca="false">IF($A2202="","",IF(OR($Q2202=TRUE(),$Q2202="TRUE"),1,0))</f>
        <v/>
      </c>
      <c r="AL2202" s="28" t="str">
        <f aca="false">IF($N2202="","",IF(MATCH($N2202,$N$2:$N$3001,0)=ROWS($N$2:$N2202),$N2202,""))</f>
        <v/>
      </c>
    </row>
    <row r="2203" customFormat="false" ht="15" hidden="false" customHeight="false" outlineLevel="0" collapsed="false">
      <c r="E2203" s="25"/>
      <c r="M2203" s="26" t="str">
        <f aca="false">IF($A2203="","",$L2203*$U2203/100)</f>
        <v/>
      </c>
      <c r="W2203" s="26" t="str">
        <f aca="false">IF($A2203="","",U2203*AB2203/100)</f>
        <v/>
      </c>
      <c r="X2203" s="26" t="str">
        <f aca="false">IF($A2203="","",U2203-W2203)</f>
        <v/>
      </c>
      <c r="Y2203" s="26" t="str">
        <f aca="false">IF($A2203="","",U2203-W2203-M2203)</f>
        <v/>
      </c>
      <c r="AB2203" s="27" t="str">
        <f aca="false">IF($A2203="","",IF($AK2203=1,'كشف المطالبة'!$D$5,'كشف المطالبة'!$D$6)*100)</f>
        <v/>
      </c>
      <c r="AK2203" s="28" t="str">
        <f aca="false">IF($A2203="","",IF(OR($Q2203=TRUE(),$Q2203="TRUE"),1,0))</f>
        <v/>
      </c>
      <c r="AL2203" s="28" t="str">
        <f aca="false">IF($N2203="","",IF(MATCH($N2203,$N$2:$N$3001,0)=ROWS($N$2:$N2203),$N2203,""))</f>
        <v/>
      </c>
    </row>
    <row r="2204" customFormat="false" ht="15" hidden="false" customHeight="false" outlineLevel="0" collapsed="false">
      <c r="E2204" s="25"/>
      <c r="M2204" s="26" t="str">
        <f aca="false">IF($A2204="","",$L2204*$U2204/100)</f>
        <v/>
      </c>
      <c r="W2204" s="26" t="str">
        <f aca="false">IF($A2204="","",U2204*AB2204/100)</f>
        <v/>
      </c>
      <c r="X2204" s="26" t="str">
        <f aca="false">IF($A2204="","",U2204-W2204)</f>
        <v/>
      </c>
      <c r="Y2204" s="26" t="str">
        <f aca="false">IF($A2204="","",U2204-W2204-M2204)</f>
        <v/>
      </c>
      <c r="AB2204" s="27" t="str">
        <f aca="false">IF($A2204="","",IF($AK2204=1,'كشف المطالبة'!$D$5,'كشف المطالبة'!$D$6)*100)</f>
        <v/>
      </c>
      <c r="AK2204" s="28" t="str">
        <f aca="false">IF($A2204="","",IF(OR($Q2204=TRUE(),$Q2204="TRUE"),1,0))</f>
        <v/>
      </c>
      <c r="AL2204" s="28" t="str">
        <f aca="false">IF($N2204="","",IF(MATCH($N2204,$N$2:$N$3001,0)=ROWS($N$2:$N2204),$N2204,""))</f>
        <v/>
      </c>
    </row>
    <row r="2205" customFormat="false" ht="15" hidden="false" customHeight="false" outlineLevel="0" collapsed="false">
      <c r="E2205" s="25"/>
      <c r="M2205" s="26" t="str">
        <f aca="false">IF($A2205="","",$L2205*$U2205/100)</f>
        <v/>
      </c>
      <c r="W2205" s="26" t="str">
        <f aca="false">IF($A2205="","",U2205*AB2205/100)</f>
        <v/>
      </c>
      <c r="X2205" s="26" t="str">
        <f aca="false">IF($A2205="","",U2205-W2205)</f>
        <v/>
      </c>
      <c r="Y2205" s="26" t="str">
        <f aca="false">IF($A2205="","",U2205-W2205-M2205)</f>
        <v/>
      </c>
      <c r="AB2205" s="27" t="str">
        <f aca="false">IF($A2205="","",IF($AK2205=1,'كشف المطالبة'!$D$5,'كشف المطالبة'!$D$6)*100)</f>
        <v/>
      </c>
      <c r="AK2205" s="28" t="str">
        <f aca="false">IF($A2205="","",IF(OR($Q2205=TRUE(),$Q2205="TRUE"),1,0))</f>
        <v/>
      </c>
      <c r="AL2205" s="28" t="str">
        <f aca="false">IF($N2205="","",IF(MATCH($N2205,$N$2:$N$3001,0)=ROWS($N$2:$N2205),$N2205,""))</f>
        <v/>
      </c>
    </row>
    <row r="2206" customFormat="false" ht="15" hidden="false" customHeight="false" outlineLevel="0" collapsed="false">
      <c r="E2206" s="25"/>
      <c r="M2206" s="26" t="str">
        <f aca="false">IF($A2206="","",$L2206*$U2206/100)</f>
        <v/>
      </c>
      <c r="W2206" s="26" t="str">
        <f aca="false">IF($A2206="","",U2206*AB2206/100)</f>
        <v/>
      </c>
      <c r="X2206" s="26" t="str">
        <f aca="false">IF($A2206="","",U2206-W2206)</f>
        <v/>
      </c>
      <c r="Y2206" s="26" t="str">
        <f aca="false">IF($A2206="","",U2206-W2206-M2206)</f>
        <v/>
      </c>
      <c r="AB2206" s="27" t="str">
        <f aca="false">IF($A2206="","",IF($AK2206=1,'كشف المطالبة'!$D$5,'كشف المطالبة'!$D$6)*100)</f>
        <v/>
      </c>
      <c r="AK2206" s="28" t="str">
        <f aca="false">IF($A2206="","",IF(OR($Q2206=TRUE(),$Q2206="TRUE"),1,0))</f>
        <v/>
      </c>
      <c r="AL2206" s="28" t="str">
        <f aca="false">IF($N2206="","",IF(MATCH($N2206,$N$2:$N$3001,0)=ROWS($N$2:$N2206),$N2206,""))</f>
        <v/>
      </c>
    </row>
    <row r="2207" customFormat="false" ht="15" hidden="false" customHeight="false" outlineLevel="0" collapsed="false">
      <c r="E2207" s="25"/>
      <c r="M2207" s="26" t="str">
        <f aca="false">IF($A2207="","",$L2207*$U2207/100)</f>
        <v/>
      </c>
      <c r="W2207" s="26" t="str">
        <f aca="false">IF($A2207="","",U2207*AB2207/100)</f>
        <v/>
      </c>
      <c r="X2207" s="26" t="str">
        <f aca="false">IF($A2207="","",U2207-W2207)</f>
        <v/>
      </c>
      <c r="Y2207" s="26" t="str">
        <f aca="false">IF($A2207="","",U2207-W2207-M2207)</f>
        <v/>
      </c>
      <c r="AB2207" s="27" t="str">
        <f aca="false">IF($A2207="","",IF($AK2207=1,'كشف المطالبة'!$D$5,'كشف المطالبة'!$D$6)*100)</f>
        <v/>
      </c>
      <c r="AK2207" s="28" t="str">
        <f aca="false">IF($A2207="","",IF(OR($Q2207=TRUE(),$Q2207="TRUE"),1,0))</f>
        <v/>
      </c>
      <c r="AL2207" s="28" t="str">
        <f aca="false">IF($N2207="","",IF(MATCH($N2207,$N$2:$N$3001,0)=ROWS($N$2:$N2207),$N2207,""))</f>
        <v/>
      </c>
    </row>
    <row r="2208" customFormat="false" ht="15" hidden="false" customHeight="false" outlineLevel="0" collapsed="false">
      <c r="E2208" s="25"/>
      <c r="M2208" s="26" t="str">
        <f aca="false">IF($A2208="","",$L2208*$U2208/100)</f>
        <v/>
      </c>
      <c r="W2208" s="26" t="str">
        <f aca="false">IF($A2208="","",U2208*AB2208/100)</f>
        <v/>
      </c>
      <c r="X2208" s="26" t="str">
        <f aca="false">IF($A2208="","",U2208-W2208)</f>
        <v/>
      </c>
      <c r="Y2208" s="26" t="str">
        <f aca="false">IF($A2208="","",U2208-W2208-M2208)</f>
        <v/>
      </c>
      <c r="AB2208" s="27" t="str">
        <f aca="false">IF($A2208="","",IF($AK2208=1,'كشف المطالبة'!$D$5,'كشف المطالبة'!$D$6)*100)</f>
        <v/>
      </c>
      <c r="AK2208" s="28" t="str">
        <f aca="false">IF($A2208="","",IF(OR($Q2208=TRUE(),$Q2208="TRUE"),1,0))</f>
        <v/>
      </c>
      <c r="AL2208" s="28" t="str">
        <f aca="false">IF($N2208="","",IF(MATCH($N2208,$N$2:$N$3001,0)=ROWS($N$2:$N2208),$N2208,""))</f>
        <v/>
      </c>
    </row>
    <row r="2209" customFormat="false" ht="15" hidden="false" customHeight="false" outlineLevel="0" collapsed="false">
      <c r="E2209" s="25"/>
      <c r="M2209" s="26" t="str">
        <f aca="false">IF($A2209="","",$L2209*$U2209/100)</f>
        <v/>
      </c>
      <c r="W2209" s="26" t="str">
        <f aca="false">IF($A2209="","",U2209*AB2209/100)</f>
        <v/>
      </c>
      <c r="X2209" s="26" t="str">
        <f aca="false">IF($A2209="","",U2209-W2209)</f>
        <v/>
      </c>
      <c r="Y2209" s="26" t="str">
        <f aca="false">IF($A2209="","",U2209-W2209-M2209)</f>
        <v/>
      </c>
      <c r="AB2209" s="27" t="str">
        <f aca="false">IF($A2209="","",IF($AK2209=1,'كشف المطالبة'!$D$5,'كشف المطالبة'!$D$6)*100)</f>
        <v/>
      </c>
      <c r="AK2209" s="28" t="str">
        <f aca="false">IF($A2209="","",IF(OR($Q2209=TRUE(),$Q2209="TRUE"),1,0))</f>
        <v/>
      </c>
      <c r="AL2209" s="28" t="str">
        <f aca="false">IF($N2209="","",IF(MATCH($N2209,$N$2:$N$3001,0)=ROWS($N$2:$N2209),$N2209,""))</f>
        <v/>
      </c>
    </row>
    <row r="2210" customFormat="false" ht="15" hidden="false" customHeight="false" outlineLevel="0" collapsed="false">
      <c r="E2210" s="25"/>
      <c r="M2210" s="26" t="str">
        <f aca="false">IF($A2210="","",$L2210*$U2210/100)</f>
        <v/>
      </c>
      <c r="W2210" s="26" t="str">
        <f aca="false">IF($A2210="","",U2210*AB2210/100)</f>
        <v/>
      </c>
      <c r="X2210" s="26" t="str">
        <f aca="false">IF($A2210="","",U2210-W2210)</f>
        <v/>
      </c>
      <c r="Y2210" s="26" t="str">
        <f aca="false">IF($A2210="","",U2210-W2210-M2210)</f>
        <v/>
      </c>
      <c r="AB2210" s="27" t="str">
        <f aca="false">IF($A2210="","",IF($AK2210=1,'كشف المطالبة'!$D$5,'كشف المطالبة'!$D$6)*100)</f>
        <v/>
      </c>
      <c r="AK2210" s="28" t="str">
        <f aca="false">IF($A2210="","",IF(OR($Q2210=TRUE(),$Q2210="TRUE"),1,0))</f>
        <v/>
      </c>
      <c r="AL2210" s="28" t="str">
        <f aca="false">IF($N2210="","",IF(MATCH($N2210,$N$2:$N$3001,0)=ROWS($N$2:$N2210),$N2210,""))</f>
        <v/>
      </c>
    </row>
    <row r="2211" customFormat="false" ht="15" hidden="false" customHeight="false" outlineLevel="0" collapsed="false">
      <c r="E2211" s="25"/>
      <c r="M2211" s="26" t="str">
        <f aca="false">IF($A2211="","",$L2211*$U2211/100)</f>
        <v/>
      </c>
      <c r="W2211" s="26" t="str">
        <f aca="false">IF($A2211="","",U2211*AB2211/100)</f>
        <v/>
      </c>
      <c r="X2211" s="26" t="str">
        <f aca="false">IF($A2211="","",U2211-W2211)</f>
        <v/>
      </c>
      <c r="Y2211" s="26" t="str">
        <f aca="false">IF($A2211="","",U2211-W2211-M2211)</f>
        <v/>
      </c>
      <c r="AB2211" s="27" t="str">
        <f aca="false">IF($A2211="","",IF($AK2211=1,'كشف المطالبة'!$D$5,'كشف المطالبة'!$D$6)*100)</f>
        <v/>
      </c>
      <c r="AK2211" s="28" t="str">
        <f aca="false">IF($A2211="","",IF(OR($Q2211=TRUE(),$Q2211="TRUE"),1,0))</f>
        <v/>
      </c>
      <c r="AL2211" s="28" t="str">
        <f aca="false">IF($N2211="","",IF(MATCH($N2211,$N$2:$N$3001,0)=ROWS($N$2:$N2211),$N2211,""))</f>
        <v/>
      </c>
    </row>
    <row r="2212" customFormat="false" ht="15" hidden="false" customHeight="false" outlineLevel="0" collapsed="false">
      <c r="E2212" s="25"/>
      <c r="M2212" s="26" t="str">
        <f aca="false">IF($A2212="","",$L2212*$U2212/100)</f>
        <v/>
      </c>
      <c r="W2212" s="26" t="str">
        <f aca="false">IF($A2212="","",U2212*AB2212/100)</f>
        <v/>
      </c>
      <c r="X2212" s="26" t="str">
        <f aca="false">IF($A2212="","",U2212-W2212)</f>
        <v/>
      </c>
      <c r="Y2212" s="26" t="str">
        <f aca="false">IF($A2212="","",U2212-W2212-M2212)</f>
        <v/>
      </c>
      <c r="AB2212" s="27" t="str">
        <f aca="false">IF($A2212="","",IF($AK2212=1,'كشف المطالبة'!$D$5,'كشف المطالبة'!$D$6)*100)</f>
        <v/>
      </c>
      <c r="AK2212" s="28" t="str">
        <f aca="false">IF($A2212="","",IF(OR($Q2212=TRUE(),$Q2212="TRUE"),1,0))</f>
        <v/>
      </c>
      <c r="AL2212" s="28" t="str">
        <f aca="false">IF($N2212="","",IF(MATCH($N2212,$N$2:$N$3001,0)=ROWS($N$2:$N2212),$N2212,""))</f>
        <v/>
      </c>
    </row>
    <row r="2213" customFormat="false" ht="15" hidden="false" customHeight="false" outlineLevel="0" collapsed="false">
      <c r="E2213" s="25"/>
      <c r="M2213" s="26" t="str">
        <f aca="false">IF($A2213="","",$L2213*$U2213/100)</f>
        <v/>
      </c>
      <c r="W2213" s="26" t="str">
        <f aca="false">IF($A2213="","",U2213*AB2213/100)</f>
        <v/>
      </c>
      <c r="X2213" s="26" t="str">
        <f aca="false">IF($A2213="","",U2213-W2213)</f>
        <v/>
      </c>
      <c r="Y2213" s="26" t="str">
        <f aca="false">IF($A2213="","",U2213-W2213-M2213)</f>
        <v/>
      </c>
      <c r="AB2213" s="27" t="str">
        <f aca="false">IF($A2213="","",IF($AK2213=1,'كشف المطالبة'!$D$5,'كشف المطالبة'!$D$6)*100)</f>
        <v/>
      </c>
      <c r="AK2213" s="28" t="str">
        <f aca="false">IF($A2213="","",IF(OR($Q2213=TRUE(),$Q2213="TRUE"),1,0))</f>
        <v/>
      </c>
      <c r="AL2213" s="28" t="str">
        <f aca="false">IF($N2213="","",IF(MATCH($N2213,$N$2:$N$3001,0)=ROWS($N$2:$N2213),$N2213,""))</f>
        <v/>
      </c>
    </row>
    <row r="2214" customFormat="false" ht="15" hidden="false" customHeight="false" outlineLevel="0" collapsed="false">
      <c r="E2214" s="25"/>
      <c r="M2214" s="26" t="str">
        <f aca="false">IF($A2214="","",$L2214*$U2214/100)</f>
        <v/>
      </c>
      <c r="W2214" s="26" t="str">
        <f aca="false">IF($A2214="","",U2214*AB2214/100)</f>
        <v/>
      </c>
      <c r="X2214" s="26" t="str">
        <f aca="false">IF($A2214="","",U2214-W2214)</f>
        <v/>
      </c>
      <c r="Y2214" s="26" t="str">
        <f aca="false">IF($A2214="","",U2214-W2214-M2214)</f>
        <v/>
      </c>
      <c r="AB2214" s="27" t="str">
        <f aca="false">IF($A2214="","",IF($AK2214=1,'كشف المطالبة'!$D$5,'كشف المطالبة'!$D$6)*100)</f>
        <v/>
      </c>
      <c r="AK2214" s="28" t="str">
        <f aca="false">IF($A2214="","",IF(OR($Q2214=TRUE(),$Q2214="TRUE"),1,0))</f>
        <v/>
      </c>
      <c r="AL2214" s="28" t="str">
        <f aca="false">IF($N2214="","",IF(MATCH($N2214,$N$2:$N$3001,0)=ROWS($N$2:$N2214),$N2214,""))</f>
        <v/>
      </c>
    </row>
    <row r="2215" customFormat="false" ht="15" hidden="false" customHeight="false" outlineLevel="0" collapsed="false">
      <c r="E2215" s="25"/>
      <c r="M2215" s="26" t="str">
        <f aca="false">IF($A2215="","",$L2215*$U2215/100)</f>
        <v/>
      </c>
      <c r="W2215" s="26" t="str">
        <f aca="false">IF($A2215="","",U2215*AB2215/100)</f>
        <v/>
      </c>
      <c r="X2215" s="26" t="str">
        <f aca="false">IF($A2215="","",U2215-W2215)</f>
        <v/>
      </c>
      <c r="Y2215" s="26" t="str">
        <f aca="false">IF($A2215="","",U2215-W2215-M2215)</f>
        <v/>
      </c>
      <c r="AB2215" s="27" t="str">
        <f aca="false">IF($A2215="","",IF($AK2215=1,'كشف المطالبة'!$D$5,'كشف المطالبة'!$D$6)*100)</f>
        <v/>
      </c>
      <c r="AK2215" s="28" t="str">
        <f aca="false">IF($A2215="","",IF(OR($Q2215=TRUE(),$Q2215="TRUE"),1,0))</f>
        <v/>
      </c>
      <c r="AL2215" s="28" t="str">
        <f aca="false">IF($N2215="","",IF(MATCH($N2215,$N$2:$N$3001,0)=ROWS($N$2:$N2215),$N2215,""))</f>
        <v/>
      </c>
    </row>
    <row r="2216" customFormat="false" ht="15" hidden="false" customHeight="false" outlineLevel="0" collapsed="false">
      <c r="E2216" s="25"/>
      <c r="M2216" s="26" t="str">
        <f aca="false">IF($A2216="","",$L2216*$U2216/100)</f>
        <v/>
      </c>
      <c r="W2216" s="26" t="str">
        <f aca="false">IF($A2216="","",U2216*AB2216/100)</f>
        <v/>
      </c>
      <c r="X2216" s="26" t="str">
        <f aca="false">IF($A2216="","",U2216-W2216)</f>
        <v/>
      </c>
      <c r="Y2216" s="26" t="str">
        <f aca="false">IF($A2216="","",U2216-W2216-M2216)</f>
        <v/>
      </c>
      <c r="AB2216" s="27" t="str">
        <f aca="false">IF($A2216="","",IF($AK2216=1,'كشف المطالبة'!$D$5,'كشف المطالبة'!$D$6)*100)</f>
        <v/>
      </c>
      <c r="AK2216" s="28" t="str">
        <f aca="false">IF($A2216="","",IF(OR($Q2216=TRUE(),$Q2216="TRUE"),1,0))</f>
        <v/>
      </c>
      <c r="AL2216" s="28" t="str">
        <f aca="false">IF($N2216="","",IF(MATCH($N2216,$N$2:$N$3001,0)=ROWS($N$2:$N2216),$N2216,""))</f>
        <v/>
      </c>
    </row>
    <row r="2217" customFormat="false" ht="15" hidden="false" customHeight="false" outlineLevel="0" collapsed="false">
      <c r="E2217" s="25"/>
      <c r="M2217" s="26" t="str">
        <f aca="false">IF($A2217="","",$L2217*$U2217/100)</f>
        <v/>
      </c>
      <c r="W2217" s="26" t="str">
        <f aca="false">IF($A2217="","",U2217*AB2217/100)</f>
        <v/>
      </c>
      <c r="X2217" s="26" t="str">
        <f aca="false">IF($A2217="","",U2217-W2217)</f>
        <v/>
      </c>
      <c r="Y2217" s="26" t="str">
        <f aca="false">IF($A2217="","",U2217-W2217-M2217)</f>
        <v/>
      </c>
      <c r="AB2217" s="27" t="str">
        <f aca="false">IF($A2217="","",IF($AK2217=1,'كشف المطالبة'!$D$5,'كشف المطالبة'!$D$6)*100)</f>
        <v/>
      </c>
      <c r="AK2217" s="28" t="str">
        <f aca="false">IF($A2217="","",IF(OR($Q2217=TRUE(),$Q2217="TRUE"),1,0))</f>
        <v/>
      </c>
      <c r="AL2217" s="28" t="str">
        <f aca="false">IF($N2217="","",IF(MATCH($N2217,$N$2:$N$3001,0)=ROWS($N$2:$N2217),$N2217,""))</f>
        <v/>
      </c>
    </row>
    <row r="2218" customFormat="false" ht="15" hidden="false" customHeight="false" outlineLevel="0" collapsed="false">
      <c r="E2218" s="25"/>
      <c r="M2218" s="26" t="str">
        <f aca="false">IF($A2218="","",$L2218*$U2218/100)</f>
        <v/>
      </c>
      <c r="W2218" s="26" t="str">
        <f aca="false">IF($A2218="","",U2218*AB2218/100)</f>
        <v/>
      </c>
      <c r="X2218" s="26" t="str">
        <f aca="false">IF($A2218="","",U2218-W2218)</f>
        <v/>
      </c>
      <c r="Y2218" s="26" t="str">
        <f aca="false">IF($A2218="","",U2218-W2218-M2218)</f>
        <v/>
      </c>
      <c r="AB2218" s="27" t="str">
        <f aca="false">IF($A2218="","",IF($AK2218=1,'كشف المطالبة'!$D$5,'كشف المطالبة'!$D$6)*100)</f>
        <v/>
      </c>
      <c r="AK2218" s="28" t="str">
        <f aca="false">IF($A2218="","",IF(OR($Q2218=TRUE(),$Q2218="TRUE"),1,0))</f>
        <v/>
      </c>
      <c r="AL2218" s="28" t="str">
        <f aca="false">IF($N2218="","",IF(MATCH($N2218,$N$2:$N$3001,0)=ROWS($N$2:$N2218),$N2218,""))</f>
        <v/>
      </c>
    </row>
    <row r="2219" customFormat="false" ht="15" hidden="false" customHeight="false" outlineLevel="0" collapsed="false">
      <c r="E2219" s="25"/>
      <c r="M2219" s="26" t="str">
        <f aca="false">IF($A2219="","",$L2219*$U2219/100)</f>
        <v/>
      </c>
      <c r="W2219" s="26" t="str">
        <f aca="false">IF($A2219="","",U2219*AB2219/100)</f>
        <v/>
      </c>
      <c r="X2219" s="26" t="str">
        <f aca="false">IF($A2219="","",U2219-W2219)</f>
        <v/>
      </c>
      <c r="Y2219" s="26" t="str">
        <f aca="false">IF($A2219="","",U2219-W2219-M2219)</f>
        <v/>
      </c>
      <c r="AB2219" s="27" t="str">
        <f aca="false">IF($A2219="","",IF($AK2219=1,'كشف المطالبة'!$D$5,'كشف المطالبة'!$D$6)*100)</f>
        <v/>
      </c>
      <c r="AK2219" s="28" t="str">
        <f aca="false">IF($A2219="","",IF(OR($Q2219=TRUE(),$Q2219="TRUE"),1,0))</f>
        <v/>
      </c>
      <c r="AL2219" s="28" t="str">
        <f aca="false">IF($N2219="","",IF(MATCH($N2219,$N$2:$N$3001,0)=ROWS($N$2:$N2219),$N2219,""))</f>
        <v/>
      </c>
    </row>
    <row r="2220" customFormat="false" ht="15" hidden="false" customHeight="false" outlineLevel="0" collapsed="false">
      <c r="E2220" s="25"/>
      <c r="M2220" s="26" t="str">
        <f aca="false">IF($A2220="","",$L2220*$U2220/100)</f>
        <v/>
      </c>
      <c r="W2220" s="26" t="str">
        <f aca="false">IF($A2220="","",U2220*AB2220/100)</f>
        <v/>
      </c>
      <c r="X2220" s="26" t="str">
        <f aca="false">IF($A2220="","",U2220-W2220)</f>
        <v/>
      </c>
      <c r="Y2220" s="26" t="str">
        <f aca="false">IF($A2220="","",U2220-W2220-M2220)</f>
        <v/>
      </c>
      <c r="AB2220" s="27" t="str">
        <f aca="false">IF($A2220="","",IF($AK2220=1,'كشف المطالبة'!$D$5,'كشف المطالبة'!$D$6)*100)</f>
        <v/>
      </c>
      <c r="AK2220" s="28" t="str">
        <f aca="false">IF($A2220="","",IF(OR($Q2220=TRUE(),$Q2220="TRUE"),1,0))</f>
        <v/>
      </c>
      <c r="AL2220" s="28" t="str">
        <f aca="false">IF($N2220="","",IF(MATCH($N2220,$N$2:$N$3001,0)=ROWS($N$2:$N2220),$N2220,""))</f>
        <v/>
      </c>
    </row>
    <row r="2221" customFormat="false" ht="15" hidden="false" customHeight="false" outlineLevel="0" collapsed="false">
      <c r="E2221" s="25"/>
      <c r="M2221" s="26" t="str">
        <f aca="false">IF($A2221="","",$L2221*$U2221/100)</f>
        <v/>
      </c>
      <c r="W2221" s="26" t="str">
        <f aca="false">IF($A2221="","",U2221*AB2221/100)</f>
        <v/>
      </c>
      <c r="X2221" s="26" t="str">
        <f aca="false">IF($A2221="","",U2221-W2221)</f>
        <v/>
      </c>
      <c r="Y2221" s="26" t="str">
        <f aca="false">IF($A2221="","",U2221-W2221-M2221)</f>
        <v/>
      </c>
      <c r="AB2221" s="27" t="str">
        <f aca="false">IF($A2221="","",IF($AK2221=1,'كشف المطالبة'!$D$5,'كشف المطالبة'!$D$6)*100)</f>
        <v/>
      </c>
      <c r="AK2221" s="28" t="str">
        <f aca="false">IF($A2221="","",IF(OR($Q2221=TRUE(),$Q2221="TRUE"),1,0))</f>
        <v/>
      </c>
      <c r="AL2221" s="28" t="str">
        <f aca="false">IF($N2221="","",IF(MATCH($N2221,$N$2:$N$3001,0)=ROWS($N$2:$N2221),$N2221,""))</f>
        <v/>
      </c>
    </row>
    <row r="2222" customFormat="false" ht="15" hidden="false" customHeight="false" outlineLevel="0" collapsed="false">
      <c r="E2222" s="25"/>
      <c r="M2222" s="26" t="str">
        <f aca="false">IF($A2222="","",$L2222*$U2222/100)</f>
        <v/>
      </c>
      <c r="W2222" s="26" t="str">
        <f aca="false">IF($A2222="","",U2222*AB2222/100)</f>
        <v/>
      </c>
      <c r="X2222" s="26" t="str">
        <f aca="false">IF($A2222="","",U2222-W2222)</f>
        <v/>
      </c>
      <c r="Y2222" s="26" t="str">
        <f aca="false">IF($A2222="","",U2222-W2222-M2222)</f>
        <v/>
      </c>
      <c r="AB2222" s="27" t="str">
        <f aca="false">IF($A2222="","",IF($AK2222=1,'كشف المطالبة'!$D$5,'كشف المطالبة'!$D$6)*100)</f>
        <v/>
      </c>
      <c r="AK2222" s="28" t="str">
        <f aca="false">IF($A2222="","",IF(OR($Q2222=TRUE(),$Q2222="TRUE"),1,0))</f>
        <v/>
      </c>
      <c r="AL2222" s="28" t="str">
        <f aca="false">IF($N2222="","",IF(MATCH($N2222,$N$2:$N$3001,0)=ROWS($N$2:$N2222),$N2222,""))</f>
        <v/>
      </c>
    </row>
    <row r="2223" customFormat="false" ht="15" hidden="false" customHeight="false" outlineLevel="0" collapsed="false">
      <c r="E2223" s="25"/>
      <c r="M2223" s="26" t="str">
        <f aca="false">IF($A2223="","",$L2223*$U2223/100)</f>
        <v/>
      </c>
      <c r="W2223" s="26" t="str">
        <f aca="false">IF($A2223="","",U2223*AB2223/100)</f>
        <v/>
      </c>
      <c r="X2223" s="26" t="str">
        <f aca="false">IF($A2223="","",U2223-W2223)</f>
        <v/>
      </c>
      <c r="Y2223" s="26" t="str">
        <f aca="false">IF($A2223="","",U2223-W2223-M2223)</f>
        <v/>
      </c>
      <c r="AB2223" s="27" t="str">
        <f aca="false">IF($A2223="","",IF($AK2223=1,'كشف المطالبة'!$D$5,'كشف المطالبة'!$D$6)*100)</f>
        <v/>
      </c>
      <c r="AK2223" s="28" t="str">
        <f aca="false">IF($A2223="","",IF(OR($Q2223=TRUE(),$Q2223="TRUE"),1,0))</f>
        <v/>
      </c>
      <c r="AL2223" s="28" t="str">
        <f aca="false">IF($N2223="","",IF(MATCH($N2223,$N$2:$N$3001,0)=ROWS($N$2:$N2223),$N2223,""))</f>
        <v/>
      </c>
    </row>
    <row r="2224" customFormat="false" ht="15" hidden="false" customHeight="false" outlineLevel="0" collapsed="false">
      <c r="E2224" s="25"/>
      <c r="M2224" s="26" t="str">
        <f aca="false">IF($A2224="","",$L2224*$U2224/100)</f>
        <v/>
      </c>
      <c r="W2224" s="26" t="str">
        <f aca="false">IF($A2224="","",U2224*AB2224/100)</f>
        <v/>
      </c>
      <c r="X2224" s="26" t="str">
        <f aca="false">IF($A2224="","",U2224-W2224)</f>
        <v/>
      </c>
      <c r="Y2224" s="26" t="str">
        <f aca="false">IF($A2224="","",U2224-W2224-M2224)</f>
        <v/>
      </c>
      <c r="AB2224" s="27" t="str">
        <f aca="false">IF($A2224="","",IF($AK2224=1,'كشف المطالبة'!$D$5,'كشف المطالبة'!$D$6)*100)</f>
        <v/>
      </c>
      <c r="AK2224" s="28" t="str">
        <f aca="false">IF($A2224="","",IF(OR($Q2224=TRUE(),$Q2224="TRUE"),1,0))</f>
        <v/>
      </c>
      <c r="AL2224" s="28" t="str">
        <f aca="false">IF($N2224="","",IF(MATCH($N2224,$N$2:$N$3001,0)=ROWS($N$2:$N2224),$N2224,""))</f>
        <v/>
      </c>
    </row>
    <row r="2225" customFormat="false" ht="15" hidden="false" customHeight="false" outlineLevel="0" collapsed="false">
      <c r="E2225" s="25"/>
      <c r="M2225" s="26" t="str">
        <f aca="false">IF($A2225="","",$L2225*$U2225/100)</f>
        <v/>
      </c>
      <c r="W2225" s="26" t="str">
        <f aca="false">IF($A2225="","",U2225*AB2225/100)</f>
        <v/>
      </c>
      <c r="X2225" s="26" t="str">
        <f aca="false">IF($A2225="","",U2225-W2225)</f>
        <v/>
      </c>
      <c r="Y2225" s="26" t="str">
        <f aca="false">IF($A2225="","",U2225-W2225-M2225)</f>
        <v/>
      </c>
      <c r="AB2225" s="27" t="str">
        <f aca="false">IF($A2225="","",IF($AK2225=1,'كشف المطالبة'!$D$5,'كشف المطالبة'!$D$6)*100)</f>
        <v/>
      </c>
      <c r="AK2225" s="28" t="str">
        <f aca="false">IF($A2225="","",IF(OR($Q2225=TRUE(),$Q2225="TRUE"),1,0))</f>
        <v/>
      </c>
      <c r="AL2225" s="28" t="str">
        <f aca="false">IF($N2225="","",IF(MATCH($N2225,$N$2:$N$3001,0)=ROWS($N$2:$N2225),$N2225,""))</f>
        <v/>
      </c>
    </row>
    <row r="2226" customFormat="false" ht="15" hidden="false" customHeight="false" outlineLevel="0" collapsed="false">
      <c r="E2226" s="25"/>
      <c r="M2226" s="26" t="str">
        <f aca="false">IF($A2226="","",$L2226*$U2226/100)</f>
        <v/>
      </c>
      <c r="W2226" s="26" t="str">
        <f aca="false">IF($A2226="","",U2226*AB2226/100)</f>
        <v/>
      </c>
      <c r="X2226" s="26" t="str">
        <f aca="false">IF($A2226="","",U2226-W2226)</f>
        <v/>
      </c>
      <c r="Y2226" s="26" t="str">
        <f aca="false">IF($A2226="","",U2226-W2226-M2226)</f>
        <v/>
      </c>
      <c r="AB2226" s="27" t="str">
        <f aca="false">IF($A2226="","",IF($AK2226=1,'كشف المطالبة'!$D$5,'كشف المطالبة'!$D$6)*100)</f>
        <v/>
      </c>
      <c r="AK2226" s="28" t="str">
        <f aca="false">IF($A2226="","",IF(OR($Q2226=TRUE(),$Q2226="TRUE"),1,0))</f>
        <v/>
      </c>
      <c r="AL2226" s="28" t="str">
        <f aca="false">IF($N2226="","",IF(MATCH($N2226,$N$2:$N$3001,0)=ROWS($N$2:$N2226),$N2226,""))</f>
        <v/>
      </c>
    </row>
    <row r="2227" customFormat="false" ht="15" hidden="false" customHeight="false" outlineLevel="0" collapsed="false">
      <c r="E2227" s="25"/>
      <c r="M2227" s="26" t="str">
        <f aca="false">IF($A2227="","",$L2227*$U2227/100)</f>
        <v/>
      </c>
      <c r="W2227" s="26" t="str">
        <f aca="false">IF($A2227="","",U2227*AB2227/100)</f>
        <v/>
      </c>
      <c r="X2227" s="26" t="str">
        <f aca="false">IF($A2227="","",U2227-W2227)</f>
        <v/>
      </c>
      <c r="Y2227" s="26" t="str">
        <f aca="false">IF($A2227="","",U2227-W2227-M2227)</f>
        <v/>
      </c>
      <c r="AB2227" s="27" t="str">
        <f aca="false">IF($A2227="","",IF($AK2227=1,'كشف المطالبة'!$D$5,'كشف المطالبة'!$D$6)*100)</f>
        <v/>
      </c>
      <c r="AK2227" s="28" t="str">
        <f aca="false">IF($A2227="","",IF(OR($Q2227=TRUE(),$Q2227="TRUE"),1,0))</f>
        <v/>
      </c>
      <c r="AL2227" s="28" t="str">
        <f aca="false">IF($N2227="","",IF(MATCH($N2227,$N$2:$N$3001,0)=ROWS($N$2:$N2227),$N2227,""))</f>
        <v/>
      </c>
    </row>
    <row r="2228" customFormat="false" ht="15" hidden="false" customHeight="false" outlineLevel="0" collapsed="false">
      <c r="E2228" s="25"/>
      <c r="M2228" s="26" t="str">
        <f aca="false">IF($A2228="","",$L2228*$U2228/100)</f>
        <v/>
      </c>
      <c r="W2228" s="26" t="str">
        <f aca="false">IF($A2228="","",U2228*AB2228/100)</f>
        <v/>
      </c>
      <c r="X2228" s="26" t="str">
        <f aca="false">IF($A2228="","",U2228-W2228)</f>
        <v/>
      </c>
      <c r="Y2228" s="26" t="str">
        <f aca="false">IF($A2228="","",U2228-W2228-M2228)</f>
        <v/>
      </c>
      <c r="AB2228" s="27" t="str">
        <f aca="false">IF($A2228="","",IF($AK2228=1,'كشف المطالبة'!$D$5,'كشف المطالبة'!$D$6)*100)</f>
        <v/>
      </c>
      <c r="AK2228" s="28" t="str">
        <f aca="false">IF($A2228="","",IF(OR($Q2228=TRUE(),$Q2228="TRUE"),1,0))</f>
        <v/>
      </c>
      <c r="AL2228" s="28" t="str">
        <f aca="false">IF($N2228="","",IF(MATCH($N2228,$N$2:$N$3001,0)=ROWS($N$2:$N2228),$N2228,""))</f>
        <v/>
      </c>
    </row>
    <row r="2229" customFormat="false" ht="15" hidden="false" customHeight="false" outlineLevel="0" collapsed="false">
      <c r="E2229" s="25"/>
      <c r="M2229" s="26" t="str">
        <f aca="false">IF($A2229="","",$L2229*$U2229/100)</f>
        <v/>
      </c>
      <c r="W2229" s="26" t="str">
        <f aca="false">IF($A2229="","",U2229*AB2229/100)</f>
        <v/>
      </c>
      <c r="X2229" s="26" t="str">
        <f aca="false">IF($A2229="","",U2229-W2229)</f>
        <v/>
      </c>
      <c r="Y2229" s="26" t="str">
        <f aca="false">IF($A2229="","",U2229-W2229-M2229)</f>
        <v/>
      </c>
      <c r="AB2229" s="27" t="str">
        <f aca="false">IF($A2229="","",IF($AK2229=1,'كشف المطالبة'!$D$5,'كشف المطالبة'!$D$6)*100)</f>
        <v/>
      </c>
      <c r="AK2229" s="28" t="str">
        <f aca="false">IF($A2229="","",IF(OR($Q2229=TRUE(),$Q2229="TRUE"),1,0))</f>
        <v/>
      </c>
      <c r="AL2229" s="28" t="str">
        <f aca="false">IF($N2229="","",IF(MATCH($N2229,$N$2:$N$3001,0)=ROWS($N$2:$N2229),$N2229,""))</f>
        <v/>
      </c>
    </row>
    <row r="2230" customFormat="false" ht="15" hidden="false" customHeight="false" outlineLevel="0" collapsed="false">
      <c r="E2230" s="25"/>
      <c r="M2230" s="26" t="str">
        <f aca="false">IF($A2230="","",$L2230*$U2230/100)</f>
        <v/>
      </c>
      <c r="W2230" s="26" t="str">
        <f aca="false">IF($A2230="","",U2230*AB2230/100)</f>
        <v/>
      </c>
      <c r="X2230" s="26" t="str">
        <f aca="false">IF($A2230="","",U2230-W2230)</f>
        <v/>
      </c>
      <c r="Y2230" s="26" t="str">
        <f aca="false">IF($A2230="","",U2230-W2230-M2230)</f>
        <v/>
      </c>
      <c r="AB2230" s="27" t="str">
        <f aca="false">IF($A2230="","",IF($AK2230=1,'كشف المطالبة'!$D$5,'كشف المطالبة'!$D$6)*100)</f>
        <v/>
      </c>
      <c r="AK2230" s="28" t="str">
        <f aca="false">IF($A2230="","",IF(OR($Q2230=TRUE(),$Q2230="TRUE"),1,0))</f>
        <v/>
      </c>
      <c r="AL2230" s="28" t="str">
        <f aca="false">IF($N2230="","",IF(MATCH($N2230,$N$2:$N$3001,0)=ROWS($N$2:$N2230),$N2230,""))</f>
        <v/>
      </c>
    </row>
    <row r="2231" customFormat="false" ht="15" hidden="false" customHeight="false" outlineLevel="0" collapsed="false">
      <c r="E2231" s="25"/>
      <c r="M2231" s="26" t="str">
        <f aca="false">IF($A2231="","",$L2231*$U2231/100)</f>
        <v/>
      </c>
      <c r="W2231" s="26" t="str">
        <f aca="false">IF($A2231="","",U2231*AB2231/100)</f>
        <v/>
      </c>
      <c r="X2231" s="26" t="str">
        <f aca="false">IF($A2231="","",U2231-W2231)</f>
        <v/>
      </c>
      <c r="Y2231" s="26" t="str">
        <f aca="false">IF($A2231="","",U2231-W2231-M2231)</f>
        <v/>
      </c>
      <c r="AB2231" s="27" t="str">
        <f aca="false">IF($A2231="","",IF($AK2231=1,'كشف المطالبة'!$D$5,'كشف المطالبة'!$D$6)*100)</f>
        <v/>
      </c>
      <c r="AK2231" s="28" t="str">
        <f aca="false">IF($A2231="","",IF(OR($Q2231=TRUE(),$Q2231="TRUE"),1,0))</f>
        <v/>
      </c>
      <c r="AL2231" s="28" t="str">
        <f aca="false">IF($N2231="","",IF(MATCH($N2231,$N$2:$N$3001,0)=ROWS($N$2:$N2231),$N2231,""))</f>
        <v/>
      </c>
    </row>
    <row r="2232" customFormat="false" ht="15" hidden="false" customHeight="false" outlineLevel="0" collapsed="false">
      <c r="E2232" s="25"/>
      <c r="M2232" s="26" t="str">
        <f aca="false">IF($A2232="","",$L2232*$U2232/100)</f>
        <v/>
      </c>
      <c r="W2232" s="26" t="str">
        <f aca="false">IF($A2232="","",U2232*AB2232/100)</f>
        <v/>
      </c>
      <c r="X2232" s="26" t="str">
        <f aca="false">IF($A2232="","",U2232-W2232)</f>
        <v/>
      </c>
      <c r="Y2232" s="26" t="str">
        <f aca="false">IF($A2232="","",U2232-W2232-M2232)</f>
        <v/>
      </c>
      <c r="AB2232" s="27" t="str">
        <f aca="false">IF($A2232="","",IF($AK2232=1,'كشف المطالبة'!$D$5,'كشف المطالبة'!$D$6)*100)</f>
        <v/>
      </c>
      <c r="AK2232" s="28" t="str">
        <f aca="false">IF($A2232="","",IF(OR($Q2232=TRUE(),$Q2232="TRUE"),1,0))</f>
        <v/>
      </c>
      <c r="AL2232" s="28" t="str">
        <f aca="false">IF($N2232="","",IF(MATCH($N2232,$N$2:$N$3001,0)=ROWS($N$2:$N2232),$N2232,""))</f>
        <v/>
      </c>
    </row>
    <row r="2233" customFormat="false" ht="15" hidden="false" customHeight="false" outlineLevel="0" collapsed="false">
      <c r="E2233" s="25"/>
      <c r="M2233" s="26" t="str">
        <f aca="false">IF($A2233="","",$L2233*$U2233/100)</f>
        <v/>
      </c>
      <c r="W2233" s="26" t="str">
        <f aca="false">IF($A2233="","",U2233*AB2233/100)</f>
        <v/>
      </c>
      <c r="X2233" s="26" t="str">
        <f aca="false">IF($A2233="","",U2233-W2233)</f>
        <v/>
      </c>
      <c r="Y2233" s="26" t="str">
        <f aca="false">IF($A2233="","",U2233-W2233-M2233)</f>
        <v/>
      </c>
      <c r="AB2233" s="27" t="str">
        <f aca="false">IF($A2233="","",IF($AK2233=1,'كشف المطالبة'!$D$5,'كشف المطالبة'!$D$6)*100)</f>
        <v/>
      </c>
      <c r="AK2233" s="28" t="str">
        <f aca="false">IF($A2233="","",IF(OR($Q2233=TRUE(),$Q2233="TRUE"),1,0))</f>
        <v/>
      </c>
      <c r="AL2233" s="28" t="str">
        <f aca="false">IF($N2233="","",IF(MATCH($N2233,$N$2:$N$3001,0)=ROWS($N$2:$N2233),$N2233,""))</f>
        <v/>
      </c>
    </row>
    <row r="2234" customFormat="false" ht="15" hidden="false" customHeight="false" outlineLevel="0" collapsed="false">
      <c r="E2234" s="25"/>
      <c r="M2234" s="26" t="str">
        <f aca="false">IF($A2234="","",$L2234*$U2234/100)</f>
        <v/>
      </c>
      <c r="W2234" s="26" t="str">
        <f aca="false">IF($A2234="","",U2234*AB2234/100)</f>
        <v/>
      </c>
      <c r="X2234" s="26" t="str">
        <f aca="false">IF($A2234="","",U2234-W2234)</f>
        <v/>
      </c>
      <c r="Y2234" s="26" t="str">
        <f aca="false">IF($A2234="","",U2234-W2234-M2234)</f>
        <v/>
      </c>
      <c r="AB2234" s="27" t="str">
        <f aca="false">IF($A2234="","",IF($AK2234=1,'كشف المطالبة'!$D$5,'كشف المطالبة'!$D$6)*100)</f>
        <v/>
      </c>
      <c r="AK2234" s="28" t="str">
        <f aca="false">IF($A2234="","",IF(OR($Q2234=TRUE(),$Q2234="TRUE"),1,0))</f>
        <v/>
      </c>
      <c r="AL2234" s="28" t="str">
        <f aca="false">IF($N2234="","",IF(MATCH($N2234,$N$2:$N$3001,0)=ROWS($N$2:$N2234),$N2234,""))</f>
        <v/>
      </c>
    </row>
    <row r="2235" customFormat="false" ht="15" hidden="false" customHeight="false" outlineLevel="0" collapsed="false">
      <c r="E2235" s="25"/>
      <c r="M2235" s="26" t="str">
        <f aca="false">IF($A2235="","",$L2235*$U2235/100)</f>
        <v/>
      </c>
      <c r="W2235" s="26" t="str">
        <f aca="false">IF($A2235="","",U2235*AB2235/100)</f>
        <v/>
      </c>
      <c r="X2235" s="26" t="str">
        <f aca="false">IF($A2235="","",U2235-W2235)</f>
        <v/>
      </c>
      <c r="Y2235" s="26" t="str">
        <f aca="false">IF($A2235="","",U2235-W2235-M2235)</f>
        <v/>
      </c>
      <c r="AB2235" s="27" t="str">
        <f aca="false">IF($A2235="","",IF($AK2235=1,'كشف المطالبة'!$D$5,'كشف المطالبة'!$D$6)*100)</f>
        <v/>
      </c>
      <c r="AK2235" s="28" t="str">
        <f aca="false">IF($A2235="","",IF(OR($Q2235=TRUE(),$Q2235="TRUE"),1,0))</f>
        <v/>
      </c>
      <c r="AL2235" s="28" t="str">
        <f aca="false">IF($N2235="","",IF(MATCH($N2235,$N$2:$N$3001,0)=ROWS($N$2:$N2235),$N2235,""))</f>
        <v/>
      </c>
    </row>
    <row r="2236" customFormat="false" ht="15" hidden="false" customHeight="false" outlineLevel="0" collapsed="false">
      <c r="E2236" s="25"/>
      <c r="M2236" s="26" t="str">
        <f aca="false">IF($A2236="","",$L2236*$U2236/100)</f>
        <v/>
      </c>
      <c r="W2236" s="26" t="str">
        <f aca="false">IF($A2236="","",U2236*AB2236/100)</f>
        <v/>
      </c>
      <c r="X2236" s="26" t="str">
        <f aca="false">IF($A2236="","",U2236-W2236)</f>
        <v/>
      </c>
      <c r="Y2236" s="26" t="str">
        <f aca="false">IF($A2236="","",U2236-W2236-M2236)</f>
        <v/>
      </c>
      <c r="AB2236" s="27" t="str">
        <f aca="false">IF($A2236="","",IF($AK2236=1,'كشف المطالبة'!$D$5,'كشف المطالبة'!$D$6)*100)</f>
        <v/>
      </c>
      <c r="AK2236" s="28" t="str">
        <f aca="false">IF($A2236="","",IF(OR($Q2236=TRUE(),$Q2236="TRUE"),1,0))</f>
        <v/>
      </c>
      <c r="AL2236" s="28" t="str">
        <f aca="false">IF($N2236="","",IF(MATCH($N2236,$N$2:$N$3001,0)=ROWS($N$2:$N2236),$N2236,""))</f>
        <v/>
      </c>
    </row>
    <row r="2237" customFormat="false" ht="15" hidden="false" customHeight="false" outlineLevel="0" collapsed="false">
      <c r="E2237" s="25"/>
      <c r="M2237" s="26" t="str">
        <f aca="false">IF($A2237="","",$L2237*$U2237/100)</f>
        <v/>
      </c>
      <c r="W2237" s="26" t="str">
        <f aca="false">IF($A2237="","",U2237*AB2237/100)</f>
        <v/>
      </c>
      <c r="X2237" s="26" t="str">
        <f aca="false">IF($A2237="","",U2237-W2237)</f>
        <v/>
      </c>
      <c r="Y2237" s="26" t="str">
        <f aca="false">IF($A2237="","",U2237-W2237-M2237)</f>
        <v/>
      </c>
      <c r="AB2237" s="27" t="str">
        <f aca="false">IF($A2237="","",IF($AK2237=1,'كشف المطالبة'!$D$5,'كشف المطالبة'!$D$6)*100)</f>
        <v/>
      </c>
      <c r="AK2237" s="28" t="str">
        <f aca="false">IF($A2237="","",IF(OR($Q2237=TRUE(),$Q2237="TRUE"),1,0))</f>
        <v/>
      </c>
      <c r="AL2237" s="28" t="str">
        <f aca="false">IF($N2237="","",IF(MATCH($N2237,$N$2:$N$3001,0)=ROWS($N$2:$N2237),$N2237,""))</f>
        <v/>
      </c>
    </row>
    <row r="2238" customFormat="false" ht="15" hidden="false" customHeight="false" outlineLevel="0" collapsed="false">
      <c r="E2238" s="25"/>
      <c r="M2238" s="26" t="str">
        <f aca="false">IF($A2238="","",$L2238*$U2238/100)</f>
        <v/>
      </c>
      <c r="W2238" s="26" t="str">
        <f aca="false">IF($A2238="","",U2238*AB2238/100)</f>
        <v/>
      </c>
      <c r="X2238" s="26" t="str">
        <f aca="false">IF($A2238="","",U2238-W2238)</f>
        <v/>
      </c>
      <c r="Y2238" s="26" t="str">
        <f aca="false">IF($A2238="","",U2238-W2238-M2238)</f>
        <v/>
      </c>
      <c r="AB2238" s="27" t="str">
        <f aca="false">IF($A2238="","",IF($AK2238=1,'كشف المطالبة'!$D$5,'كشف المطالبة'!$D$6)*100)</f>
        <v/>
      </c>
      <c r="AK2238" s="28" t="str">
        <f aca="false">IF($A2238="","",IF(OR($Q2238=TRUE(),$Q2238="TRUE"),1,0))</f>
        <v/>
      </c>
      <c r="AL2238" s="28" t="str">
        <f aca="false">IF($N2238="","",IF(MATCH($N2238,$N$2:$N$3001,0)=ROWS($N$2:$N2238),$N2238,""))</f>
        <v/>
      </c>
    </row>
    <row r="2239" customFormat="false" ht="15" hidden="false" customHeight="false" outlineLevel="0" collapsed="false">
      <c r="E2239" s="25"/>
      <c r="M2239" s="26" t="str">
        <f aca="false">IF($A2239="","",$L2239*$U2239/100)</f>
        <v/>
      </c>
      <c r="W2239" s="26" t="str">
        <f aca="false">IF($A2239="","",U2239*AB2239/100)</f>
        <v/>
      </c>
      <c r="X2239" s="26" t="str">
        <f aca="false">IF($A2239="","",U2239-W2239)</f>
        <v/>
      </c>
      <c r="Y2239" s="26" t="str">
        <f aca="false">IF($A2239="","",U2239-W2239-M2239)</f>
        <v/>
      </c>
      <c r="AB2239" s="27" t="str">
        <f aca="false">IF($A2239="","",IF($AK2239=1,'كشف المطالبة'!$D$5,'كشف المطالبة'!$D$6)*100)</f>
        <v/>
      </c>
      <c r="AK2239" s="28" t="str">
        <f aca="false">IF($A2239="","",IF(OR($Q2239=TRUE(),$Q2239="TRUE"),1,0))</f>
        <v/>
      </c>
      <c r="AL2239" s="28" t="str">
        <f aca="false">IF($N2239="","",IF(MATCH($N2239,$N$2:$N$3001,0)=ROWS($N$2:$N2239),$N2239,""))</f>
        <v/>
      </c>
    </row>
    <row r="2240" customFormat="false" ht="15" hidden="false" customHeight="false" outlineLevel="0" collapsed="false">
      <c r="E2240" s="25"/>
      <c r="M2240" s="26" t="str">
        <f aca="false">IF($A2240="","",$L2240*$U2240/100)</f>
        <v/>
      </c>
      <c r="W2240" s="26" t="str">
        <f aca="false">IF($A2240="","",U2240*AB2240/100)</f>
        <v/>
      </c>
      <c r="X2240" s="26" t="str">
        <f aca="false">IF($A2240="","",U2240-W2240)</f>
        <v/>
      </c>
      <c r="Y2240" s="26" t="str">
        <f aca="false">IF($A2240="","",U2240-W2240-M2240)</f>
        <v/>
      </c>
      <c r="AB2240" s="27" t="str">
        <f aca="false">IF($A2240="","",IF($AK2240=1,'كشف المطالبة'!$D$5,'كشف المطالبة'!$D$6)*100)</f>
        <v/>
      </c>
      <c r="AK2240" s="28" t="str">
        <f aca="false">IF($A2240="","",IF(OR($Q2240=TRUE(),$Q2240="TRUE"),1,0))</f>
        <v/>
      </c>
      <c r="AL2240" s="28" t="str">
        <f aca="false">IF($N2240="","",IF(MATCH($N2240,$N$2:$N$3001,0)=ROWS($N$2:$N2240),$N2240,""))</f>
        <v/>
      </c>
    </row>
    <row r="2241" customFormat="false" ht="15" hidden="false" customHeight="false" outlineLevel="0" collapsed="false">
      <c r="E2241" s="25"/>
      <c r="M2241" s="26" t="str">
        <f aca="false">IF($A2241="","",$L2241*$U2241/100)</f>
        <v/>
      </c>
      <c r="W2241" s="26" t="str">
        <f aca="false">IF($A2241="","",U2241*AB2241/100)</f>
        <v/>
      </c>
      <c r="X2241" s="26" t="str">
        <f aca="false">IF($A2241="","",U2241-W2241)</f>
        <v/>
      </c>
      <c r="Y2241" s="26" t="str">
        <f aca="false">IF($A2241="","",U2241-W2241-M2241)</f>
        <v/>
      </c>
      <c r="AB2241" s="27" t="str">
        <f aca="false">IF($A2241="","",IF($AK2241=1,'كشف المطالبة'!$D$5,'كشف المطالبة'!$D$6)*100)</f>
        <v/>
      </c>
      <c r="AK2241" s="28" t="str">
        <f aca="false">IF($A2241="","",IF(OR($Q2241=TRUE(),$Q2241="TRUE"),1,0))</f>
        <v/>
      </c>
      <c r="AL2241" s="28" t="str">
        <f aca="false">IF($N2241="","",IF(MATCH($N2241,$N$2:$N$3001,0)=ROWS($N$2:$N2241),$N2241,""))</f>
        <v/>
      </c>
    </row>
    <row r="2242" customFormat="false" ht="15" hidden="false" customHeight="false" outlineLevel="0" collapsed="false">
      <c r="E2242" s="25"/>
      <c r="M2242" s="26" t="str">
        <f aca="false">IF($A2242="","",$L2242*$U2242/100)</f>
        <v/>
      </c>
      <c r="W2242" s="26" t="str">
        <f aca="false">IF($A2242="","",U2242*AB2242/100)</f>
        <v/>
      </c>
      <c r="X2242" s="26" t="str">
        <f aca="false">IF($A2242="","",U2242-W2242)</f>
        <v/>
      </c>
      <c r="Y2242" s="26" t="str">
        <f aca="false">IF($A2242="","",U2242-W2242-M2242)</f>
        <v/>
      </c>
      <c r="AB2242" s="27" t="str">
        <f aca="false">IF($A2242="","",IF($AK2242=1,'كشف المطالبة'!$D$5,'كشف المطالبة'!$D$6)*100)</f>
        <v/>
      </c>
      <c r="AK2242" s="28" t="str">
        <f aca="false">IF($A2242="","",IF(OR($Q2242=TRUE(),$Q2242="TRUE"),1,0))</f>
        <v/>
      </c>
      <c r="AL2242" s="28" t="str">
        <f aca="false">IF($N2242="","",IF(MATCH($N2242,$N$2:$N$3001,0)=ROWS($N$2:$N2242),$N2242,""))</f>
        <v/>
      </c>
    </row>
    <row r="2243" customFormat="false" ht="15" hidden="false" customHeight="false" outlineLevel="0" collapsed="false">
      <c r="E2243" s="25"/>
      <c r="M2243" s="26" t="str">
        <f aca="false">IF($A2243="","",$L2243*$U2243/100)</f>
        <v/>
      </c>
      <c r="W2243" s="26" t="str">
        <f aca="false">IF($A2243="","",U2243*AB2243/100)</f>
        <v/>
      </c>
      <c r="X2243" s="26" t="str">
        <f aca="false">IF($A2243="","",U2243-W2243)</f>
        <v/>
      </c>
      <c r="Y2243" s="26" t="str">
        <f aca="false">IF($A2243="","",U2243-W2243-M2243)</f>
        <v/>
      </c>
      <c r="AB2243" s="27" t="str">
        <f aca="false">IF($A2243="","",IF($AK2243=1,'كشف المطالبة'!$D$5,'كشف المطالبة'!$D$6)*100)</f>
        <v/>
      </c>
      <c r="AK2243" s="28" t="str">
        <f aca="false">IF($A2243="","",IF(OR($Q2243=TRUE(),$Q2243="TRUE"),1,0))</f>
        <v/>
      </c>
      <c r="AL2243" s="28" t="str">
        <f aca="false">IF($N2243="","",IF(MATCH($N2243,$N$2:$N$3001,0)=ROWS($N$2:$N2243),$N2243,""))</f>
        <v/>
      </c>
    </row>
    <row r="2244" customFormat="false" ht="15" hidden="false" customHeight="false" outlineLevel="0" collapsed="false">
      <c r="E2244" s="25"/>
      <c r="M2244" s="26" t="str">
        <f aca="false">IF($A2244="","",$L2244*$U2244/100)</f>
        <v/>
      </c>
      <c r="W2244" s="26" t="str">
        <f aca="false">IF($A2244="","",U2244*AB2244/100)</f>
        <v/>
      </c>
      <c r="X2244" s="26" t="str">
        <f aca="false">IF($A2244="","",U2244-W2244)</f>
        <v/>
      </c>
      <c r="Y2244" s="26" t="str">
        <f aca="false">IF($A2244="","",U2244-W2244-M2244)</f>
        <v/>
      </c>
      <c r="AB2244" s="27" t="str">
        <f aca="false">IF($A2244="","",IF($AK2244=1,'كشف المطالبة'!$D$5,'كشف المطالبة'!$D$6)*100)</f>
        <v/>
      </c>
      <c r="AK2244" s="28" t="str">
        <f aca="false">IF($A2244="","",IF(OR($Q2244=TRUE(),$Q2244="TRUE"),1,0))</f>
        <v/>
      </c>
      <c r="AL2244" s="28" t="str">
        <f aca="false">IF($N2244="","",IF(MATCH($N2244,$N$2:$N$3001,0)=ROWS($N$2:$N2244),$N2244,""))</f>
        <v/>
      </c>
    </row>
    <row r="2245" customFormat="false" ht="15" hidden="false" customHeight="false" outlineLevel="0" collapsed="false">
      <c r="E2245" s="25"/>
      <c r="M2245" s="26" t="str">
        <f aca="false">IF($A2245="","",$L2245*$U2245/100)</f>
        <v/>
      </c>
      <c r="W2245" s="26" t="str">
        <f aca="false">IF($A2245="","",U2245*AB2245/100)</f>
        <v/>
      </c>
      <c r="X2245" s="26" t="str">
        <f aca="false">IF($A2245="","",U2245-W2245)</f>
        <v/>
      </c>
      <c r="Y2245" s="26" t="str">
        <f aca="false">IF($A2245="","",U2245-W2245-M2245)</f>
        <v/>
      </c>
      <c r="AB2245" s="27" t="str">
        <f aca="false">IF($A2245="","",IF($AK2245=1,'كشف المطالبة'!$D$5,'كشف المطالبة'!$D$6)*100)</f>
        <v/>
      </c>
      <c r="AK2245" s="28" t="str">
        <f aca="false">IF($A2245="","",IF(OR($Q2245=TRUE(),$Q2245="TRUE"),1,0))</f>
        <v/>
      </c>
      <c r="AL2245" s="28" t="str">
        <f aca="false">IF($N2245="","",IF(MATCH($N2245,$N$2:$N$3001,0)=ROWS($N$2:$N2245),$N2245,""))</f>
        <v/>
      </c>
    </row>
    <row r="2246" customFormat="false" ht="15" hidden="false" customHeight="false" outlineLevel="0" collapsed="false">
      <c r="E2246" s="25"/>
      <c r="M2246" s="26" t="str">
        <f aca="false">IF($A2246="","",$L2246*$U2246/100)</f>
        <v/>
      </c>
      <c r="W2246" s="26" t="str">
        <f aca="false">IF($A2246="","",U2246*AB2246/100)</f>
        <v/>
      </c>
      <c r="X2246" s="26" t="str">
        <f aca="false">IF($A2246="","",U2246-W2246)</f>
        <v/>
      </c>
      <c r="Y2246" s="26" t="str">
        <f aca="false">IF($A2246="","",U2246-W2246-M2246)</f>
        <v/>
      </c>
      <c r="AB2246" s="27" t="str">
        <f aca="false">IF($A2246="","",IF($AK2246=1,'كشف المطالبة'!$D$5,'كشف المطالبة'!$D$6)*100)</f>
        <v/>
      </c>
      <c r="AK2246" s="28" t="str">
        <f aca="false">IF($A2246="","",IF(OR($Q2246=TRUE(),$Q2246="TRUE"),1,0))</f>
        <v/>
      </c>
      <c r="AL2246" s="28" t="str">
        <f aca="false">IF($N2246="","",IF(MATCH($N2246,$N$2:$N$3001,0)=ROWS($N$2:$N2246),$N2246,""))</f>
        <v/>
      </c>
    </row>
    <row r="2247" customFormat="false" ht="15" hidden="false" customHeight="false" outlineLevel="0" collapsed="false">
      <c r="E2247" s="25"/>
      <c r="M2247" s="26" t="str">
        <f aca="false">IF($A2247="","",$L2247*$U2247/100)</f>
        <v/>
      </c>
      <c r="W2247" s="26" t="str">
        <f aca="false">IF($A2247="","",U2247*AB2247/100)</f>
        <v/>
      </c>
      <c r="X2247" s="26" t="str">
        <f aca="false">IF($A2247="","",U2247-W2247)</f>
        <v/>
      </c>
      <c r="Y2247" s="26" t="str">
        <f aca="false">IF($A2247="","",U2247-W2247-M2247)</f>
        <v/>
      </c>
      <c r="AB2247" s="27" t="str">
        <f aca="false">IF($A2247="","",IF($AK2247=1,'كشف المطالبة'!$D$5,'كشف المطالبة'!$D$6)*100)</f>
        <v/>
      </c>
      <c r="AK2247" s="28" t="str">
        <f aca="false">IF($A2247="","",IF(OR($Q2247=TRUE(),$Q2247="TRUE"),1,0))</f>
        <v/>
      </c>
      <c r="AL2247" s="28" t="str">
        <f aca="false">IF($N2247="","",IF(MATCH($N2247,$N$2:$N$3001,0)=ROWS($N$2:$N2247),$N2247,""))</f>
        <v/>
      </c>
    </row>
    <row r="2248" customFormat="false" ht="15" hidden="false" customHeight="false" outlineLevel="0" collapsed="false">
      <c r="E2248" s="25"/>
      <c r="M2248" s="26" t="str">
        <f aca="false">IF($A2248="","",$L2248*$U2248/100)</f>
        <v/>
      </c>
      <c r="W2248" s="26" t="str">
        <f aca="false">IF($A2248="","",U2248*AB2248/100)</f>
        <v/>
      </c>
      <c r="X2248" s="26" t="str">
        <f aca="false">IF($A2248="","",U2248-W2248)</f>
        <v/>
      </c>
      <c r="Y2248" s="26" t="str">
        <f aca="false">IF($A2248="","",U2248-W2248-M2248)</f>
        <v/>
      </c>
      <c r="AB2248" s="27" t="str">
        <f aca="false">IF($A2248="","",IF($AK2248=1,'كشف المطالبة'!$D$5,'كشف المطالبة'!$D$6)*100)</f>
        <v/>
      </c>
      <c r="AK2248" s="28" t="str">
        <f aca="false">IF($A2248="","",IF(OR($Q2248=TRUE(),$Q2248="TRUE"),1,0))</f>
        <v/>
      </c>
      <c r="AL2248" s="28" t="str">
        <f aca="false">IF($N2248="","",IF(MATCH($N2248,$N$2:$N$3001,0)=ROWS($N$2:$N2248),$N2248,""))</f>
        <v/>
      </c>
    </row>
    <row r="2249" customFormat="false" ht="15" hidden="false" customHeight="false" outlineLevel="0" collapsed="false">
      <c r="E2249" s="25"/>
      <c r="M2249" s="26" t="str">
        <f aca="false">IF($A2249="","",$L2249*$U2249/100)</f>
        <v/>
      </c>
      <c r="W2249" s="26" t="str">
        <f aca="false">IF($A2249="","",U2249*AB2249/100)</f>
        <v/>
      </c>
      <c r="X2249" s="26" t="str">
        <f aca="false">IF($A2249="","",U2249-W2249)</f>
        <v/>
      </c>
      <c r="Y2249" s="26" t="str">
        <f aca="false">IF($A2249="","",U2249-W2249-M2249)</f>
        <v/>
      </c>
      <c r="AB2249" s="27" t="str">
        <f aca="false">IF($A2249="","",IF($AK2249=1,'كشف المطالبة'!$D$5,'كشف المطالبة'!$D$6)*100)</f>
        <v/>
      </c>
      <c r="AK2249" s="28" t="str">
        <f aca="false">IF($A2249="","",IF(OR($Q2249=TRUE(),$Q2249="TRUE"),1,0))</f>
        <v/>
      </c>
      <c r="AL2249" s="28" t="str">
        <f aca="false">IF($N2249="","",IF(MATCH($N2249,$N$2:$N$3001,0)=ROWS($N$2:$N2249),$N2249,""))</f>
        <v/>
      </c>
    </row>
    <row r="2250" customFormat="false" ht="15" hidden="false" customHeight="false" outlineLevel="0" collapsed="false">
      <c r="E2250" s="25"/>
      <c r="M2250" s="26" t="str">
        <f aca="false">IF($A2250="","",$L2250*$U2250/100)</f>
        <v/>
      </c>
      <c r="W2250" s="26" t="str">
        <f aca="false">IF($A2250="","",U2250*AB2250/100)</f>
        <v/>
      </c>
      <c r="X2250" s="26" t="str">
        <f aca="false">IF($A2250="","",U2250-W2250)</f>
        <v/>
      </c>
      <c r="Y2250" s="26" t="str">
        <f aca="false">IF($A2250="","",U2250-W2250-M2250)</f>
        <v/>
      </c>
      <c r="AB2250" s="27" t="str">
        <f aca="false">IF($A2250="","",IF($AK2250=1,'كشف المطالبة'!$D$5,'كشف المطالبة'!$D$6)*100)</f>
        <v/>
      </c>
      <c r="AK2250" s="28" t="str">
        <f aca="false">IF($A2250="","",IF(OR($Q2250=TRUE(),$Q2250="TRUE"),1,0))</f>
        <v/>
      </c>
      <c r="AL2250" s="28" t="str">
        <f aca="false">IF($N2250="","",IF(MATCH($N2250,$N$2:$N$3001,0)=ROWS($N$2:$N2250),$N2250,""))</f>
        <v/>
      </c>
    </row>
    <row r="2251" customFormat="false" ht="15" hidden="false" customHeight="false" outlineLevel="0" collapsed="false">
      <c r="E2251" s="25"/>
      <c r="M2251" s="26" t="str">
        <f aca="false">IF($A2251="","",$L2251*$U2251/100)</f>
        <v/>
      </c>
      <c r="W2251" s="26" t="str">
        <f aca="false">IF($A2251="","",U2251*AB2251/100)</f>
        <v/>
      </c>
      <c r="X2251" s="26" t="str">
        <f aca="false">IF($A2251="","",U2251-W2251)</f>
        <v/>
      </c>
      <c r="Y2251" s="26" t="str">
        <f aca="false">IF($A2251="","",U2251-W2251-M2251)</f>
        <v/>
      </c>
      <c r="AB2251" s="27" t="str">
        <f aca="false">IF($A2251="","",IF($AK2251=1,'كشف المطالبة'!$D$5,'كشف المطالبة'!$D$6)*100)</f>
        <v/>
      </c>
      <c r="AK2251" s="28" t="str">
        <f aca="false">IF($A2251="","",IF(OR($Q2251=TRUE(),$Q2251="TRUE"),1,0))</f>
        <v/>
      </c>
      <c r="AL2251" s="28" t="str">
        <f aca="false">IF($N2251="","",IF(MATCH($N2251,$N$2:$N$3001,0)=ROWS($N$2:$N2251),$N2251,""))</f>
        <v/>
      </c>
    </row>
    <row r="2252" customFormat="false" ht="15" hidden="false" customHeight="false" outlineLevel="0" collapsed="false">
      <c r="E2252" s="25"/>
      <c r="M2252" s="26" t="str">
        <f aca="false">IF($A2252="","",$L2252*$U2252/100)</f>
        <v/>
      </c>
      <c r="W2252" s="26" t="str">
        <f aca="false">IF($A2252="","",U2252*AB2252/100)</f>
        <v/>
      </c>
      <c r="X2252" s="26" t="str">
        <f aca="false">IF($A2252="","",U2252-W2252)</f>
        <v/>
      </c>
      <c r="Y2252" s="26" t="str">
        <f aca="false">IF($A2252="","",U2252-W2252-M2252)</f>
        <v/>
      </c>
      <c r="AB2252" s="27" t="str">
        <f aca="false">IF($A2252="","",IF($AK2252=1,'كشف المطالبة'!$D$5,'كشف المطالبة'!$D$6)*100)</f>
        <v/>
      </c>
      <c r="AK2252" s="28" t="str">
        <f aca="false">IF($A2252="","",IF(OR($Q2252=TRUE(),$Q2252="TRUE"),1,0))</f>
        <v/>
      </c>
      <c r="AL2252" s="28" t="str">
        <f aca="false">IF($N2252="","",IF(MATCH($N2252,$N$2:$N$3001,0)=ROWS($N$2:$N2252),$N2252,""))</f>
        <v/>
      </c>
    </row>
    <row r="2253" customFormat="false" ht="15" hidden="false" customHeight="false" outlineLevel="0" collapsed="false">
      <c r="E2253" s="25"/>
      <c r="M2253" s="26" t="str">
        <f aca="false">IF($A2253="","",$L2253*$U2253/100)</f>
        <v/>
      </c>
      <c r="W2253" s="26" t="str">
        <f aca="false">IF($A2253="","",U2253*AB2253/100)</f>
        <v/>
      </c>
      <c r="X2253" s="26" t="str">
        <f aca="false">IF($A2253="","",U2253-W2253)</f>
        <v/>
      </c>
      <c r="Y2253" s="26" t="str">
        <f aca="false">IF($A2253="","",U2253-W2253-M2253)</f>
        <v/>
      </c>
      <c r="AB2253" s="27" t="str">
        <f aca="false">IF($A2253="","",IF($AK2253=1,'كشف المطالبة'!$D$5,'كشف المطالبة'!$D$6)*100)</f>
        <v/>
      </c>
      <c r="AK2253" s="28" t="str">
        <f aca="false">IF($A2253="","",IF(OR($Q2253=TRUE(),$Q2253="TRUE"),1,0))</f>
        <v/>
      </c>
      <c r="AL2253" s="28" t="str">
        <f aca="false">IF($N2253="","",IF(MATCH($N2253,$N$2:$N$3001,0)=ROWS($N$2:$N2253),$N2253,""))</f>
        <v/>
      </c>
    </row>
    <row r="2254" customFormat="false" ht="15" hidden="false" customHeight="false" outlineLevel="0" collapsed="false">
      <c r="E2254" s="25"/>
      <c r="M2254" s="26" t="str">
        <f aca="false">IF($A2254="","",$L2254*$U2254/100)</f>
        <v/>
      </c>
      <c r="W2254" s="26" t="str">
        <f aca="false">IF($A2254="","",U2254*AB2254/100)</f>
        <v/>
      </c>
      <c r="X2254" s="26" t="str">
        <f aca="false">IF($A2254="","",U2254-W2254)</f>
        <v/>
      </c>
      <c r="Y2254" s="26" t="str">
        <f aca="false">IF($A2254="","",U2254-W2254-M2254)</f>
        <v/>
      </c>
      <c r="AB2254" s="27" t="str">
        <f aca="false">IF($A2254="","",IF($AK2254=1,'كشف المطالبة'!$D$5,'كشف المطالبة'!$D$6)*100)</f>
        <v/>
      </c>
      <c r="AK2254" s="28" t="str">
        <f aca="false">IF($A2254="","",IF(OR($Q2254=TRUE(),$Q2254="TRUE"),1,0))</f>
        <v/>
      </c>
      <c r="AL2254" s="28" t="str">
        <f aca="false">IF($N2254="","",IF(MATCH($N2254,$N$2:$N$3001,0)=ROWS($N$2:$N2254),$N2254,""))</f>
        <v/>
      </c>
    </row>
    <row r="2255" customFormat="false" ht="15" hidden="false" customHeight="false" outlineLevel="0" collapsed="false">
      <c r="E2255" s="25"/>
      <c r="M2255" s="26" t="str">
        <f aca="false">IF($A2255="","",$L2255*$U2255/100)</f>
        <v/>
      </c>
      <c r="W2255" s="26" t="str">
        <f aca="false">IF($A2255="","",U2255*AB2255/100)</f>
        <v/>
      </c>
      <c r="X2255" s="26" t="str">
        <f aca="false">IF($A2255="","",U2255-W2255)</f>
        <v/>
      </c>
      <c r="Y2255" s="26" t="str">
        <f aca="false">IF($A2255="","",U2255-W2255-M2255)</f>
        <v/>
      </c>
      <c r="AB2255" s="27" t="str">
        <f aca="false">IF($A2255="","",IF($AK2255=1,'كشف المطالبة'!$D$5,'كشف المطالبة'!$D$6)*100)</f>
        <v/>
      </c>
      <c r="AK2255" s="28" t="str">
        <f aca="false">IF($A2255="","",IF(OR($Q2255=TRUE(),$Q2255="TRUE"),1,0))</f>
        <v/>
      </c>
      <c r="AL2255" s="28" t="str">
        <f aca="false">IF($N2255="","",IF(MATCH($N2255,$N$2:$N$3001,0)=ROWS($N$2:$N2255),$N2255,""))</f>
        <v/>
      </c>
    </row>
    <row r="2256" customFormat="false" ht="15" hidden="false" customHeight="false" outlineLevel="0" collapsed="false">
      <c r="E2256" s="25"/>
      <c r="M2256" s="26" t="str">
        <f aca="false">IF($A2256="","",$L2256*$U2256/100)</f>
        <v/>
      </c>
      <c r="W2256" s="26" t="str">
        <f aca="false">IF($A2256="","",U2256*AB2256/100)</f>
        <v/>
      </c>
      <c r="X2256" s="26" t="str">
        <f aca="false">IF($A2256="","",U2256-W2256)</f>
        <v/>
      </c>
      <c r="Y2256" s="26" t="str">
        <f aca="false">IF($A2256="","",U2256-W2256-M2256)</f>
        <v/>
      </c>
      <c r="AB2256" s="27" t="str">
        <f aca="false">IF($A2256="","",IF($AK2256=1,'كشف المطالبة'!$D$5,'كشف المطالبة'!$D$6)*100)</f>
        <v/>
      </c>
      <c r="AK2256" s="28" t="str">
        <f aca="false">IF($A2256="","",IF(OR($Q2256=TRUE(),$Q2256="TRUE"),1,0))</f>
        <v/>
      </c>
      <c r="AL2256" s="28" t="str">
        <f aca="false">IF($N2256="","",IF(MATCH($N2256,$N$2:$N$3001,0)=ROWS($N$2:$N2256),$N2256,""))</f>
        <v/>
      </c>
    </row>
    <row r="2257" customFormat="false" ht="15" hidden="false" customHeight="false" outlineLevel="0" collapsed="false">
      <c r="E2257" s="25"/>
      <c r="M2257" s="26" t="str">
        <f aca="false">IF($A2257="","",$L2257*$U2257/100)</f>
        <v/>
      </c>
      <c r="W2257" s="26" t="str">
        <f aca="false">IF($A2257="","",U2257*AB2257/100)</f>
        <v/>
      </c>
      <c r="X2257" s="26" t="str">
        <f aca="false">IF($A2257="","",U2257-W2257)</f>
        <v/>
      </c>
      <c r="Y2257" s="26" t="str">
        <f aca="false">IF($A2257="","",U2257-W2257-M2257)</f>
        <v/>
      </c>
      <c r="AB2257" s="27" t="str">
        <f aca="false">IF($A2257="","",IF($AK2257=1,'كشف المطالبة'!$D$5,'كشف المطالبة'!$D$6)*100)</f>
        <v/>
      </c>
      <c r="AK2257" s="28" t="str">
        <f aca="false">IF($A2257="","",IF(OR($Q2257=TRUE(),$Q2257="TRUE"),1,0))</f>
        <v/>
      </c>
      <c r="AL2257" s="28" t="str">
        <f aca="false">IF($N2257="","",IF(MATCH($N2257,$N$2:$N$3001,0)=ROWS($N$2:$N2257),$N2257,""))</f>
        <v/>
      </c>
    </row>
    <row r="2258" customFormat="false" ht="15" hidden="false" customHeight="false" outlineLevel="0" collapsed="false">
      <c r="E2258" s="25"/>
      <c r="M2258" s="26" t="str">
        <f aca="false">IF($A2258="","",$L2258*$U2258/100)</f>
        <v/>
      </c>
      <c r="W2258" s="26" t="str">
        <f aca="false">IF($A2258="","",U2258*AB2258/100)</f>
        <v/>
      </c>
      <c r="X2258" s="26" t="str">
        <f aca="false">IF($A2258="","",U2258-W2258)</f>
        <v/>
      </c>
      <c r="Y2258" s="26" t="str">
        <f aca="false">IF($A2258="","",U2258-W2258-M2258)</f>
        <v/>
      </c>
      <c r="AB2258" s="27" t="str">
        <f aca="false">IF($A2258="","",IF($AK2258=1,'كشف المطالبة'!$D$5,'كشف المطالبة'!$D$6)*100)</f>
        <v/>
      </c>
      <c r="AK2258" s="28" t="str">
        <f aca="false">IF($A2258="","",IF(OR($Q2258=TRUE(),$Q2258="TRUE"),1,0))</f>
        <v/>
      </c>
      <c r="AL2258" s="28" t="str">
        <f aca="false">IF($N2258="","",IF(MATCH($N2258,$N$2:$N$3001,0)=ROWS($N$2:$N2258),$N2258,""))</f>
        <v/>
      </c>
    </row>
    <row r="2259" customFormat="false" ht="15" hidden="false" customHeight="false" outlineLevel="0" collapsed="false">
      <c r="E2259" s="25"/>
      <c r="M2259" s="26" t="str">
        <f aca="false">IF($A2259="","",$L2259*$U2259/100)</f>
        <v/>
      </c>
      <c r="W2259" s="26" t="str">
        <f aca="false">IF($A2259="","",U2259*AB2259/100)</f>
        <v/>
      </c>
      <c r="X2259" s="26" t="str">
        <f aca="false">IF($A2259="","",U2259-W2259)</f>
        <v/>
      </c>
      <c r="Y2259" s="26" t="str">
        <f aca="false">IF($A2259="","",U2259-W2259-M2259)</f>
        <v/>
      </c>
      <c r="AB2259" s="27" t="str">
        <f aca="false">IF($A2259="","",IF($AK2259=1,'كشف المطالبة'!$D$5,'كشف المطالبة'!$D$6)*100)</f>
        <v/>
      </c>
      <c r="AK2259" s="28" t="str">
        <f aca="false">IF($A2259="","",IF(OR($Q2259=TRUE(),$Q2259="TRUE"),1,0))</f>
        <v/>
      </c>
      <c r="AL2259" s="28" t="str">
        <f aca="false">IF($N2259="","",IF(MATCH($N2259,$N$2:$N$3001,0)=ROWS($N$2:$N2259),$N2259,""))</f>
        <v/>
      </c>
    </row>
    <row r="2260" customFormat="false" ht="15" hidden="false" customHeight="false" outlineLevel="0" collapsed="false">
      <c r="E2260" s="25"/>
      <c r="M2260" s="26" t="str">
        <f aca="false">IF($A2260="","",$L2260*$U2260/100)</f>
        <v/>
      </c>
      <c r="W2260" s="26" t="str">
        <f aca="false">IF($A2260="","",U2260*AB2260/100)</f>
        <v/>
      </c>
      <c r="X2260" s="26" t="str">
        <f aca="false">IF($A2260="","",U2260-W2260)</f>
        <v/>
      </c>
      <c r="Y2260" s="26" t="str">
        <f aca="false">IF($A2260="","",U2260-W2260-M2260)</f>
        <v/>
      </c>
      <c r="AB2260" s="27" t="str">
        <f aca="false">IF($A2260="","",IF($AK2260=1,'كشف المطالبة'!$D$5,'كشف المطالبة'!$D$6)*100)</f>
        <v/>
      </c>
      <c r="AK2260" s="28" t="str">
        <f aca="false">IF($A2260="","",IF(OR($Q2260=TRUE(),$Q2260="TRUE"),1,0))</f>
        <v/>
      </c>
      <c r="AL2260" s="28" t="str">
        <f aca="false">IF($N2260="","",IF(MATCH($N2260,$N$2:$N$3001,0)=ROWS($N$2:$N2260),$N2260,""))</f>
        <v/>
      </c>
    </row>
    <row r="2261" customFormat="false" ht="15" hidden="false" customHeight="false" outlineLevel="0" collapsed="false">
      <c r="E2261" s="25"/>
      <c r="M2261" s="26" t="str">
        <f aca="false">IF($A2261="","",$L2261*$U2261/100)</f>
        <v/>
      </c>
      <c r="W2261" s="26" t="str">
        <f aca="false">IF($A2261="","",U2261*AB2261/100)</f>
        <v/>
      </c>
      <c r="X2261" s="26" t="str">
        <f aca="false">IF($A2261="","",U2261-W2261)</f>
        <v/>
      </c>
      <c r="Y2261" s="26" t="str">
        <f aca="false">IF($A2261="","",U2261-W2261-M2261)</f>
        <v/>
      </c>
      <c r="AB2261" s="27" t="str">
        <f aca="false">IF($A2261="","",IF($AK2261=1,'كشف المطالبة'!$D$5,'كشف المطالبة'!$D$6)*100)</f>
        <v/>
      </c>
      <c r="AK2261" s="28" t="str">
        <f aca="false">IF($A2261="","",IF(OR($Q2261=TRUE(),$Q2261="TRUE"),1,0))</f>
        <v/>
      </c>
      <c r="AL2261" s="28" t="str">
        <f aca="false">IF($N2261="","",IF(MATCH($N2261,$N$2:$N$3001,0)=ROWS($N$2:$N2261),$N2261,""))</f>
        <v/>
      </c>
    </row>
    <row r="2262" customFormat="false" ht="15" hidden="false" customHeight="false" outlineLevel="0" collapsed="false">
      <c r="E2262" s="25"/>
      <c r="M2262" s="26" t="str">
        <f aca="false">IF($A2262="","",$L2262*$U2262/100)</f>
        <v/>
      </c>
      <c r="W2262" s="26" t="str">
        <f aca="false">IF($A2262="","",U2262*AB2262/100)</f>
        <v/>
      </c>
      <c r="X2262" s="26" t="str">
        <f aca="false">IF($A2262="","",U2262-W2262)</f>
        <v/>
      </c>
      <c r="Y2262" s="26" t="str">
        <f aca="false">IF($A2262="","",U2262-W2262-M2262)</f>
        <v/>
      </c>
      <c r="AB2262" s="27" t="str">
        <f aca="false">IF($A2262="","",IF($AK2262=1,'كشف المطالبة'!$D$5,'كشف المطالبة'!$D$6)*100)</f>
        <v/>
      </c>
      <c r="AK2262" s="28" t="str">
        <f aca="false">IF($A2262="","",IF(OR($Q2262=TRUE(),$Q2262="TRUE"),1,0))</f>
        <v/>
      </c>
      <c r="AL2262" s="28" t="str">
        <f aca="false">IF($N2262="","",IF(MATCH($N2262,$N$2:$N$3001,0)=ROWS($N$2:$N2262),$N2262,""))</f>
        <v/>
      </c>
    </row>
    <row r="2263" customFormat="false" ht="15" hidden="false" customHeight="false" outlineLevel="0" collapsed="false">
      <c r="E2263" s="25"/>
      <c r="M2263" s="26" t="str">
        <f aca="false">IF($A2263="","",$L2263*$U2263/100)</f>
        <v/>
      </c>
      <c r="W2263" s="26" t="str">
        <f aca="false">IF($A2263="","",U2263*AB2263/100)</f>
        <v/>
      </c>
      <c r="X2263" s="26" t="str">
        <f aca="false">IF($A2263="","",U2263-W2263)</f>
        <v/>
      </c>
      <c r="Y2263" s="26" t="str">
        <f aca="false">IF($A2263="","",U2263-W2263-M2263)</f>
        <v/>
      </c>
      <c r="AB2263" s="27" t="str">
        <f aca="false">IF($A2263="","",IF($AK2263=1,'كشف المطالبة'!$D$5,'كشف المطالبة'!$D$6)*100)</f>
        <v/>
      </c>
      <c r="AK2263" s="28" t="str">
        <f aca="false">IF($A2263="","",IF(OR($Q2263=TRUE(),$Q2263="TRUE"),1,0))</f>
        <v/>
      </c>
      <c r="AL2263" s="28" t="str">
        <f aca="false">IF($N2263="","",IF(MATCH($N2263,$N$2:$N$3001,0)=ROWS($N$2:$N2263),$N2263,""))</f>
        <v/>
      </c>
    </row>
    <row r="2264" customFormat="false" ht="15" hidden="false" customHeight="false" outlineLevel="0" collapsed="false">
      <c r="E2264" s="25"/>
      <c r="M2264" s="26" t="str">
        <f aca="false">IF($A2264="","",$L2264*$U2264/100)</f>
        <v/>
      </c>
      <c r="W2264" s="26" t="str">
        <f aca="false">IF($A2264="","",U2264*AB2264/100)</f>
        <v/>
      </c>
      <c r="X2264" s="26" t="str">
        <f aca="false">IF($A2264="","",U2264-W2264)</f>
        <v/>
      </c>
      <c r="Y2264" s="26" t="str">
        <f aca="false">IF($A2264="","",U2264-W2264-M2264)</f>
        <v/>
      </c>
      <c r="AB2264" s="27" t="str">
        <f aca="false">IF($A2264="","",IF($AK2264=1,'كشف المطالبة'!$D$5,'كشف المطالبة'!$D$6)*100)</f>
        <v/>
      </c>
      <c r="AK2264" s="28" t="str">
        <f aca="false">IF($A2264="","",IF(OR($Q2264=TRUE(),$Q2264="TRUE"),1,0))</f>
        <v/>
      </c>
      <c r="AL2264" s="28" t="str">
        <f aca="false">IF($N2264="","",IF(MATCH($N2264,$N$2:$N$3001,0)=ROWS($N$2:$N2264),$N2264,""))</f>
        <v/>
      </c>
    </row>
    <row r="2265" customFormat="false" ht="15" hidden="false" customHeight="false" outlineLevel="0" collapsed="false">
      <c r="E2265" s="25"/>
      <c r="M2265" s="26" t="str">
        <f aca="false">IF($A2265="","",$L2265*$U2265/100)</f>
        <v/>
      </c>
      <c r="W2265" s="26" t="str">
        <f aca="false">IF($A2265="","",U2265*AB2265/100)</f>
        <v/>
      </c>
      <c r="X2265" s="26" t="str">
        <f aca="false">IF($A2265="","",U2265-W2265)</f>
        <v/>
      </c>
      <c r="Y2265" s="26" t="str">
        <f aca="false">IF($A2265="","",U2265-W2265-M2265)</f>
        <v/>
      </c>
      <c r="AB2265" s="27" t="str">
        <f aca="false">IF($A2265="","",IF($AK2265=1,'كشف المطالبة'!$D$5,'كشف المطالبة'!$D$6)*100)</f>
        <v/>
      </c>
      <c r="AK2265" s="28" t="str">
        <f aca="false">IF($A2265="","",IF(OR($Q2265=TRUE(),$Q2265="TRUE"),1,0))</f>
        <v/>
      </c>
      <c r="AL2265" s="28" t="str">
        <f aca="false">IF($N2265="","",IF(MATCH($N2265,$N$2:$N$3001,0)=ROWS($N$2:$N2265),$N2265,""))</f>
        <v/>
      </c>
    </row>
    <row r="2266" customFormat="false" ht="15" hidden="false" customHeight="false" outlineLevel="0" collapsed="false">
      <c r="E2266" s="25"/>
      <c r="M2266" s="26" t="str">
        <f aca="false">IF($A2266="","",$L2266*$U2266/100)</f>
        <v/>
      </c>
      <c r="W2266" s="26" t="str">
        <f aca="false">IF($A2266="","",U2266*AB2266/100)</f>
        <v/>
      </c>
      <c r="X2266" s="26" t="str">
        <f aca="false">IF($A2266="","",U2266-W2266)</f>
        <v/>
      </c>
      <c r="Y2266" s="26" t="str">
        <f aca="false">IF($A2266="","",U2266-W2266-M2266)</f>
        <v/>
      </c>
      <c r="AB2266" s="27" t="str">
        <f aca="false">IF($A2266="","",IF($AK2266=1,'كشف المطالبة'!$D$5,'كشف المطالبة'!$D$6)*100)</f>
        <v/>
      </c>
      <c r="AK2266" s="28" t="str">
        <f aca="false">IF($A2266="","",IF(OR($Q2266=TRUE(),$Q2266="TRUE"),1,0))</f>
        <v/>
      </c>
      <c r="AL2266" s="28" t="str">
        <f aca="false">IF($N2266="","",IF(MATCH($N2266,$N$2:$N$3001,0)=ROWS($N$2:$N2266),$N2266,""))</f>
        <v/>
      </c>
    </row>
    <row r="2267" customFormat="false" ht="15" hidden="false" customHeight="false" outlineLevel="0" collapsed="false">
      <c r="E2267" s="25"/>
      <c r="M2267" s="26" t="str">
        <f aca="false">IF($A2267="","",$L2267*$U2267/100)</f>
        <v/>
      </c>
      <c r="W2267" s="26" t="str">
        <f aca="false">IF($A2267="","",U2267*AB2267/100)</f>
        <v/>
      </c>
      <c r="X2267" s="26" t="str">
        <f aca="false">IF($A2267="","",U2267-W2267)</f>
        <v/>
      </c>
      <c r="Y2267" s="26" t="str">
        <f aca="false">IF($A2267="","",U2267-W2267-M2267)</f>
        <v/>
      </c>
      <c r="AB2267" s="27" t="str">
        <f aca="false">IF($A2267="","",IF($AK2267=1,'كشف المطالبة'!$D$5,'كشف المطالبة'!$D$6)*100)</f>
        <v/>
      </c>
      <c r="AK2267" s="28" t="str">
        <f aca="false">IF($A2267="","",IF(OR($Q2267=TRUE(),$Q2267="TRUE"),1,0))</f>
        <v/>
      </c>
      <c r="AL2267" s="28" t="str">
        <f aca="false">IF($N2267="","",IF(MATCH($N2267,$N$2:$N$3001,0)=ROWS($N$2:$N2267),$N2267,""))</f>
        <v/>
      </c>
    </row>
    <row r="2268" customFormat="false" ht="15" hidden="false" customHeight="false" outlineLevel="0" collapsed="false">
      <c r="E2268" s="25"/>
      <c r="M2268" s="26" t="str">
        <f aca="false">IF($A2268="","",$L2268*$U2268/100)</f>
        <v/>
      </c>
      <c r="W2268" s="26" t="str">
        <f aca="false">IF($A2268="","",U2268*AB2268/100)</f>
        <v/>
      </c>
      <c r="X2268" s="26" t="str">
        <f aca="false">IF($A2268="","",U2268-W2268)</f>
        <v/>
      </c>
      <c r="Y2268" s="26" t="str">
        <f aca="false">IF($A2268="","",U2268-W2268-M2268)</f>
        <v/>
      </c>
      <c r="AB2268" s="27" t="str">
        <f aca="false">IF($A2268="","",IF($AK2268=1,'كشف المطالبة'!$D$5,'كشف المطالبة'!$D$6)*100)</f>
        <v/>
      </c>
      <c r="AK2268" s="28" t="str">
        <f aca="false">IF($A2268="","",IF(OR($Q2268=TRUE(),$Q2268="TRUE"),1,0))</f>
        <v/>
      </c>
      <c r="AL2268" s="28" t="str">
        <f aca="false">IF($N2268="","",IF(MATCH($N2268,$N$2:$N$3001,0)=ROWS($N$2:$N2268),$N2268,""))</f>
        <v/>
      </c>
    </row>
    <row r="2269" customFormat="false" ht="15" hidden="false" customHeight="false" outlineLevel="0" collapsed="false">
      <c r="E2269" s="25"/>
      <c r="M2269" s="26" t="str">
        <f aca="false">IF($A2269="","",$L2269*$U2269/100)</f>
        <v/>
      </c>
      <c r="W2269" s="26" t="str">
        <f aca="false">IF($A2269="","",U2269*AB2269/100)</f>
        <v/>
      </c>
      <c r="X2269" s="26" t="str">
        <f aca="false">IF($A2269="","",U2269-W2269)</f>
        <v/>
      </c>
      <c r="Y2269" s="26" t="str">
        <f aca="false">IF($A2269="","",U2269-W2269-M2269)</f>
        <v/>
      </c>
      <c r="AB2269" s="27" t="str">
        <f aca="false">IF($A2269="","",IF($AK2269=1,'كشف المطالبة'!$D$5,'كشف المطالبة'!$D$6)*100)</f>
        <v/>
      </c>
      <c r="AK2269" s="28" t="str">
        <f aca="false">IF($A2269="","",IF(OR($Q2269=TRUE(),$Q2269="TRUE"),1,0))</f>
        <v/>
      </c>
      <c r="AL2269" s="28" t="str">
        <f aca="false">IF($N2269="","",IF(MATCH($N2269,$N$2:$N$3001,0)=ROWS($N$2:$N2269),$N2269,""))</f>
        <v/>
      </c>
    </row>
    <row r="2270" customFormat="false" ht="15" hidden="false" customHeight="false" outlineLevel="0" collapsed="false">
      <c r="E2270" s="25"/>
      <c r="M2270" s="26" t="str">
        <f aca="false">IF($A2270="","",$L2270*$U2270/100)</f>
        <v/>
      </c>
      <c r="W2270" s="26" t="str">
        <f aca="false">IF($A2270="","",U2270*AB2270/100)</f>
        <v/>
      </c>
      <c r="X2270" s="26" t="str">
        <f aca="false">IF($A2270="","",U2270-W2270)</f>
        <v/>
      </c>
      <c r="Y2270" s="26" t="str">
        <f aca="false">IF($A2270="","",U2270-W2270-M2270)</f>
        <v/>
      </c>
      <c r="AB2270" s="27" t="str">
        <f aca="false">IF($A2270="","",IF($AK2270=1,'كشف المطالبة'!$D$5,'كشف المطالبة'!$D$6)*100)</f>
        <v/>
      </c>
      <c r="AK2270" s="28" t="str">
        <f aca="false">IF($A2270="","",IF(OR($Q2270=TRUE(),$Q2270="TRUE"),1,0))</f>
        <v/>
      </c>
      <c r="AL2270" s="28" t="str">
        <f aca="false">IF($N2270="","",IF(MATCH($N2270,$N$2:$N$3001,0)=ROWS($N$2:$N2270),$N2270,""))</f>
        <v/>
      </c>
    </row>
    <row r="2271" customFormat="false" ht="15" hidden="false" customHeight="false" outlineLevel="0" collapsed="false">
      <c r="E2271" s="25"/>
      <c r="M2271" s="26" t="str">
        <f aca="false">IF($A2271="","",$L2271*$U2271/100)</f>
        <v/>
      </c>
      <c r="W2271" s="26" t="str">
        <f aca="false">IF($A2271="","",U2271*AB2271/100)</f>
        <v/>
      </c>
      <c r="X2271" s="26" t="str">
        <f aca="false">IF($A2271="","",U2271-W2271)</f>
        <v/>
      </c>
      <c r="Y2271" s="26" t="str">
        <f aca="false">IF($A2271="","",U2271-W2271-M2271)</f>
        <v/>
      </c>
      <c r="AB2271" s="27" t="str">
        <f aca="false">IF($A2271="","",IF($AK2271=1,'كشف المطالبة'!$D$5,'كشف المطالبة'!$D$6)*100)</f>
        <v/>
      </c>
      <c r="AK2271" s="28" t="str">
        <f aca="false">IF($A2271="","",IF(OR($Q2271=TRUE(),$Q2271="TRUE"),1,0))</f>
        <v/>
      </c>
      <c r="AL2271" s="28" t="str">
        <f aca="false">IF($N2271="","",IF(MATCH($N2271,$N$2:$N$3001,0)=ROWS($N$2:$N2271),$N2271,""))</f>
        <v/>
      </c>
    </row>
    <row r="2272" customFormat="false" ht="15" hidden="false" customHeight="false" outlineLevel="0" collapsed="false">
      <c r="E2272" s="25"/>
      <c r="M2272" s="26" t="str">
        <f aca="false">IF($A2272="","",$L2272*$U2272/100)</f>
        <v/>
      </c>
      <c r="W2272" s="26" t="str">
        <f aca="false">IF($A2272="","",U2272*AB2272/100)</f>
        <v/>
      </c>
      <c r="X2272" s="26" t="str">
        <f aca="false">IF($A2272="","",U2272-W2272)</f>
        <v/>
      </c>
      <c r="Y2272" s="26" t="str">
        <f aca="false">IF($A2272="","",U2272-W2272-M2272)</f>
        <v/>
      </c>
      <c r="AB2272" s="27" t="str">
        <f aca="false">IF($A2272="","",IF($AK2272=1,'كشف المطالبة'!$D$5,'كشف المطالبة'!$D$6)*100)</f>
        <v/>
      </c>
      <c r="AK2272" s="28" t="str">
        <f aca="false">IF($A2272="","",IF(OR($Q2272=TRUE(),$Q2272="TRUE"),1,0))</f>
        <v/>
      </c>
      <c r="AL2272" s="28" t="str">
        <f aca="false">IF($N2272="","",IF(MATCH($N2272,$N$2:$N$3001,0)=ROWS($N$2:$N2272),$N2272,""))</f>
        <v/>
      </c>
    </row>
    <row r="2273" customFormat="false" ht="15" hidden="false" customHeight="false" outlineLevel="0" collapsed="false">
      <c r="E2273" s="25"/>
      <c r="M2273" s="26" t="str">
        <f aca="false">IF($A2273="","",$L2273*$U2273/100)</f>
        <v/>
      </c>
      <c r="W2273" s="26" t="str">
        <f aca="false">IF($A2273="","",U2273*AB2273/100)</f>
        <v/>
      </c>
      <c r="X2273" s="26" t="str">
        <f aca="false">IF($A2273="","",U2273-W2273)</f>
        <v/>
      </c>
      <c r="Y2273" s="26" t="str">
        <f aca="false">IF($A2273="","",U2273-W2273-M2273)</f>
        <v/>
      </c>
      <c r="AB2273" s="27" t="str">
        <f aca="false">IF($A2273="","",IF($AK2273=1,'كشف المطالبة'!$D$5,'كشف المطالبة'!$D$6)*100)</f>
        <v/>
      </c>
      <c r="AK2273" s="28" t="str">
        <f aca="false">IF($A2273="","",IF(OR($Q2273=TRUE(),$Q2273="TRUE"),1,0))</f>
        <v/>
      </c>
      <c r="AL2273" s="28" t="str">
        <f aca="false">IF($N2273="","",IF(MATCH($N2273,$N$2:$N$3001,0)=ROWS($N$2:$N2273),$N2273,""))</f>
        <v/>
      </c>
    </row>
    <row r="2274" customFormat="false" ht="15" hidden="false" customHeight="false" outlineLevel="0" collapsed="false">
      <c r="E2274" s="25"/>
      <c r="M2274" s="26" t="str">
        <f aca="false">IF($A2274="","",$L2274*$U2274/100)</f>
        <v/>
      </c>
      <c r="W2274" s="26" t="str">
        <f aca="false">IF($A2274="","",U2274*AB2274/100)</f>
        <v/>
      </c>
      <c r="X2274" s="26" t="str">
        <f aca="false">IF($A2274="","",U2274-W2274)</f>
        <v/>
      </c>
      <c r="Y2274" s="26" t="str">
        <f aca="false">IF($A2274="","",U2274-W2274-M2274)</f>
        <v/>
      </c>
      <c r="AB2274" s="27" t="str">
        <f aca="false">IF($A2274="","",IF($AK2274=1,'كشف المطالبة'!$D$5,'كشف المطالبة'!$D$6)*100)</f>
        <v/>
      </c>
      <c r="AK2274" s="28" t="str">
        <f aca="false">IF($A2274="","",IF(OR($Q2274=TRUE(),$Q2274="TRUE"),1,0))</f>
        <v/>
      </c>
      <c r="AL2274" s="28" t="str">
        <f aca="false">IF($N2274="","",IF(MATCH($N2274,$N$2:$N$3001,0)=ROWS($N$2:$N2274),$N2274,""))</f>
        <v/>
      </c>
    </row>
    <row r="2275" customFormat="false" ht="15" hidden="false" customHeight="false" outlineLevel="0" collapsed="false">
      <c r="E2275" s="25"/>
      <c r="M2275" s="26" t="str">
        <f aca="false">IF($A2275="","",$L2275*$U2275/100)</f>
        <v/>
      </c>
      <c r="W2275" s="26" t="str">
        <f aca="false">IF($A2275="","",U2275*AB2275/100)</f>
        <v/>
      </c>
      <c r="X2275" s="26" t="str">
        <f aca="false">IF($A2275="","",U2275-W2275)</f>
        <v/>
      </c>
      <c r="Y2275" s="26" t="str">
        <f aca="false">IF($A2275="","",U2275-W2275-M2275)</f>
        <v/>
      </c>
      <c r="AB2275" s="27" t="str">
        <f aca="false">IF($A2275="","",IF($AK2275=1,'كشف المطالبة'!$D$5,'كشف المطالبة'!$D$6)*100)</f>
        <v/>
      </c>
      <c r="AK2275" s="28" t="str">
        <f aca="false">IF($A2275="","",IF(OR($Q2275=TRUE(),$Q2275="TRUE"),1,0))</f>
        <v/>
      </c>
      <c r="AL2275" s="28" t="str">
        <f aca="false">IF($N2275="","",IF(MATCH($N2275,$N$2:$N$3001,0)=ROWS($N$2:$N2275),$N2275,""))</f>
        <v/>
      </c>
    </row>
    <row r="2276" customFormat="false" ht="15" hidden="false" customHeight="false" outlineLevel="0" collapsed="false">
      <c r="E2276" s="25"/>
      <c r="M2276" s="26" t="str">
        <f aca="false">IF($A2276="","",$L2276*$U2276/100)</f>
        <v/>
      </c>
      <c r="W2276" s="26" t="str">
        <f aca="false">IF($A2276="","",U2276*AB2276/100)</f>
        <v/>
      </c>
      <c r="X2276" s="26" t="str">
        <f aca="false">IF($A2276="","",U2276-W2276)</f>
        <v/>
      </c>
      <c r="Y2276" s="26" t="str">
        <f aca="false">IF($A2276="","",U2276-W2276-M2276)</f>
        <v/>
      </c>
      <c r="AB2276" s="27" t="str">
        <f aca="false">IF($A2276="","",IF($AK2276=1,'كشف المطالبة'!$D$5,'كشف المطالبة'!$D$6)*100)</f>
        <v/>
      </c>
      <c r="AK2276" s="28" t="str">
        <f aca="false">IF($A2276="","",IF(OR($Q2276=TRUE(),$Q2276="TRUE"),1,0))</f>
        <v/>
      </c>
      <c r="AL2276" s="28" t="str">
        <f aca="false">IF($N2276="","",IF(MATCH($N2276,$N$2:$N$3001,0)=ROWS($N$2:$N2276),$N2276,""))</f>
        <v/>
      </c>
    </row>
    <row r="2277" customFormat="false" ht="15" hidden="false" customHeight="false" outlineLevel="0" collapsed="false">
      <c r="E2277" s="25"/>
      <c r="M2277" s="26" t="str">
        <f aca="false">IF($A2277="","",$L2277*$U2277/100)</f>
        <v/>
      </c>
      <c r="W2277" s="26" t="str">
        <f aca="false">IF($A2277="","",U2277*AB2277/100)</f>
        <v/>
      </c>
      <c r="X2277" s="26" t="str">
        <f aca="false">IF($A2277="","",U2277-W2277)</f>
        <v/>
      </c>
      <c r="Y2277" s="26" t="str">
        <f aca="false">IF($A2277="","",U2277-W2277-M2277)</f>
        <v/>
      </c>
      <c r="AB2277" s="27" t="str">
        <f aca="false">IF($A2277="","",IF($AK2277=1,'كشف المطالبة'!$D$5,'كشف المطالبة'!$D$6)*100)</f>
        <v/>
      </c>
      <c r="AK2277" s="28" t="str">
        <f aca="false">IF($A2277="","",IF(OR($Q2277=TRUE(),$Q2277="TRUE"),1,0))</f>
        <v/>
      </c>
      <c r="AL2277" s="28" t="str">
        <f aca="false">IF($N2277="","",IF(MATCH($N2277,$N$2:$N$3001,0)=ROWS($N$2:$N2277),$N2277,""))</f>
        <v/>
      </c>
    </row>
    <row r="2278" customFormat="false" ht="15" hidden="false" customHeight="false" outlineLevel="0" collapsed="false">
      <c r="E2278" s="25"/>
      <c r="M2278" s="26" t="str">
        <f aca="false">IF($A2278="","",$L2278*$U2278/100)</f>
        <v/>
      </c>
      <c r="W2278" s="26" t="str">
        <f aca="false">IF($A2278="","",U2278*AB2278/100)</f>
        <v/>
      </c>
      <c r="X2278" s="26" t="str">
        <f aca="false">IF($A2278="","",U2278-W2278)</f>
        <v/>
      </c>
      <c r="Y2278" s="26" t="str">
        <f aca="false">IF($A2278="","",U2278-W2278-M2278)</f>
        <v/>
      </c>
      <c r="AB2278" s="27" t="str">
        <f aca="false">IF($A2278="","",IF($AK2278=1,'كشف المطالبة'!$D$5,'كشف المطالبة'!$D$6)*100)</f>
        <v/>
      </c>
      <c r="AK2278" s="28" t="str">
        <f aca="false">IF($A2278="","",IF(OR($Q2278=TRUE(),$Q2278="TRUE"),1,0))</f>
        <v/>
      </c>
      <c r="AL2278" s="28" t="str">
        <f aca="false">IF($N2278="","",IF(MATCH($N2278,$N$2:$N$3001,0)=ROWS($N$2:$N2278),$N2278,""))</f>
        <v/>
      </c>
    </row>
    <row r="2279" customFormat="false" ht="15" hidden="false" customHeight="false" outlineLevel="0" collapsed="false">
      <c r="E2279" s="25"/>
      <c r="M2279" s="26" t="str">
        <f aca="false">IF($A2279="","",$L2279*$U2279/100)</f>
        <v/>
      </c>
      <c r="W2279" s="26" t="str">
        <f aca="false">IF($A2279="","",U2279*AB2279/100)</f>
        <v/>
      </c>
      <c r="X2279" s="26" t="str">
        <f aca="false">IF($A2279="","",U2279-W2279)</f>
        <v/>
      </c>
      <c r="Y2279" s="26" t="str">
        <f aca="false">IF($A2279="","",U2279-W2279-M2279)</f>
        <v/>
      </c>
      <c r="AB2279" s="27" t="str">
        <f aca="false">IF($A2279="","",IF($AK2279=1,'كشف المطالبة'!$D$5,'كشف المطالبة'!$D$6)*100)</f>
        <v/>
      </c>
      <c r="AK2279" s="28" t="str">
        <f aca="false">IF($A2279="","",IF(OR($Q2279=TRUE(),$Q2279="TRUE"),1,0))</f>
        <v/>
      </c>
      <c r="AL2279" s="28" t="str">
        <f aca="false">IF($N2279="","",IF(MATCH($N2279,$N$2:$N$3001,0)=ROWS($N$2:$N2279),$N2279,""))</f>
        <v/>
      </c>
    </row>
    <row r="2280" customFormat="false" ht="15" hidden="false" customHeight="false" outlineLevel="0" collapsed="false">
      <c r="E2280" s="25"/>
      <c r="M2280" s="26" t="str">
        <f aca="false">IF($A2280="","",$L2280*$U2280/100)</f>
        <v/>
      </c>
      <c r="W2280" s="26" t="str">
        <f aca="false">IF($A2280="","",U2280*AB2280/100)</f>
        <v/>
      </c>
      <c r="X2280" s="26" t="str">
        <f aca="false">IF($A2280="","",U2280-W2280)</f>
        <v/>
      </c>
      <c r="Y2280" s="26" t="str">
        <f aca="false">IF($A2280="","",U2280-W2280-M2280)</f>
        <v/>
      </c>
      <c r="AB2280" s="27" t="str">
        <f aca="false">IF($A2280="","",IF($AK2280=1,'كشف المطالبة'!$D$5,'كشف المطالبة'!$D$6)*100)</f>
        <v/>
      </c>
      <c r="AK2280" s="28" t="str">
        <f aca="false">IF($A2280="","",IF(OR($Q2280=TRUE(),$Q2280="TRUE"),1,0))</f>
        <v/>
      </c>
      <c r="AL2280" s="28" t="str">
        <f aca="false">IF($N2280="","",IF(MATCH($N2280,$N$2:$N$3001,0)=ROWS($N$2:$N2280),$N2280,""))</f>
        <v/>
      </c>
    </row>
    <row r="2281" customFormat="false" ht="15" hidden="false" customHeight="false" outlineLevel="0" collapsed="false">
      <c r="E2281" s="25"/>
      <c r="M2281" s="26" t="str">
        <f aca="false">IF($A2281="","",$L2281*$U2281/100)</f>
        <v/>
      </c>
      <c r="W2281" s="26" t="str">
        <f aca="false">IF($A2281="","",U2281*AB2281/100)</f>
        <v/>
      </c>
      <c r="X2281" s="26" t="str">
        <f aca="false">IF($A2281="","",U2281-W2281)</f>
        <v/>
      </c>
      <c r="Y2281" s="26" t="str">
        <f aca="false">IF($A2281="","",U2281-W2281-M2281)</f>
        <v/>
      </c>
      <c r="AB2281" s="27" t="str">
        <f aca="false">IF($A2281="","",IF($AK2281=1,'كشف المطالبة'!$D$5,'كشف المطالبة'!$D$6)*100)</f>
        <v/>
      </c>
      <c r="AK2281" s="28" t="str">
        <f aca="false">IF($A2281="","",IF(OR($Q2281=TRUE(),$Q2281="TRUE"),1,0))</f>
        <v/>
      </c>
      <c r="AL2281" s="28" t="str">
        <f aca="false">IF($N2281="","",IF(MATCH($N2281,$N$2:$N$3001,0)=ROWS($N$2:$N2281),$N2281,""))</f>
        <v/>
      </c>
    </row>
    <row r="2282" customFormat="false" ht="15" hidden="false" customHeight="false" outlineLevel="0" collapsed="false">
      <c r="E2282" s="25"/>
      <c r="M2282" s="26" t="str">
        <f aca="false">IF($A2282="","",$L2282*$U2282/100)</f>
        <v/>
      </c>
      <c r="W2282" s="26" t="str">
        <f aca="false">IF($A2282="","",U2282*AB2282/100)</f>
        <v/>
      </c>
      <c r="X2282" s="26" t="str">
        <f aca="false">IF($A2282="","",U2282-W2282)</f>
        <v/>
      </c>
      <c r="Y2282" s="26" t="str">
        <f aca="false">IF($A2282="","",U2282-W2282-M2282)</f>
        <v/>
      </c>
      <c r="AB2282" s="27" t="str">
        <f aca="false">IF($A2282="","",IF($AK2282=1,'كشف المطالبة'!$D$5,'كشف المطالبة'!$D$6)*100)</f>
        <v/>
      </c>
      <c r="AK2282" s="28" t="str">
        <f aca="false">IF($A2282="","",IF(OR($Q2282=TRUE(),$Q2282="TRUE"),1,0))</f>
        <v/>
      </c>
      <c r="AL2282" s="28" t="str">
        <f aca="false">IF($N2282="","",IF(MATCH($N2282,$N$2:$N$3001,0)=ROWS($N$2:$N2282),$N2282,""))</f>
        <v/>
      </c>
    </row>
    <row r="2283" customFormat="false" ht="15" hidden="false" customHeight="false" outlineLevel="0" collapsed="false">
      <c r="E2283" s="25"/>
      <c r="M2283" s="26" t="str">
        <f aca="false">IF($A2283="","",$L2283*$U2283/100)</f>
        <v/>
      </c>
      <c r="W2283" s="26" t="str">
        <f aca="false">IF($A2283="","",U2283*AB2283/100)</f>
        <v/>
      </c>
      <c r="X2283" s="26" t="str">
        <f aca="false">IF($A2283="","",U2283-W2283)</f>
        <v/>
      </c>
      <c r="Y2283" s="26" t="str">
        <f aca="false">IF($A2283="","",U2283-W2283-M2283)</f>
        <v/>
      </c>
      <c r="AB2283" s="27" t="str">
        <f aca="false">IF($A2283="","",IF($AK2283=1,'كشف المطالبة'!$D$5,'كشف المطالبة'!$D$6)*100)</f>
        <v/>
      </c>
      <c r="AK2283" s="28" t="str">
        <f aca="false">IF($A2283="","",IF(OR($Q2283=TRUE(),$Q2283="TRUE"),1,0))</f>
        <v/>
      </c>
      <c r="AL2283" s="28" t="str">
        <f aca="false">IF($N2283="","",IF(MATCH($N2283,$N$2:$N$3001,0)=ROWS($N$2:$N2283),$N2283,""))</f>
        <v/>
      </c>
    </row>
    <row r="2284" customFormat="false" ht="15" hidden="false" customHeight="false" outlineLevel="0" collapsed="false">
      <c r="E2284" s="25"/>
      <c r="M2284" s="26" t="str">
        <f aca="false">IF($A2284="","",$L2284*$U2284/100)</f>
        <v/>
      </c>
      <c r="W2284" s="26" t="str">
        <f aca="false">IF($A2284="","",U2284*AB2284/100)</f>
        <v/>
      </c>
      <c r="X2284" s="26" t="str">
        <f aca="false">IF($A2284="","",U2284-W2284)</f>
        <v/>
      </c>
      <c r="Y2284" s="26" t="str">
        <f aca="false">IF($A2284="","",U2284-W2284-M2284)</f>
        <v/>
      </c>
      <c r="AB2284" s="27" t="str">
        <f aca="false">IF($A2284="","",IF($AK2284=1,'كشف المطالبة'!$D$5,'كشف المطالبة'!$D$6)*100)</f>
        <v/>
      </c>
      <c r="AK2284" s="28" t="str">
        <f aca="false">IF($A2284="","",IF(OR($Q2284=TRUE(),$Q2284="TRUE"),1,0))</f>
        <v/>
      </c>
      <c r="AL2284" s="28" t="str">
        <f aca="false">IF($N2284="","",IF(MATCH($N2284,$N$2:$N$3001,0)=ROWS($N$2:$N2284),$N2284,""))</f>
        <v/>
      </c>
    </row>
    <row r="2285" customFormat="false" ht="15" hidden="false" customHeight="false" outlineLevel="0" collapsed="false">
      <c r="E2285" s="25"/>
      <c r="M2285" s="26" t="str">
        <f aca="false">IF($A2285="","",$L2285*$U2285/100)</f>
        <v/>
      </c>
      <c r="W2285" s="26" t="str">
        <f aca="false">IF($A2285="","",U2285*AB2285/100)</f>
        <v/>
      </c>
      <c r="X2285" s="26" t="str">
        <f aca="false">IF($A2285="","",U2285-W2285)</f>
        <v/>
      </c>
      <c r="Y2285" s="26" t="str">
        <f aca="false">IF($A2285="","",U2285-W2285-M2285)</f>
        <v/>
      </c>
      <c r="AB2285" s="27" t="str">
        <f aca="false">IF($A2285="","",IF($AK2285=1,'كشف المطالبة'!$D$5,'كشف المطالبة'!$D$6)*100)</f>
        <v/>
      </c>
      <c r="AK2285" s="28" t="str">
        <f aca="false">IF($A2285="","",IF(OR($Q2285=TRUE(),$Q2285="TRUE"),1,0))</f>
        <v/>
      </c>
      <c r="AL2285" s="28" t="str">
        <f aca="false">IF($N2285="","",IF(MATCH($N2285,$N$2:$N$3001,0)=ROWS($N$2:$N2285),$N2285,""))</f>
        <v/>
      </c>
    </row>
    <row r="2286" customFormat="false" ht="15" hidden="false" customHeight="false" outlineLevel="0" collapsed="false">
      <c r="E2286" s="25"/>
      <c r="M2286" s="26" t="str">
        <f aca="false">IF($A2286="","",$L2286*$U2286/100)</f>
        <v/>
      </c>
      <c r="W2286" s="26" t="str">
        <f aca="false">IF($A2286="","",U2286*AB2286/100)</f>
        <v/>
      </c>
      <c r="X2286" s="26" t="str">
        <f aca="false">IF($A2286="","",U2286-W2286)</f>
        <v/>
      </c>
      <c r="Y2286" s="26" t="str">
        <f aca="false">IF($A2286="","",U2286-W2286-M2286)</f>
        <v/>
      </c>
      <c r="AB2286" s="27" t="str">
        <f aca="false">IF($A2286="","",IF($AK2286=1,'كشف المطالبة'!$D$5,'كشف المطالبة'!$D$6)*100)</f>
        <v/>
      </c>
      <c r="AK2286" s="28" t="str">
        <f aca="false">IF($A2286="","",IF(OR($Q2286=TRUE(),$Q2286="TRUE"),1,0))</f>
        <v/>
      </c>
      <c r="AL2286" s="28" t="str">
        <f aca="false">IF($N2286="","",IF(MATCH($N2286,$N$2:$N$3001,0)=ROWS($N$2:$N2286),$N2286,""))</f>
        <v/>
      </c>
    </row>
    <row r="2287" customFormat="false" ht="15" hidden="false" customHeight="false" outlineLevel="0" collapsed="false">
      <c r="E2287" s="25"/>
      <c r="M2287" s="26" t="str">
        <f aca="false">IF($A2287="","",$L2287*$U2287/100)</f>
        <v/>
      </c>
      <c r="W2287" s="26" t="str">
        <f aca="false">IF($A2287="","",U2287*AB2287/100)</f>
        <v/>
      </c>
      <c r="X2287" s="26" t="str">
        <f aca="false">IF($A2287="","",U2287-W2287)</f>
        <v/>
      </c>
      <c r="Y2287" s="26" t="str">
        <f aca="false">IF($A2287="","",U2287-W2287-M2287)</f>
        <v/>
      </c>
      <c r="AB2287" s="27" t="str">
        <f aca="false">IF($A2287="","",IF($AK2287=1,'كشف المطالبة'!$D$5,'كشف المطالبة'!$D$6)*100)</f>
        <v/>
      </c>
      <c r="AK2287" s="28" t="str">
        <f aca="false">IF($A2287="","",IF(OR($Q2287=TRUE(),$Q2287="TRUE"),1,0))</f>
        <v/>
      </c>
      <c r="AL2287" s="28" t="str">
        <f aca="false">IF($N2287="","",IF(MATCH($N2287,$N$2:$N$3001,0)=ROWS($N$2:$N2287),$N2287,""))</f>
        <v/>
      </c>
    </row>
    <row r="2288" customFormat="false" ht="15" hidden="false" customHeight="false" outlineLevel="0" collapsed="false">
      <c r="E2288" s="25"/>
      <c r="M2288" s="26" t="str">
        <f aca="false">IF($A2288="","",$L2288*$U2288/100)</f>
        <v/>
      </c>
      <c r="W2288" s="26" t="str">
        <f aca="false">IF($A2288="","",U2288*AB2288/100)</f>
        <v/>
      </c>
      <c r="X2288" s="26" t="str">
        <f aca="false">IF($A2288="","",U2288-W2288)</f>
        <v/>
      </c>
      <c r="Y2288" s="26" t="str">
        <f aca="false">IF($A2288="","",U2288-W2288-M2288)</f>
        <v/>
      </c>
      <c r="AB2288" s="27" t="str">
        <f aca="false">IF($A2288="","",IF($AK2288=1,'كشف المطالبة'!$D$5,'كشف المطالبة'!$D$6)*100)</f>
        <v/>
      </c>
      <c r="AK2288" s="28" t="str">
        <f aca="false">IF($A2288="","",IF(OR($Q2288=TRUE(),$Q2288="TRUE"),1,0))</f>
        <v/>
      </c>
      <c r="AL2288" s="28" t="str">
        <f aca="false">IF($N2288="","",IF(MATCH($N2288,$N$2:$N$3001,0)=ROWS($N$2:$N2288),$N2288,""))</f>
        <v/>
      </c>
    </row>
    <row r="2289" customFormat="false" ht="15" hidden="false" customHeight="false" outlineLevel="0" collapsed="false">
      <c r="E2289" s="25"/>
      <c r="M2289" s="26" t="str">
        <f aca="false">IF($A2289="","",$L2289*$U2289/100)</f>
        <v/>
      </c>
      <c r="W2289" s="26" t="str">
        <f aca="false">IF($A2289="","",U2289*AB2289/100)</f>
        <v/>
      </c>
      <c r="X2289" s="26" t="str">
        <f aca="false">IF($A2289="","",U2289-W2289)</f>
        <v/>
      </c>
      <c r="Y2289" s="26" t="str">
        <f aca="false">IF($A2289="","",U2289-W2289-M2289)</f>
        <v/>
      </c>
      <c r="AB2289" s="27" t="str">
        <f aca="false">IF($A2289="","",IF($AK2289=1,'كشف المطالبة'!$D$5,'كشف المطالبة'!$D$6)*100)</f>
        <v/>
      </c>
      <c r="AK2289" s="28" t="str">
        <f aca="false">IF($A2289="","",IF(OR($Q2289=TRUE(),$Q2289="TRUE"),1,0))</f>
        <v/>
      </c>
      <c r="AL2289" s="28" t="str">
        <f aca="false">IF($N2289="","",IF(MATCH($N2289,$N$2:$N$3001,0)=ROWS($N$2:$N2289),$N2289,""))</f>
        <v/>
      </c>
    </row>
    <row r="2290" customFormat="false" ht="15" hidden="false" customHeight="false" outlineLevel="0" collapsed="false">
      <c r="E2290" s="25"/>
      <c r="M2290" s="26" t="str">
        <f aca="false">IF($A2290="","",$L2290*$U2290/100)</f>
        <v/>
      </c>
      <c r="W2290" s="26" t="str">
        <f aca="false">IF($A2290="","",U2290*AB2290/100)</f>
        <v/>
      </c>
      <c r="X2290" s="26" t="str">
        <f aca="false">IF($A2290="","",U2290-W2290)</f>
        <v/>
      </c>
      <c r="Y2290" s="26" t="str">
        <f aca="false">IF($A2290="","",U2290-W2290-M2290)</f>
        <v/>
      </c>
      <c r="AB2290" s="27" t="str">
        <f aca="false">IF($A2290="","",IF($AK2290=1,'كشف المطالبة'!$D$5,'كشف المطالبة'!$D$6)*100)</f>
        <v/>
      </c>
      <c r="AK2290" s="28" t="str">
        <f aca="false">IF($A2290="","",IF(OR($Q2290=TRUE(),$Q2290="TRUE"),1,0))</f>
        <v/>
      </c>
      <c r="AL2290" s="28" t="str">
        <f aca="false">IF($N2290="","",IF(MATCH($N2290,$N$2:$N$3001,0)=ROWS($N$2:$N2290),$N2290,""))</f>
        <v/>
      </c>
    </row>
    <row r="2291" customFormat="false" ht="15" hidden="false" customHeight="false" outlineLevel="0" collapsed="false">
      <c r="E2291" s="25"/>
      <c r="M2291" s="26" t="str">
        <f aca="false">IF($A2291="","",$L2291*$U2291/100)</f>
        <v/>
      </c>
      <c r="W2291" s="26" t="str">
        <f aca="false">IF($A2291="","",U2291*AB2291/100)</f>
        <v/>
      </c>
      <c r="X2291" s="26" t="str">
        <f aca="false">IF($A2291="","",U2291-W2291)</f>
        <v/>
      </c>
      <c r="Y2291" s="26" t="str">
        <f aca="false">IF($A2291="","",U2291-W2291-M2291)</f>
        <v/>
      </c>
      <c r="AB2291" s="27" t="str">
        <f aca="false">IF($A2291="","",IF($AK2291=1,'كشف المطالبة'!$D$5,'كشف المطالبة'!$D$6)*100)</f>
        <v/>
      </c>
      <c r="AK2291" s="28" t="str">
        <f aca="false">IF($A2291="","",IF(OR($Q2291=TRUE(),$Q2291="TRUE"),1,0))</f>
        <v/>
      </c>
      <c r="AL2291" s="28" t="str">
        <f aca="false">IF($N2291="","",IF(MATCH($N2291,$N$2:$N$3001,0)=ROWS($N$2:$N2291),$N2291,""))</f>
        <v/>
      </c>
    </row>
    <row r="2292" customFormat="false" ht="15" hidden="false" customHeight="false" outlineLevel="0" collapsed="false">
      <c r="E2292" s="25"/>
      <c r="M2292" s="26" t="str">
        <f aca="false">IF($A2292="","",$L2292*$U2292/100)</f>
        <v/>
      </c>
      <c r="W2292" s="26" t="str">
        <f aca="false">IF($A2292="","",U2292*AB2292/100)</f>
        <v/>
      </c>
      <c r="X2292" s="26" t="str">
        <f aca="false">IF($A2292="","",U2292-W2292)</f>
        <v/>
      </c>
      <c r="Y2292" s="26" t="str">
        <f aca="false">IF($A2292="","",U2292-W2292-M2292)</f>
        <v/>
      </c>
      <c r="AB2292" s="27" t="str">
        <f aca="false">IF($A2292="","",IF($AK2292=1,'كشف المطالبة'!$D$5,'كشف المطالبة'!$D$6)*100)</f>
        <v/>
      </c>
      <c r="AK2292" s="28" t="str">
        <f aca="false">IF($A2292="","",IF(OR($Q2292=TRUE(),$Q2292="TRUE"),1,0))</f>
        <v/>
      </c>
      <c r="AL2292" s="28" t="str">
        <f aca="false">IF($N2292="","",IF(MATCH($N2292,$N$2:$N$3001,0)=ROWS($N$2:$N2292),$N2292,""))</f>
        <v/>
      </c>
    </row>
    <row r="2293" customFormat="false" ht="15" hidden="false" customHeight="false" outlineLevel="0" collapsed="false">
      <c r="E2293" s="25"/>
      <c r="M2293" s="26" t="str">
        <f aca="false">IF($A2293="","",$L2293*$U2293/100)</f>
        <v/>
      </c>
      <c r="W2293" s="26" t="str">
        <f aca="false">IF($A2293="","",U2293*AB2293/100)</f>
        <v/>
      </c>
      <c r="X2293" s="26" t="str">
        <f aca="false">IF($A2293="","",U2293-W2293)</f>
        <v/>
      </c>
      <c r="Y2293" s="26" t="str">
        <f aca="false">IF($A2293="","",U2293-W2293-M2293)</f>
        <v/>
      </c>
      <c r="AB2293" s="27" t="str">
        <f aca="false">IF($A2293="","",IF($AK2293=1,'كشف المطالبة'!$D$5,'كشف المطالبة'!$D$6)*100)</f>
        <v/>
      </c>
      <c r="AK2293" s="28" t="str">
        <f aca="false">IF($A2293="","",IF(OR($Q2293=TRUE(),$Q2293="TRUE"),1,0))</f>
        <v/>
      </c>
      <c r="AL2293" s="28" t="str">
        <f aca="false">IF($N2293="","",IF(MATCH($N2293,$N$2:$N$3001,0)=ROWS($N$2:$N2293),$N2293,""))</f>
        <v/>
      </c>
    </row>
    <row r="2294" customFormat="false" ht="15" hidden="false" customHeight="false" outlineLevel="0" collapsed="false">
      <c r="E2294" s="25"/>
      <c r="M2294" s="26" t="str">
        <f aca="false">IF($A2294="","",$L2294*$U2294/100)</f>
        <v/>
      </c>
      <c r="W2294" s="26" t="str">
        <f aca="false">IF($A2294="","",U2294*AB2294/100)</f>
        <v/>
      </c>
      <c r="X2294" s="26" t="str">
        <f aca="false">IF($A2294="","",U2294-W2294)</f>
        <v/>
      </c>
      <c r="Y2294" s="26" t="str">
        <f aca="false">IF($A2294="","",U2294-W2294-M2294)</f>
        <v/>
      </c>
      <c r="AB2294" s="27" t="str">
        <f aca="false">IF($A2294="","",IF($AK2294=1,'كشف المطالبة'!$D$5,'كشف المطالبة'!$D$6)*100)</f>
        <v/>
      </c>
      <c r="AK2294" s="28" t="str">
        <f aca="false">IF($A2294="","",IF(OR($Q2294=TRUE(),$Q2294="TRUE"),1,0))</f>
        <v/>
      </c>
      <c r="AL2294" s="28" t="str">
        <f aca="false">IF($N2294="","",IF(MATCH($N2294,$N$2:$N$3001,0)=ROWS($N$2:$N2294),$N2294,""))</f>
        <v/>
      </c>
    </row>
    <row r="2295" customFormat="false" ht="15" hidden="false" customHeight="false" outlineLevel="0" collapsed="false">
      <c r="E2295" s="25"/>
      <c r="M2295" s="26" t="str">
        <f aca="false">IF($A2295="","",$L2295*$U2295/100)</f>
        <v/>
      </c>
      <c r="W2295" s="26" t="str">
        <f aca="false">IF($A2295="","",U2295*AB2295/100)</f>
        <v/>
      </c>
      <c r="X2295" s="26" t="str">
        <f aca="false">IF($A2295="","",U2295-W2295)</f>
        <v/>
      </c>
      <c r="Y2295" s="26" t="str">
        <f aca="false">IF($A2295="","",U2295-W2295-M2295)</f>
        <v/>
      </c>
      <c r="AB2295" s="27" t="str">
        <f aca="false">IF($A2295="","",IF($AK2295=1,'كشف المطالبة'!$D$5,'كشف المطالبة'!$D$6)*100)</f>
        <v/>
      </c>
      <c r="AK2295" s="28" t="str">
        <f aca="false">IF($A2295="","",IF(OR($Q2295=TRUE(),$Q2295="TRUE"),1,0))</f>
        <v/>
      </c>
      <c r="AL2295" s="28" t="str">
        <f aca="false">IF($N2295="","",IF(MATCH($N2295,$N$2:$N$3001,0)=ROWS($N$2:$N2295),$N2295,""))</f>
        <v/>
      </c>
    </row>
    <row r="2296" customFormat="false" ht="15" hidden="false" customHeight="false" outlineLevel="0" collapsed="false">
      <c r="E2296" s="25"/>
      <c r="M2296" s="26" t="str">
        <f aca="false">IF($A2296="","",$L2296*$U2296/100)</f>
        <v/>
      </c>
      <c r="W2296" s="26" t="str">
        <f aca="false">IF($A2296="","",U2296*AB2296/100)</f>
        <v/>
      </c>
      <c r="X2296" s="26" t="str">
        <f aca="false">IF($A2296="","",U2296-W2296)</f>
        <v/>
      </c>
      <c r="Y2296" s="26" t="str">
        <f aca="false">IF($A2296="","",U2296-W2296-M2296)</f>
        <v/>
      </c>
      <c r="AB2296" s="27" t="str">
        <f aca="false">IF($A2296="","",IF($AK2296=1,'كشف المطالبة'!$D$5,'كشف المطالبة'!$D$6)*100)</f>
        <v/>
      </c>
      <c r="AK2296" s="28" t="str">
        <f aca="false">IF($A2296="","",IF(OR($Q2296=TRUE(),$Q2296="TRUE"),1,0))</f>
        <v/>
      </c>
      <c r="AL2296" s="28" t="str">
        <f aca="false">IF($N2296="","",IF(MATCH($N2296,$N$2:$N$3001,0)=ROWS($N$2:$N2296),$N2296,""))</f>
        <v/>
      </c>
    </row>
    <row r="2297" customFormat="false" ht="15" hidden="false" customHeight="false" outlineLevel="0" collapsed="false">
      <c r="E2297" s="25"/>
      <c r="M2297" s="26" t="str">
        <f aca="false">IF($A2297="","",$L2297*$U2297/100)</f>
        <v/>
      </c>
      <c r="W2297" s="26" t="str">
        <f aca="false">IF($A2297="","",U2297*AB2297/100)</f>
        <v/>
      </c>
      <c r="X2297" s="26" t="str">
        <f aca="false">IF($A2297="","",U2297-W2297)</f>
        <v/>
      </c>
      <c r="Y2297" s="26" t="str">
        <f aca="false">IF($A2297="","",U2297-W2297-M2297)</f>
        <v/>
      </c>
      <c r="AB2297" s="27" t="str">
        <f aca="false">IF($A2297="","",IF($AK2297=1,'كشف المطالبة'!$D$5,'كشف المطالبة'!$D$6)*100)</f>
        <v/>
      </c>
      <c r="AK2297" s="28" t="str">
        <f aca="false">IF($A2297="","",IF(OR($Q2297=TRUE(),$Q2297="TRUE"),1,0))</f>
        <v/>
      </c>
      <c r="AL2297" s="28" t="str">
        <f aca="false">IF($N2297="","",IF(MATCH($N2297,$N$2:$N$3001,0)=ROWS($N$2:$N2297),$N2297,""))</f>
        <v/>
      </c>
    </row>
    <row r="2298" customFormat="false" ht="15" hidden="false" customHeight="false" outlineLevel="0" collapsed="false">
      <c r="E2298" s="25"/>
      <c r="M2298" s="26" t="str">
        <f aca="false">IF($A2298="","",$L2298*$U2298/100)</f>
        <v/>
      </c>
      <c r="W2298" s="26" t="str">
        <f aca="false">IF($A2298="","",U2298*AB2298/100)</f>
        <v/>
      </c>
      <c r="X2298" s="26" t="str">
        <f aca="false">IF($A2298="","",U2298-W2298)</f>
        <v/>
      </c>
      <c r="Y2298" s="26" t="str">
        <f aca="false">IF($A2298="","",U2298-W2298-M2298)</f>
        <v/>
      </c>
      <c r="AB2298" s="27" t="str">
        <f aca="false">IF($A2298="","",IF($AK2298=1,'كشف المطالبة'!$D$5,'كشف المطالبة'!$D$6)*100)</f>
        <v/>
      </c>
      <c r="AK2298" s="28" t="str">
        <f aca="false">IF($A2298="","",IF(OR($Q2298=TRUE(),$Q2298="TRUE"),1,0))</f>
        <v/>
      </c>
      <c r="AL2298" s="28" t="str">
        <f aca="false">IF($N2298="","",IF(MATCH($N2298,$N$2:$N$3001,0)=ROWS($N$2:$N2298),$N2298,""))</f>
        <v/>
      </c>
    </row>
    <row r="2299" customFormat="false" ht="15" hidden="false" customHeight="false" outlineLevel="0" collapsed="false">
      <c r="E2299" s="25"/>
      <c r="M2299" s="26" t="str">
        <f aca="false">IF($A2299="","",$L2299*$U2299/100)</f>
        <v/>
      </c>
      <c r="W2299" s="26" t="str">
        <f aca="false">IF($A2299="","",U2299*AB2299/100)</f>
        <v/>
      </c>
      <c r="X2299" s="26" t="str">
        <f aca="false">IF($A2299="","",U2299-W2299)</f>
        <v/>
      </c>
      <c r="Y2299" s="26" t="str">
        <f aca="false">IF($A2299="","",U2299-W2299-M2299)</f>
        <v/>
      </c>
      <c r="AB2299" s="27" t="str">
        <f aca="false">IF($A2299="","",IF($AK2299=1,'كشف المطالبة'!$D$5,'كشف المطالبة'!$D$6)*100)</f>
        <v/>
      </c>
      <c r="AK2299" s="28" t="str">
        <f aca="false">IF($A2299="","",IF(OR($Q2299=TRUE(),$Q2299="TRUE"),1,0))</f>
        <v/>
      </c>
      <c r="AL2299" s="28" t="str">
        <f aca="false">IF($N2299="","",IF(MATCH($N2299,$N$2:$N$3001,0)=ROWS($N$2:$N2299),$N2299,""))</f>
        <v/>
      </c>
    </row>
    <row r="2300" customFormat="false" ht="15" hidden="false" customHeight="false" outlineLevel="0" collapsed="false">
      <c r="E2300" s="25"/>
      <c r="M2300" s="26" t="str">
        <f aca="false">IF($A2300="","",$L2300*$U2300/100)</f>
        <v/>
      </c>
      <c r="W2300" s="26" t="str">
        <f aca="false">IF($A2300="","",U2300*AB2300/100)</f>
        <v/>
      </c>
      <c r="X2300" s="26" t="str">
        <f aca="false">IF($A2300="","",U2300-W2300)</f>
        <v/>
      </c>
      <c r="Y2300" s="26" t="str">
        <f aca="false">IF($A2300="","",U2300-W2300-M2300)</f>
        <v/>
      </c>
      <c r="AB2300" s="27" t="str">
        <f aca="false">IF($A2300="","",IF($AK2300=1,'كشف المطالبة'!$D$5,'كشف المطالبة'!$D$6)*100)</f>
        <v/>
      </c>
      <c r="AK2300" s="28" t="str">
        <f aca="false">IF($A2300="","",IF(OR($Q2300=TRUE(),$Q2300="TRUE"),1,0))</f>
        <v/>
      </c>
      <c r="AL2300" s="28" t="str">
        <f aca="false">IF($N2300="","",IF(MATCH($N2300,$N$2:$N$3001,0)=ROWS($N$2:$N2300),$N2300,""))</f>
        <v/>
      </c>
    </row>
    <row r="2301" customFormat="false" ht="15" hidden="false" customHeight="false" outlineLevel="0" collapsed="false">
      <c r="E2301" s="25"/>
      <c r="M2301" s="26" t="str">
        <f aca="false">IF($A2301="","",$L2301*$U2301/100)</f>
        <v/>
      </c>
      <c r="W2301" s="26" t="str">
        <f aca="false">IF($A2301="","",U2301*AB2301/100)</f>
        <v/>
      </c>
      <c r="X2301" s="26" t="str">
        <f aca="false">IF($A2301="","",U2301-W2301)</f>
        <v/>
      </c>
      <c r="Y2301" s="26" t="str">
        <f aca="false">IF($A2301="","",U2301-W2301-M2301)</f>
        <v/>
      </c>
      <c r="AB2301" s="27" t="str">
        <f aca="false">IF($A2301="","",IF($AK2301=1,'كشف المطالبة'!$D$5,'كشف المطالبة'!$D$6)*100)</f>
        <v/>
      </c>
      <c r="AK2301" s="28" t="str">
        <f aca="false">IF($A2301="","",IF(OR($Q2301=TRUE(),$Q2301="TRUE"),1,0))</f>
        <v/>
      </c>
      <c r="AL2301" s="28" t="str">
        <f aca="false">IF($N2301="","",IF(MATCH($N2301,$N$2:$N$3001,0)=ROWS($N$2:$N2301),$N2301,""))</f>
        <v/>
      </c>
    </row>
    <row r="2302" customFormat="false" ht="15" hidden="false" customHeight="false" outlineLevel="0" collapsed="false">
      <c r="E2302" s="25"/>
      <c r="M2302" s="26" t="str">
        <f aca="false">IF($A2302="","",$L2302*$U2302/100)</f>
        <v/>
      </c>
      <c r="W2302" s="26" t="str">
        <f aca="false">IF($A2302="","",U2302*AB2302/100)</f>
        <v/>
      </c>
      <c r="X2302" s="26" t="str">
        <f aca="false">IF($A2302="","",U2302-W2302)</f>
        <v/>
      </c>
      <c r="Y2302" s="26" t="str">
        <f aca="false">IF($A2302="","",U2302-W2302-M2302)</f>
        <v/>
      </c>
      <c r="AB2302" s="27" t="str">
        <f aca="false">IF($A2302="","",IF($AK2302=1,'كشف المطالبة'!$D$5,'كشف المطالبة'!$D$6)*100)</f>
        <v/>
      </c>
      <c r="AK2302" s="28" t="str">
        <f aca="false">IF($A2302="","",IF(OR($Q2302=TRUE(),$Q2302="TRUE"),1,0))</f>
        <v/>
      </c>
      <c r="AL2302" s="28" t="str">
        <f aca="false">IF($N2302="","",IF(MATCH($N2302,$N$2:$N$3001,0)=ROWS($N$2:$N2302),$N2302,""))</f>
        <v/>
      </c>
    </row>
    <row r="2303" customFormat="false" ht="15" hidden="false" customHeight="false" outlineLevel="0" collapsed="false">
      <c r="E2303" s="25"/>
      <c r="M2303" s="26" t="str">
        <f aca="false">IF($A2303="","",$L2303*$U2303/100)</f>
        <v/>
      </c>
      <c r="W2303" s="26" t="str">
        <f aca="false">IF($A2303="","",U2303*AB2303/100)</f>
        <v/>
      </c>
      <c r="X2303" s="26" t="str">
        <f aca="false">IF($A2303="","",U2303-W2303)</f>
        <v/>
      </c>
      <c r="Y2303" s="26" t="str">
        <f aca="false">IF($A2303="","",U2303-W2303-M2303)</f>
        <v/>
      </c>
      <c r="AB2303" s="27" t="str">
        <f aca="false">IF($A2303="","",IF($AK2303=1,'كشف المطالبة'!$D$5,'كشف المطالبة'!$D$6)*100)</f>
        <v/>
      </c>
      <c r="AK2303" s="28" t="str">
        <f aca="false">IF($A2303="","",IF(OR($Q2303=TRUE(),$Q2303="TRUE"),1,0))</f>
        <v/>
      </c>
      <c r="AL2303" s="28" t="str">
        <f aca="false">IF($N2303="","",IF(MATCH($N2303,$N$2:$N$3001,0)=ROWS($N$2:$N2303),$N2303,""))</f>
        <v/>
      </c>
    </row>
    <row r="2304" customFormat="false" ht="15" hidden="false" customHeight="false" outlineLevel="0" collapsed="false">
      <c r="E2304" s="25"/>
      <c r="M2304" s="26" t="str">
        <f aca="false">IF($A2304="","",$L2304*$U2304/100)</f>
        <v/>
      </c>
      <c r="W2304" s="26" t="str">
        <f aca="false">IF($A2304="","",U2304*AB2304/100)</f>
        <v/>
      </c>
      <c r="X2304" s="26" t="str">
        <f aca="false">IF($A2304="","",U2304-W2304)</f>
        <v/>
      </c>
      <c r="Y2304" s="26" t="str">
        <f aca="false">IF($A2304="","",U2304-W2304-M2304)</f>
        <v/>
      </c>
      <c r="AB2304" s="27" t="str">
        <f aca="false">IF($A2304="","",IF($AK2304=1,'كشف المطالبة'!$D$5,'كشف المطالبة'!$D$6)*100)</f>
        <v/>
      </c>
      <c r="AK2304" s="28" t="str">
        <f aca="false">IF($A2304="","",IF(OR($Q2304=TRUE(),$Q2304="TRUE"),1,0))</f>
        <v/>
      </c>
      <c r="AL2304" s="28" t="str">
        <f aca="false">IF($N2304="","",IF(MATCH($N2304,$N$2:$N$3001,0)=ROWS($N$2:$N2304),$N2304,""))</f>
        <v/>
      </c>
    </row>
    <row r="2305" customFormat="false" ht="15" hidden="false" customHeight="false" outlineLevel="0" collapsed="false">
      <c r="E2305" s="25"/>
      <c r="M2305" s="26" t="str">
        <f aca="false">IF($A2305="","",$L2305*$U2305/100)</f>
        <v/>
      </c>
      <c r="W2305" s="26" t="str">
        <f aca="false">IF($A2305="","",U2305*AB2305/100)</f>
        <v/>
      </c>
      <c r="X2305" s="26" t="str">
        <f aca="false">IF($A2305="","",U2305-W2305)</f>
        <v/>
      </c>
      <c r="Y2305" s="26" t="str">
        <f aca="false">IF($A2305="","",U2305-W2305-M2305)</f>
        <v/>
      </c>
      <c r="AB2305" s="27" t="str">
        <f aca="false">IF($A2305="","",IF($AK2305=1,'كشف المطالبة'!$D$5,'كشف المطالبة'!$D$6)*100)</f>
        <v/>
      </c>
      <c r="AK2305" s="28" t="str">
        <f aca="false">IF($A2305="","",IF(OR($Q2305=TRUE(),$Q2305="TRUE"),1,0))</f>
        <v/>
      </c>
      <c r="AL2305" s="28" t="str">
        <f aca="false">IF($N2305="","",IF(MATCH($N2305,$N$2:$N$3001,0)=ROWS($N$2:$N2305),$N2305,""))</f>
        <v/>
      </c>
    </row>
    <row r="2306" customFormat="false" ht="15" hidden="false" customHeight="false" outlineLevel="0" collapsed="false">
      <c r="E2306" s="25"/>
      <c r="M2306" s="26" t="str">
        <f aca="false">IF($A2306="","",$L2306*$U2306/100)</f>
        <v/>
      </c>
      <c r="W2306" s="26" t="str">
        <f aca="false">IF($A2306="","",U2306*AB2306/100)</f>
        <v/>
      </c>
      <c r="X2306" s="26" t="str">
        <f aca="false">IF($A2306="","",U2306-W2306)</f>
        <v/>
      </c>
      <c r="Y2306" s="26" t="str">
        <f aca="false">IF($A2306="","",U2306-W2306-M2306)</f>
        <v/>
      </c>
      <c r="AB2306" s="27" t="str">
        <f aca="false">IF($A2306="","",IF($AK2306=1,'كشف المطالبة'!$D$5,'كشف المطالبة'!$D$6)*100)</f>
        <v/>
      </c>
      <c r="AK2306" s="28" t="str">
        <f aca="false">IF($A2306="","",IF(OR($Q2306=TRUE(),$Q2306="TRUE"),1,0))</f>
        <v/>
      </c>
      <c r="AL2306" s="28" t="str">
        <f aca="false">IF($N2306="","",IF(MATCH($N2306,$N$2:$N$3001,0)=ROWS($N$2:$N2306),$N2306,""))</f>
        <v/>
      </c>
    </row>
    <row r="2307" customFormat="false" ht="15" hidden="false" customHeight="false" outlineLevel="0" collapsed="false">
      <c r="E2307" s="25"/>
      <c r="M2307" s="26" t="str">
        <f aca="false">IF($A2307="","",$L2307*$U2307/100)</f>
        <v/>
      </c>
      <c r="W2307" s="26" t="str">
        <f aca="false">IF($A2307="","",U2307*AB2307/100)</f>
        <v/>
      </c>
      <c r="X2307" s="26" t="str">
        <f aca="false">IF($A2307="","",U2307-W2307)</f>
        <v/>
      </c>
      <c r="Y2307" s="26" t="str">
        <f aca="false">IF($A2307="","",U2307-W2307-M2307)</f>
        <v/>
      </c>
      <c r="AB2307" s="27" t="str">
        <f aca="false">IF($A2307="","",IF($AK2307=1,'كشف المطالبة'!$D$5,'كشف المطالبة'!$D$6)*100)</f>
        <v/>
      </c>
      <c r="AK2307" s="28" t="str">
        <f aca="false">IF($A2307="","",IF(OR($Q2307=TRUE(),$Q2307="TRUE"),1,0))</f>
        <v/>
      </c>
      <c r="AL2307" s="28" t="str">
        <f aca="false">IF($N2307="","",IF(MATCH($N2307,$N$2:$N$3001,0)=ROWS($N$2:$N2307),$N2307,""))</f>
        <v/>
      </c>
    </row>
    <row r="2308" customFormat="false" ht="15" hidden="false" customHeight="false" outlineLevel="0" collapsed="false">
      <c r="E2308" s="25"/>
      <c r="M2308" s="26" t="str">
        <f aca="false">IF($A2308="","",$L2308*$U2308/100)</f>
        <v/>
      </c>
      <c r="W2308" s="26" t="str">
        <f aca="false">IF($A2308="","",U2308*AB2308/100)</f>
        <v/>
      </c>
      <c r="X2308" s="26" t="str">
        <f aca="false">IF($A2308="","",U2308-W2308)</f>
        <v/>
      </c>
      <c r="Y2308" s="26" t="str">
        <f aca="false">IF($A2308="","",U2308-W2308-M2308)</f>
        <v/>
      </c>
      <c r="AB2308" s="27" t="str">
        <f aca="false">IF($A2308="","",IF($AK2308=1,'كشف المطالبة'!$D$5,'كشف المطالبة'!$D$6)*100)</f>
        <v/>
      </c>
      <c r="AK2308" s="28" t="str">
        <f aca="false">IF($A2308="","",IF(OR($Q2308=TRUE(),$Q2308="TRUE"),1,0))</f>
        <v/>
      </c>
      <c r="AL2308" s="28" t="str">
        <f aca="false">IF($N2308="","",IF(MATCH($N2308,$N$2:$N$3001,0)=ROWS($N$2:$N2308),$N2308,""))</f>
        <v/>
      </c>
    </row>
    <row r="2309" customFormat="false" ht="15" hidden="false" customHeight="false" outlineLevel="0" collapsed="false">
      <c r="E2309" s="25"/>
      <c r="M2309" s="26" t="str">
        <f aca="false">IF($A2309="","",$L2309*$U2309/100)</f>
        <v/>
      </c>
      <c r="W2309" s="26" t="str">
        <f aca="false">IF($A2309="","",U2309*AB2309/100)</f>
        <v/>
      </c>
      <c r="X2309" s="26" t="str">
        <f aca="false">IF($A2309="","",U2309-W2309)</f>
        <v/>
      </c>
      <c r="Y2309" s="26" t="str">
        <f aca="false">IF($A2309="","",U2309-W2309-M2309)</f>
        <v/>
      </c>
      <c r="AB2309" s="27" t="str">
        <f aca="false">IF($A2309="","",IF($AK2309=1,'كشف المطالبة'!$D$5,'كشف المطالبة'!$D$6)*100)</f>
        <v/>
      </c>
      <c r="AK2309" s="28" t="str">
        <f aca="false">IF($A2309="","",IF(OR($Q2309=TRUE(),$Q2309="TRUE"),1,0))</f>
        <v/>
      </c>
      <c r="AL2309" s="28" t="str">
        <f aca="false">IF($N2309="","",IF(MATCH($N2309,$N$2:$N$3001,0)=ROWS($N$2:$N2309),$N2309,""))</f>
        <v/>
      </c>
    </row>
    <row r="2310" customFormat="false" ht="15" hidden="false" customHeight="false" outlineLevel="0" collapsed="false">
      <c r="E2310" s="25"/>
      <c r="M2310" s="26" t="str">
        <f aca="false">IF($A2310="","",$L2310*$U2310/100)</f>
        <v/>
      </c>
      <c r="W2310" s="26" t="str">
        <f aca="false">IF($A2310="","",U2310*AB2310/100)</f>
        <v/>
      </c>
      <c r="X2310" s="26" t="str">
        <f aca="false">IF($A2310="","",U2310-W2310)</f>
        <v/>
      </c>
      <c r="Y2310" s="26" t="str">
        <f aca="false">IF($A2310="","",U2310-W2310-M2310)</f>
        <v/>
      </c>
      <c r="AB2310" s="27" t="str">
        <f aca="false">IF($A2310="","",IF($AK2310=1,'كشف المطالبة'!$D$5,'كشف المطالبة'!$D$6)*100)</f>
        <v/>
      </c>
      <c r="AK2310" s="28" t="str">
        <f aca="false">IF($A2310="","",IF(OR($Q2310=TRUE(),$Q2310="TRUE"),1,0))</f>
        <v/>
      </c>
      <c r="AL2310" s="28" t="str">
        <f aca="false">IF($N2310="","",IF(MATCH($N2310,$N$2:$N$3001,0)=ROWS($N$2:$N2310),$N2310,""))</f>
        <v/>
      </c>
    </row>
    <row r="2311" customFormat="false" ht="15" hidden="false" customHeight="false" outlineLevel="0" collapsed="false">
      <c r="E2311" s="25"/>
      <c r="M2311" s="26" t="str">
        <f aca="false">IF($A2311="","",$L2311*$U2311/100)</f>
        <v/>
      </c>
      <c r="W2311" s="26" t="str">
        <f aca="false">IF($A2311="","",U2311*AB2311/100)</f>
        <v/>
      </c>
      <c r="X2311" s="26" t="str">
        <f aca="false">IF($A2311="","",U2311-W2311)</f>
        <v/>
      </c>
      <c r="Y2311" s="26" t="str">
        <f aca="false">IF($A2311="","",U2311-W2311-M2311)</f>
        <v/>
      </c>
      <c r="AB2311" s="27" t="str">
        <f aca="false">IF($A2311="","",IF($AK2311=1,'كشف المطالبة'!$D$5,'كشف المطالبة'!$D$6)*100)</f>
        <v/>
      </c>
      <c r="AK2311" s="28" t="str">
        <f aca="false">IF($A2311="","",IF(OR($Q2311=TRUE(),$Q2311="TRUE"),1,0))</f>
        <v/>
      </c>
      <c r="AL2311" s="28" t="str">
        <f aca="false">IF($N2311="","",IF(MATCH($N2311,$N$2:$N$3001,0)=ROWS($N$2:$N2311),$N2311,""))</f>
        <v/>
      </c>
    </row>
    <row r="2312" customFormat="false" ht="15" hidden="false" customHeight="false" outlineLevel="0" collapsed="false">
      <c r="E2312" s="25"/>
      <c r="M2312" s="26" t="str">
        <f aca="false">IF($A2312="","",$L2312*$U2312/100)</f>
        <v/>
      </c>
      <c r="W2312" s="26" t="str">
        <f aca="false">IF($A2312="","",U2312*AB2312/100)</f>
        <v/>
      </c>
      <c r="X2312" s="26" t="str">
        <f aca="false">IF($A2312="","",U2312-W2312)</f>
        <v/>
      </c>
      <c r="Y2312" s="26" t="str">
        <f aca="false">IF($A2312="","",U2312-W2312-M2312)</f>
        <v/>
      </c>
      <c r="AB2312" s="27" t="str">
        <f aca="false">IF($A2312="","",IF($AK2312=1,'كشف المطالبة'!$D$5,'كشف المطالبة'!$D$6)*100)</f>
        <v/>
      </c>
      <c r="AK2312" s="28" t="str">
        <f aca="false">IF($A2312="","",IF(OR($Q2312=TRUE(),$Q2312="TRUE"),1,0))</f>
        <v/>
      </c>
      <c r="AL2312" s="28" t="str">
        <f aca="false">IF($N2312="","",IF(MATCH($N2312,$N$2:$N$3001,0)=ROWS($N$2:$N2312),$N2312,""))</f>
        <v/>
      </c>
    </row>
    <row r="2313" customFormat="false" ht="15" hidden="false" customHeight="false" outlineLevel="0" collapsed="false">
      <c r="E2313" s="25"/>
      <c r="M2313" s="26" t="str">
        <f aca="false">IF($A2313="","",$L2313*$U2313/100)</f>
        <v/>
      </c>
      <c r="W2313" s="26" t="str">
        <f aca="false">IF($A2313="","",U2313*AB2313/100)</f>
        <v/>
      </c>
      <c r="X2313" s="26" t="str">
        <f aca="false">IF($A2313="","",U2313-W2313)</f>
        <v/>
      </c>
      <c r="Y2313" s="26" t="str">
        <f aca="false">IF($A2313="","",U2313-W2313-M2313)</f>
        <v/>
      </c>
      <c r="AB2313" s="27" t="str">
        <f aca="false">IF($A2313="","",IF($AK2313=1,'كشف المطالبة'!$D$5,'كشف المطالبة'!$D$6)*100)</f>
        <v/>
      </c>
      <c r="AK2313" s="28" t="str">
        <f aca="false">IF($A2313="","",IF(OR($Q2313=TRUE(),$Q2313="TRUE"),1,0))</f>
        <v/>
      </c>
      <c r="AL2313" s="28" t="str">
        <f aca="false">IF($N2313="","",IF(MATCH($N2313,$N$2:$N$3001,0)=ROWS($N$2:$N2313),$N2313,""))</f>
        <v/>
      </c>
    </row>
    <row r="2314" customFormat="false" ht="15" hidden="false" customHeight="false" outlineLevel="0" collapsed="false">
      <c r="E2314" s="25"/>
      <c r="M2314" s="26" t="str">
        <f aca="false">IF($A2314="","",$L2314*$U2314/100)</f>
        <v/>
      </c>
      <c r="W2314" s="26" t="str">
        <f aca="false">IF($A2314="","",U2314*AB2314/100)</f>
        <v/>
      </c>
      <c r="X2314" s="26" t="str">
        <f aca="false">IF($A2314="","",U2314-W2314)</f>
        <v/>
      </c>
      <c r="Y2314" s="26" t="str">
        <f aca="false">IF($A2314="","",U2314-W2314-M2314)</f>
        <v/>
      </c>
      <c r="AB2314" s="27" t="str">
        <f aca="false">IF($A2314="","",IF($AK2314=1,'كشف المطالبة'!$D$5,'كشف المطالبة'!$D$6)*100)</f>
        <v/>
      </c>
      <c r="AK2314" s="28" t="str">
        <f aca="false">IF($A2314="","",IF(OR($Q2314=TRUE(),$Q2314="TRUE"),1,0))</f>
        <v/>
      </c>
      <c r="AL2314" s="28" t="str">
        <f aca="false">IF($N2314="","",IF(MATCH($N2314,$N$2:$N$3001,0)=ROWS($N$2:$N2314),$N2314,""))</f>
        <v/>
      </c>
    </row>
    <row r="2315" customFormat="false" ht="15" hidden="false" customHeight="false" outlineLevel="0" collapsed="false">
      <c r="E2315" s="25"/>
      <c r="M2315" s="26" t="str">
        <f aca="false">IF($A2315="","",$L2315*$U2315/100)</f>
        <v/>
      </c>
      <c r="W2315" s="26" t="str">
        <f aca="false">IF($A2315="","",U2315*AB2315/100)</f>
        <v/>
      </c>
      <c r="X2315" s="26" t="str">
        <f aca="false">IF($A2315="","",U2315-W2315)</f>
        <v/>
      </c>
      <c r="Y2315" s="26" t="str">
        <f aca="false">IF($A2315="","",U2315-W2315-M2315)</f>
        <v/>
      </c>
      <c r="AB2315" s="27" t="str">
        <f aca="false">IF($A2315="","",IF($AK2315=1,'كشف المطالبة'!$D$5,'كشف المطالبة'!$D$6)*100)</f>
        <v/>
      </c>
      <c r="AK2315" s="28" t="str">
        <f aca="false">IF($A2315="","",IF(OR($Q2315=TRUE(),$Q2315="TRUE"),1,0))</f>
        <v/>
      </c>
      <c r="AL2315" s="28" t="str">
        <f aca="false">IF($N2315="","",IF(MATCH($N2315,$N$2:$N$3001,0)=ROWS($N$2:$N2315),$N2315,""))</f>
        <v/>
      </c>
    </row>
    <row r="2316" customFormat="false" ht="15" hidden="false" customHeight="false" outlineLevel="0" collapsed="false">
      <c r="E2316" s="25"/>
      <c r="M2316" s="26" t="str">
        <f aca="false">IF($A2316="","",$L2316*$U2316/100)</f>
        <v/>
      </c>
      <c r="W2316" s="26" t="str">
        <f aca="false">IF($A2316="","",U2316*AB2316/100)</f>
        <v/>
      </c>
      <c r="X2316" s="26" t="str">
        <f aca="false">IF($A2316="","",U2316-W2316)</f>
        <v/>
      </c>
      <c r="Y2316" s="26" t="str">
        <f aca="false">IF($A2316="","",U2316-W2316-M2316)</f>
        <v/>
      </c>
      <c r="AB2316" s="27" t="str">
        <f aca="false">IF($A2316="","",IF($AK2316=1,'كشف المطالبة'!$D$5,'كشف المطالبة'!$D$6)*100)</f>
        <v/>
      </c>
      <c r="AK2316" s="28" t="str">
        <f aca="false">IF($A2316="","",IF(OR($Q2316=TRUE(),$Q2316="TRUE"),1,0))</f>
        <v/>
      </c>
      <c r="AL2316" s="28" t="str">
        <f aca="false">IF($N2316="","",IF(MATCH($N2316,$N$2:$N$3001,0)=ROWS($N$2:$N2316),$N2316,""))</f>
        <v/>
      </c>
    </row>
    <row r="2317" customFormat="false" ht="15" hidden="false" customHeight="false" outlineLevel="0" collapsed="false">
      <c r="E2317" s="25"/>
      <c r="M2317" s="26" t="str">
        <f aca="false">IF($A2317="","",$L2317*$U2317/100)</f>
        <v/>
      </c>
      <c r="W2317" s="26" t="str">
        <f aca="false">IF($A2317="","",U2317*AB2317/100)</f>
        <v/>
      </c>
      <c r="X2317" s="26" t="str">
        <f aca="false">IF($A2317="","",U2317-W2317)</f>
        <v/>
      </c>
      <c r="Y2317" s="26" t="str">
        <f aca="false">IF($A2317="","",U2317-W2317-M2317)</f>
        <v/>
      </c>
      <c r="AB2317" s="27" t="str">
        <f aca="false">IF($A2317="","",IF($AK2317=1,'كشف المطالبة'!$D$5,'كشف المطالبة'!$D$6)*100)</f>
        <v/>
      </c>
      <c r="AK2317" s="28" t="str">
        <f aca="false">IF($A2317="","",IF(OR($Q2317=TRUE(),$Q2317="TRUE"),1,0))</f>
        <v/>
      </c>
      <c r="AL2317" s="28" t="str">
        <f aca="false">IF($N2317="","",IF(MATCH($N2317,$N$2:$N$3001,0)=ROWS($N$2:$N2317),$N2317,""))</f>
        <v/>
      </c>
    </row>
    <row r="2318" customFormat="false" ht="15" hidden="false" customHeight="false" outlineLevel="0" collapsed="false">
      <c r="E2318" s="25"/>
      <c r="M2318" s="26" t="str">
        <f aca="false">IF($A2318="","",$L2318*$U2318/100)</f>
        <v/>
      </c>
      <c r="W2318" s="26" t="str">
        <f aca="false">IF($A2318="","",U2318*AB2318/100)</f>
        <v/>
      </c>
      <c r="X2318" s="26" t="str">
        <f aca="false">IF($A2318="","",U2318-W2318)</f>
        <v/>
      </c>
      <c r="Y2318" s="26" t="str">
        <f aca="false">IF($A2318="","",U2318-W2318-M2318)</f>
        <v/>
      </c>
      <c r="AB2318" s="27" t="str">
        <f aca="false">IF($A2318="","",IF($AK2318=1,'كشف المطالبة'!$D$5,'كشف المطالبة'!$D$6)*100)</f>
        <v/>
      </c>
      <c r="AK2318" s="28" t="str">
        <f aca="false">IF($A2318="","",IF(OR($Q2318=TRUE(),$Q2318="TRUE"),1,0))</f>
        <v/>
      </c>
      <c r="AL2318" s="28" t="str">
        <f aca="false">IF($N2318="","",IF(MATCH($N2318,$N$2:$N$3001,0)=ROWS($N$2:$N2318),$N2318,""))</f>
        <v/>
      </c>
    </row>
    <row r="2319" customFormat="false" ht="15" hidden="false" customHeight="false" outlineLevel="0" collapsed="false">
      <c r="E2319" s="25"/>
      <c r="M2319" s="26" t="str">
        <f aca="false">IF($A2319="","",$L2319*$U2319/100)</f>
        <v/>
      </c>
      <c r="W2319" s="26" t="str">
        <f aca="false">IF($A2319="","",U2319*AB2319/100)</f>
        <v/>
      </c>
      <c r="X2319" s="26" t="str">
        <f aca="false">IF($A2319="","",U2319-W2319)</f>
        <v/>
      </c>
      <c r="Y2319" s="26" t="str">
        <f aca="false">IF($A2319="","",U2319-W2319-M2319)</f>
        <v/>
      </c>
      <c r="AB2319" s="27" t="str">
        <f aca="false">IF($A2319="","",IF($AK2319=1,'كشف المطالبة'!$D$5,'كشف المطالبة'!$D$6)*100)</f>
        <v/>
      </c>
      <c r="AK2319" s="28" t="str">
        <f aca="false">IF($A2319="","",IF(OR($Q2319=TRUE(),$Q2319="TRUE"),1,0))</f>
        <v/>
      </c>
      <c r="AL2319" s="28" t="str">
        <f aca="false">IF($N2319="","",IF(MATCH($N2319,$N$2:$N$3001,0)=ROWS($N$2:$N2319),$N2319,""))</f>
        <v/>
      </c>
    </row>
    <row r="2320" customFormat="false" ht="15" hidden="false" customHeight="false" outlineLevel="0" collapsed="false">
      <c r="E2320" s="25"/>
      <c r="M2320" s="26" t="str">
        <f aca="false">IF($A2320="","",$L2320*$U2320/100)</f>
        <v/>
      </c>
      <c r="W2320" s="26" t="str">
        <f aca="false">IF($A2320="","",U2320*AB2320/100)</f>
        <v/>
      </c>
      <c r="X2320" s="26" t="str">
        <f aca="false">IF($A2320="","",U2320-W2320)</f>
        <v/>
      </c>
      <c r="Y2320" s="26" t="str">
        <f aca="false">IF($A2320="","",U2320-W2320-M2320)</f>
        <v/>
      </c>
      <c r="AB2320" s="27" t="str">
        <f aca="false">IF($A2320="","",IF($AK2320=1,'كشف المطالبة'!$D$5,'كشف المطالبة'!$D$6)*100)</f>
        <v/>
      </c>
      <c r="AK2320" s="28" t="str">
        <f aca="false">IF($A2320="","",IF(OR($Q2320=TRUE(),$Q2320="TRUE"),1,0))</f>
        <v/>
      </c>
      <c r="AL2320" s="28" t="str">
        <f aca="false">IF($N2320="","",IF(MATCH($N2320,$N$2:$N$3001,0)=ROWS($N$2:$N2320),$N2320,""))</f>
        <v/>
      </c>
    </row>
    <row r="2321" customFormat="false" ht="15" hidden="false" customHeight="false" outlineLevel="0" collapsed="false">
      <c r="E2321" s="25"/>
      <c r="M2321" s="26" t="str">
        <f aca="false">IF($A2321="","",$L2321*$U2321/100)</f>
        <v/>
      </c>
      <c r="W2321" s="26" t="str">
        <f aca="false">IF($A2321="","",U2321*AB2321/100)</f>
        <v/>
      </c>
      <c r="X2321" s="26" t="str">
        <f aca="false">IF($A2321="","",U2321-W2321)</f>
        <v/>
      </c>
      <c r="Y2321" s="26" t="str">
        <f aca="false">IF($A2321="","",U2321-W2321-M2321)</f>
        <v/>
      </c>
      <c r="AB2321" s="27" t="str">
        <f aca="false">IF($A2321="","",IF($AK2321=1,'كشف المطالبة'!$D$5,'كشف المطالبة'!$D$6)*100)</f>
        <v/>
      </c>
      <c r="AK2321" s="28" t="str">
        <f aca="false">IF($A2321="","",IF(OR($Q2321=TRUE(),$Q2321="TRUE"),1,0))</f>
        <v/>
      </c>
      <c r="AL2321" s="28" t="str">
        <f aca="false">IF($N2321="","",IF(MATCH($N2321,$N$2:$N$3001,0)=ROWS($N$2:$N2321),$N2321,""))</f>
        <v/>
      </c>
    </row>
    <row r="2322" customFormat="false" ht="15" hidden="false" customHeight="false" outlineLevel="0" collapsed="false">
      <c r="E2322" s="25"/>
      <c r="M2322" s="26" t="str">
        <f aca="false">IF($A2322="","",$L2322*$U2322/100)</f>
        <v/>
      </c>
      <c r="W2322" s="26" t="str">
        <f aca="false">IF($A2322="","",U2322*AB2322/100)</f>
        <v/>
      </c>
      <c r="X2322" s="26" t="str">
        <f aca="false">IF($A2322="","",U2322-W2322)</f>
        <v/>
      </c>
      <c r="Y2322" s="26" t="str">
        <f aca="false">IF($A2322="","",U2322-W2322-M2322)</f>
        <v/>
      </c>
      <c r="AB2322" s="27" t="str">
        <f aca="false">IF($A2322="","",IF($AK2322=1,'كشف المطالبة'!$D$5,'كشف المطالبة'!$D$6)*100)</f>
        <v/>
      </c>
      <c r="AK2322" s="28" t="str">
        <f aca="false">IF($A2322="","",IF(OR($Q2322=TRUE(),$Q2322="TRUE"),1,0))</f>
        <v/>
      </c>
      <c r="AL2322" s="28" t="str">
        <f aca="false">IF($N2322="","",IF(MATCH($N2322,$N$2:$N$3001,0)=ROWS($N$2:$N2322),$N2322,""))</f>
        <v/>
      </c>
    </row>
    <row r="2323" customFormat="false" ht="15" hidden="false" customHeight="false" outlineLevel="0" collapsed="false">
      <c r="E2323" s="25"/>
      <c r="M2323" s="26" t="str">
        <f aca="false">IF($A2323="","",$L2323*$U2323/100)</f>
        <v/>
      </c>
      <c r="W2323" s="26" t="str">
        <f aca="false">IF($A2323="","",U2323*AB2323/100)</f>
        <v/>
      </c>
      <c r="X2323" s="26" t="str">
        <f aca="false">IF($A2323="","",U2323-W2323)</f>
        <v/>
      </c>
      <c r="Y2323" s="26" t="str">
        <f aca="false">IF($A2323="","",U2323-W2323-M2323)</f>
        <v/>
      </c>
      <c r="AB2323" s="27" t="str">
        <f aca="false">IF($A2323="","",IF($AK2323=1,'كشف المطالبة'!$D$5,'كشف المطالبة'!$D$6)*100)</f>
        <v/>
      </c>
      <c r="AK2323" s="28" t="str">
        <f aca="false">IF($A2323="","",IF(OR($Q2323=TRUE(),$Q2323="TRUE"),1,0))</f>
        <v/>
      </c>
      <c r="AL2323" s="28" t="str">
        <f aca="false">IF($N2323="","",IF(MATCH($N2323,$N$2:$N$3001,0)=ROWS($N$2:$N2323),$N2323,""))</f>
        <v/>
      </c>
    </row>
    <row r="2324" customFormat="false" ht="15" hidden="false" customHeight="false" outlineLevel="0" collapsed="false">
      <c r="E2324" s="25"/>
      <c r="M2324" s="26" t="str">
        <f aca="false">IF($A2324="","",$L2324*$U2324/100)</f>
        <v/>
      </c>
      <c r="W2324" s="26" t="str">
        <f aca="false">IF($A2324="","",U2324*AB2324/100)</f>
        <v/>
      </c>
      <c r="X2324" s="26" t="str">
        <f aca="false">IF($A2324="","",U2324-W2324)</f>
        <v/>
      </c>
      <c r="Y2324" s="26" t="str">
        <f aca="false">IF($A2324="","",U2324-W2324-M2324)</f>
        <v/>
      </c>
      <c r="AB2324" s="27" t="str">
        <f aca="false">IF($A2324="","",IF($AK2324=1,'كشف المطالبة'!$D$5,'كشف المطالبة'!$D$6)*100)</f>
        <v/>
      </c>
      <c r="AK2324" s="28" t="str">
        <f aca="false">IF($A2324="","",IF(OR($Q2324=TRUE(),$Q2324="TRUE"),1,0))</f>
        <v/>
      </c>
      <c r="AL2324" s="28" t="str">
        <f aca="false">IF($N2324="","",IF(MATCH($N2324,$N$2:$N$3001,0)=ROWS($N$2:$N2324),$N2324,""))</f>
        <v/>
      </c>
    </row>
    <row r="2325" customFormat="false" ht="15" hidden="false" customHeight="false" outlineLevel="0" collapsed="false">
      <c r="E2325" s="25"/>
      <c r="M2325" s="26" t="str">
        <f aca="false">IF($A2325="","",$L2325*$U2325/100)</f>
        <v/>
      </c>
      <c r="W2325" s="26" t="str">
        <f aca="false">IF($A2325="","",U2325*AB2325/100)</f>
        <v/>
      </c>
      <c r="X2325" s="26" t="str">
        <f aca="false">IF($A2325="","",U2325-W2325)</f>
        <v/>
      </c>
      <c r="Y2325" s="26" t="str">
        <f aca="false">IF($A2325="","",U2325-W2325-M2325)</f>
        <v/>
      </c>
      <c r="AB2325" s="27" t="str">
        <f aca="false">IF($A2325="","",IF($AK2325=1,'كشف المطالبة'!$D$5,'كشف المطالبة'!$D$6)*100)</f>
        <v/>
      </c>
      <c r="AK2325" s="28" t="str">
        <f aca="false">IF($A2325="","",IF(OR($Q2325=TRUE(),$Q2325="TRUE"),1,0))</f>
        <v/>
      </c>
      <c r="AL2325" s="28" t="str">
        <f aca="false">IF($N2325="","",IF(MATCH($N2325,$N$2:$N$3001,0)=ROWS($N$2:$N2325),$N2325,""))</f>
        <v/>
      </c>
    </row>
    <row r="2326" customFormat="false" ht="15" hidden="false" customHeight="false" outlineLevel="0" collapsed="false">
      <c r="E2326" s="25"/>
      <c r="M2326" s="26" t="str">
        <f aca="false">IF($A2326="","",$L2326*$U2326/100)</f>
        <v/>
      </c>
      <c r="W2326" s="26" t="str">
        <f aca="false">IF($A2326="","",U2326*AB2326/100)</f>
        <v/>
      </c>
      <c r="X2326" s="26" t="str">
        <f aca="false">IF($A2326="","",U2326-W2326)</f>
        <v/>
      </c>
      <c r="Y2326" s="26" t="str">
        <f aca="false">IF($A2326="","",U2326-W2326-M2326)</f>
        <v/>
      </c>
      <c r="AB2326" s="27" t="str">
        <f aca="false">IF($A2326="","",IF($AK2326=1,'كشف المطالبة'!$D$5,'كشف المطالبة'!$D$6)*100)</f>
        <v/>
      </c>
      <c r="AK2326" s="28" t="str">
        <f aca="false">IF($A2326="","",IF(OR($Q2326=TRUE(),$Q2326="TRUE"),1,0))</f>
        <v/>
      </c>
      <c r="AL2326" s="28" t="str">
        <f aca="false">IF($N2326="","",IF(MATCH($N2326,$N$2:$N$3001,0)=ROWS($N$2:$N2326),$N2326,""))</f>
        <v/>
      </c>
    </row>
    <row r="2327" customFormat="false" ht="15" hidden="false" customHeight="false" outlineLevel="0" collapsed="false">
      <c r="E2327" s="25"/>
      <c r="M2327" s="26" t="str">
        <f aca="false">IF($A2327="","",$L2327*$U2327/100)</f>
        <v/>
      </c>
      <c r="W2327" s="26" t="str">
        <f aca="false">IF($A2327="","",U2327*AB2327/100)</f>
        <v/>
      </c>
      <c r="X2327" s="26" t="str">
        <f aca="false">IF($A2327="","",U2327-W2327)</f>
        <v/>
      </c>
      <c r="Y2327" s="26" t="str">
        <f aca="false">IF($A2327="","",U2327-W2327-M2327)</f>
        <v/>
      </c>
      <c r="AB2327" s="27" t="str">
        <f aca="false">IF($A2327="","",IF($AK2327=1,'كشف المطالبة'!$D$5,'كشف المطالبة'!$D$6)*100)</f>
        <v/>
      </c>
      <c r="AK2327" s="28" t="str">
        <f aca="false">IF($A2327="","",IF(OR($Q2327=TRUE(),$Q2327="TRUE"),1,0))</f>
        <v/>
      </c>
      <c r="AL2327" s="28" t="str">
        <f aca="false">IF($N2327="","",IF(MATCH($N2327,$N$2:$N$3001,0)=ROWS($N$2:$N2327),$N2327,""))</f>
        <v/>
      </c>
    </row>
    <row r="2328" customFormat="false" ht="15" hidden="false" customHeight="false" outlineLevel="0" collapsed="false">
      <c r="E2328" s="25"/>
      <c r="M2328" s="26" t="str">
        <f aca="false">IF($A2328="","",$L2328*$U2328/100)</f>
        <v/>
      </c>
      <c r="W2328" s="26" t="str">
        <f aca="false">IF($A2328="","",U2328*AB2328/100)</f>
        <v/>
      </c>
      <c r="X2328" s="26" t="str">
        <f aca="false">IF($A2328="","",U2328-W2328)</f>
        <v/>
      </c>
      <c r="Y2328" s="26" t="str">
        <f aca="false">IF($A2328="","",U2328-W2328-M2328)</f>
        <v/>
      </c>
      <c r="AB2328" s="27" t="str">
        <f aca="false">IF($A2328="","",IF($AK2328=1,'كشف المطالبة'!$D$5,'كشف المطالبة'!$D$6)*100)</f>
        <v/>
      </c>
      <c r="AK2328" s="28" t="str">
        <f aca="false">IF($A2328="","",IF(OR($Q2328=TRUE(),$Q2328="TRUE"),1,0))</f>
        <v/>
      </c>
      <c r="AL2328" s="28" t="str">
        <f aca="false">IF($N2328="","",IF(MATCH($N2328,$N$2:$N$3001,0)=ROWS($N$2:$N2328),$N2328,""))</f>
        <v/>
      </c>
    </row>
    <row r="2329" customFormat="false" ht="15" hidden="false" customHeight="false" outlineLevel="0" collapsed="false">
      <c r="E2329" s="25"/>
      <c r="M2329" s="26" t="str">
        <f aca="false">IF($A2329="","",$L2329*$U2329/100)</f>
        <v/>
      </c>
      <c r="W2329" s="26" t="str">
        <f aca="false">IF($A2329="","",U2329*AB2329/100)</f>
        <v/>
      </c>
      <c r="X2329" s="26" t="str">
        <f aca="false">IF($A2329="","",U2329-W2329)</f>
        <v/>
      </c>
      <c r="Y2329" s="26" t="str">
        <f aca="false">IF($A2329="","",U2329-W2329-M2329)</f>
        <v/>
      </c>
      <c r="AB2329" s="27" t="str">
        <f aca="false">IF($A2329="","",IF($AK2329=1,'كشف المطالبة'!$D$5,'كشف المطالبة'!$D$6)*100)</f>
        <v/>
      </c>
      <c r="AK2329" s="28" t="str">
        <f aca="false">IF($A2329="","",IF(OR($Q2329=TRUE(),$Q2329="TRUE"),1,0))</f>
        <v/>
      </c>
      <c r="AL2329" s="28" t="str">
        <f aca="false">IF($N2329="","",IF(MATCH($N2329,$N$2:$N$3001,0)=ROWS($N$2:$N2329),$N2329,""))</f>
        <v/>
      </c>
    </row>
    <row r="2330" customFormat="false" ht="15" hidden="false" customHeight="false" outlineLevel="0" collapsed="false">
      <c r="E2330" s="25"/>
      <c r="M2330" s="26" t="str">
        <f aca="false">IF($A2330="","",$L2330*$U2330/100)</f>
        <v/>
      </c>
      <c r="W2330" s="26" t="str">
        <f aca="false">IF($A2330="","",U2330*AB2330/100)</f>
        <v/>
      </c>
      <c r="X2330" s="26" t="str">
        <f aca="false">IF($A2330="","",U2330-W2330)</f>
        <v/>
      </c>
      <c r="Y2330" s="26" t="str">
        <f aca="false">IF($A2330="","",U2330-W2330-M2330)</f>
        <v/>
      </c>
      <c r="AB2330" s="27" t="str">
        <f aca="false">IF($A2330="","",IF($AK2330=1,'كشف المطالبة'!$D$5,'كشف المطالبة'!$D$6)*100)</f>
        <v/>
      </c>
      <c r="AK2330" s="28" t="str">
        <f aca="false">IF($A2330="","",IF(OR($Q2330=TRUE(),$Q2330="TRUE"),1,0))</f>
        <v/>
      </c>
      <c r="AL2330" s="28" t="str">
        <f aca="false">IF($N2330="","",IF(MATCH($N2330,$N$2:$N$3001,0)=ROWS($N$2:$N2330),$N2330,""))</f>
        <v/>
      </c>
    </row>
    <row r="2331" customFormat="false" ht="15" hidden="false" customHeight="false" outlineLevel="0" collapsed="false">
      <c r="E2331" s="25"/>
      <c r="M2331" s="26" t="str">
        <f aca="false">IF($A2331="","",$L2331*$U2331/100)</f>
        <v/>
      </c>
      <c r="W2331" s="26" t="str">
        <f aca="false">IF($A2331="","",U2331*AB2331/100)</f>
        <v/>
      </c>
      <c r="X2331" s="26" t="str">
        <f aca="false">IF($A2331="","",U2331-W2331)</f>
        <v/>
      </c>
      <c r="Y2331" s="26" t="str">
        <f aca="false">IF($A2331="","",U2331-W2331-M2331)</f>
        <v/>
      </c>
      <c r="AB2331" s="27" t="str">
        <f aca="false">IF($A2331="","",IF($AK2331=1,'كشف المطالبة'!$D$5,'كشف المطالبة'!$D$6)*100)</f>
        <v/>
      </c>
      <c r="AK2331" s="28" t="str">
        <f aca="false">IF($A2331="","",IF(OR($Q2331=TRUE(),$Q2331="TRUE"),1,0))</f>
        <v/>
      </c>
      <c r="AL2331" s="28" t="str">
        <f aca="false">IF($N2331="","",IF(MATCH($N2331,$N$2:$N$3001,0)=ROWS($N$2:$N2331),$N2331,""))</f>
        <v/>
      </c>
    </row>
    <row r="2332" customFormat="false" ht="15" hidden="false" customHeight="false" outlineLevel="0" collapsed="false">
      <c r="E2332" s="25"/>
      <c r="M2332" s="26" t="str">
        <f aca="false">IF($A2332="","",$L2332*$U2332/100)</f>
        <v/>
      </c>
      <c r="W2332" s="26" t="str">
        <f aca="false">IF($A2332="","",U2332*AB2332/100)</f>
        <v/>
      </c>
      <c r="X2332" s="26" t="str">
        <f aca="false">IF($A2332="","",U2332-W2332)</f>
        <v/>
      </c>
      <c r="Y2332" s="26" t="str">
        <f aca="false">IF($A2332="","",U2332-W2332-M2332)</f>
        <v/>
      </c>
      <c r="AB2332" s="27" t="str">
        <f aca="false">IF($A2332="","",IF($AK2332=1,'كشف المطالبة'!$D$5,'كشف المطالبة'!$D$6)*100)</f>
        <v/>
      </c>
      <c r="AK2332" s="28" t="str">
        <f aca="false">IF($A2332="","",IF(OR($Q2332=TRUE(),$Q2332="TRUE"),1,0))</f>
        <v/>
      </c>
      <c r="AL2332" s="28" t="str">
        <f aca="false">IF($N2332="","",IF(MATCH($N2332,$N$2:$N$3001,0)=ROWS($N$2:$N2332),$N2332,""))</f>
        <v/>
      </c>
    </row>
    <row r="2333" customFormat="false" ht="15" hidden="false" customHeight="false" outlineLevel="0" collapsed="false">
      <c r="E2333" s="25"/>
      <c r="M2333" s="26" t="str">
        <f aca="false">IF($A2333="","",$L2333*$U2333/100)</f>
        <v/>
      </c>
      <c r="W2333" s="26" t="str">
        <f aca="false">IF($A2333="","",U2333*AB2333/100)</f>
        <v/>
      </c>
      <c r="X2333" s="26" t="str">
        <f aca="false">IF($A2333="","",U2333-W2333)</f>
        <v/>
      </c>
      <c r="Y2333" s="26" t="str">
        <f aca="false">IF($A2333="","",U2333-W2333-M2333)</f>
        <v/>
      </c>
      <c r="AB2333" s="27" t="str">
        <f aca="false">IF($A2333="","",IF($AK2333=1,'كشف المطالبة'!$D$5,'كشف المطالبة'!$D$6)*100)</f>
        <v/>
      </c>
      <c r="AK2333" s="28" t="str">
        <f aca="false">IF($A2333="","",IF(OR($Q2333=TRUE(),$Q2333="TRUE"),1,0))</f>
        <v/>
      </c>
      <c r="AL2333" s="28" t="str">
        <f aca="false">IF($N2333="","",IF(MATCH($N2333,$N$2:$N$3001,0)=ROWS($N$2:$N2333),$N2333,""))</f>
        <v/>
      </c>
    </row>
    <row r="2334" customFormat="false" ht="15" hidden="false" customHeight="false" outlineLevel="0" collapsed="false">
      <c r="E2334" s="25"/>
      <c r="M2334" s="26" t="str">
        <f aca="false">IF($A2334="","",$L2334*$U2334/100)</f>
        <v/>
      </c>
      <c r="W2334" s="26" t="str">
        <f aca="false">IF($A2334="","",U2334*AB2334/100)</f>
        <v/>
      </c>
      <c r="X2334" s="26" t="str">
        <f aca="false">IF($A2334="","",U2334-W2334)</f>
        <v/>
      </c>
      <c r="Y2334" s="26" t="str">
        <f aca="false">IF($A2334="","",U2334-W2334-M2334)</f>
        <v/>
      </c>
      <c r="AB2334" s="27" t="str">
        <f aca="false">IF($A2334="","",IF($AK2334=1,'كشف المطالبة'!$D$5,'كشف المطالبة'!$D$6)*100)</f>
        <v/>
      </c>
      <c r="AK2334" s="28" t="str">
        <f aca="false">IF($A2334="","",IF(OR($Q2334=TRUE(),$Q2334="TRUE"),1,0))</f>
        <v/>
      </c>
      <c r="AL2334" s="28" t="str">
        <f aca="false">IF($N2334="","",IF(MATCH($N2334,$N$2:$N$3001,0)=ROWS($N$2:$N2334),$N2334,""))</f>
        <v/>
      </c>
    </row>
    <row r="2335" customFormat="false" ht="15" hidden="false" customHeight="false" outlineLevel="0" collapsed="false">
      <c r="E2335" s="25"/>
      <c r="M2335" s="26" t="str">
        <f aca="false">IF($A2335="","",$L2335*$U2335/100)</f>
        <v/>
      </c>
      <c r="W2335" s="26" t="str">
        <f aca="false">IF($A2335="","",U2335*AB2335/100)</f>
        <v/>
      </c>
      <c r="X2335" s="26" t="str">
        <f aca="false">IF($A2335="","",U2335-W2335)</f>
        <v/>
      </c>
      <c r="Y2335" s="26" t="str">
        <f aca="false">IF($A2335="","",U2335-W2335-M2335)</f>
        <v/>
      </c>
      <c r="AB2335" s="27" t="str">
        <f aca="false">IF($A2335="","",IF($AK2335=1,'كشف المطالبة'!$D$5,'كشف المطالبة'!$D$6)*100)</f>
        <v/>
      </c>
      <c r="AK2335" s="28" t="str">
        <f aca="false">IF($A2335="","",IF(OR($Q2335=TRUE(),$Q2335="TRUE"),1,0))</f>
        <v/>
      </c>
      <c r="AL2335" s="28" t="str">
        <f aca="false">IF($N2335="","",IF(MATCH($N2335,$N$2:$N$3001,0)=ROWS($N$2:$N2335),$N2335,""))</f>
        <v/>
      </c>
    </row>
    <row r="2336" customFormat="false" ht="15" hidden="false" customHeight="false" outlineLevel="0" collapsed="false">
      <c r="E2336" s="25"/>
      <c r="M2336" s="26" t="str">
        <f aca="false">IF($A2336="","",$L2336*$U2336/100)</f>
        <v/>
      </c>
      <c r="W2336" s="26" t="str">
        <f aca="false">IF($A2336="","",U2336*AB2336/100)</f>
        <v/>
      </c>
      <c r="X2336" s="26" t="str">
        <f aca="false">IF($A2336="","",U2336-W2336)</f>
        <v/>
      </c>
      <c r="Y2336" s="26" t="str">
        <f aca="false">IF($A2336="","",U2336-W2336-M2336)</f>
        <v/>
      </c>
      <c r="AB2336" s="27" t="str">
        <f aca="false">IF($A2336="","",IF($AK2336=1,'كشف المطالبة'!$D$5,'كشف المطالبة'!$D$6)*100)</f>
        <v/>
      </c>
      <c r="AK2336" s="28" t="str">
        <f aca="false">IF($A2336="","",IF(OR($Q2336=TRUE(),$Q2336="TRUE"),1,0))</f>
        <v/>
      </c>
      <c r="AL2336" s="28" t="str">
        <f aca="false">IF($N2336="","",IF(MATCH($N2336,$N$2:$N$3001,0)=ROWS($N$2:$N2336),$N2336,""))</f>
        <v/>
      </c>
    </row>
    <row r="2337" customFormat="false" ht="15" hidden="false" customHeight="false" outlineLevel="0" collapsed="false">
      <c r="E2337" s="25"/>
      <c r="M2337" s="26" t="str">
        <f aca="false">IF($A2337="","",$L2337*$U2337/100)</f>
        <v/>
      </c>
      <c r="W2337" s="26" t="str">
        <f aca="false">IF($A2337="","",U2337*AB2337/100)</f>
        <v/>
      </c>
      <c r="X2337" s="26" t="str">
        <f aca="false">IF($A2337="","",U2337-W2337)</f>
        <v/>
      </c>
      <c r="Y2337" s="26" t="str">
        <f aca="false">IF($A2337="","",U2337-W2337-M2337)</f>
        <v/>
      </c>
      <c r="AB2337" s="27" t="str">
        <f aca="false">IF($A2337="","",IF($AK2337=1,'كشف المطالبة'!$D$5,'كشف المطالبة'!$D$6)*100)</f>
        <v/>
      </c>
      <c r="AK2337" s="28" t="str">
        <f aca="false">IF($A2337="","",IF(OR($Q2337=TRUE(),$Q2337="TRUE"),1,0))</f>
        <v/>
      </c>
      <c r="AL2337" s="28" t="str">
        <f aca="false">IF($N2337="","",IF(MATCH($N2337,$N$2:$N$3001,0)=ROWS($N$2:$N2337),$N2337,""))</f>
        <v/>
      </c>
    </row>
    <row r="2338" customFormat="false" ht="15" hidden="false" customHeight="false" outlineLevel="0" collapsed="false">
      <c r="E2338" s="25"/>
      <c r="M2338" s="26" t="str">
        <f aca="false">IF($A2338="","",$L2338*$U2338/100)</f>
        <v/>
      </c>
      <c r="W2338" s="26" t="str">
        <f aca="false">IF($A2338="","",U2338*AB2338/100)</f>
        <v/>
      </c>
      <c r="X2338" s="26" t="str">
        <f aca="false">IF($A2338="","",U2338-W2338)</f>
        <v/>
      </c>
      <c r="Y2338" s="26" t="str">
        <f aca="false">IF($A2338="","",U2338-W2338-M2338)</f>
        <v/>
      </c>
      <c r="AB2338" s="27" t="str">
        <f aca="false">IF($A2338="","",IF($AK2338=1,'كشف المطالبة'!$D$5,'كشف المطالبة'!$D$6)*100)</f>
        <v/>
      </c>
      <c r="AK2338" s="28" t="str">
        <f aca="false">IF($A2338="","",IF(OR($Q2338=TRUE(),$Q2338="TRUE"),1,0))</f>
        <v/>
      </c>
      <c r="AL2338" s="28" t="str">
        <f aca="false">IF($N2338="","",IF(MATCH($N2338,$N$2:$N$3001,0)=ROWS($N$2:$N2338),$N2338,""))</f>
        <v/>
      </c>
    </row>
    <row r="2339" customFormat="false" ht="15" hidden="false" customHeight="false" outlineLevel="0" collapsed="false">
      <c r="E2339" s="25"/>
      <c r="M2339" s="26" t="str">
        <f aca="false">IF($A2339="","",$L2339*$U2339/100)</f>
        <v/>
      </c>
      <c r="W2339" s="26" t="str">
        <f aca="false">IF($A2339="","",U2339*AB2339/100)</f>
        <v/>
      </c>
      <c r="X2339" s="26" t="str">
        <f aca="false">IF($A2339="","",U2339-W2339)</f>
        <v/>
      </c>
      <c r="Y2339" s="26" t="str">
        <f aca="false">IF($A2339="","",U2339-W2339-M2339)</f>
        <v/>
      </c>
      <c r="AB2339" s="27" t="str">
        <f aca="false">IF($A2339="","",IF($AK2339=1,'كشف المطالبة'!$D$5,'كشف المطالبة'!$D$6)*100)</f>
        <v/>
      </c>
      <c r="AK2339" s="28" t="str">
        <f aca="false">IF($A2339="","",IF(OR($Q2339=TRUE(),$Q2339="TRUE"),1,0))</f>
        <v/>
      </c>
      <c r="AL2339" s="28" t="str">
        <f aca="false">IF($N2339="","",IF(MATCH($N2339,$N$2:$N$3001,0)=ROWS($N$2:$N2339),$N2339,""))</f>
        <v/>
      </c>
    </row>
    <row r="2340" customFormat="false" ht="15" hidden="false" customHeight="false" outlineLevel="0" collapsed="false">
      <c r="E2340" s="25"/>
      <c r="M2340" s="26" t="str">
        <f aca="false">IF($A2340="","",$L2340*$U2340/100)</f>
        <v/>
      </c>
      <c r="W2340" s="26" t="str">
        <f aca="false">IF($A2340="","",U2340*AB2340/100)</f>
        <v/>
      </c>
      <c r="X2340" s="26" t="str">
        <f aca="false">IF($A2340="","",U2340-W2340)</f>
        <v/>
      </c>
      <c r="Y2340" s="26" t="str">
        <f aca="false">IF($A2340="","",U2340-W2340-M2340)</f>
        <v/>
      </c>
      <c r="AB2340" s="27" t="str">
        <f aca="false">IF($A2340="","",IF($AK2340=1,'كشف المطالبة'!$D$5,'كشف المطالبة'!$D$6)*100)</f>
        <v/>
      </c>
      <c r="AK2340" s="28" t="str">
        <f aca="false">IF($A2340="","",IF(OR($Q2340=TRUE(),$Q2340="TRUE"),1,0))</f>
        <v/>
      </c>
      <c r="AL2340" s="28" t="str">
        <f aca="false">IF($N2340="","",IF(MATCH($N2340,$N$2:$N$3001,0)=ROWS($N$2:$N2340),$N2340,""))</f>
        <v/>
      </c>
    </row>
    <row r="2341" customFormat="false" ht="15" hidden="false" customHeight="false" outlineLevel="0" collapsed="false">
      <c r="E2341" s="25"/>
      <c r="M2341" s="26" t="str">
        <f aca="false">IF($A2341="","",$L2341*$U2341/100)</f>
        <v/>
      </c>
      <c r="W2341" s="26" t="str">
        <f aca="false">IF($A2341="","",U2341*AB2341/100)</f>
        <v/>
      </c>
      <c r="X2341" s="26" t="str">
        <f aca="false">IF($A2341="","",U2341-W2341)</f>
        <v/>
      </c>
      <c r="Y2341" s="26" t="str">
        <f aca="false">IF($A2341="","",U2341-W2341-M2341)</f>
        <v/>
      </c>
      <c r="AB2341" s="27" t="str">
        <f aca="false">IF($A2341="","",IF($AK2341=1,'كشف المطالبة'!$D$5,'كشف المطالبة'!$D$6)*100)</f>
        <v/>
      </c>
      <c r="AK2341" s="28" t="str">
        <f aca="false">IF($A2341="","",IF(OR($Q2341=TRUE(),$Q2341="TRUE"),1,0))</f>
        <v/>
      </c>
      <c r="AL2341" s="28" t="str">
        <f aca="false">IF($N2341="","",IF(MATCH($N2341,$N$2:$N$3001,0)=ROWS($N$2:$N2341),$N2341,""))</f>
        <v/>
      </c>
    </row>
    <row r="2342" customFormat="false" ht="15" hidden="false" customHeight="false" outlineLevel="0" collapsed="false">
      <c r="E2342" s="25"/>
      <c r="M2342" s="26" t="str">
        <f aca="false">IF($A2342="","",$L2342*$U2342/100)</f>
        <v/>
      </c>
      <c r="W2342" s="26" t="str">
        <f aca="false">IF($A2342="","",U2342*AB2342/100)</f>
        <v/>
      </c>
      <c r="X2342" s="26" t="str">
        <f aca="false">IF($A2342="","",U2342-W2342)</f>
        <v/>
      </c>
      <c r="Y2342" s="26" t="str">
        <f aca="false">IF($A2342="","",U2342-W2342-M2342)</f>
        <v/>
      </c>
      <c r="AB2342" s="27" t="str">
        <f aca="false">IF($A2342="","",IF($AK2342=1,'كشف المطالبة'!$D$5,'كشف المطالبة'!$D$6)*100)</f>
        <v/>
      </c>
      <c r="AK2342" s="28" t="str">
        <f aca="false">IF($A2342="","",IF(OR($Q2342=TRUE(),$Q2342="TRUE"),1,0))</f>
        <v/>
      </c>
      <c r="AL2342" s="28" t="str">
        <f aca="false">IF($N2342="","",IF(MATCH($N2342,$N$2:$N$3001,0)=ROWS($N$2:$N2342),$N2342,""))</f>
        <v/>
      </c>
    </row>
    <row r="2343" customFormat="false" ht="15" hidden="false" customHeight="false" outlineLevel="0" collapsed="false">
      <c r="E2343" s="25"/>
      <c r="M2343" s="26" t="str">
        <f aca="false">IF($A2343="","",$L2343*$U2343/100)</f>
        <v/>
      </c>
      <c r="W2343" s="26" t="str">
        <f aca="false">IF($A2343="","",U2343*AB2343/100)</f>
        <v/>
      </c>
      <c r="X2343" s="26" t="str">
        <f aca="false">IF($A2343="","",U2343-W2343)</f>
        <v/>
      </c>
      <c r="Y2343" s="26" t="str">
        <f aca="false">IF($A2343="","",U2343-W2343-M2343)</f>
        <v/>
      </c>
      <c r="AB2343" s="27" t="str">
        <f aca="false">IF($A2343="","",IF($AK2343=1,'كشف المطالبة'!$D$5,'كشف المطالبة'!$D$6)*100)</f>
        <v/>
      </c>
      <c r="AK2343" s="28" t="str">
        <f aca="false">IF($A2343="","",IF(OR($Q2343=TRUE(),$Q2343="TRUE"),1,0))</f>
        <v/>
      </c>
      <c r="AL2343" s="28" t="str">
        <f aca="false">IF($N2343="","",IF(MATCH($N2343,$N$2:$N$3001,0)=ROWS($N$2:$N2343),$N2343,""))</f>
        <v/>
      </c>
    </row>
    <row r="2344" customFormat="false" ht="15" hidden="false" customHeight="false" outlineLevel="0" collapsed="false">
      <c r="E2344" s="25"/>
      <c r="M2344" s="26" t="str">
        <f aca="false">IF($A2344="","",$L2344*$U2344/100)</f>
        <v/>
      </c>
      <c r="W2344" s="26" t="str">
        <f aca="false">IF($A2344="","",U2344*AB2344/100)</f>
        <v/>
      </c>
      <c r="X2344" s="26" t="str">
        <f aca="false">IF($A2344="","",U2344-W2344)</f>
        <v/>
      </c>
      <c r="Y2344" s="26" t="str">
        <f aca="false">IF($A2344="","",U2344-W2344-M2344)</f>
        <v/>
      </c>
      <c r="AB2344" s="27" t="str">
        <f aca="false">IF($A2344="","",IF($AK2344=1,'كشف المطالبة'!$D$5,'كشف المطالبة'!$D$6)*100)</f>
        <v/>
      </c>
      <c r="AK2344" s="28" t="str">
        <f aca="false">IF($A2344="","",IF(OR($Q2344=TRUE(),$Q2344="TRUE"),1,0))</f>
        <v/>
      </c>
      <c r="AL2344" s="28" t="str">
        <f aca="false">IF($N2344="","",IF(MATCH($N2344,$N$2:$N$3001,0)=ROWS($N$2:$N2344),$N2344,""))</f>
        <v/>
      </c>
    </row>
    <row r="2345" customFormat="false" ht="15" hidden="false" customHeight="false" outlineLevel="0" collapsed="false">
      <c r="E2345" s="25"/>
      <c r="M2345" s="26" t="str">
        <f aca="false">IF($A2345="","",$L2345*$U2345/100)</f>
        <v/>
      </c>
      <c r="W2345" s="26" t="str">
        <f aca="false">IF($A2345="","",U2345*AB2345/100)</f>
        <v/>
      </c>
      <c r="X2345" s="26" t="str">
        <f aca="false">IF($A2345="","",U2345-W2345)</f>
        <v/>
      </c>
      <c r="Y2345" s="26" t="str">
        <f aca="false">IF($A2345="","",U2345-W2345-M2345)</f>
        <v/>
      </c>
      <c r="AB2345" s="27" t="str">
        <f aca="false">IF($A2345="","",IF($AK2345=1,'كشف المطالبة'!$D$5,'كشف المطالبة'!$D$6)*100)</f>
        <v/>
      </c>
      <c r="AK2345" s="28" t="str">
        <f aca="false">IF($A2345="","",IF(OR($Q2345=TRUE(),$Q2345="TRUE"),1,0))</f>
        <v/>
      </c>
      <c r="AL2345" s="28" t="str">
        <f aca="false">IF($N2345="","",IF(MATCH($N2345,$N$2:$N$3001,0)=ROWS($N$2:$N2345),$N2345,""))</f>
        <v/>
      </c>
    </row>
    <row r="2346" customFormat="false" ht="15" hidden="false" customHeight="false" outlineLevel="0" collapsed="false">
      <c r="E2346" s="25"/>
      <c r="M2346" s="26" t="str">
        <f aca="false">IF($A2346="","",$L2346*$U2346/100)</f>
        <v/>
      </c>
      <c r="W2346" s="26" t="str">
        <f aca="false">IF($A2346="","",U2346*AB2346/100)</f>
        <v/>
      </c>
      <c r="X2346" s="26" t="str">
        <f aca="false">IF($A2346="","",U2346-W2346)</f>
        <v/>
      </c>
      <c r="Y2346" s="26" t="str">
        <f aca="false">IF($A2346="","",U2346-W2346-M2346)</f>
        <v/>
      </c>
      <c r="AB2346" s="27" t="str">
        <f aca="false">IF($A2346="","",IF($AK2346=1,'كشف المطالبة'!$D$5,'كشف المطالبة'!$D$6)*100)</f>
        <v/>
      </c>
      <c r="AK2346" s="28" t="str">
        <f aca="false">IF($A2346="","",IF(OR($Q2346=TRUE(),$Q2346="TRUE"),1,0))</f>
        <v/>
      </c>
      <c r="AL2346" s="28" t="str">
        <f aca="false">IF($N2346="","",IF(MATCH($N2346,$N$2:$N$3001,0)=ROWS($N$2:$N2346),$N2346,""))</f>
        <v/>
      </c>
    </row>
    <row r="2347" customFormat="false" ht="15" hidden="false" customHeight="false" outlineLevel="0" collapsed="false">
      <c r="E2347" s="25"/>
      <c r="M2347" s="26" t="str">
        <f aca="false">IF($A2347="","",$L2347*$U2347/100)</f>
        <v/>
      </c>
      <c r="W2347" s="26" t="str">
        <f aca="false">IF($A2347="","",U2347*AB2347/100)</f>
        <v/>
      </c>
      <c r="X2347" s="26" t="str">
        <f aca="false">IF($A2347="","",U2347-W2347)</f>
        <v/>
      </c>
      <c r="Y2347" s="26" t="str">
        <f aca="false">IF($A2347="","",U2347-W2347-M2347)</f>
        <v/>
      </c>
      <c r="AB2347" s="27" t="str">
        <f aca="false">IF($A2347="","",IF($AK2347=1,'كشف المطالبة'!$D$5,'كشف المطالبة'!$D$6)*100)</f>
        <v/>
      </c>
      <c r="AK2347" s="28" t="str">
        <f aca="false">IF($A2347="","",IF(OR($Q2347=TRUE(),$Q2347="TRUE"),1,0))</f>
        <v/>
      </c>
      <c r="AL2347" s="28" t="str">
        <f aca="false">IF($N2347="","",IF(MATCH($N2347,$N$2:$N$3001,0)=ROWS($N$2:$N2347),$N2347,""))</f>
        <v/>
      </c>
    </row>
    <row r="2348" customFormat="false" ht="15" hidden="false" customHeight="false" outlineLevel="0" collapsed="false">
      <c r="E2348" s="25"/>
      <c r="M2348" s="26" t="str">
        <f aca="false">IF($A2348="","",$L2348*$U2348/100)</f>
        <v/>
      </c>
      <c r="W2348" s="26" t="str">
        <f aca="false">IF($A2348="","",U2348*AB2348/100)</f>
        <v/>
      </c>
      <c r="X2348" s="26" t="str">
        <f aca="false">IF($A2348="","",U2348-W2348)</f>
        <v/>
      </c>
      <c r="Y2348" s="26" t="str">
        <f aca="false">IF($A2348="","",U2348-W2348-M2348)</f>
        <v/>
      </c>
      <c r="AB2348" s="27" t="str">
        <f aca="false">IF($A2348="","",IF($AK2348=1,'كشف المطالبة'!$D$5,'كشف المطالبة'!$D$6)*100)</f>
        <v/>
      </c>
      <c r="AK2348" s="28" t="str">
        <f aca="false">IF($A2348="","",IF(OR($Q2348=TRUE(),$Q2348="TRUE"),1,0))</f>
        <v/>
      </c>
      <c r="AL2348" s="28" t="str">
        <f aca="false">IF($N2348="","",IF(MATCH($N2348,$N$2:$N$3001,0)=ROWS($N$2:$N2348),$N2348,""))</f>
        <v/>
      </c>
    </row>
    <row r="2349" customFormat="false" ht="15" hidden="false" customHeight="false" outlineLevel="0" collapsed="false">
      <c r="E2349" s="25"/>
      <c r="M2349" s="26" t="str">
        <f aca="false">IF($A2349="","",$L2349*$U2349/100)</f>
        <v/>
      </c>
      <c r="W2349" s="26" t="str">
        <f aca="false">IF($A2349="","",U2349*AB2349/100)</f>
        <v/>
      </c>
      <c r="X2349" s="26" t="str">
        <f aca="false">IF($A2349="","",U2349-W2349)</f>
        <v/>
      </c>
      <c r="Y2349" s="26" t="str">
        <f aca="false">IF($A2349="","",U2349-W2349-M2349)</f>
        <v/>
      </c>
      <c r="AB2349" s="27" t="str">
        <f aca="false">IF($A2349="","",IF($AK2349=1,'كشف المطالبة'!$D$5,'كشف المطالبة'!$D$6)*100)</f>
        <v/>
      </c>
      <c r="AK2349" s="28" t="str">
        <f aca="false">IF($A2349="","",IF(OR($Q2349=TRUE(),$Q2349="TRUE"),1,0))</f>
        <v/>
      </c>
      <c r="AL2349" s="28" t="str">
        <f aca="false">IF($N2349="","",IF(MATCH($N2349,$N$2:$N$3001,0)=ROWS($N$2:$N2349),$N2349,""))</f>
        <v/>
      </c>
    </row>
    <row r="2350" customFormat="false" ht="15" hidden="false" customHeight="false" outlineLevel="0" collapsed="false">
      <c r="E2350" s="25"/>
      <c r="M2350" s="26" t="str">
        <f aca="false">IF($A2350="","",$L2350*$U2350/100)</f>
        <v/>
      </c>
      <c r="W2350" s="26" t="str">
        <f aca="false">IF($A2350="","",U2350*AB2350/100)</f>
        <v/>
      </c>
      <c r="X2350" s="26" t="str">
        <f aca="false">IF($A2350="","",U2350-W2350)</f>
        <v/>
      </c>
      <c r="Y2350" s="26" t="str">
        <f aca="false">IF($A2350="","",U2350-W2350-M2350)</f>
        <v/>
      </c>
      <c r="AB2350" s="27" t="str">
        <f aca="false">IF($A2350="","",IF($AK2350=1,'كشف المطالبة'!$D$5,'كشف المطالبة'!$D$6)*100)</f>
        <v/>
      </c>
      <c r="AK2350" s="28" t="str">
        <f aca="false">IF($A2350="","",IF(OR($Q2350=TRUE(),$Q2350="TRUE"),1,0))</f>
        <v/>
      </c>
      <c r="AL2350" s="28" t="str">
        <f aca="false">IF($N2350="","",IF(MATCH($N2350,$N$2:$N$3001,0)=ROWS($N$2:$N2350),$N2350,""))</f>
        <v/>
      </c>
    </row>
    <row r="2351" customFormat="false" ht="15" hidden="false" customHeight="false" outlineLevel="0" collapsed="false">
      <c r="E2351" s="25"/>
      <c r="M2351" s="26" t="str">
        <f aca="false">IF($A2351="","",$L2351*$U2351/100)</f>
        <v/>
      </c>
      <c r="W2351" s="26" t="str">
        <f aca="false">IF($A2351="","",U2351*AB2351/100)</f>
        <v/>
      </c>
      <c r="X2351" s="26" t="str">
        <f aca="false">IF($A2351="","",U2351-W2351)</f>
        <v/>
      </c>
      <c r="Y2351" s="26" t="str">
        <f aca="false">IF($A2351="","",U2351-W2351-M2351)</f>
        <v/>
      </c>
      <c r="AB2351" s="27" t="str">
        <f aca="false">IF($A2351="","",IF($AK2351=1,'كشف المطالبة'!$D$5,'كشف المطالبة'!$D$6)*100)</f>
        <v/>
      </c>
      <c r="AK2351" s="28" t="str">
        <f aca="false">IF($A2351="","",IF(OR($Q2351=TRUE(),$Q2351="TRUE"),1,0))</f>
        <v/>
      </c>
      <c r="AL2351" s="28" t="str">
        <f aca="false">IF($N2351="","",IF(MATCH($N2351,$N$2:$N$3001,0)=ROWS($N$2:$N2351),$N2351,""))</f>
        <v/>
      </c>
    </row>
    <row r="2352" customFormat="false" ht="15" hidden="false" customHeight="false" outlineLevel="0" collapsed="false">
      <c r="E2352" s="25"/>
      <c r="M2352" s="26" t="str">
        <f aca="false">IF($A2352="","",$L2352*$U2352/100)</f>
        <v/>
      </c>
      <c r="W2352" s="26" t="str">
        <f aca="false">IF($A2352="","",U2352*AB2352/100)</f>
        <v/>
      </c>
      <c r="X2352" s="26" t="str">
        <f aca="false">IF($A2352="","",U2352-W2352)</f>
        <v/>
      </c>
      <c r="Y2352" s="26" t="str">
        <f aca="false">IF($A2352="","",U2352-W2352-M2352)</f>
        <v/>
      </c>
      <c r="AB2352" s="27" t="str">
        <f aca="false">IF($A2352="","",IF($AK2352=1,'كشف المطالبة'!$D$5,'كشف المطالبة'!$D$6)*100)</f>
        <v/>
      </c>
      <c r="AK2352" s="28" t="str">
        <f aca="false">IF($A2352="","",IF(OR($Q2352=TRUE(),$Q2352="TRUE"),1,0))</f>
        <v/>
      </c>
      <c r="AL2352" s="28" t="str">
        <f aca="false">IF($N2352="","",IF(MATCH($N2352,$N$2:$N$3001,0)=ROWS($N$2:$N2352),$N2352,""))</f>
        <v/>
      </c>
    </row>
    <row r="2353" customFormat="false" ht="15" hidden="false" customHeight="false" outlineLevel="0" collapsed="false">
      <c r="E2353" s="25"/>
      <c r="M2353" s="26" t="str">
        <f aca="false">IF($A2353="","",$L2353*$U2353/100)</f>
        <v/>
      </c>
      <c r="W2353" s="26" t="str">
        <f aca="false">IF($A2353="","",U2353*AB2353/100)</f>
        <v/>
      </c>
      <c r="X2353" s="26" t="str">
        <f aca="false">IF($A2353="","",U2353-W2353)</f>
        <v/>
      </c>
      <c r="Y2353" s="26" t="str">
        <f aca="false">IF($A2353="","",U2353-W2353-M2353)</f>
        <v/>
      </c>
      <c r="AB2353" s="27" t="str">
        <f aca="false">IF($A2353="","",IF($AK2353=1,'كشف المطالبة'!$D$5,'كشف المطالبة'!$D$6)*100)</f>
        <v/>
      </c>
      <c r="AK2353" s="28" t="str">
        <f aca="false">IF($A2353="","",IF(OR($Q2353=TRUE(),$Q2353="TRUE"),1,0))</f>
        <v/>
      </c>
      <c r="AL2353" s="28" t="str">
        <f aca="false">IF($N2353="","",IF(MATCH($N2353,$N$2:$N$3001,0)=ROWS($N$2:$N2353),$N2353,""))</f>
        <v/>
      </c>
    </row>
    <row r="2354" customFormat="false" ht="15" hidden="false" customHeight="false" outlineLevel="0" collapsed="false">
      <c r="E2354" s="25"/>
      <c r="M2354" s="26" t="str">
        <f aca="false">IF($A2354="","",$L2354*$U2354/100)</f>
        <v/>
      </c>
      <c r="W2354" s="26" t="str">
        <f aca="false">IF($A2354="","",U2354*AB2354/100)</f>
        <v/>
      </c>
      <c r="X2354" s="26" t="str">
        <f aca="false">IF($A2354="","",U2354-W2354)</f>
        <v/>
      </c>
      <c r="Y2354" s="26" t="str">
        <f aca="false">IF($A2354="","",U2354-W2354-M2354)</f>
        <v/>
      </c>
      <c r="AB2354" s="27" t="str">
        <f aca="false">IF($A2354="","",IF($AK2354=1,'كشف المطالبة'!$D$5,'كشف المطالبة'!$D$6)*100)</f>
        <v/>
      </c>
      <c r="AK2354" s="28" t="str">
        <f aca="false">IF($A2354="","",IF(OR($Q2354=TRUE(),$Q2354="TRUE"),1,0))</f>
        <v/>
      </c>
      <c r="AL2354" s="28" t="str">
        <f aca="false">IF($N2354="","",IF(MATCH($N2354,$N$2:$N$3001,0)=ROWS($N$2:$N2354),$N2354,""))</f>
        <v/>
      </c>
    </row>
    <row r="2355" customFormat="false" ht="15" hidden="false" customHeight="false" outlineLevel="0" collapsed="false">
      <c r="E2355" s="25"/>
      <c r="M2355" s="26" t="str">
        <f aca="false">IF($A2355="","",$L2355*$U2355/100)</f>
        <v/>
      </c>
      <c r="W2355" s="26" t="str">
        <f aca="false">IF($A2355="","",U2355*AB2355/100)</f>
        <v/>
      </c>
      <c r="X2355" s="26" t="str">
        <f aca="false">IF($A2355="","",U2355-W2355)</f>
        <v/>
      </c>
      <c r="Y2355" s="26" t="str">
        <f aca="false">IF($A2355="","",U2355-W2355-M2355)</f>
        <v/>
      </c>
      <c r="AB2355" s="27" t="str">
        <f aca="false">IF($A2355="","",IF($AK2355=1,'كشف المطالبة'!$D$5,'كشف المطالبة'!$D$6)*100)</f>
        <v/>
      </c>
      <c r="AK2355" s="28" t="str">
        <f aca="false">IF($A2355="","",IF(OR($Q2355=TRUE(),$Q2355="TRUE"),1,0))</f>
        <v/>
      </c>
      <c r="AL2355" s="28" t="str">
        <f aca="false">IF($N2355="","",IF(MATCH($N2355,$N$2:$N$3001,0)=ROWS($N$2:$N2355),$N2355,""))</f>
        <v/>
      </c>
    </row>
    <row r="2356" customFormat="false" ht="15" hidden="false" customHeight="false" outlineLevel="0" collapsed="false">
      <c r="E2356" s="25"/>
      <c r="M2356" s="26" t="str">
        <f aca="false">IF($A2356="","",$L2356*$U2356/100)</f>
        <v/>
      </c>
      <c r="W2356" s="26" t="str">
        <f aca="false">IF($A2356="","",U2356*AB2356/100)</f>
        <v/>
      </c>
      <c r="X2356" s="26" t="str">
        <f aca="false">IF($A2356="","",U2356-W2356)</f>
        <v/>
      </c>
      <c r="Y2356" s="26" t="str">
        <f aca="false">IF($A2356="","",U2356-W2356-M2356)</f>
        <v/>
      </c>
      <c r="AB2356" s="27" t="str">
        <f aca="false">IF($A2356="","",IF($AK2356=1,'كشف المطالبة'!$D$5,'كشف المطالبة'!$D$6)*100)</f>
        <v/>
      </c>
      <c r="AK2356" s="28" t="str">
        <f aca="false">IF($A2356="","",IF(OR($Q2356=TRUE(),$Q2356="TRUE"),1,0))</f>
        <v/>
      </c>
      <c r="AL2356" s="28" t="str">
        <f aca="false">IF($N2356="","",IF(MATCH($N2356,$N$2:$N$3001,0)=ROWS($N$2:$N2356),$N2356,""))</f>
        <v/>
      </c>
    </row>
    <row r="2357" customFormat="false" ht="15" hidden="false" customHeight="false" outlineLevel="0" collapsed="false">
      <c r="E2357" s="25"/>
      <c r="M2357" s="26" t="str">
        <f aca="false">IF($A2357="","",$L2357*$U2357/100)</f>
        <v/>
      </c>
      <c r="W2357" s="26" t="str">
        <f aca="false">IF($A2357="","",U2357*AB2357/100)</f>
        <v/>
      </c>
      <c r="X2357" s="26" t="str">
        <f aca="false">IF($A2357="","",U2357-W2357)</f>
        <v/>
      </c>
      <c r="Y2357" s="26" t="str">
        <f aca="false">IF($A2357="","",U2357-W2357-M2357)</f>
        <v/>
      </c>
      <c r="AB2357" s="27" t="str">
        <f aca="false">IF($A2357="","",IF($AK2357=1,'كشف المطالبة'!$D$5,'كشف المطالبة'!$D$6)*100)</f>
        <v/>
      </c>
      <c r="AK2357" s="28" t="str">
        <f aca="false">IF($A2357="","",IF(OR($Q2357=TRUE(),$Q2357="TRUE"),1,0))</f>
        <v/>
      </c>
      <c r="AL2357" s="28" t="str">
        <f aca="false">IF($N2357="","",IF(MATCH($N2357,$N$2:$N$3001,0)=ROWS($N$2:$N2357),$N2357,""))</f>
        <v/>
      </c>
    </row>
    <row r="2358" customFormat="false" ht="15" hidden="false" customHeight="false" outlineLevel="0" collapsed="false">
      <c r="E2358" s="25"/>
      <c r="M2358" s="26" t="str">
        <f aca="false">IF($A2358="","",$L2358*$U2358/100)</f>
        <v/>
      </c>
      <c r="W2358" s="26" t="str">
        <f aca="false">IF($A2358="","",U2358*AB2358/100)</f>
        <v/>
      </c>
      <c r="X2358" s="26" t="str">
        <f aca="false">IF($A2358="","",U2358-W2358)</f>
        <v/>
      </c>
      <c r="Y2358" s="26" t="str">
        <f aca="false">IF($A2358="","",U2358-W2358-M2358)</f>
        <v/>
      </c>
      <c r="AB2358" s="27" t="str">
        <f aca="false">IF($A2358="","",IF($AK2358=1,'كشف المطالبة'!$D$5,'كشف المطالبة'!$D$6)*100)</f>
        <v/>
      </c>
      <c r="AK2358" s="28" t="str">
        <f aca="false">IF($A2358="","",IF(OR($Q2358=TRUE(),$Q2358="TRUE"),1,0))</f>
        <v/>
      </c>
      <c r="AL2358" s="28" t="str">
        <f aca="false">IF($N2358="","",IF(MATCH($N2358,$N$2:$N$3001,0)=ROWS($N$2:$N2358),$N2358,""))</f>
        <v/>
      </c>
    </row>
    <row r="2359" customFormat="false" ht="15" hidden="false" customHeight="false" outlineLevel="0" collapsed="false">
      <c r="E2359" s="25"/>
      <c r="M2359" s="26" t="str">
        <f aca="false">IF($A2359="","",$L2359*$U2359/100)</f>
        <v/>
      </c>
      <c r="W2359" s="26" t="str">
        <f aca="false">IF($A2359="","",U2359*AB2359/100)</f>
        <v/>
      </c>
      <c r="X2359" s="26" t="str">
        <f aca="false">IF($A2359="","",U2359-W2359)</f>
        <v/>
      </c>
      <c r="Y2359" s="26" t="str">
        <f aca="false">IF($A2359="","",U2359-W2359-M2359)</f>
        <v/>
      </c>
      <c r="AB2359" s="27" t="str">
        <f aca="false">IF($A2359="","",IF($AK2359=1,'كشف المطالبة'!$D$5,'كشف المطالبة'!$D$6)*100)</f>
        <v/>
      </c>
      <c r="AK2359" s="28" t="str">
        <f aca="false">IF($A2359="","",IF(OR($Q2359=TRUE(),$Q2359="TRUE"),1,0))</f>
        <v/>
      </c>
      <c r="AL2359" s="28" t="str">
        <f aca="false">IF($N2359="","",IF(MATCH($N2359,$N$2:$N$3001,0)=ROWS($N$2:$N2359),$N2359,""))</f>
        <v/>
      </c>
    </row>
    <row r="2360" customFormat="false" ht="15" hidden="false" customHeight="false" outlineLevel="0" collapsed="false">
      <c r="E2360" s="25"/>
      <c r="M2360" s="26" t="str">
        <f aca="false">IF($A2360="","",$L2360*$U2360/100)</f>
        <v/>
      </c>
      <c r="W2360" s="26" t="str">
        <f aca="false">IF($A2360="","",U2360*AB2360/100)</f>
        <v/>
      </c>
      <c r="X2360" s="26" t="str">
        <f aca="false">IF($A2360="","",U2360-W2360)</f>
        <v/>
      </c>
      <c r="Y2360" s="26" t="str">
        <f aca="false">IF($A2360="","",U2360-W2360-M2360)</f>
        <v/>
      </c>
      <c r="AB2360" s="27" t="str">
        <f aca="false">IF($A2360="","",IF($AK2360=1,'كشف المطالبة'!$D$5,'كشف المطالبة'!$D$6)*100)</f>
        <v/>
      </c>
      <c r="AK2360" s="28" t="str">
        <f aca="false">IF($A2360="","",IF(OR($Q2360=TRUE(),$Q2360="TRUE"),1,0))</f>
        <v/>
      </c>
      <c r="AL2360" s="28" t="str">
        <f aca="false">IF($N2360="","",IF(MATCH($N2360,$N$2:$N$3001,0)=ROWS($N$2:$N2360),$N2360,""))</f>
        <v/>
      </c>
    </row>
    <row r="2361" customFormat="false" ht="15" hidden="false" customHeight="false" outlineLevel="0" collapsed="false">
      <c r="E2361" s="25"/>
      <c r="M2361" s="26" t="str">
        <f aca="false">IF($A2361="","",$L2361*$U2361/100)</f>
        <v/>
      </c>
      <c r="W2361" s="26" t="str">
        <f aca="false">IF($A2361="","",U2361*AB2361/100)</f>
        <v/>
      </c>
      <c r="X2361" s="26" t="str">
        <f aca="false">IF($A2361="","",U2361-W2361)</f>
        <v/>
      </c>
      <c r="Y2361" s="26" t="str">
        <f aca="false">IF($A2361="","",U2361-W2361-M2361)</f>
        <v/>
      </c>
      <c r="AB2361" s="27" t="str">
        <f aca="false">IF($A2361="","",IF($AK2361=1,'كشف المطالبة'!$D$5,'كشف المطالبة'!$D$6)*100)</f>
        <v/>
      </c>
      <c r="AK2361" s="28" t="str">
        <f aca="false">IF($A2361="","",IF(OR($Q2361=TRUE(),$Q2361="TRUE"),1,0))</f>
        <v/>
      </c>
      <c r="AL2361" s="28" t="str">
        <f aca="false">IF($N2361="","",IF(MATCH($N2361,$N$2:$N$3001,0)=ROWS($N$2:$N2361),$N2361,""))</f>
        <v/>
      </c>
    </row>
    <row r="2362" customFormat="false" ht="15" hidden="false" customHeight="false" outlineLevel="0" collapsed="false">
      <c r="E2362" s="25"/>
      <c r="M2362" s="26" t="str">
        <f aca="false">IF($A2362="","",$L2362*$U2362/100)</f>
        <v/>
      </c>
      <c r="W2362" s="26" t="str">
        <f aca="false">IF($A2362="","",U2362*AB2362/100)</f>
        <v/>
      </c>
      <c r="X2362" s="26" t="str">
        <f aca="false">IF($A2362="","",U2362-W2362)</f>
        <v/>
      </c>
      <c r="Y2362" s="26" t="str">
        <f aca="false">IF($A2362="","",U2362-W2362-M2362)</f>
        <v/>
      </c>
      <c r="AB2362" s="27" t="str">
        <f aca="false">IF($A2362="","",IF($AK2362=1,'كشف المطالبة'!$D$5,'كشف المطالبة'!$D$6)*100)</f>
        <v/>
      </c>
      <c r="AK2362" s="28" t="str">
        <f aca="false">IF($A2362="","",IF(OR($Q2362=TRUE(),$Q2362="TRUE"),1,0))</f>
        <v/>
      </c>
      <c r="AL2362" s="28" t="str">
        <f aca="false">IF($N2362="","",IF(MATCH($N2362,$N$2:$N$3001,0)=ROWS($N$2:$N2362),$N2362,""))</f>
        <v/>
      </c>
    </row>
    <row r="2363" customFormat="false" ht="15" hidden="false" customHeight="false" outlineLevel="0" collapsed="false">
      <c r="E2363" s="25"/>
      <c r="M2363" s="26" t="str">
        <f aca="false">IF($A2363="","",$L2363*$U2363/100)</f>
        <v/>
      </c>
      <c r="W2363" s="26" t="str">
        <f aca="false">IF($A2363="","",U2363*AB2363/100)</f>
        <v/>
      </c>
      <c r="X2363" s="26" t="str">
        <f aca="false">IF($A2363="","",U2363-W2363)</f>
        <v/>
      </c>
      <c r="Y2363" s="26" t="str">
        <f aca="false">IF($A2363="","",U2363-W2363-M2363)</f>
        <v/>
      </c>
      <c r="AB2363" s="27" t="str">
        <f aca="false">IF($A2363="","",IF($AK2363=1,'كشف المطالبة'!$D$5,'كشف المطالبة'!$D$6)*100)</f>
        <v/>
      </c>
      <c r="AK2363" s="28" t="str">
        <f aca="false">IF($A2363="","",IF(OR($Q2363=TRUE(),$Q2363="TRUE"),1,0))</f>
        <v/>
      </c>
      <c r="AL2363" s="28" t="str">
        <f aca="false">IF($N2363="","",IF(MATCH($N2363,$N$2:$N$3001,0)=ROWS($N$2:$N2363),$N2363,""))</f>
        <v/>
      </c>
    </row>
    <row r="2364" customFormat="false" ht="15" hidden="false" customHeight="false" outlineLevel="0" collapsed="false">
      <c r="E2364" s="25"/>
      <c r="M2364" s="26" t="str">
        <f aca="false">IF($A2364="","",$L2364*$U2364/100)</f>
        <v/>
      </c>
      <c r="W2364" s="26" t="str">
        <f aca="false">IF($A2364="","",U2364*AB2364/100)</f>
        <v/>
      </c>
      <c r="X2364" s="26" t="str">
        <f aca="false">IF($A2364="","",U2364-W2364)</f>
        <v/>
      </c>
      <c r="Y2364" s="26" t="str">
        <f aca="false">IF($A2364="","",U2364-W2364-M2364)</f>
        <v/>
      </c>
      <c r="AB2364" s="27" t="str">
        <f aca="false">IF($A2364="","",IF($AK2364=1,'كشف المطالبة'!$D$5,'كشف المطالبة'!$D$6)*100)</f>
        <v/>
      </c>
      <c r="AK2364" s="28" t="str">
        <f aca="false">IF($A2364="","",IF(OR($Q2364=TRUE(),$Q2364="TRUE"),1,0))</f>
        <v/>
      </c>
      <c r="AL2364" s="28" t="str">
        <f aca="false">IF($N2364="","",IF(MATCH($N2364,$N$2:$N$3001,0)=ROWS($N$2:$N2364),$N2364,""))</f>
        <v/>
      </c>
    </row>
    <row r="2365" customFormat="false" ht="15" hidden="false" customHeight="false" outlineLevel="0" collapsed="false">
      <c r="E2365" s="25"/>
      <c r="M2365" s="26" t="str">
        <f aca="false">IF($A2365="","",$L2365*$U2365/100)</f>
        <v/>
      </c>
      <c r="W2365" s="26" t="str">
        <f aca="false">IF($A2365="","",U2365*AB2365/100)</f>
        <v/>
      </c>
      <c r="X2365" s="26" t="str">
        <f aca="false">IF($A2365="","",U2365-W2365)</f>
        <v/>
      </c>
      <c r="Y2365" s="26" t="str">
        <f aca="false">IF($A2365="","",U2365-W2365-M2365)</f>
        <v/>
      </c>
      <c r="AB2365" s="27" t="str">
        <f aca="false">IF($A2365="","",IF($AK2365=1,'كشف المطالبة'!$D$5,'كشف المطالبة'!$D$6)*100)</f>
        <v/>
      </c>
      <c r="AK2365" s="28" t="str">
        <f aca="false">IF($A2365="","",IF(OR($Q2365=TRUE(),$Q2365="TRUE"),1,0))</f>
        <v/>
      </c>
      <c r="AL2365" s="28" t="str">
        <f aca="false">IF($N2365="","",IF(MATCH($N2365,$N$2:$N$3001,0)=ROWS($N$2:$N2365),$N2365,""))</f>
        <v/>
      </c>
    </row>
    <row r="2366" customFormat="false" ht="15" hidden="false" customHeight="false" outlineLevel="0" collapsed="false">
      <c r="E2366" s="25"/>
      <c r="M2366" s="26" t="str">
        <f aca="false">IF($A2366="","",$L2366*$U2366/100)</f>
        <v/>
      </c>
      <c r="W2366" s="26" t="str">
        <f aca="false">IF($A2366="","",U2366*AB2366/100)</f>
        <v/>
      </c>
      <c r="X2366" s="26" t="str">
        <f aca="false">IF($A2366="","",U2366-W2366)</f>
        <v/>
      </c>
      <c r="Y2366" s="26" t="str">
        <f aca="false">IF($A2366="","",U2366-W2366-M2366)</f>
        <v/>
      </c>
      <c r="AB2366" s="27" t="str">
        <f aca="false">IF($A2366="","",IF($AK2366=1,'كشف المطالبة'!$D$5,'كشف المطالبة'!$D$6)*100)</f>
        <v/>
      </c>
      <c r="AK2366" s="28" t="str">
        <f aca="false">IF($A2366="","",IF(OR($Q2366=TRUE(),$Q2366="TRUE"),1,0))</f>
        <v/>
      </c>
      <c r="AL2366" s="28" t="str">
        <f aca="false">IF($N2366="","",IF(MATCH($N2366,$N$2:$N$3001,0)=ROWS($N$2:$N2366),$N2366,""))</f>
        <v/>
      </c>
    </row>
    <row r="2367" customFormat="false" ht="15" hidden="false" customHeight="false" outlineLevel="0" collapsed="false">
      <c r="E2367" s="25"/>
      <c r="M2367" s="26" t="str">
        <f aca="false">IF($A2367="","",$L2367*$U2367/100)</f>
        <v/>
      </c>
      <c r="W2367" s="26" t="str">
        <f aca="false">IF($A2367="","",U2367*AB2367/100)</f>
        <v/>
      </c>
      <c r="X2367" s="26" t="str">
        <f aca="false">IF($A2367="","",U2367-W2367)</f>
        <v/>
      </c>
      <c r="Y2367" s="26" t="str">
        <f aca="false">IF($A2367="","",U2367-W2367-M2367)</f>
        <v/>
      </c>
      <c r="AB2367" s="27" t="str">
        <f aca="false">IF($A2367="","",IF($AK2367=1,'كشف المطالبة'!$D$5,'كشف المطالبة'!$D$6)*100)</f>
        <v/>
      </c>
      <c r="AK2367" s="28" t="str">
        <f aca="false">IF($A2367="","",IF(OR($Q2367=TRUE(),$Q2367="TRUE"),1,0))</f>
        <v/>
      </c>
      <c r="AL2367" s="28" t="str">
        <f aca="false">IF($N2367="","",IF(MATCH($N2367,$N$2:$N$3001,0)=ROWS($N$2:$N2367),$N2367,""))</f>
        <v/>
      </c>
    </row>
    <row r="2368" customFormat="false" ht="15" hidden="false" customHeight="false" outlineLevel="0" collapsed="false">
      <c r="E2368" s="25"/>
      <c r="M2368" s="26" t="str">
        <f aca="false">IF($A2368="","",$L2368*$U2368/100)</f>
        <v/>
      </c>
      <c r="W2368" s="26" t="str">
        <f aca="false">IF($A2368="","",U2368*AB2368/100)</f>
        <v/>
      </c>
      <c r="X2368" s="26" t="str">
        <f aca="false">IF($A2368="","",U2368-W2368)</f>
        <v/>
      </c>
      <c r="Y2368" s="26" t="str">
        <f aca="false">IF($A2368="","",U2368-W2368-M2368)</f>
        <v/>
      </c>
      <c r="AB2368" s="27" t="str">
        <f aca="false">IF($A2368="","",IF($AK2368=1,'كشف المطالبة'!$D$5,'كشف المطالبة'!$D$6)*100)</f>
        <v/>
      </c>
      <c r="AK2368" s="28" t="str">
        <f aca="false">IF($A2368="","",IF(OR($Q2368=TRUE(),$Q2368="TRUE"),1,0))</f>
        <v/>
      </c>
      <c r="AL2368" s="28" t="str">
        <f aca="false">IF($N2368="","",IF(MATCH($N2368,$N$2:$N$3001,0)=ROWS($N$2:$N2368),$N2368,""))</f>
        <v/>
      </c>
    </row>
    <row r="2369" customFormat="false" ht="15" hidden="false" customHeight="false" outlineLevel="0" collapsed="false">
      <c r="E2369" s="25"/>
      <c r="M2369" s="26" t="str">
        <f aca="false">IF($A2369="","",$L2369*$U2369/100)</f>
        <v/>
      </c>
      <c r="W2369" s="26" t="str">
        <f aca="false">IF($A2369="","",U2369*AB2369/100)</f>
        <v/>
      </c>
      <c r="X2369" s="26" t="str">
        <f aca="false">IF($A2369="","",U2369-W2369)</f>
        <v/>
      </c>
      <c r="Y2369" s="26" t="str">
        <f aca="false">IF($A2369="","",U2369-W2369-M2369)</f>
        <v/>
      </c>
      <c r="AB2369" s="27" t="str">
        <f aca="false">IF($A2369="","",IF($AK2369=1,'كشف المطالبة'!$D$5,'كشف المطالبة'!$D$6)*100)</f>
        <v/>
      </c>
      <c r="AK2369" s="28" t="str">
        <f aca="false">IF($A2369="","",IF(OR($Q2369=TRUE(),$Q2369="TRUE"),1,0))</f>
        <v/>
      </c>
      <c r="AL2369" s="28" t="str">
        <f aca="false">IF($N2369="","",IF(MATCH($N2369,$N$2:$N$3001,0)=ROWS($N$2:$N2369),$N2369,""))</f>
        <v/>
      </c>
    </row>
    <row r="2370" customFormat="false" ht="15" hidden="false" customHeight="false" outlineLevel="0" collapsed="false">
      <c r="E2370" s="25"/>
      <c r="M2370" s="26" t="str">
        <f aca="false">IF($A2370="","",$L2370*$U2370/100)</f>
        <v/>
      </c>
      <c r="W2370" s="26" t="str">
        <f aca="false">IF($A2370="","",U2370*AB2370/100)</f>
        <v/>
      </c>
      <c r="X2370" s="26" t="str">
        <f aca="false">IF($A2370="","",U2370-W2370)</f>
        <v/>
      </c>
      <c r="Y2370" s="26" t="str">
        <f aca="false">IF($A2370="","",U2370-W2370-M2370)</f>
        <v/>
      </c>
      <c r="AB2370" s="27" t="str">
        <f aca="false">IF($A2370="","",IF($AK2370=1,'كشف المطالبة'!$D$5,'كشف المطالبة'!$D$6)*100)</f>
        <v/>
      </c>
      <c r="AK2370" s="28" t="str">
        <f aca="false">IF($A2370="","",IF(OR($Q2370=TRUE(),$Q2370="TRUE"),1,0))</f>
        <v/>
      </c>
      <c r="AL2370" s="28" t="str">
        <f aca="false">IF($N2370="","",IF(MATCH($N2370,$N$2:$N$3001,0)=ROWS($N$2:$N2370),$N2370,""))</f>
        <v/>
      </c>
    </row>
    <row r="2371" customFormat="false" ht="15" hidden="false" customHeight="false" outlineLevel="0" collapsed="false">
      <c r="E2371" s="25"/>
      <c r="M2371" s="26" t="str">
        <f aca="false">IF($A2371="","",$L2371*$U2371/100)</f>
        <v/>
      </c>
      <c r="W2371" s="26" t="str">
        <f aca="false">IF($A2371="","",U2371*AB2371/100)</f>
        <v/>
      </c>
      <c r="X2371" s="26" t="str">
        <f aca="false">IF($A2371="","",U2371-W2371)</f>
        <v/>
      </c>
      <c r="Y2371" s="26" t="str">
        <f aca="false">IF($A2371="","",U2371-W2371-M2371)</f>
        <v/>
      </c>
      <c r="AB2371" s="27" t="str">
        <f aca="false">IF($A2371="","",IF($AK2371=1,'كشف المطالبة'!$D$5,'كشف المطالبة'!$D$6)*100)</f>
        <v/>
      </c>
      <c r="AK2371" s="28" t="str">
        <f aca="false">IF($A2371="","",IF(OR($Q2371=TRUE(),$Q2371="TRUE"),1,0))</f>
        <v/>
      </c>
      <c r="AL2371" s="28" t="str">
        <f aca="false">IF($N2371="","",IF(MATCH($N2371,$N$2:$N$3001,0)=ROWS($N$2:$N2371),$N2371,""))</f>
        <v/>
      </c>
    </row>
    <row r="2372" customFormat="false" ht="15" hidden="false" customHeight="false" outlineLevel="0" collapsed="false">
      <c r="E2372" s="25"/>
      <c r="M2372" s="26" t="str">
        <f aca="false">IF($A2372="","",$L2372*$U2372/100)</f>
        <v/>
      </c>
      <c r="W2372" s="26" t="str">
        <f aca="false">IF($A2372="","",U2372*AB2372/100)</f>
        <v/>
      </c>
      <c r="X2372" s="26" t="str">
        <f aca="false">IF($A2372="","",U2372-W2372)</f>
        <v/>
      </c>
      <c r="Y2372" s="26" t="str">
        <f aca="false">IF($A2372="","",U2372-W2372-M2372)</f>
        <v/>
      </c>
      <c r="AB2372" s="27" t="str">
        <f aca="false">IF($A2372="","",IF($AK2372=1,'كشف المطالبة'!$D$5,'كشف المطالبة'!$D$6)*100)</f>
        <v/>
      </c>
      <c r="AK2372" s="28" t="str">
        <f aca="false">IF($A2372="","",IF(OR($Q2372=TRUE(),$Q2372="TRUE"),1,0))</f>
        <v/>
      </c>
      <c r="AL2372" s="28" t="str">
        <f aca="false">IF($N2372="","",IF(MATCH($N2372,$N$2:$N$3001,0)=ROWS($N$2:$N2372),$N2372,""))</f>
        <v/>
      </c>
    </row>
    <row r="2373" customFormat="false" ht="15" hidden="false" customHeight="false" outlineLevel="0" collapsed="false">
      <c r="E2373" s="25"/>
      <c r="M2373" s="26" t="str">
        <f aca="false">IF($A2373="","",$L2373*$U2373/100)</f>
        <v/>
      </c>
      <c r="W2373" s="26" t="str">
        <f aca="false">IF($A2373="","",U2373*AB2373/100)</f>
        <v/>
      </c>
      <c r="X2373" s="26" t="str">
        <f aca="false">IF($A2373="","",U2373-W2373)</f>
        <v/>
      </c>
      <c r="Y2373" s="26" t="str">
        <f aca="false">IF($A2373="","",U2373-W2373-M2373)</f>
        <v/>
      </c>
      <c r="AB2373" s="27" t="str">
        <f aca="false">IF($A2373="","",IF($AK2373=1,'كشف المطالبة'!$D$5,'كشف المطالبة'!$D$6)*100)</f>
        <v/>
      </c>
      <c r="AK2373" s="28" t="str">
        <f aca="false">IF($A2373="","",IF(OR($Q2373=TRUE(),$Q2373="TRUE"),1,0))</f>
        <v/>
      </c>
      <c r="AL2373" s="28" t="str">
        <f aca="false">IF($N2373="","",IF(MATCH($N2373,$N$2:$N$3001,0)=ROWS($N$2:$N2373),$N2373,""))</f>
        <v/>
      </c>
    </row>
    <row r="2374" customFormat="false" ht="15" hidden="false" customHeight="false" outlineLevel="0" collapsed="false">
      <c r="E2374" s="25"/>
      <c r="M2374" s="26" t="str">
        <f aca="false">IF($A2374="","",$L2374*$U2374/100)</f>
        <v/>
      </c>
      <c r="W2374" s="26" t="str">
        <f aca="false">IF($A2374="","",U2374*AB2374/100)</f>
        <v/>
      </c>
      <c r="X2374" s="26" t="str">
        <f aca="false">IF($A2374="","",U2374-W2374)</f>
        <v/>
      </c>
      <c r="Y2374" s="26" t="str">
        <f aca="false">IF($A2374="","",U2374-W2374-M2374)</f>
        <v/>
      </c>
      <c r="AB2374" s="27" t="str">
        <f aca="false">IF($A2374="","",IF($AK2374=1,'كشف المطالبة'!$D$5,'كشف المطالبة'!$D$6)*100)</f>
        <v/>
      </c>
      <c r="AK2374" s="28" t="str">
        <f aca="false">IF($A2374="","",IF(OR($Q2374=TRUE(),$Q2374="TRUE"),1,0))</f>
        <v/>
      </c>
      <c r="AL2374" s="28" t="str">
        <f aca="false">IF($N2374="","",IF(MATCH($N2374,$N$2:$N$3001,0)=ROWS($N$2:$N2374),$N2374,""))</f>
        <v/>
      </c>
    </row>
    <row r="2375" customFormat="false" ht="15" hidden="false" customHeight="false" outlineLevel="0" collapsed="false">
      <c r="E2375" s="25"/>
      <c r="M2375" s="26" t="str">
        <f aca="false">IF($A2375="","",$L2375*$U2375/100)</f>
        <v/>
      </c>
      <c r="W2375" s="26" t="str">
        <f aca="false">IF($A2375="","",U2375*AB2375/100)</f>
        <v/>
      </c>
      <c r="X2375" s="26" t="str">
        <f aca="false">IF($A2375="","",U2375-W2375)</f>
        <v/>
      </c>
      <c r="Y2375" s="26" t="str">
        <f aca="false">IF($A2375="","",U2375-W2375-M2375)</f>
        <v/>
      </c>
      <c r="AB2375" s="27" t="str">
        <f aca="false">IF($A2375="","",IF($AK2375=1,'كشف المطالبة'!$D$5,'كشف المطالبة'!$D$6)*100)</f>
        <v/>
      </c>
      <c r="AK2375" s="28" t="str">
        <f aca="false">IF($A2375="","",IF(OR($Q2375=TRUE(),$Q2375="TRUE"),1,0))</f>
        <v/>
      </c>
      <c r="AL2375" s="28" t="str">
        <f aca="false">IF($N2375="","",IF(MATCH($N2375,$N$2:$N$3001,0)=ROWS($N$2:$N2375),$N2375,""))</f>
        <v/>
      </c>
    </row>
    <row r="2376" customFormat="false" ht="15" hidden="false" customHeight="false" outlineLevel="0" collapsed="false">
      <c r="E2376" s="25"/>
      <c r="M2376" s="26" t="str">
        <f aca="false">IF($A2376="","",$L2376*$U2376/100)</f>
        <v/>
      </c>
      <c r="W2376" s="26" t="str">
        <f aca="false">IF($A2376="","",U2376*AB2376/100)</f>
        <v/>
      </c>
      <c r="X2376" s="26" t="str">
        <f aca="false">IF($A2376="","",U2376-W2376)</f>
        <v/>
      </c>
      <c r="Y2376" s="26" t="str">
        <f aca="false">IF($A2376="","",U2376-W2376-M2376)</f>
        <v/>
      </c>
      <c r="AB2376" s="27" t="str">
        <f aca="false">IF($A2376="","",IF($AK2376=1,'كشف المطالبة'!$D$5,'كشف المطالبة'!$D$6)*100)</f>
        <v/>
      </c>
      <c r="AK2376" s="28" t="str">
        <f aca="false">IF($A2376="","",IF(OR($Q2376=TRUE(),$Q2376="TRUE"),1,0))</f>
        <v/>
      </c>
      <c r="AL2376" s="28" t="str">
        <f aca="false">IF($N2376="","",IF(MATCH($N2376,$N$2:$N$3001,0)=ROWS($N$2:$N2376),$N2376,""))</f>
        <v/>
      </c>
    </row>
    <row r="2377" customFormat="false" ht="15" hidden="false" customHeight="false" outlineLevel="0" collapsed="false">
      <c r="E2377" s="25"/>
      <c r="M2377" s="26" t="str">
        <f aca="false">IF($A2377="","",$L2377*$U2377/100)</f>
        <v/>
      </c>
      <c r="W2377" s="26" t="str">
        <f aca="false">IF($A2377="","",U2377*AB2377/100)</f>
        <v/>
      </c>
      <c r="X2377" s="26" t="str">
        <f aca="false">IF($A2377="","",U2377-W2377)</f>
        <v/>
      </c>
      <c r="Y2377" s="26" t="str">
        <f aca="false">IF($A2377="","",U2377-W2377-M2377)</f>
        <v/>
      </c>
      <c r="AB2377" s="27" t="str">
        <f aca="false">IF($A2377="","",IF($AK2377=1,'كشف المطالبة'!$D$5,'كشف المطالبة'!$D$6)*100)</f>
        <v/>
      </c>
      <c r="AK2377" s="28" t="str">
        <f aca="false">IF($A2377="","",IF(OR($Q2377=TRUE(),$Q2377="TRUE"),1,0))</f>
        <v/>
      </c>
      <c r="AL2377" s="28" t="str">
        <f aca="false">IF($N2377="","",IF(MATCH($N2377,$N$2:$N$3001,0)=ROWS($N$2:$N2377),$N2377,""))</f>
        <v/>
      </c>
    </row>
    <row r="2378" customFormat="false" ht="15" hidden="false" customHeight="false" outlineLevel="0" collapsed="false">
      <c r="E2378" s="25"/>
      <c r="M2378" s="26" t="str">
        <f aca="false">IF($A2378="","",$L2378*$U2378/100)</f>
        <v/>
      </c>
      <c r="W2378" s="26" t="str">
        <f aca="false">IF($A2378="","",U2378*AB2378/100)</f>
        <v/>
      </c>
      <c r="X2378" s="26" t="str">
        <f aca="false">IF($A2378="","",U2378-W2378)</f>
        <v/>
      </c>
      <c r="Y2378" s="26" t="str">
        <f aca="false">IF($A2378="","",U2378-W2378-M2378)</f>
        <v/>
      </c>
      <c r="AB2378" s="27" t="str">
        <f aca="false">IF($A2378="","",IF($AK2378=1,'كشف المطالبة'!$D$5,'كشف المطالبة'!$D$6)*100)</f>
        <v/>
      </c>
      <c r="AK2378" s="28" t="str">
        <f aca="false">IF($A2378="","",IF(OR($Q2378=TRUE(),$Q2378="TRUE"),1,0))</f>
        <v/>
      </c>
      <c r="AL2378" s="28" t="str">
        <f aca="false">IF($N2378="","",IF(MATCH($N2378,$N$2:$N$3001,0)=ROWS($N$2:$N2378),$N2378,""))</f>
        <v/>
      </c>
    </row>
    <row r="2379" customFormat="false" ht="15" hidden="false" customHeight="false" outlineLevel="0" collapsed="false">
      <c r="E2379" s="25"/>
      <c r="M2379" s="26" t="str">
        <f aca="false">IF($A2379="","",$L2379*$U2379/100)</f>
        <v/>
      </c>
      <c r="W2379" s="26" t="str">
        <f aca="false">IF($A2379="","",U2379*AB2379/100)</f>
        <v/>
      </c>
      <c r="X2379" s="26" t="str">
        <f aca="false">IF($A2379="","",U2379-W2379)</f>
        <v/>
      </c>
      <c r="Y2379" s="26" t="str">
        <f aca="false">IF($A2379="","",U2379-W2379-M2379)</f>
        <v/>
      </c>
      <c r="AB2379" s="27" t="str">
        <f aca="false">IF($A2379="","",IF($AK2379=1,'كشف المطالبة'!$D$5,'كشف المطالبة'!$D$6)*100)</f>
        <v/>
      </c>
      <c r="AK2379" s="28" t="str">
        <f aca="false">IF($A2379="","",IF(OR($Q2379=TRUE(),$Q2379="TRUE"),1,0))</f>
        <v/>
      </c>
      <c r="AL2379" s="28" t="str">
        <f aca="false">IF($N2379="","",IF(MATCH($N2379,$N$2:$N$3001,0)=ROWS($N$2:$N2379),$N2379,""))</f>
        <v/>
      </c>
    </row>
    <row r="2380" customFormat="false" ht="15" hidden="false" customHeight="false" outlineLevel="0" collapsed="false">
      <c r="E2380" s="25"/>
      <c r="M2380" s="26" t="str">
        <f aca="false">IF($A2380="","",$L2380*$U2380/100)</f>
        <v/>
      </c>
      <c r="W2380" s="26" t="str">
        <f aca="false">IF($A2380="","",U2380*AB2380/100)</f>
        <v/>
      </c>
      <c r="X2380" s="26" t="str">
        <f aca="false">IF($A2380="","",U2380-W2380)</f>
        <v/>
      </c>
      <c r="Y2380" s="26" t="str">
        <f aca="false">IF($A2380="","",U2380-W2380-M2380)</f>
        <v/>
      </c>
      <c r="AB2380" s="27" t="str">
        <f aca="false">IF($A2380="","",IF($AK2380=1,'كشف المطالبة'!$D$5,'كشف المطالبة'!$D$6)*100)</f>
        <v/>
      </c>
      <c r="AK2380" s="28" t="str">
        <f aca="false">IF($A2380="","",IF(OR($Q2380=TRUE(),$Q2380="TRUE"),1,0))</f>
        <v/>
      </c>
      <c r="AL2380" s="28" t="str">
        <f aca="false">IF($N2380="","",IF(MATCH($N2380,$N$2:$N$3001,0)=ROWS($N$2:$N2380),$N2380,""))</f>
        <v/>
      </c>
    </row>
    <row r="2381" customFormat="false" ht="15" hidden="false" customHeight="false" outlineLevel="0" collapsed="false">
      <c r="E2381" s="25"/>
      <c r="M2381" s="26" t="str">
        <f aca="false">IF($A2381="","",$L2381*$U2381/100)</f>
        <v/>
      </c>
      <c r="W2381" s="26" t="str">
        <f aca="false">IF($A2381="","",U2381*AB2381/100)</f>
        <v/>
      </c>
      <c r="X2381" s="26" t="str">
        <f aca="false">IF($A2381="","",U2381-W2381)</f>
        <v/>
      </c>
      <c r="Y2381" s="26" t="str">
        <f aca="false">IF($A2381="","",U2381-W2381-M2381)</f>
        <v/>
      </c>
      <c r="AB2381" s="27" t="str">
        <f aca="false">IF($A2381="","",IF($AK2381=1,'كشف المطالبة'!$D$5,'كشف المطالبة'!$D$6)*100)</f>
        <v/>
      </c>
      <c r="AK2381" s="28" t="str">
        <f aca="false">IF($A2381="","",IF(OR($Q2381=TRUE(),$Q2381="TRUE"),1,0))</f>
        <v/>
      </c>
      <c r="AL2381" s="28" t="str">
        <f aca="false">IF($N2381="","",IF(MATCH($N2381,$N$2:$N$3001,0)=ROWS($N$2:$N2381),$N2381,""))</f>
        <v/>
      </c>
    </row>
    <row r="2382" customFormat="false" ht="15" hidden="false" customHeight="false" outlineLevel="0" collapsed="false">
      <c r="E2382" s="25"/>
      <c r="M2382" s="26" t="str">
        <f aca="false">IF($A2382="","",$L2382*$U2382/100)</f>
        <v/>
      </c>
      <c r="W2382" s="26" t="str">
        <f aca="false">IF($A2382="","",U2382*AB2382/100)</f>
        <v/>
      </c>
      <c r="X2382" s="26" t="str">
        <f aca="false">IF($A2382="","",U2382-W2382)</f>
        <v/>
      </c>
      <c r="Y2382" s="26" t="str">
        <f aca="false">IF($A2382="","",U2382-W2382-M2382)</f>
        <v/>
      </c>
      <c r="AB2382" s="27" t="str">
        <f aca="false">IF($A2382="","",IF($AK2382=1,'كشف المطالبة'!$D$5,'كشف المطالبة'!$D$6)*100)</f>
        <v/>
      </c>
      <c r="AK2382" s="28" t="str">
        <f aca="false">IF($A2382="","",IF(OR($Q2382=TRUE(),$Q2382="TRUE"),1,0))</f>
        <v/>
      </c>
      <c r="AL2382" s="28" t="str">
        <f aca="false">IF($N2382="","",IF(MATCH($N2382,$N$2:$N$3001,0)=ROWS($N$2:$N2382),$N2382,""))</f>
        <v/>
      </c>
    </row>
    <row r="2383" customFormat="false" ht="15" hidden="false" customHeight="false" outlineLevel="0" collapsed="false">
      <c r="E2383" s="25"/>
      <c r="M2383" s="26" t="str">
        <f aca="false">IF($A2383="","",$L2383*$U2383/100)</f>
        <v/>
      </c>
      <c r="W2383" s="26" t="str">
        <f aca="false">IF($A2383="","",U2383*AB2383/100)</f>
        <v/>
      </c>
      <c r="X2383" s="26" t="str">
        <f aca="false">IF($A2383="","",U2383-W2383)</f>
        <v/>
      </c>
      <c r="Y2383" s="26" t="str">
        <f aca="false">IF($A2383="","",U2383-W2383-M2383)</f>
        <v/>
      </c>
      <c r="AB2383" s="27" t="str">
        <f aca="false">IF($A2383="","",IF($AK2383=1,'كشف المطالبة'!$D$5,'كشف المطالبة'!$D$6)*100)</f>
        <v/>
      </c>
      <c r="AK2383" s="28" t="str">
        <f aca="false">IF($A2383="","",IF(OR($Q2383=TRUE(),$Q2383="TRUE"),1,0))</f>
        <v/>
      </c>
      <c r="AL2383" s="28" t="str">
        <f aca="false">IF($N2383="","",IF(MATCH($N2383,$N$2:$N$3001,0)=ROWS($N$2:$N2383),$N2383,""))</f>
        <v/>
      </c>
    </row>
    <row r="2384" customFormat="false" ht="15" hidden="false" customHeight="false" outlineLevel="0" collapsed="false">
      <c r="E2384" s="25"/>
      <c r="M2384" s="26" t="str">
        <f aca="false">IF($A2384="","",$L2384*$U2384/100)</f>
        <v/>
      </c>
      <c r="W2384" s="26" t="str">
        <f aca="false">IF($A2384="","",U2384*AB2384/100)</f>
        <v/>
      </c>
      <c r="X2384" s="26" t="str">
        <f aca="false">IF($A2384="","",U2384-W2384)</f>
        <v/>
      </c>
      <c r="Y2384" s="26" t="str">
        <f aca="false">IF($A2384="","",U2384-W2384-M2384)</f>
        <v/>
      </c>
      <c r="AB2384" s="27" t="str">
        <f aca="false">IF($A2384="","",IF($AK2384=1,'كشف المطالبة'!$D$5,'كشف المطالبة'!$D$6)*100)</f>
        <v/>
      </c>
      <c r="AK2384" s="28" t="str">
        <f aca="false">IF($A2384="","",IF(OR($Q2384=TRUE(),$Q2384="TRUE"),1,0))</f>
        <v/>
      </c>
      <c r="AL2384" s="28" t="str">
        <f aca="false">IF($N2384="","",IF(MATCH($N2384,$N$2:$N$3001,0)=ROWS($N$2:$N2384),$N2384,""))</f>
        <v/>
      </c>
    </row>
    <row r="2385" customFormat="false" ht="15" hidden="false" customHeight="false" outlineLevel="0" collapsed="false">
      <c r="E2385" s="25"/>
      <c r="M2385" s="26" t="str">
        <f aca="false">IF($A2385="","",$L2385*$U2385/100)</f>
        <v/>
      </c>
      <c r="W2385" s="26" t="str">
        <f aca="false">IF($A2385="","",U2385*AB2385/100)</f>
        <v/>
      </c>
      <c r="X2385" s="26" t="str">
        <f aca="false">IF($A2385="","",U2385-W2385)</f>
        <v/>
      </c>
      <c r="Y2385" s="26" t="str">
        <f aca="false">IF($A2385="","",U2385-W2385-M2385)</f>
        <v/>
      </c>
      <c r="AB2385" s="27" t="str">
        <f aca="false">IF($A2385="","",IF($AK2385=1,'كشف المطالبة'!$D$5,'كشف المطالبة'!$D$6)*100)</f>
        <v/>
      </c>
      <c r="AK2385" s="28" t="str">
        <f aca="false">IF($A2385="","",IF(OR($Q2385=TRUE(),$Q2385="TRUE"),1,0))</f>
        <v/>
      </c>
      <c r="AL2385" s="28" t="str">
        <f aca="false">IF($N2385="","",IF(MATCH($N2385,$N$2:$N$3001,0)=ROWS($N$2:$N2385),$N2385,""))</f>
        <v/>
      </c>
    </row>
    <row r="2386" customFormat="false" ht="15" hidden="false" customHeight="false" outlineLevel="0" collapsed="false">
      <c r="E2386" s="25"/>
      <c r="M2386" s="26" t="str">
        <f aca="false">IF($A2386="","",$L2386*$U2386/100)</f>
        <v/>
      </c>
      <c r="W2386" s="26" t="str">
        <f aca="false">IF($A2386="","",U2386*AB2386/100)</f>
        <v/>
      </c>
      <c r="X2386" s="26" t="str">
        <f aca="false">IF($A2386="","",U2386-W2386)</f>
        <v/>
      </c>
      <c r="Y2386" s="26" t="str">
        <f aca="false">IF($A2386="","",U2386-W2386-M2386)</f>
        <v/>
      </c>
      <c r="AB2386" s="27" t="str">
        <f aca="false">IF($A2386="","",IF($AK2386=1,'كشف المطالبة'!$D$5,'كشف المطالبة'!$D$6)*100)</f>
        <v/>
      </c>
      <c r="AK2386" s="28" t="str">
        <f aca="false">IF($A2386="","",IF(OR($Q2386=TRUE(),$Q2386="TRUE"),1,0))</f>
        <v/>
      </c>
      <c r="AL2386" s="28" t="str">
        <f aca="false">IF($N2386="","",IF(MATCH($N2386,$N$2:$N$3001,0)=ROWS($N$2:$N2386),$N2386,""))</f>
        <v/>
      </c>
    </row>
    <row r="2387" customFormat="false" ht="15" hidden="false" customHeight="false" outlineLevel="0" collapsed="false">
      <c r="E2387" s="25"/>
      <c r="M2387" s="26" t="str">
        <f aca="false">IF($A2387="","",$L2387*$U2387/100)</f>
        <v/>
      </c>
      <c r="W2387" s="26" t="str">
        <f aca="false">IF($A2387="","",U2387*AB2387/100)</f>
        <v/>
      </c>
      <c r="X2387" s="26" t="str">
        <f aca="false">IF($A2387="","",U2387-W2387)</f>
        <v/>
      </c>
      <c r="Y2387" s="26" t="str">
        <f aca="false">IF($A2387="","",U2387-W2387-M2387)</f>
        <v/>
      </c>
      <c r="AB2387" s="27" t="str">
        <f aca="false">IF($A2387="","",IF($AK2387=1,'كشف المطالبة'!$D$5,'كشف المطالبة'!$D$6)*100)</f>
        <v/>
      </c>
      <c r="AK2387" s="28" t="str">
        <f aca="false">IF($A2387="","",IF(OR($Q2387=TRUE(),$Q2387="TRUE"),1,0))</f>
        <v/>
      </c>
      <c r="AL2387" s="28" t="str">
        <f aca="false">IF($N2387="","",IF(MATCH($N2387,$N$2:$N$3001,0)=ROWS($N$2:$N2387),$N2387,""))</f>
        <v/>
      </c>
    </row>
    <row r="2388" customFormat="false" ht="15" hidden="false" customHeight="false" outlineLevel="0" collapsed="false">
      <c r="E2388" s="25"/>
      <c r="M2388" s="26" t="str">
        <f aca="false">IF($A2388="","",$L2388*$U2388/100)</f>
        <v/>
      </c>
      <c r="W2388" s="26" t="str">
        <f aca="false">IF($A2388="","",U2388*AB2388/100)</f>
        <v/>
      </c>
      <c r="X2388" s="26" t="str">
        <f aca="false">IF($A2388="","",U2388-W2388)</f>
        <v/>
      </c>
      <c r="Y2388" s="26" t="str">
        <f aca="false">IF($A2388="","",U2388-W2388-M2388)</f>
        <v/>
      </c>
      <c r="AB2388" s="27" t="str">
        <f aca="false">IF($A2388="","",IF($AK2388=1,'كشف المطالبة'!$D$5,'كشف المطالبة'!$D$6)*100)</f>
        <v/>
      </c>
      <c r="AK2388" s="28" t="str">
        <f aca="false">IF($A2388="","",IF(OR($Q2388=TRUE(),$Q2388="TRUE"),1,0))</f>
        <v/>
      </c>
      <c r="AL2388" s="28" t="str">
        <f aca="false">IF($N2388="","",IF(MATCH($N2388,$N$2:$N$3001,0)=ROWS($N$2:$N2388),$N2388,""))</f>
        <v/>
      </c>
    </row>
    <row r="2389" customFormat="false" ht="15" hidden="false" customHeight="false" outlineLevel="0" collapsed="false">
      <c r="E2389" s="25"/>
      <c r="M2389" s="26" t="str">
        <f aca="false">IF($A2389="","",$L2389*$U2389/100)</f>
        <v/>
      </c>
      <c r="W2389" s="26" t="str">
        <f aca="false">IF($A2389="","",U2389*AB2389/100)</f>
        <v/>
      </c>
      <c r="X2389" s="26" t="str">
        <f aca="false">IF($A2389="","",U2389-W2389)</f>
        <v/>
      </c>
      <c r="Y2389" s="26" t="str">
        <f aca="false">IF($A2389="","",U2389-W2389-M2389)</f>
        <v/>
      </c>
      <c r="AB2389" s="27" t="str">
        <f aca="false">IF($A2389="","",IF($AK2389=1,'كشف المطالبة'!$D$5,'كشف المطالبة'!$D$6)*100)</f>
        <v/>
      </c>
      <c r="AK2389" s="28" t="str">
        <f aca="false">IF($A2389="","",IF(OR($Q2389=TRUE(),$Q2389="TRUE"),1,0))</f>
        <v/>
      </c>
      <c r="AL2389" s="28" t="str">
        <f aca="false">IF($N2389="","",IF(MATCH($N2389,$N$2:$N$3001,0)=ROWS($N$2:$N2389),$N2389,""))</f>
        <v/>
      </c>
    </row>
    <row r="2390" customFormat="false" ht="15" hidden="false" customHeight="false" outlineLevel="0" collapsed="false">
      <c r="E2390" s="25"/>
      <c r="M2390" s="26" t="str">
        <f aca="false">IF($A2390="","",$L2390*$U2390/100)</f>
        <v/>
      </c>
      <c r="W2390" s="26" t="str">
        <f aca="false">IF($A2390="","",U2390*AB2390/100)</f>
        <v/>
      </c>
      <c r="X2390" s="26" t="str">
        <f aca="false">IF($A2390="","",U2390-W2390)</f>
        <v/>
      </c>
      <c r="Y2390" s="26" t="str">
        <f aca="false">IF($A2390="","",U2390-W2390-M2390)</f>
        <v/>
      </c>
      <c r="AB2390" s="27" t="str">
        <f aca="false">IF($A2390="","",IF($AK2390=1,'كشف المطالبة'!$D$5,'كشف المطالبة'!$D$6)*100)</f>
        <v/>
      </c>
      <c r="AK2390" s="28" t="str">
        <f aca="false">IF($A2390="","",IF(OR($Q2390=TRUE(),$Q2390="TRUE"),1,0))</f>
        <v/>
      </c>
      <c r="AL2390" s="28" t="str">
        <f aca="false">IF($N2390="","",IF(MATCH($N2390,$N$2:$N$3001,0)=ROWS($N$2:$N2390),$N2390,""))</f>
        <v/>
      </c>
    </row>
    <row r="2391" customFormat="false" ht="15" hidden="false" customHeight="false" outlineLevel="0" collapsed="false">
      <c r="E2391" s="25"/>
      <c r="M2391" s="26" t="str">
        <f aca="false">IF($A2391="","",$L2391*$U2391/100)</f>
        <v/>
      </c>
      <c r="W2391" s="26" t="str">
        <f aca="false">IF($A2391="","",U2391*AB2391/100)</f>
        <v/>
      </c>
      <c r="X2391" s="26" t="str">
        <f aca="false">IF($A2391="","",U2391-W2391)</f>
        <v/>
      </c>
      <c r="Y2391" s="26" t="str">
        <f aca="false">IF($A2391="","",U2391-W2391-M2391)</f>
        <v/>
      </c>
      <c r="AB2391" s="27" t="str">
        <f aca="false">IF($A2391="","",IF($AK2391=1,'كشف المطالبة'!$D$5,'كشف المطالبة'!$D$6)*100)</f>
        <v/>
      </c>
      <c r="AK2391" s="28" t="str">
        <f aca="false">IF($A2391="","",IF(OR($Q2391=TRUE(),$Q2391="TRUE"),1,0))</f>
        <v/>
      </c>
      <c r="AL2391" s="28" t="str">
        <f aca="false">IF($N2391="","",IF(MATCH($N2391,$N$2:$N$3001,0)=ROWS($N$2:$N2391),$N2391,""))</f>
        <v/>
      </c>
    </row>
    <row r="2392" customFormat="false" ht="15" hidden="false" customHeight="false" outlineLevel="0" collapsed="false">
      <c r="E2392" s="25"/>
      <c r="M2392" s="26" t="str">
        <f aca="false">IF($A2392="","",$L2392*$U2392/100)</f>
        <v/>
      </c>
      <c r="W2392" s="26" t="str">
        <f aca="false">IF($A2392="","",U2392*AB2392/100)</f>
        <v/>
      </c>
      <c r="X2392" s="26" t="str">
        <f aca="false">IF($A2392="","",U2392-W2392)</f>
        <v/>
      </c>
      <c r="Y2392" s="26" t="str">
        <f aca="false">IF($A2392="","",U2392-W2392-M2392)</f>
        <v/>
      </c>
      <c r="AB2392" s="27" t="str">
        <f aca="false">IF($A2392="","",IF($AK2392=1,'كشف المطالبة'!$D$5,'كشف المطالبة'!$D$6)*100)</f>
        <v/>
      </c>
      <c r="AK2392" s="28" t="str">
        <f aca="false">IF($A2392="","",IF(OR($Q2392=TRUE(),$Q2392="TRUE"),1,0))</f>
        <v/>
      </c>
      <c r="AL2392" s="28" t="str">
        <f aca="false">IF($N2392="","",IF(MATCH($N2392,$N$2:$N$3001,0)=ROWS($N$2:$N2392),$N2392,""))</f>
        <v/>
      </c>
    </row>
    <row r="2393" customFormat="false" ht="15" hidden="false" customHeight="false" outlineLevel="0" collapsed="false">
      <c r="E2393" s="25"/>
      <c r="M2393" s="26" t="str">
        <f aca="false">IF($A2393="","",$L2393*$U2393/100)</f>
        <v/>
      </c>
      <c r="W2393" s="26" t="str">
        <f aca="false">IF($A2393="","",U2393*AB2393/100)</f>
        <v/>
      </c>
      <c r="X2393" s="26" t="str">
        <f aca="false">IF($A2393="","",U2393-W2393)</f>
        <v/>
      </c>
      <c r="Y2393" s="26" t="str">
        <f aca="false">IF($A2393="","",U2393-W2393-M2393)</f>
        <v/>
      </c>
      <c r="AB2393" s="27" t="str">
        <f aca="false">IF($A2393="","",IF($AK2393=1,'كشف المطالبة'!$D$5,'كشف المطالبة'!$D$6)*100)</f>
        <v/>
      </c>
      <c r="AK2393" s="28" t="str">
        <f aca="false">IF($A2393="","",IF(OR($Q2393=TRUE(),$Q2393="TRUE"),1,0))</f>
        <v/>
      </c>
      <c r="AL2393" s="28" t="str">
        <f aca="false">IF($N2393="","",IF(MATCH($N2393,$N$2:$N$3001,0)=ROWS($N$2:$N2393),$N2393,""))</f>
        <v/>
      </c>
    </row>
    <row r="2394" customFormat="false" ht="15" hidden="false" customHeight="false" outlineLevel="0" collapsed="false">
      <c r="E2394" s="25"/>
      <c r="M2394" s="26" t="str">
        <f aca="false">IF($A2394="","",$L2394*$U2394/100)</f>
        <v/>
      </c>
      <c r="W2394" s="26" t="str">
        <f aca="false">IF($A2394="","",U2394*AB2394/100)</f>
        <v/>
      </c>
      <c r="X2394" s="26" t="str">
        <f aca="false">IF($A2394="","",U2394-W2394)</f>
        <v/>
      </c>
      <c r="Y2394" s="26" t="str">
        <f aca="false">IF($A2394="","",U2394-W2394-M2394)</f>
        <v/>
      </c>
      <c r="AB2394" s="27" t="str">
        <f aca="false">IF($A2394="","",IF($AK2394=1,'كشف المطالبة'!$D$5,'كشف المطالبة'!$D$6)*100)</f>
        <v/>
      </c>
      <c r="AK2394" s="28" t="str">
        <f aca="false">IF($A2394="","",IF(OR($Q2394=TRUE(),$Q2394="TRUE"),1,0))</f>
        <v/>
      </c>
      <c r="AL2394" s="28" t="str">
        <f aca="false">IF($N2394="","",IF(MATCH($N2394,$N$2:$N$3001,0)=ROWS($N$2:$N2394),$N2394,""))</f>
        <v/>
      </c>
    </row>
    <row r="2395" customFormat="false" ht="15" hidden="false" customHeight="false" outlineLevel="0" collapsed="false">
      <c r="E2395" s="25"/>
      <c r="M2395" s="26" t="str">
        <f aca="false">IF($A2395="","",$L2395*$U2395/100)</f>
        <v/>
      </c>
      <c r="W2395" s="26" t="str">
        <f aca="false">IF($A2395="","",U2395*AB2395/100)</f>
        <v/>
      </c>
      <c r="X2395" s="26" t="str">
        <f aca="false">IF($A2395="","",U2395-W2395)</f>
        <v/>
      </c>
      <c r="Y2395" s="26" t="str">
        <f aca="false">IF($A2395="","",U2395-W2395-M2395)</f>
        <v/>
      </c>
      <c r="AB2395" s="27" t="str">
        <f aca="false">IF($A2395="","",IF($AK2395=1,'كشف المطالبة'!$D$5,'كشف المطالبة'!$D$6)*100)</f>
        <v/>
      </c>
      <c r="AK2395" s="28" t="str">
        <f aca="false">IF($A2395="","",IF(OR($Q2395=TRUE(),$Q2395="TRUE"),1,0))</f>
        <v/>
      </c>
      <c r="AL2395" s="28" t="str">
        <f aca="false">IF($N2395="","",IF(MATCH($N2395,$N$2:$N$3001,0)=ROWS($N$2:$N2395),$N2395,""))</f>
        <v/>
      </c>
    </row>
    <row r="2396" customFormat="false" ht="15" hidden="false" customHeight="false" outlineLevel="0" collapsed="false">
      <c r="E2396" s="25"/>
      <c r="M2396" s="26" t="str">
        <f aca="false">IF($A2396="","",$L2396*$U2396/100)</f>
        <v/>
      </c>
      <c r="W2396" s="26" t="str">
        <f aca="false">IF($A2396="","",U2396*AB2396/100)</f>
        <v/>
      </c>
      <c r="X2396" s="26" t="str">
        <f aca="false">IF($A2396="","",U2396-W2396)</f>
        <v/>
      </c>
      <c r="Y2396" s="26" t="str">
        <f aca="false">IF($A2396="","",U2396-W2396-M2396)</f>
        <v/>
      </c>
      <c r="AB2396" s="27" t="str">
        <f aca="false">IF($A2396="","",IF($AK2396=1,'كشف المطالبة'!$D$5,'كشف المطالبة'!$D$6)*100)</f>
        <v/>
      </c>
      <c r="AK2396" s="28" t="str">
        <f aca="false">IF($A2396="","",IF(OR($Q2396=TRUE(),$Q2396="TRUE"),1,0))</f>
        <v/>
      </c>
      <c r="AL2396" s="28" t="str">
        <f aca="false">IF($N2396="","",IF(MATCH($N2396,$N$2:$N$3001,0)=ROWS($N$2:$N2396),$N2396,""))</f>
        <v/>
      </c>
    </row>
    <row r="2397" customFormat="false" ht="15" hidden="false" customHeight="false" outlineLevel="0" collapsed="false">
      <c r="E2397" s="25"/>
      <c r="M2397" s="26" t="str">
        <f aca="false">IF($A2397="","",$L2397*$U2397/100)</f>
        <v/>
      </c>
      <c r="W2397" s="26" t="str">
        <f aca="false">IF($A2397="","",U2397*AB2397/100)</f>
        <v/>
      </c>
      <c r="X2397" s="26" t="str">
        <f aca="false">IF($A2397="","",U2397-W2397)</f>
        <v/>
      </c>
      <c r="Y2397" s="26" t="str">
        <f aca="false">IF($A2397="","",U2397-W2397-M2397)</f>
        <v/>
      </c>
      <c r="AB2397" s="27" t="str">
        <f aca="false">IF($A2397="","",IF($AK2397=1,'كشف المطالبة'!$D$5,'كشف المطالبة'!$D$6)*100)</f>
        <v/>
      </c>
      <c r="AK2397" s="28" t="str">
        <f aca="false">IF($A2397="","",IF(OR($Q2397=TRUE(),$Q2397="TRUE"),1,0))</f>
        <v/>
      </c>
      <c r="AL2397" s="28" t="str">
        <f aca="false">IF($N2397="","",IF(MATCH($N2397,$N$2:$N$3001,0)=ROWS($N$2:$N2397),$N2397,""))</f>
        <v/>
      </c>
    </row>
    <row r="2398" customFormat="false" ht="15" hidden="false" customHeight="false" outlineLevel="0" collapsed="false">
      <c r="E2398" s="25"/>
      <c r="M2398" s="26" t="str">
        <f aca="false">IF($A2398="","",$L2398*$U2398/100)</f>
        <v/>
      </c>
      <c r="W2398" s="26" t="str">
        <f aca="false">IF($A2398="","",U2398*AB2398/100)</f>
        <v/>
      </c>
      <c r="X2398" s="26" t="str">
        <f aca="false">IF($A2398="","",U2398-W2398)</f>
        <v/>
      </c>
      <c r="Y2398" s="26" t="str">
        <f aca="false">IF($A2398="","",U2398-W2398-M2398)</f>
        <v/>
      </c>
      <c r="AB2398" s="27" t="str">
        <f aca="false">IF($A2398="","",IF($AK2398=1,'كشف المطالبة'!$D$5,'كشف المطالبة'!$D$6)*100)</f>
        <v/>
      </c>
      <c r="AK2398" s="28" t="str">
        <f aca="false">IF($A2398="","",IF(OR($Q2398=TRUE(),$Q2398="TRUE"),1,0))</f>
        <v/>
      </c>
      <c r="AL2398" s="28" t="str">
        <f aca="false">IF($N2398="","",IF(MATCH($N2398,$N$2:$N$3001,0)=ROWS($N$2:$N2398),$N2398,""))</f>
        <v/>
      </c>
    </row>
    <row r="2399" customFormat="false" ht="15" hidden="false" customHeight="false" outlineLevel="0" collapsed="false">
      <c r="E2399" s="25"/>
      <c r="M2399" s="26" t="str">
        <f aca="false">IF($A2399="","",$L2399*$U2399/100)</f>
        <v/>
      </c>
      <c r="W2399" s="26" t="str">
        <f aca="false">IF($A2399="","",U2399*AB2399/100)</f>
        <v/>
      </c>
      <c r="X2399" s="26" t="str">
        <f aca="false">IF($A2399="","",U2399-W2399)</f>
        <v/>
      </c>
      <c r="Y2399" s="26" t="str">
        <f aca="false">IF($A2399="","",U2399-W2399-M2399)</f>
        <v/>
      </c>
      <c r="AB2399" s="27" t="str">
        <f aca="false">IF($A2399="","",IF($AK2399=1,'كشف المطالبة'!$D$5,'كشف المطالبة'!$D$6)*100)</f>
        <v/>
      </c>
      <c r="AK2399" s="28" t="str">
        <f aca="false">IF($A2399="","",IF(OR($Q2399=TRUE(),$Q2399="TRUE"),1,0))</f>
        <v/>
      </c>
      <c r="AL2399" s="28" t="str">
        <f aca="false">IF($N2399="","",IF(MATCH($N2399,$N$2:$N$3001,0)=ROWS($N$2:$N2399),$N2399,""))</f>
        <v/>
      </c>
    </row>
    <row r="2400" customFormat="false" ht="15" hidden="false" customHeight="false" outlineLevel="0" collapsed="false">
      <c r="E2400" s="25"/>
      <c r="M2400" s="26" t="str">
        <f aca="false">IF($A2400="","",$L2400*$U2400/100)</f>
        <v/>
      </c>
      <c r="W2400" s="26" t="str">
        <f aca="false">IF($A2400="","",U2400*AB2400/100)</f>
        <v/>
      </c>
      <c r="X2400" s="26" t="str">
        <f aca="false">IF($A2400="","",U2400-W2400)</f>
        <v/>
      </c>
      <c r="Y2400" s="26" t="str">
        <f aca="false">IF($A2400="","",U2400-W2400-M2400)</f>
        <v/>
      </c>
      <c r="AB2400" s="27" t="str">
        <f aca="false">IF($A2400="","",IF($AK2400=1,'كشف المطالبة'!$D$5,'كشف المطالبة'!$D$6)*100)</f>
        <v/>
      </c>
      <c r="AK2400" s="28" t="str">
        <f aca="false">IF($A2400="","",IF(OR($Q2400=TRUE(),$Q2400="TRUE"),1,0))</f>
        <v/>
      </c>
      <c r="AL2400" s="28" t="str">
        <f aca="false">IF($N2400="","",IF(MATCH($N2400,$N$2:$N$3001,0)=ROWS($N$2:$N2400),$N2400,""))</f>
        <v/>
      </c>
    </row>
    <row r="2401" customFormat="false" ht="15" hidden="false" customHeight="false" outlineLevel="0" collapsed="false">
      <c r="E2401" s="25"/>
      <c r="M2401" s="26" t="str">
        <f aca="false">IF($A2401="","",$L2401*$U2401/100)</f>
        <v/>
      </c>
      <c r="W2401" s="26" t="str">
        <f aca="false">IF($A2401="","",U2401*AB2401/100)</f>
        <v/>
      </c>
      <c r="X2401" s="26" t="str">
        <f aca="false">IF($A2401="","",U2401-W2401)</f>
        <v/>
      </c>
      <c r="Y2401" s="26" t="str">
        <f aca="false">IF($A2401="","",U2401-W2401-M2401)</f>
        <v/>
      </c>
      <c r="AB2401" s="27" t="str">
        <f aca="false">IF($A2401="","",IF($AK2401=1,'كشف المطالبة'!$D$5,'كشف المطالبة'!$D$6)*100)</f>
        <v/>
      </c>
      <c r="AK2401" s="28" t="str">
        <f aca="false">IF($A2401="","",IF(OR($Q2401=TRUE(),$Q2401="TRUE"),1,0))</f>
        <v/>
      </c>
      <c r="AL2401" s="28" t="str">
        <f aca="false">IF($N2401="","",IF(MATCH($N2401,$N$2:$N$3001,0)=ROWS($N$2:$N2401),$N2401,""))</f>
        <v/>
      </c>
    </row>
    <row r="2402" customFormat="false" ht="15" hidden="false" customHeight="false" outlineLevel="0" collapsed="false">
      <c r="E2402" s="25"/>
      <c r="M2402" s="26" t="str">
        <f aca="false">IF($A2402="","",$L2402*$U2402/100)</f>
        <v/>
      </c>
      <c r="W2402" s="26" t="str">
        <f aca="false">IF($A2402="","",U2402*AB2402/100)</f>
        <v/>
      </c>
      <c r="X2402" s="26" t="str">
        <f aca="false">IF($A2402="","",U2402-W2402)</f>
        <v/>
      </c>
      <c r="Y2402" s="26" t="str">
        <f aca="false">IF($A2402="","",U2402-W2402-M2402)</f>
        <v/>
      </c>
      <c r="AB2402" s="27" t="str">
        <f aca="false">IF($A2402="","",IF($AK2402=1,'كشف المطالبة'!$D$5,'كشف المطالبة'!$D$6)*100)</f>
        <v/>
      </c>
      <c r="AK2402" s="28" t="str">
        <f aca="false">IF($A2402="","",IF(OR($Q2402=TRUE(),$Q2402="TRUE"),1,0))</f>
        <v/>
      </c>
      <c r="AL2402" s="28" t="str">
        <f aca="false">IF($N2402="","",IF(MATCH($N2402,$N$2:$N$3001,0)=ROWS($N$2:$N2402),$N2402,""))</f>
        <v/>
      </c>
    </row>
    <row r="2403" customFormat="false" ht="15" hidden="false" customHeight="false" outlineLevel="0" collapsed="false">
      <c r="E2403" s="25"/>
      <c r="M2403" s="26" t="str">
        <f aca="false">IF($A2403="","",$L2403*$U2403/100)</f>
        <v/>
      </c>
      <c r="W2403" s="26" t="str">
        <f aca="false">IF($A2403="","",U2403*AB2403/100)</f>
        <v/>
      </c>
      <c r="X2403" s="26" t="str">
        <f aca="false">IF($A2403="","",U2403-W2403)</f>
        <v/>
      </c>
      <c r="Y2403" s="26" t="str">
        <f aca="false">IF($A2403="","",U2403-W2403-M2403)</f>
        <v/>
      </c>
      <c r="AB2403" s="27" t="str">
        <f aca="false">IF($A2403="","",IF($AK2403=1,'كشف المطالبة'!$D$5,'كشف المطالبة'!$D$6)*100)</f>
        <v/>
      </c>
      <c r="AK2403" s="28" t="str">
        <f aca="false">IF($A2403="","",IF(OR($Q2403=TRUE(),$Q2403="TRUE"),1,0))</f>
        <v/>
      </c>
      <c r="AL2403" s="28" t="str">
        <f aca="false">IF($N2403="","",IF(MATCH($N2403,$N$2:$N$3001,0)=ROWS($N$2:$N2403),$N2403,""))</f>
        <v/>
      </c>
    </row>
    <row r="2404" customFormat="false" ht="15" hidden="false" customHeight="false" outlineLevel="0" collapsed="false">
      <c r="E2404" s="25"/>
      <c r="M2404" s="26" t="str">
        <f aca="false">IF($A2404="","",$L2404*$U2404/100)</f>
        <v/>
      </c>
      <c r="W2404" s="26" t="str">
        <f aca="false">IF($A2404="","",U2404*AB2404/100)</f>
        <v/>
      </c>
      <c r="X2404" s="26" t="str">
        <f aca="false">IF($A2404="","",U2404-W2404)</f>
        <v/>
      </c>
      <c r="Y2404" s="26" t="str">
        <f aca="false">IF($A2404="","",U2404-W2404-M2404)</f>
        <v/>
      </c>
      <c r="AB2404" s="27" t="str">
        <f aca="false">IF($A2404="","",IF($AK2404=1,'كشف المطالبة'!$D$5,'كشف المطالبة'!$D$6)*100)</f>
        <v/>
      </c>
      <c r="AK2404" s="28" t="str">
        <f aca="false">IF($A2404="","",IF(OR($Q2404=TRUE(),$Q2404="TRUE"),1,0))</f>
        <v/>
      </c>
      <c r="AL2404" s="28" t="str">
        <f aca="false">IF($N2404="","",IF(MATCH($N2404,$N$2:$N$3001,0)=ROWS($N$2:$N2404),$N2404,""))</f>
        <v/>
      </c>
    </row>
    <row r="2405" customFormat="false" ht="15" hidden="false" customHeight="false" outlineLevel="0" collapsed="false">
      <c r="E2405" s="25"/>
      <c r="M2405" s="26" t="str">
        <f aca="false">IF($A2405="","",$L2405*$U2405/100)</f>
        <v/>
      </c>
      <c r="W2405" s="26" t="str">
        <f aca="false">IF($A2405="","",U2405*AB2405/100)</f>
        <v/>
      </c>
      <c r="X2405" s="26" t="str">
        <f aca="false">IF($A2405="","",U2405-W2405)</f>
        <v/>
      </c>
      <c r="Y2405" s="26" t="str">
        <f aca="false">IF($A2405="","",U2405-W2405-M2405)</f>
        <v/>
      </c>
      <c r="AB2405" s="27" t="str">
        <f aca="false">IF($A2405="","",IF($AK2405=1,'كشف المطالبة'!$D$5,'كشف المطالبة'!$D$6)*100)</f>
        <v/>
      </c>
      <c r="AK2405" s="28" t="str">
        <f aca="false">IF($A2405="","",IF(OR($Q2405=TRUE(),$Q2405="TRUE"),1,0))</f>
        <v/>
      </c>
      <c r="AL2405" s="28" t="str">
        <f aca="false">IF($N2405="","",IF(MATCH($N2405,$N$2:$N$3001,0)=ROWS($N$2:$N2405),$N2405,""))</f>
        <v/>
      </c>
    </row>
    <row r="2406" customFormat="false" ht="15" hidden="false" customHeight="false" outlineLevel="0" collapsed="false">
      <c r="E2406" s="25"/>
      <c r="M2406" s="26" t="str">
        <f aca="false">IF($A2406="","",$L2406*$U2406/100)</f>
        <v/>
      </c>
      <c r="W2406" s="26" t="str">
        <f aca="false">IF($A2406="","",U2406*AB2406/100)</f>
        <v/>
      </c>
      <c r="X2406" s="26" t="str">
        <f aca="false">IF($A2406="","",U2406-W2406)</f>
        <v/>
      </c>
      <c r="Y2406" s="26" t="str">
        <f aca="false">IF($A2406="","",U2406-W2406-M2406)</f>
        <v/>
      </c>
      <c r="AB2406" s="27" t="str">
        <f aca="false">IF($A2406="","",IF($AK2406=1,'كشف المطالبة'!$D$5,'كشف المطالبة'!$D$6)*100)</f>
        <v/>
      </c>
      <c r="AK2406" s="28" t="str">
        <f aca="false">IF($A2406="","",IF(OR($Q2406=TRUE(),$Q2406="TRUE"),1,0))</f>
        <v/>
      </c>
      <c r="AL2406" s="28" t="str">
        <f aca="false">IF($N2406="","",IF(MATCH($N2406,$N$2:$N$3001,0)=ROWS($N$2:$N2406),$N2406,""))</f>
        <v/>
      </c>
    </row>
    <row r="2407" customFormat="false" ht="15" hidden="false" customHeight="false" outlineLevel="0" collapsed="false">
      <c r="E2407" s="25"/>
      <c r="M2407" s="26" t="str">
        <f aca="false">IF($A2407="","",$L2407*$U2407/100)</f>
        <v/>
      </c>
      <c r="W2407" s="26" t="str">
        <f aca="false">IF($A2407="","",U2407*AB2407/100)</f>
        <v/>
      </c>
      <c r="X2407" s="26" t="str">
        <f aca="false">IF($A2407="","",U2407-W2407)</f>
        <v/>
      </c>
      <c r="Y2407" s="26" t="str">
        <f aca="false">IF($A2407="","",U2407-W2407-M2407)</f>
        <v/>
      </c>
      <c r="AB2407" s="27" t="str">
        <f aca="false">IF($A2407="","",IF($AK2407=1,'كشف المطالبة'!$D$5,'كشف المطالبة'!$D$6)*100)</f>
        <v/>
      </c>
      <c r="AK2407" s="28" t="str">
        <f aca="false">IF($A2407="","",IF(OR($Q2407=TRUE(),$Q2407="TRUE"),1,0))</f>
        <v/>
      </c>
      <c r="AL2407" s="28" t="str">
        <f aca="false">IF($N2407="","",IF(MATCH($N2407,$N$2:$N$3001,0)=ROWS($N$2:$N2407),$N2407,""))</f>
        <v/>
      </c>
    </row>
    <row r="2408" customFormat="false" ht="15" hidden="false" customHeight="false" outlineLevel="0" collapsed="false">
      <c r="E2408" s="25"/>
      <c r="M2408" s="26" t="str">
        <f aca="false">IF($A2408="","",$L2408*$U2408/100)</f>
        <v/>
      </c>
      <c r="W2408" s="26" t="str">
        <f aca="false">IF($A2408="","",U2408*AB2408/100)</f>
        <v/>
      </c>
      <c r="X2408" s="26" t="str">
        <f aca="false">IF($A2408="","",U2408-W2408)</f>
        <v/>
      </c>
      <c r="Y2408" s="26" t="str">
        <f aca="false">IF($A2408="","",U2408-W2408-M2408)</f>
        <v/>
      </c>
      <c r="AB2408" s="27" t="str">
        <f aca="false">IF($A2408="","",IF($AK2408=1,'كشف المطالبة'!$D$5,'كشف المطالبة'!$D$6)*100)</f>
        <v/>
      </c>
      <c r="AK2408" s="28" t="str">
        <f aca="false">IF($A2408="","",IF(OR($Q2408=TRUE(),$Q2408="TRUE"),1,0))</f>
        <v/>
      </c>
      <c r="AL2408" s="28" t="str">
        <f aca="false">IF($N2408="","",IF(MATCH($N2408,$N$2:$N$3001,0)=ROWS($N$2:$N2408),$N2408,""))</f>
        <v/>
      </c>
    </row>
    <row r="2409" customFormat="false" ht="15" hidden="false" customHeight="false" outlineLevel="0" collapsed="false">
      <c r="E2409" s="25"/>
      <c r="M2409" s="26" t="str">
        <f aca="false">IF($A2409="","",$L2409*$U2409/100)</f>
        <v/>
      </c>
      <c r="W2409" s="26" t="str">
        <f aca="false">IF($A2409="","",U2409*AB2409/100)</f>
        <v/>
      </c>
      <c r="X2409" s="26" t="str">
        <f aca="false">IF($A2409="","",U2409-W2409)</f>
        <v/>
      </c>
      <c r="Y2409" s="26" t="str">
        <f aca="false">IF($A2409="","",U2409-W2409-M2409)</f>
        <v/>
      </c>
      <c r="AB2409" s="27" t="str">
        <f aca="false">IF($A2409="","",IF($AK2409=1,'كشف المطالبة'!$D$5,'كشف المطالبة'!$D$6)*100)</f>
        <v/>
      </c>
      <c r="AK2409" s="28" t="str">
        <f aca="false">IF($A2409="","",IF(OR($Q2409=TRUE(),$Q2409="TRUE"),1,0))</f>
        <v/>
      </c>
      <c r="AL2409" s="28" t="str">
        <f aca="false">IF($N2409="","",IF(MATCH($N2409,$N$2:$N$3001,0)=ROWS($N$2:$N2409),$N2409,""))</f>
        <v/>
      </c>
    </row>
    <row r="2410" customFormat="false" ht="15" hidden="false" customHeight="false" outlineLevel="0" collapsed="false">
      <c r="E2410" s="25"/>
      <c r="M2410" s="26" t="str">
        <f aca="false">IF($A2410="","",$L2410*$U2410/100)</f>
        <v/>
      </c>
      <c r="W2410" s="26" t="str">
        <f aca="false">IF($A2410="","",U2410*AB2410/100)</f>
        <v/>
      </c>
      <c r="X2410" s="26" t="str">
        <f aca="false">IF($A2410="","",U2410-W2410)</f>
        <v/>
      </c>
      <c r="Y2410" s="26" t="str">
        <f aca="false">IF($A2410="","",U2410-W2410-M2410)</f>
        <v/>
      </c>
      <c r="AB2410" s="27" t="str">
        <f aca="false">IF($A2410="","",IF($AK2410=1,'كشف المطالبة'!$D$5,'كشف المطالبة'!$D$6)*100)</f>
        <v/>
      </c>
      <c r="AK2410" s="28" t="str">
        <f aca="false">IF($A2410="","",IF(OR($Q2410=TRUE(),$Q2410="TRUE"),1,0))</f>
        <v/>
      </c>
      <c r="AL2410" s="28" t="str">
        <f aca="false">IF($N2410="","",IF(MATCH($N2410,$N$2:$N$3001,0)=ROWS($N$2:$N2410),$N2410,""))</f>
        <v/>
      </c>
    </row>
    <row r="2411" customFormat="false" ht="15" hidden="false" customHeight="false" outlineLevel="0" collapsed="false">
      <c r="E2411" s="25"/>
      <c r="M2411" s="26" t="str">
        <f aca="false">IF($A2411="","",$L2411*$U2411/100)</f>
        <v/>
      </c>
      <c r="W2411" s="26" t="str">
        <f aca="false">IF($A2411="","",U2411*AB2411/100)</f>
        <v/>
      </c>
      <c r="X2411" s="26" t="str">
        <f aca="false">IF($A2411="","",U2411-W2411)</f>
        <v/>
      </c>
      <c r="Y2411" s="26" t="str">
        <f aca="false">IF($A2411="","",U2411-W2411-M2411)</f>
        <v/>
      </c>
      <c r="AB2411" s="27" t="str">
        <f aca="false">IF($A2411="","",IF($AK2411=1,'كشف المطالبة'!$D$5,'كشف المطالبة'!$D$6)*100)</f>
        <v/>
      </c>
      <c r="AK2411" s="28" t="str">
        <f aca="false">IF($A2411="","",IF(OR($Q2411=TRUE(),$Q2411="TRUE"),1,0))</f>
        <v/>
      </c>
      <c r="AL2411" s="28" t="str">
        <f aca="false">IF($N2411="","",IF(MATCH($N2411,$N$2:$N$3001,0)=ROWS($N$2:$N2411),$N2411,""))</f>
        <v/>
      </c>
    </row>
    <row r="2412" customFormat="false" ht="15" hidden="false" customHeight="false" outlineLevel="0" collapsed="false">
      <c r="E2412" s="25"/>
      <c r="M2412" s="26" t="str">
        <f aca="false">IF($A2412="","",$L2412*$U2412/100)</f>
        <v/>
      </c>
      <c r="W2412" s="26" t="str">
        <f aca="false">IF($A2412="","",U2412*AB2412/100)</f>
        <v/>
      </c>
      <c r="X2412" s="26" t="str">
        <f aca="false">IF($A2412="","",U2412-W2412)</f>
        <v/>
      </c>
      <c r="Y2412" s="26" t="str">
        <f aca="false">IF($A2412="","",U2412-W2412-M2412)</f>
        <v/>
      </c>
      <c r="AB2412" s="27" t="str">
        <f aca="false">IF($A2412="","",IF($AK2412=1,'كشف المطالبة'!$D$5,'كشف المطالبة'!$D$6)*100)</f>
        <v/>
      </c>
      <c r="AK2412" s="28" t="str">
        <f aca="false">IF($A2412="","",IF(OR($Q2412=TRUE(),$Q2412="TRUE"),1,0))</f>
        <v/>
      </c>
      <c r="AL2412" s="28" t="str">
        <f aca="false">IF($N2412="","",IF(MATCH($N2412,$N$2:$N$3001,0)=ROWS($N$2:$N2412),$N2412,""))</f>
        <v/>
      </c>
    </row>
    <row r="2413" customFormat="false" ht="15" hidden="false" customHeight="false" outlineLevel="0" collapsed="false">
      <c r="E2413" s="25"/>
      <c r="M2413" s="26" t="str">
        <f aca="false">IF($A2413="","",$L2413*$U2413/100)</f>
        <v/>
      </c>
      <c r="W2413" s="26" t="str">
        <f aca="false">IF($A2413="","",U2413*AB2413/100)</f>
        <v/>
      </c>
      <c r="X2413" s="26" t="str">
        <f aca="false">IF($A2413="","",U2413-W2413)</f>
        <v/>
      </c>
      <c r="Y2413" s="26" t="str">
        <f aca="false">IF($A2413="","",U2413-W2413-M2413)</f>
        <v/>
      </c>
      <c r="AB2413" s="27" t="str">
        <f aca="false">IF($A2413="","",IF($AK2413=1,'كشف المطالبة'!$D$5,'كشف المطالبة'!$D$6)*100)</f>
        <v/>
      </c>
      <c r="AK2413" s="28" t="str">
        <f aca="false">IF($A2413="","",IF(OR($Q2413=TRUE(),$Q2413="TRUE"),1,0))</f>
        <v/>
      </c>
      <c r="AL2413" s="28" t="str">
        <f aca="false">IF($N2413="","",IF(MATCH($N2413,$N$2:$N$3001,0)=ROWS($N$2:$N2413),$N2413,""))</f>
        <v/>
      </c>
    </row>
    <row r="2414" customFormat="false" ht="15" hidden="false" customHeight="false" outlineLevel="0" collapsed="false">
      <c r="E2414" s="25"/>
      <c r="M2414" s="26" t="str">
        <f aca="false">IF($A2414="","",$L2414*$U2414/100)</f>
        <v/>
      </c>
      <c r="W2414" s="26" t="str">
        <f aca="false">IF($A2414="","",U2414*AB2414/100)</f>
        <v/>
      </c>
      <c r="X2414" s="26" t="str">
        <f aca="false">IF($A2414="","",U2414-W2414)</f>
        <v/>
      </c>
      <c r="Y2414" s="26" t="str">
        <f aca="false">IF($A2414="","",U2414-W2414-M2414)</f>
        <v/>
      </c>
      <c r="AB2414" s="27" t="str">
        <f aca="false">IF($A2414="","",IF($AK2414=1,'كشف المطالبة'!$D$5,'كشف المطالبة'!$D$6)*100)</f>
        <v/>
      </c>
      <c r="AK2414" s="28" t="str">
        <f aca="false">IF($A2414="","",IF(OR($Q2414=TRUE(),$Q2414="TRUE"),1,0))</f>
        <v/>
      </c>
      <c r="AL2414" s="28" t="str">
        <f aca="false">IF($N2414="","",IF(MATCH($N2414,$N$2:$N$3001,0)=ROWS($N$2:$N2414),$N2414,""))</f>
        <v/>
      </c>
    </row>
    <row r="2415" customFormat="false" ht="15" hidden="false" customHeight="false" outlineLevel="0" collapsed="false">
      <c r="E2415" s="25"/>
      <c r="M2415" s="26" t="str">
        <f aca="false">IF($A2415="","",$L2415*$U2415/100)</f>
        <v/>
      </c>
      <c r="W2415" s="26" t="str">
        <f aca="false">IF($A2415="","",U2415*AB2415/100)</f>
        <v/>
      </c>
      <c r="X2415" s="26" t="str">
        <f aca="false">IF($A2415="","",U2415-W2415)</f>
        <v/>
      </c>
      <c r="Y2415" s="26" t="str">
        <f aca="false">IF($A2415="","",U2415-W2415-M2415)</f>
        <v/>
      </c>
      <c r="AB2415" s="27" t="str">
        <f aca="false">IF($A2415="","",IF($AK2415=1,'كشف المطالبة'!$D$5,'كشف المطالبة'!$D$6)*100)</f>
        <v/>
      </c>
      <c r="AK2415" s="28" t="str">
        <f aca="false">IF($A2415="","",IF(OR($Q2415=TRUE(),$Q2415="TRUE"),1,0))</f>
        <v/>
      </c>
      <c r="AL2415" s="28" t="str">
        <f aca="false">IF($N2415="","",IF(MATCH($N2415,$N$2:$N$3001,0)=ROWS($N$2:$N2415),$N2415,""))</f>
        <v/>
      </c>
    </row>
    <row r="2416" customFormat="false" ht="15" hidden="false" customHeight="false" outlineLevel="0" collapsed="false">
      <c r="E2416" s="25"/>
      <c r="M2416" s="26" t="str">
        <f aca="false">IF($A2416="","",$L2416*$U2416/100)</f>
        <v/>
      </c>
      <c r="W2416" s="26" t="str">
        <f aca="false">IF($A2416="","",U2416*AB2416/100)</f>
        <v/>
      </c>
      <c r="X2416" s="26" t="str">
        <f aca="false">IF($A2416="","",U2416-W2416)</f>
        <v/>
      </c>
      <c r="Y2416" s="26" t="str">
        <f aca="false">IF($A2416="","",U2416-W2416-M2416)</f>
        <v/>
      </c>
      <c r="AB2416" s="27" t="str">
        <f aca="false">IF($A2416="","",IF($AK2416=1,'كشف المطالبة'!$D$5,'كشف المطالبة'!$D$6)*100)</f>
        <v/>
      </c>
      <c r="AK2416" s="28" t="str">
        <f aca="false">IF($A2416="","",IF(OR($Q2416=TRUE(),$Q2416="TRUE"),1,0))</f>
        <v/>
      </c>
      <c r="AL2416" s="28" t="str">
        <f aca="false">IF($N2416="","",IF(MATCH($N2416,$N$2:$N$3001,0)=ROWS($N$2:$N2416),$N2416,""))</f>
        <v/>
      </c>
    </row>
    <row r="2417" customFormat="false" ht="15" hidden="false" customHeight="false" outlineLevel="0" collapsed="false">
      <c r="E2417" s="25"/>
      <c r="M2417" s="26" t="str">
        <f aca="false">IF($A2417="","",$L2417*$U2417/100)</f>
        <v/>
      </c>
      <c r="W2417" s="26" t="str">
        <f aca="false">IF($A2417="","",U2417*AB2417/100)</f>
        <v/>
      </c>
      <c r="X2417" s="26" t="str">
        <f aca="false">IF($A2417="","",U2417-W2417)</f>
        <v/>
      </c>
      <c r="Y2417" s="26" t="str">
        <f aca="false">IF($A2417="","",U2417-W2417-M2417)</f>
        <v/>
      </c>
      <c r="AB2417" s="27" t="str">
        <f aca="false">IF($A2417="","",IF($AK2417=1,'كشف المطالبة'!$D$5,'كشف المطالبة'!$D$6)*100)</f>
        <v/>
      </c>
      <c r="AK2417" s="28" t="str">
        <f aca="false">IF($A2417="","",IF(OR($Q2417=TRUE(),$Q2417="TRUE"),1,0))</f>
        <v/>
      </c>
      <c r="AL2417" s="28" t="str">
        <f aca="false">IF($N2417="","",IF(MATCH($N2417,$N$2:$N$3001,0)=ROWS($N$2:$N2417),$N2417,""))</f>
        <v/>
      </c>
    </row>
    <row r="2418" customFormat="false" ht="15" hidden="false" customHeight="false" outlineLevel="0" collapsed="false">
      <c r="E2418" s="25"/>
      <c r="M2418" s="26" t="str">
        <f aca="false">IF($A2418="","",$L2418*$U2418/100)</f>
        <v/>
      </c>
      <c r="W2418" s="26" t="str">
        <f aca="false">IF($A2418="","",U2418*AB2418/100)</f>
        <v/>
      </c>
      <c r="X2418" s="26" t="str">
        <f aca="false">IF($A2418="","",U2418-W2418)</f>
        <v/>
      </c>
      <c r="Y2418" s="26" t="str">
        <f aca="false">IF($A2418="","",U2418-W2418-M2418)</f>
        <v/>
      </c>
      <c r="AB2418" s="27" t="str">
        <f aca="false">IF($A2418="","",IF($AK2418=1,'كشف المطالبة'!$D$5,'كشف المطالبة'!$D$6)*100)</f>
        <v/>
      </c>
      <c r="AK2418" s="28" t="str">
        <f aca="false">IF($A2418="","",IF(OR($Q2418=TRUE(),$Q2418="TRUE"),1,0))</f>
        <v/>
      </c>
      <c r="AL2418" s="28" t="str">
        <f aca="false">IF($N2418="","",IF(MATCH($N2418,$N$2:$N$3001,0)=ROWS($N$2:$N2418),$N2418,""))</f>
        <v/>
      </c>
    </row>
    <row r="2419" customFormat="false" ht="15" hidden="false" customHeight="false" outlineLevel="0" collapsed="false">
      <c r="E2419" s="25"/>
      <c r="M2419" s="26" t="str">
        <f aca="false">IF($A2419="","",$L2419*$U2419/100)</f>
        <v/>
      </c>
      <c r="W2419" s="26" t="str">
        <f aca="false">IF($A2419="","",U2419*AB2419/100)</f>
        <v/>
      </c>
      <c r="X2419" s="26" t="str">
        <f aca="false">IF($A2419="","",U2419-W2419)</f>
        <v/>
      </c>
      <c r="Y2419" s="26" t="str">
        <f aca="false">IF($A2419="","",U2419-W2419-M2419)</f>
        <v/>
      </c>
      <c r="AB2419" s="27" t="str">
        <f aca="false">IF($A2419="","",IF($AK2419=1,'كشف المطالبة'!$D$5,'كشف المطالبة'!$D$6)*100)</f>
        <v/>
      </c>
      <c r="AK2419" s="28" t="str">
        <f aca="false">IF($A2419="","",IF(OR($Q2419=TRUE(),$Q2419="TRUE"),1,0))</f>
        <v/>
      </c>
      <c r="AL2419" s="28" t="str">
        <f aca="false">IF($N2419="","",IF(MATCH($N2419,$N$2:$N$3001,0)=ROWS($N$2:$N2419),$N2419,""))</f>
        <v/>
      </c>
    </row>
    <row r="2420" customFormat="false" ht="15" hidden="false" customHeight="false" outlineLevel="0" collapsed="false">
      <c r="E2420" s="25"/>
      <c r="M2420" s="26" t="str">
        <f aca="false">IF($A2420="","",$L2420*$U2420/100)</f>
        <v/>
      </c>
      <c r="W2420" s="26" t="str">
        <f aca="false">IF($A2420="","",U2420*AB2420/100)</f>
        <v/>
      </c>
      <c r="X2420" s="26" t="str">
        <f aca="false">IF($A2420="","",U2420-W2420)</f>
        <v/>
      </c>
      <c r="Y2420" s="26" t="str">
        <f aca="false">IF($A2420="","",U2420-W2420-M2420)</f>
        <v/>
      </c>
      <c r="AB2420" s="27" t="str">
        <f aca="false">IF($A2420="","",IF($AK2420=1,'كشف المطالبة'!$D$5,'كشف المطالبة'!$D$6)*100)</f>
        <v/>
      </c>
      <c r="AK2420" s="28" t="str">
        <f aca="false">IF($A2420="","",IF(OR($Q2420=TRUE(),$Q2420="TRUE"),1,0))</f>
        <v/>
      </c>
      <c r="AL2420" s="28" t="str">
        <f aca="false">IF($N2420="","",IF(MATCH($N2420,$N$2:$N$3001,0)=ROWS($N$2:$N2420),$N2420,""))</f>
        <v/>
      </c>
    </row>
    <row r="2421" customFormat="false" ht="15" hidden="false" customHeight="false" outlineLevel="0" collapsed="false">
      <c r="E2421" s="25"/>
      <c r="M2421" s="26" t="str">
        <f aca="false">IF($A2421="","",$L2421*$U2421/100)</f>
        <v/>
      </c>
      <c r="W2421" s="26" t="str">
        <f aca="false">IF($A2421="","",U2421*AB2421/100)</f>
        <v/>
      </c>
      <c r="X2421" s="26" t="str">
        <f aca="false">IF($A2421="","",U2421-W2421)</f>
        <v/>
      </c>
      <c r="Y2421" s="26" t="str">
        <f aca="false">IF($A2421="","",U2421-W2421-M2421)</f>
        <v/>
      </c>
      <c r="AB2421" s="27" t="str">
        <f aca="false">IF($A2421="","",IF($AK2421=1,'كشف المطالبة'!$D$5,'كشف المطالبة'!$D$6)*100)</f>
        <v/>
      </c>
      <c r="AK2421" s="28" t="str">
        <f aca="false">IF($A2421="","",IF(OR($Q2421=TRUE(),$Q2421="TRUE"),1,0))</f>
        <v/>
      </c>
      <c r="AL2421" s="28" t="str">
        <f aca="false">IF($N2421="","",IF(MATCH($N2421,$N$2:$N$3001,0)=ROWS($N$2:$N2421),$N2421,""))</f>
        <v/>
      </c>
    </row>
    <row r="2422" customFormat="false" ht="15" hidden="false" customHeight="false" outlineLevel="0" collapsed="false">
      <c r="E2422" s="25"/>
      <c r="M2422" s="26" t="str">
        <f aca="false">IF($A2422="","",$L2422*$U2422/100)</f>
        <v/>
      </c>
      <c r="W2422" s="26" t="str">
        <f aca="false">IF($A2422="","",U2422*AB2422/100)</f>
        <v/>
      </c>
      <c r="X2422" s="26" t="str">
        <f aca="false">IF($A2422="","",U2422-W2422)</f>
        <v/>
      </c>
      <c r="Y2422" s="26" t="str">
        <f aca="false">IF($A2422="","",U2422-W2422-M2422)</f>
        <v/>
      </c>
      <c r="AB2422" s="27" t="str">
        <f aca="false">IF($A2422="","",IF($AK2422=1,'كشف المطالبة'!$D$5,'كشف المطالبة'!$D$6)*100)</f>
        <v/>
      </c>
      <c r="AK2422" s="28" t="str">
        <f aca="false">IF($A2422="","",IF(OR($Q2422=TRUE(),$Q2422="TRUE"),1,0))</f>
        <v/>
      </c>
      <c r="AL2422" s="28" t="str">
        <f aca="false">IF($N2422="","",IF(MATCH($N2422,$N$2:$N$3001,0)=ROWS($N$2:$N2422),$N2422,""))</f>
        <v/>
      </c>
    </row>
    <row r="2423" customFormat="false" ht="15" hidden="false" customHeight="false" outlineLevel="0" collapsed="false">
      <c r="E2423" s="25"/>
      <c r="M2423" s="26" t="str">
        <f aca="false">IF($A2423="","",$L2423*$U2423/100)</f>
        <v/>
      </c>
      <c r="W2423" s="26" t="str">
        <f aca="false">IF($A2423="","",U2423*AB2423/100)</f>
        <v/>
      </c>
      <c r="X2423" s="26" t="str">
        <f aca="false">IF($A2423="","",U2423-W2423)</f>
        <v/>
      </c>
      <c r="Y2423" s="26" t="str">
        <f aca="false">IF($A2423="","",U2423-W2423-M2423)</f>
        <v/>
      </c>
      <c r="AB2423" s="27" t="str">
        <f aca="false">IF($A2423="","",IF($AK2423=1,'كشف المطالبة'!$D$5,'كشف المطالبة'!$D$6)*100)</f>
        <v/>
      </c>
      <c r="AK2423" s="28" t="str">
        <f aca="false">IF($A2423="","",IF(OR($Q2423=TRUE(),$Q2423="TRUE"),1,0))</f>
        <v/>
      </c>
      <c r="AL2423" s="28" t="str">
        <f aca="false">IF($N2423="","",IF(MATCH($N2423,$N$2:$N$3001,0)=ROWS($N$2:$N2423),$N2423,""))</f>
        <v/>
      </c>
    </row>
    <row r="2424" customFormat="false" ht="15" hidden="false" customHeight="false" outlineLevel="0" collapsed="false">
      <c r="E2424" s="25"/>
      <c r="M2424" s="26" t="str">
        <f aca="false">IF($A2424="","",$L2424*$U2424/100)</f>
        <v/>
      </c>
      <c r="W2424" s="26" t="str">
        <f aca="false">IF($A2424="","",U2424*AB2424/100)</f>
        <v/>
      </c>
      <c r="X2424" s="26" t="str">
        <f aca="false">IF($A2424="","",U2424-W2424)</f>
        <v/>
      </c>
      <c r="Y2424" s="26" t="str">
        <f aca="false">IF($A2424="","",U2424-W2424-M2424)</f>
        <v/>
      </c>
      <c r="AB2424" s="27" t="str">
        <f aca="false">IF($A2424="","",IF($AK2424=1,'كشف المطالبة'!$D$5,'كشف المطالبة'!$D$6)*100)</f>
        <v/>
      </c>
      <c r="AK2424" s="28" t="str">
        <f aca="false">IF($A2424="","",IF(OR($Q2424=TRUE(),$Q2424="TRUE"),1,0))</f>
        <v/>
      </c>
      <c r="AL2424" s="28" t="str">
        <f aca="false">IF($N2424="","",IF(MATCH($N2424,$N$2:$N$3001,0)=ROWS($N$2:$N2424),$N2424,""))</f>
        <v/>
      </c>
    </row>
    <row r="2425" customFormat="false" ht="15" hidden="false" customHeight="false" outlineLevel="0" collapsed="false">
      <c r="E2425" s="25"/>
      <c r="M2425" s="26" t="str">
        <f aca="false">IF($A2425="","",$L2425*$U2425/100)</f>
        <v/>
      </c>
      <c r="W2425" s="26" t="str">
        <f aca="false">IF($A2425="","",U2425*AB2425/100)</f>
        <v/>
      </c>
      <c r="X2425" s="26" t="str">
        <f aca="false">IF($A2425="","",U2425-W2425)</f>
        <v/>
      </c>
      <c r="Y2425" s="26" t="str">
        <f aca="false">IF($A2425="","",U2425-W2425-M2425)</f>
        <v/>
      </c>
      <c r="AB2425" s="27" t="str">
        <f aca="false">IF($A2425="","",IF($AK2425=1,'كشف المطالبة'!$D$5,'كشف المطالبة'!$D$6)*100)</f>
        <v/>
      </c>
      <c r="AK2425" s="28" t="str">
        <f aca="false">IF($A2425="","",IF(OR($Q2425=TRUE(),$Q2425="TRUE"),1,0))</f>
        <v/>
      </c>
      <c r="AL2425" s="28" t="str">
        <f aca="false">IF($N2425="","",IF(MATCH($N2425,$N$2:$N$3001,0)=ROWS($N$2:$N2425),$N2425,""))</f>
        <v/>
      </c>
    </row>
    <row r="2426" customFormat="false" ht="15" hidden="false" customHeight="false" outlineLevel="0" collapsed="false">
      <c r="E2426" s="25"/>
      <c r="M2426" s="26" t="str">
        <f aca="false">IF($A2426="","",$L2426*$U2426/100)</f>
        <v/>
      </c>
      <c r="W2426" s="26" t="str">
        <f aca="false">IF($A2426="","",U2426*AB2426/100)</f>
        <v/>
      </c>
      <c r="X2426" s="26" t="str">
        <f aca="false">IF($A2426="","",U2426-W2426)</f>
        <v/>
      </c>
      <c r="Y2426" s="26" t="str">
        <f aca="false">IF($A2426="","",U2426-W2426-M2426)</f>
        <v/>
      </c>
      <c r="AB2426" s="27" t="str">
        <f aca="false">IF($A2426="","",IF($AK2426=1,'كشف المطالبة'!$D$5,'كشف المطالبة'!$D$6)*100)</f>
        <v/>
      </c>
      <c r="AK2426" s="28" t="str">
        <f aca="false">IF($A2426="","",IF(OR($Q2426=TRUE(),$Q2426="TRUE"),1,0))</f>
        <v/>
      </c>
      <c r="AL2426" s="28" t="str">
        <f aca="false">IF($N2426="","",IF(MATCH($N2426,$N$2:$N$3001,0)=ROWS($N$2:$N2426),$N2426,""))</f>
        <v/>
      </c>
    </row>
    <row r="2427" customFormat="false" ht="15" hidden="false" customHeight="false" outlineLevel="0" collapsed="false">
      <c r="E2427" s="25"/>
      <c r="M2427" s="26" t="str">
        <f aca="false">IF($A2427="","",$L2427*$U2427/100)</f>
        <v/>
      </c>
      <c r="W2427" s="26" t="str">
        <f aca="false">IF($A2427="","",U2427*AB2427/100)</f>
        <v/>
      </c>
      <c r="X2427" s="26" t="str">
        <f aca="false">IF($A2427="","",U2427-W2427)</f>
        <v/>
      </c>
      <c r="Y2427" s="26" t="str">
        <f aca="false">IF($A2427="","",U2427-W2427-M2427)</f>
        <v/>
      </c>
      <c r="AB2427" s="27" t="str">
        <f aca="false">IF($A2427="","",IF($AK2427=1,'كشف المطالبة'!$D$5,'كشف المطالبة'!$D$6)*100)</f>
        <v/>
      </c>
      <c r="AK2427" s="28" t="str">
        <f aca="false">IF($A2427="","",IF(OR($Q2427=TRUE(),$Q2427="TRUE"),1,0))</f>
        <v/>
      </c>
      <c r="AL2427" s="28" t="str">
        <f aca="false">IF($N2427="","",IF(MATCH($N2427,$N$2:$N$3001,0)=ROWS($N$2:$N2427),$N2427,""))</f>
        <v/>
      </c>
    </row>
    <row r="2428" customFormat="false" ht="15" hidden="false" customHeight="false" outlineLevel="0" collapsed="false">
      <c r="E2428" s="25"/>
      <c r="M2428" s="26" t="str">
        <f aca="false">IF($A2428="","",$L2428*$U2428/100)</f>
        <v/>
      </c>
      <c r="W2428" s="26" t="str">
        <f aca="false">IF($A2428="","",U2428*AB2428/100)</f>
        <v/>
      </c>
      <c r="X2428" s="26" t="str">
        <f aca="false">IF($A2428="","",U2428-W2428)</f>
        <v/>
      </c>
      <c r="Y2428" s="26" t="str">
        <f aca="false">IF($A2428="","",U2428-W2428-M2428)</f>
        <v/>
      </c>
      <c r="AB2428" s="27" t="str">
        <f aca="false">IF($A2428="","",IF($AK2428=1,'كشف المطالبة'!$D$5,'كشف المطالبة'!$D$6)*100)</f>
        <v/>
      </c>
      <c r="AK2428" s="28" t="str">
        <f aca="false">IF($A2428="","",IF(OR($Q2428=TRUE(),$Q2428="TRUE"),1,0))</f>
        <v/>
      </c>
      <c r="AL2428" s="28" t="str">
        <f aca="false">IF($N2428="","",IF(MATCH($N2428,$N$2:$N$3001,0)=ROWS($N$2:$N2428),$N2428,""))</f>
        <v/>
      </c>
    </row>
    <row r="2429" customFormat="false" ht="15" hidden="false" customHeight="false" outlineLevel="0" collapsed="false">
      <c r="E2429" s="25"/>
      <c r="M2429" s="26" t="str">
        <f aca="false">IF($A2429="","",$L2429*$U2429/100)</f>
        <v/>
      </c>
      <c r="W2429" s="26" t="str">
        <f aca="false">IF($A2429="","",U2429*AB2429/100)</f>
        <v/>
      </c>
      <c r="X2429" s="26" t="str">
        <f aca="false">IF($A2429="","",U2429-W2429)</f>
        <v/>
      </c>
      <c r="Y2429" s="26" t="str">
        <f aca="false">IF($A2429="","",U2429-W2429-M2429)</f>
        <v/>
      </c>
      <c r="AB2429" s="27" t="str">
        <f aca="false">IF($A2429="","",IF($AK2429=1,'كشف المطالبة'!$D$5,'كشف المطالبة'!$D$6)*100)</f>
        <v/>
      </c>
      <c r="AK2429" s="28" t="str">
        <f aca="false">IF($A2429="","",IF(OR($Q2429=TRUE(),$Q2429="TRUE"),1,0))</f>
        <v/>
      </c>
      <c r="AL2429" s="28" t="str">
        <f aca="false">IF($N2429="","",IF(MATCH($N2429,$N$2:$N$3001,0)=ROWS($N$2:$N2429),$N2429,""))</f>
        <v/>
      </c>
    </row>
    <row r="2430" customFormat="false" ht="15" hidden="false" customHeight="false" outlineLevel="0" collapsed="false">
      <c r="E2430" s="25"/>
      <c r="M2430" s="26" t="str">
        <f aca="false">IF($A2430="","",$L2430*$U2430/100)</f>
        <v/>
      </c>
      <c r="W2430" s="26" t="str">
        <f aca="false">IF($A2430="","",U2430*AB2430/100)</f>
        <v/>
      </c>
      <c r="X2430" s="26" t="str">
        <f aca="false">IF($A2430="","",U2430-W2430)</f>
        <v/>
      </c>
      <c r="Y2430" s="26" t="str">
        <f aca="false">IF($A2430="","",U2430-W2430-M2430)</f>
        <v/>
      </c>
      <c r="AB2430" s="27" t="str">
        <f aca="false">IF($A2430="","",IF($AK2430=1,'كشف المطالبة'!$D$5,'كشف المطالبة'!$D$6)*100)</f>
        <v/>
      </c>
      <c r="AK2430" s="28" t="str">
        <f aca="false">IF($A2430="","",IF(OR($Q2430=TRUE(),$Q2430="TRUE"),1,0))</f>
        <v/>
      </c>
      <c r="AL2430" s="28" t="str">
        <f aca="false">IF($N2430="","",IF(MATCH($N2430,$N$2:$N$3001,0)=ROWS($N$2:$N2430),$N2430,""))</f>
        <v/>
      </c>
    </row>
    <row r="2431" customFormat="false" ht="15" hidden="false" customHeight="false" outlineLevel="0" collapsed="false">
      <c r="E2431" s="25"/>
      <c r="M2431" s="26" t="str">
        <f aca="false">IF($A2431="","",$L2431*$U2431/100)</f>
        <v/>
      </c>
      <c r="W2431" s="26" t="str">
        <f aca="false">IF($A2431="","",U2431*AB2431/100)</f>
        <v/>
      </c>
      <c r="X2431" s="26" t="str">
        <f aca="false">IF($A2431="","",U2431-W2431)</f>
        <v/>
      </c>
      <c r="Y2431" s="26" t="str">
        <f aca="false">IF($A2431="","",U2431-W2431-M2431)</f>
        <v/>
      </c>
      <c r="AB2431" s="27" t="str">
        <f aca="false">IF($A2431="","",IF($AK2431=1,'كشف المطالبة'!$D$5,'كشف المطالبة'!$D$6)*100)</f>
        <v/>
      </c>
      <c r="AK2431" s="28" t="str">
        <f aca="false">IF($A2431="","",IF(OR($Q2431=TRUE(),$Q2431="TRUE"),1,0))</f>
        <v/>
      </c>
      <c r="AL2431" s="28" t="str">
        <f aca="false">IF($N2431="","",IF(MATCH($N2431,$N$2:$N$3001,0)=ROWS($N$2:$N2431),$N2431,""))</f>
        <v/>
      </c>
    </row>
    <row r="2432" customFormat="false" ht="15" hidden="false" customHeight="false" outlineLevel="0" collapsed="false">
      <c r="E2432" s="25"/>
      <c r="M2432" s="26" t="str">
        <f aca="false">IF($A2432="","",$L2432*$U2432/100)</f>
        <v/>
      </c>
      <c r="W2432" s="26" t="str">
        <f aca="false">IF($A2432="","",U2432*AB2432/100)</f>
        <v/>
      </c>
      <c r="X2432" s="26" t="str">
        <f aca="false">IF($A2432="","",U2432-W2432)</f>
        <v/>
      </c>
      <c r="Y2432" s="26" t="str">
        <f aca="false">IF($A2432="","",U2432-W2432-M2432)</f>
        <v/>
      </c>
      <c r="AB2432" s="27" t="str">
        <f aca="false">IF($A2432="","",IF($AK2432=1,'كشف المطالبة'!$D$5,'كشف المطالبة'!$D$6)*100)</f>
        <v/>
      </c>
      <c r="AK2432" s="28" t="str">
        <f aca="false">IF($A2432="","",IF(OR($Q2432=TRUE(),$Q2432="TRUE"),1,0))</f>
        <v/>
      </c>
      <c r="AL2432" s="28" t="str">
        <f aca="false">IF($N2432="","",IF(MATCH($N2432,$N$2:$N$3001,0)=ROWS($N$2:$N2432),$N2432,""))</f>
        <v/>
      </c>
    </row>
    <row r="2433" customFormat="false" ht="15" hidden="false" customHeight="false" outlineLevel="0" collapsed="false">
      <c r="E2433" s="25"/>
      <c r="M2433" s="26" t="str">
        <f aca="false">IF($A2433="","",$L2433*$U2433/100)</f>
        <v/>
      </c>
      <c r="W2433" s="26" t="str">
        <f aca="false">IF($A2433="","",U2433*AB2433/100)</f>
        <v/>
      </c>
      <c r="X2433" s="26" t="str">
        <f aca="false">IF($A2433="","",U2433-W2433)</f>
        <v/>
      </c>
      <c r="Y2433" s="26" t="str">
        <f aca="false">IF($A2433="","",U2433-W2433-M2433)</f>
        <v/>
      </c>
      <c r="AB2433" s="27" t="str">
        <f aca="false">IF($A2433="","",IF($AK2433=1,'كشف المطالبة'!$D$5,'كشف المطالبة'!$D$6)*100)</f>
        <v/>
      </c>
      <c r="AK2433" s="28" t="str">
        <f aca="false">IF($A2433="","",IF(OR($Q2433=TRUE(),$Q2433="TRUE"),1,0))</f>
        <v/>
      </c>
      <c r="AL2433" s="28" t="str">
        <f aca="false">IF($N2433="","",IF(MATCH($N2433,$N$2:$N$3001,0)=ROWS($N$2:$N2433),$N2433,""))</f>
        <v/>
      </c>
    </row>
    <row r="2434" customFormat="false" ht="15" hidden="false" customHeight="false" outlineLevel="0" collapsed="false">
      <c r="E2434" s="25"/>
      <c r="M2434" s="26" t="str">
        <f aca="false">IF($A2434="","",$L2434*$U2434/100)</f>
        <v/>
      </c>
      <c r="W2434" s="26" t="str">
        <f aca="false">IF($A2434="","",U2434*AB2434/100)</f>
        <v/>
      </c>
      <c r="X2434" s="26" t="str">
        <f aca="false">IF($A2434="","",U2434-W2434)</f>
        <v/>
      </c>
      <c r="Y2434" s="26" t="str">
        <f aca="false">IF($A2434="","",U2434-W2434-M2434)</f>
        <v/>
      </c>
      <c r="AB2434" s="27" t="str">
        <f aca="false">IF($A2434="","",IF($AK2434=1,'كشف المطالبة'!$D$5,'كشف المطالبة'!$D$6)*100)</f>
        <v/>
      </c>
      <c r="AK2434" s="28" t="str">
        <f aca="false">IF($A2434="","",IF(OR($Q2434=TRUE(),$Q2434="TRUE"),1,0))</f>
        <v/>
      </c>
      <c r="AL2434" s="28" t="str">
        <f aca="false">IF($N2434="","",IF(MATCH($N2434,$N$2:$N$3001,0)=ROWS($N$2:$N2434),$N2434,""))</f>
        <v/>
      </c>
    </row>
    <row r="2435" customFormat="false" ht="15" hidden="false" customHeight="false" outlineLevel="0" collapsed="false">
      <c r="E2435" s="25"/>
      <c r="M2435" s="26" t="str">
        <f aca="false">IF($A2435="","",$L2435*$U2435/100)</f>
        <v/>
      </c>
      <c r="W2435" s="26" t="str">
        <f aca="false">IF($A2435="","",U2435*AB2435/100)</f>
        <v/>
      </c>
      <c r="X2435" s="26" t="str">
        <f aca="false">IF($A2435="","",U2435-W2435)</f>
        <v/>
      </c>
      <c r="Y2435" s="26" t="str">
        <f aca="false">IF($A2435="","",U2435-W2435-M2435)</f>
        <v/>
      </c>
      <c r="AB2435" s="27" t="str">
        <f aca="false">IF($A2435="","",IF($AK2435=1,'كشف المطالبة'!$D$5,'كشف المطالبة'!$D$6)*100)</f>
        <v/>
      </c>
      <c r="AK2435" s="28" t="str">
        <f aca="false">IF($A2435="","",IF(OR($Q2435=TRUE(),$Q2435="TRUE"),1,0))</f>
        <v/>
      </c>
      <c r="AL2435" s="28" t="str">
        <f aca="false">IF($N2435="","",IF(MATCH($N2435,$N$2:$N$3001,0)=ROWS($N$2:$N2435),$N2435,""))</f>
        <v/>
      </c>
    </row>
    <row r="2436" customFormat="false" ht="15" hidden="false" customHeight="false" outlineLevel="0" collapsed="false">
      <c r="E2436" s="25"/>
      <c r="M2436" s="26" t="str">
        <f aca="false">IF($A2436="","",$L2436*$U2436/100)</f>
        <v/>
      </c>
      <c r="W2436" s="26" t="str">
        <f aca="false">IF($A2436="","",U2436*AB2436/100)</f>
        <v/>
      </c>
      <c r="X2436" s="26" t="str">
        <f aca="false">IF($A2436="","",U2436-W2436)</f>
        <v/>
      </c>
      <c r="Y2436" s="26" t="str">
        <f aca="false">IF($A2436="","",U2436-W2436-M2436)</f>
        <v/>
      </c>
      <c r="AB2436" s="27" t="str">
        <f aca="false">IF($A2436="","",IF($AK2436=1,'كشف المطالبة'!$D$5,'كشف المطالبة'!$D$6)*100)</f>
        <v/>
      </c>
      <c r="AK2436" s="28" t="str">
        <f aca="false">IF($A2436="","",IF(OR($Q2436=TRUE(),$Q2436="TRUE"),1,0))</f>
        <v/>
      </c>
      <c r="AL2436" s="28" t="str">
        <f aca="false">IF($N2436="","",IF(MATCH($N2436,$N$2:$N$3001,0)=ROWS($N$2:$N2436),$N2436,""))</f>
        <v/>
      </c>
    </row>
    <row r="2437" customFormat="false" ht="15" hidden="false" customHeight="false" outlineLevel="0" collapsed="false">
      <c r="E2437" s="25"/>
      <c r="M2437" s="26" t="str">
        <f aca="false">IF($A2437="","",$L2437*$U2437/100)</f>
        <v/>
      </c>
      <c r="W2437" s="26" t="str">
        <f aca="false">IF($A2437="","",U2437*AB2437/100)</f>
        <v/>
      </c>
      <c r="X2437" s="26" t="str">
        <f aca="false">IF($A2437="","",U2437-W2437)</f>
        <v/>
      </c>
      <c r="Y2437" s="26" t="str">
        <f aca="false">IF($A2437="","",U2437-W2437-M2437)</f>
        <v/>
      </c>
      <c r="AB2437" s="27" t="str">
        <f aca="false">IF($A2437="","",IF($AK2437=1,'كشف المطالبة'!$D$5,'كشف المطالبة'!$D$6)*100)</f>
        <v/>
      </c>
      <c r="AK2437" s="28" t="str">
        <f aca="false">IF($A2437="","",IF(OR($Q2437=TRUE(),$Q2437="TRUE"),1,0))</f>
        <v/>
      </c>
      <c r="AL2437" s="28" t="str">
        <f aca="false">IF($N2437="","",IF(MATCH($N2437,$N$2:$N$3001,0)=ROWS($N$2:$N2437),$N2437,""))</f>
        <v/>
      </c>
    </row>
    <row r="2438" customFormat="false" ht="15" hidden="false" customHeight="false" outlineLevel="0" collapsed="false">
      <c r="E2438" s="25"/>
      <c r="M2438" s="26" t="str">
        <f aca="false">IF($A2438="","",$L2438*$U2438/100)</f>
        <v/>
      </c>
      <c r="W2438" s="26" t="str">
        <f aca="false">IF($A2438="","",U2438*AB2438/100)</f>
        <v/>
      </c>
      <c r="X2438" s="26" t="str">
        <f aca="false">IF($A2438="","",U2438-W2438)</f>
        <v/>
      </c>
      <c r="Y2438" s="26" t="str">
        <f aca="false">IF($A2438="","",U2438-W2438-M2438)</f>
        <v/>
      </c>
      <c r="AB2438" s="27" t="str">
        <f aca="false">IF($A2438="","",IF($AK2438=1,'كشف المطالبة'!$D$5,'كشف المطالبة'!$D$6)*100)</f>
        <v/>
      </c>
      <c r="AK2438" s="28" t="str">
        <f aca="false">IF($A2438="","",IF(OR($Q2438=TRUE(),$Q2438="TRUE"),1,0))</f>
        <v/>
      </c>
      <c r="AL2438" s="28" t="str">
        <f aca="false">IF($N2438="","",IF(MATCH($N2438,$N$2:$N$3001,0)=ROWS($N$2:$N2438),$N2438,""))</f>
        <v/>
      </c>
    </row>
    <row r="2439" customFormat="false" ht="15" hidden="false" customHeight="false" outlineLevel="0" collapsed="false">
      <c r="E2439" s="25"/>
      <c r="M2439" s="26" t="str">
        <f aca="false">IF($A2439="","",$L2439*$U2439/100)</f>
        <v/>
      </c>
      <c r="W2439" s="26" t="str">
        <f aca="false">IF($A2439="","",U2439*AB2439/100)</f>
        <v/>
      </c>
      <c r="X2439" s="26" t="str">
        <f aca="false">IF($A2439="","",U2439-W2439)</f>
        <v/>
      </c>
      <c r="Y2439" s="26" t="str">
        <f aca="false">IF($A2439="","",U2439-W2439-M2439)</f>
        <v/>
      </c>
      <c r="AB2439" s="27" t="str">
        <f aca="false">IF($A2439="","",IF($AK2439=1,'كشف المطالبة'!$D$5,'كشف المطالبة'!$D$6)*100)</f>
        <v/>
      </c>
      <c r="AK2439" s="28" t="str">
        <f aca="false">IF($A2439="","",IF(OR($Q2439=TRUE(),$Q2439="TRUE"),1,0))</f>
        <v/>
      </c>
      <c r="AL2439" s="28" t="str">
        <f aca="false">IF($N2439="","",IF(MATCH($N2439,$N$2:$N$3001,0)=ROWS($N$2:$N2439),$N2439,""))</f>
        <v/>
      </c>
    </row>
    <row r="2440" customFormat="false" ht="15" hidden="false" customHeight="false" outlineLevel="0" collapsed="false">
      <c r="E2440" s="25"/>
      <c r="M2440" s="26" t="str">
        <f aca="false">IF($A2440="","",$L2440*$U2440/100)</f>
        <v/>
      </c>
      <c r="W2440" s="26" t="str">
        <f aca="false">IF($A2440="","",U2440*AB2440/100)</f>
        <v/>
      </c>
      <c r="X2440" s="26" t="str">
        <f aca="false">IF($A2440="","",U2440-W2440)</f>
        <v/>
      </c>
      <c r="Y2440" s="26" t="str">
        <f aca="false">IF($A2440="","",U2440-W2440-M2440)</f>
        <v/>
      </c>
      <c r="AB2440" s="27" t="str">
        <f aca="false">IF($A2440="","",IF($AK2440=1,'كشف المطالبة'!$D$5,'كشف المطالبة'!$D$6)*100)</f>
        <v/>
      </c>
      <c r="AK2440" s="28" t="str">
        <f aca="false">IF($A2440="","",IF(OR($Q2440=TRUE(),$Q2440="TRUE"),1,0))</f>
        <v/>
      </c>
      <c r="AL2440" s="28" t="str">
        <f aca="false">IF($N2440="","",IF(MATCH($N2440,$N$2:$N$3001,0)=ROWS($N$2:$N2440),$N2440,""))</f>
        <v/>
      </c>
    </row>
    <row r="2441" customFormat="false" ht="15" hidden="false" customHeight="false" outlineLevel="0" collapsed="false">
      <c r="E2441" s="25"/>
      <c r="M2441" s="26" t="str">
        <f aca="false">IF($A2441="","",$L2441*$U2441/100)</f>
        <v/>
      </c>
      <c r="W2441" s="26" t="str">
        <f aca="false">IF($A2441="","",U2441*AB2441/100)</f>
        <v/>
      </c>
      <c r="X2441" s="26" t="str">
        <f aca="false">IF($A2441="","",U2441-W2441)</f>
        <v/>
      </c>
      <c r="Y2441" s="26" t="str">
        <f aca="false">IF($A2441="","",U2441-W2441-M2441)</f>
        <v/>
      </c>
      <c r="AB2441" s="27" t="str">
        <f aca="false">IF($A2441="","",IF($AK2441=1,'كشف المطالبة'!$D$5,'كشف المطالبة'!$D$6)*100)</f>
        <v/>
      </c>
      <c r="AK2441" s="28" t="str">
        <f aca="false">IF($A2441="","",IF(OR($Q2441=TRUE(),$Q2441="TRUE"),1,0))</f>
        <v/>
      </c>
      <c r="AL2441" s="28" t="str">
        <f aca="false">IF($N2441="","",IF(MATCH($N2441,$N$2:$N$3001,0)=ROWS($N$2:$N2441),$N2441,""))</f>
        <v/>
      </c>
    </row>
    <row r="2442" customFormat="false" ht="15" hidden="false" customHeight="false" outlineLevel="0" collapsed="false">
      <c r="E2442" s="25"/>
      <c r="M2442" s="26" t="str">
        <f aca="false">IF($A2442="","",$L2442*$U2442/100)</f>
        <v/>
      </c>
      <c r="W2442" s="26" t="str">
        <f aca="false">IF($A2442="","",U2442*AB2442/100)</f>
        <v/>
      </c>
      <c r="X2442" s="26" t="str">
        <f aca="false">IF($A2442="","",U2442-W2442)</f>
        <v/>
      </c>
      <c r="Y2442" s="26" t="str">
        <f aca="false">IF($A2442="","",U2442-W2442-M2442)</f>
        <v/>
      </c>
      <c r="AB2442" s="27" t="str">
        <f aca="false">IF($A2442="","",IF($AK2442=1,'كشف المطالبة'!$D$5,'كشف المطالبة'!$D$6)*100)</f>
        <v/>
      </c>
      <c r="AK2442" s="28" t="str">
        <f aca="false">IF($A2442="","",IF(OR($Q2442=TRUE(),$Q2442="TRUE"),1,0))</f>
        <v/>
      </c>
      <c r="AL2442" s="28" t="str">
        <f aca="false">IF($N2442="","",IF(MATCH($N2442,$N$2:$N$3001,0)=ROWS($N$2:$N2442),$N2442,""))</f>
        <v/>
      </c>
    </row>
    <row r="2443" customFormat="false" ht="15" hidden="false" customHeight="false" outlineLevel="0" collapsed="false">
      <c r="E2443" s="25"/>
      <c r="M2443" s="26" t="str">
        <f aca="false">IF($A2443="","",$L2443*$U2443/100)</f>
        <v/>
      </c>
      <c r="W2443" s="26" t="str">
        <f aca="false">IF($A2443="","",U2443*AB2443/100)</f>
        <v/>
      </c>
      <c r="X2443" s="26" t="str">
        <f aca="false">IF($A2443="","",U2443-W2443)</f>
        <v/>
      </c>
      <c r="Y2443" s="26" t="str">
        <f aca="false">IF($A2443="","",U2443-W2443-M2443)</f>
        <v/>
      </c>
      <c r="AB2443" s="27" t="str">
        <f aca="false">IF($A2443="","",IF($AK2443=1,'كشف المطالبة'!$D$5,'كشف المطالبة'!$D$6)*100)</f>
        <v/>
      </c>
      <c r="AK2443" s="28" t="str">
        <f aca="false">IF($A2443="","",IF(OR($Q2443=TRUE(),$Q2443="TRUE"),1,0))</f>
        <v/>
      </c>
      <c r="AL2443" s="28" t="str">
        <f aca="false">IF($N2443="","",IF(MATCH($N2443,$N$2:$N$3001,0)=ROWS($N$2:$N2443),$N2443,""))</f>
        <v/>
      </c>
    </row>
    <row r="2444" customFormat="false" ht="15" hidden="false" customHeight="false" outlineLevel="0" collapsed="false">
      <c r="E2444" s="25"/>
      <c r="M2444" s="26" t="str">
        <f aca="false">IF($A2444="","",$L2444*$U2444/100)</f>
        <v/>
      </c>
      <c r="W2444" s="26" t="str">
        <f aca="false">IF($A2444="","",U2444*AB2444/100)</f>
        <v/>
      </c>
      <c r="X2444" s="26" t="str">
        <f aca="false">IF($A2444="","",U2444-W2444)</f>
        <v/>
      </c>
      <c r="Y2444" s="26" t="str">
        <f aca="false">IF($A2444="","",U2444-W2444-M2444)</f>
        <v/>
      </c>
      <c r="AB2444" s="27" t="str">
        <f aca="false">IF($A2444="","",IF($AK2444=1,'كشف المطالبة'!$D$5,'كشف المطالبة'!$D$6)*100)</f>
        <v/>
      </c>
      <c r="AK2444" s="28" t="str">
        <f aca="false">IF($A2444="","",IF(OR($Q2444=TRUE(),$Q2444="TRUE"),1,0))</f>
        <v/>
      </c>
      <c r="AL2444" s="28" t="str">
        <f aca="false">IF($N2444="","",IF(MATCH($N2444,$N$2:$N$3001,0)=ROWS($N$2:$N2444),$N2444,""))</f>
        <v/>
      </c>
    </row>
    <row r="2445" customFormat="false" ht="15" hidden="false" customHeight="false" outlineLevel="0" collapsed="false">
      <c r="E2445" s="25"/>
      <c r="M2445" s="26" t="str">
        <f aca="false">IF($A2445="","",$L2445*$U2445/100)</f>
        <v/>
      </c>
      <c r="W2445" s="26" t="str">
        <f aca="false">IF($A2445="","",U2445*AB2445/100)</f>
        <v/>
      </c>
      <c r="X2445" s="26" t="str">
        <f aca="false">IF($A2445="","",U2445-W2445)</f>
        <v/>
      </c>
      <c r="Y2445" s="26" t="str">
        <f aca="false">IF($A2445="","",U2445-W2445-M2445)</f>
        <v/>
      </c>
      <c r="AB2445" s="27" t="str">
        <f aca="false">IF($A2445="","",IF($AK2445=1,'كشف المطالبة'!$D$5,'كشف المطالبة'!$D$6)*100)</f>
        <v/>
      </c>
      <c r="AK2445" s="28" t="str">
        <f aca="false">IF($A2445="","",IF(OR($Q2445=TRUE(),$Q2445="TRUE"),1,0))</f>
        <v/>
      </c>
      <c r="AL2445" s="28" t="str">
        <f aca="false">IF($N2445="","",IF(MATCH($N2445,$N$2:$N$3001,0)=ROWS($N$2:$N2445),$N2445,""))</f>
        <v/>
      </c>
    </row>
    <row r="2446" customFormat="false" ht="15" hidden="false" customHeight="false" outlineLevel="0" collapsed="false">
      <c r="E2446" s="25"/>
      <c r="M2446" s="26" t="str">
        <f aca="false">IF($A2446="","",$L2446*$U2446/100)</f>
        <v/>
      </c>
      <c r="W2446" s="26" t="str">
        <f aca="false">IF($A2446="","",U2446*AB2446/100)</f>
        <v/>
      </c>
      <c r="X2446" s="26" t="str">
        <f aca="false">IF($A2446="","",U2446-W2446)</f>
        <v/>
      </c>
      <c r="Y2446" s="26" t="str">
        <f aca="false">IF($A2446="","",U2446-W2446-M2446)</f>
        <v/>
      </c>
      <c r="AB2446" s="27" t="str">
        <f aca="false">IF($A2446="","",IF($AK2446=1,'كشف المطالبة'!$D$5,'كشف المطالبة'!$D$6)*100)</f>
        <v/>
      </c>
      <c r="AK2446" s="28" t="str">
        <f aca="false">IF($A2446="","",IF(OR($Q2446=TRUE(),$Q2446="TRUE"),1,0))</f>
        <v/>
      </c>
      <c r="AL2446" s="28" t="str">
        <f aca="false">IF($N2446="","",IF(MATCH($N2446,$N$2:$N$3001,0)=ROWS($N$2:$N2446),$N2446,""))</f>
        <v/>
      </c>
    </row>
    <row r="2447" customFormat="false" ht="15" hidden="false" customHeight="false" outlineLevel="0" collapsed="false">
      <c r="E2447" s="25"/>
      <c r="M2447" s="26" t="str">
        <f aca="false">IF($A2447="","",$L2447*$U2447/100)</f>
        <v/>
      </c>
      <c r="W2447" s="26" t="str">
        <f aca="false">IF($A2447="","",U2447*AB2447/100)</f>
        <v/>
      </c>
      <c r="X2447" s="26" t="str">
        <f aca="false">IF($A2447="","",U2447-W2447)</f>
        <v/>
      </c>
      <c r="Y2447" s="26" t="str">
        <f aca="false">IF($A2447="","",U2447-W2447-M2447)</f>
        <v/>
      </c>
      <c r="AB2447" s="27" t="str">
        <f aca="false">IF($A2447="","",IF($AK2447=1,'كشف المطالبة'!$D$5,'كشف المطالبة'!$D$6)*100)</f>
        <v/>
      </c>
      <c r="AK2447" s="28" t="str">
        <f aca="false">IF($A2447="","",IF(OR($Q2447=TRUE(),$Q2447="TRUE"),1,0))</f>
        <v/>
      </c>
      <c r="AL2447" s="28" t="str">
        <f aca="false">IF($N2447="","",IF(MATCH($N2447,$N$2:$N$3001,0)=ROWS($N$2:$N2447),$N2447,""))</f>
        <v/>
      </c>
    </row>
    <row r="2448" customFormat="false" ht="15" hidden="false" customHeight="false" outlineLevel="0" collapsed="false">
      <c r="E2448" s="25"/>
      <c r="M2448" s="26" t="str">
        <f aca="false">IF($A2448="","",$L2448*$U2448/100)</f>
        <v/>
      </c>
      <c r="W2448" s="26" t="str">
        <f aca="false">IF($A2448="","",U2448*AB2448/100)</f>
        <v/>
      </c>
      <c r="X2448" s="26" t="str">
        <f aca="false">IF($A2448="","",U2448-W2448)</f>
        <v/>
      </c>
      <c r="Y2448" s="26" t="str">
        <f aca="false">IF($A2448="","",U2448-W2448-M2448)</f>
        <v/>
      </c>
      <c r="AB2448" s="27" t="str">
        <f aca="false">IF($A2448="","",IF($AK2448=1,'كشف المطالبة'!$D$5,'كشف المطالبة'!$D$6)*100)</f>
        <v/>
      </c>
      <c r="AK2448" s="28" t="str">
        <f aca="false">IF($A2448="","",IF(OR($Q2448=TRUE(),$Q2448="TRUE"),1,0))</f>
        <v/>
      </c>
      <c r="AL2448" s="28" t="str">
        <f aca="false">IF($N2448="","",IF(MATCH($N2448,$N$2:$N$3001,0)=ROWS($N$2:$N2448),$N2448,""))</f>
        <v/>
      </c>
    </row>
    <row r="2449" customFormat="false" ht="15" hidden="false" customHeight="false" outlineLevel="0" collapsed="false">
      <c r="E2449" s="25"/>
      <c r="M2449" s="26" t="str">
        <f aca="false">IF($A2449="","",$L2449*$U2449/100)</f>
        <v/>
      </c>
      <c r="W2449" s="26" t="str">
        <f aca="false">IF($A2449="","",U2449*AB2449/100)</f>
        <v/>
      </c>
      <c r="X2449" s="26" t="str">
        <f aca="false">IF($A2449="","",U2449-W2449)</f>
        <v/>
      </c>
      <c r="Y2449" s="26" t="str">
        <f aca="false">IF($A2449="","",U2449-W2449-M2449)</f>
        <v/>
      </c>
      <c r="AB2449" s="27" t="str">
        <f aca="false">IF($A2449="","",IF($AK2449=1,'كشف المطالبة'!$D$5,'كشف المطالبة'!$D$6)*100)</f>
        <v/>
      </c>
      <c r="AK2449" s="28" t="str">
        <f aca="false">IF($A2449="","",IF(OR($Q2449=TRUE(),$Q2449="TRUE"),1,0))</f>
        <v/>
      </c>
      <c r="AL2449" s="28" t="str">
        <f aca="false">IF($N2449="","",IF(MATCH($N2449,$N$2:$N$3001,0)=ROWS($N$2:$N2449),$N2449,""))</f>
        <v/>
      </c>
    </row>
    <row r="2450" customFormat="false" ht="15" hidden="false" customHeight="false" outlineLevel="0" collapsed="false">
      <c r="E2450" s="25"/>
      <c r="M2450" s="26" t="str">
        <f aca="false">IF($A2450="","",$L2450*$U2450/100)</f>
        <v/>
      </c>
      <c r="W2450" s="26" t="str">
        <f aca="false">IF($A2450="","",U2450*AB2450/100)</f>
        <v/>
      </c>
      <c r="X2450" s="26" t="str">
        <f aca="false">IF($A2450="","",U2450-W2450)</f>
        <v/>
      </c>
      <c r="Y2450" s="26" t="str">
        <f aca="false">IF($A2450="","",U2450-W2450-M2450)</f>
        <v/>
      </c>
      <c r="AB2450" s="27" t="str">
        <f aca="false">IF($A2450="","",IF($AK2450=1,'كشف المطالبة'!$D$5,'كشف المطالبة'!$D$6)*100)</f>
        <v/>
      </c>
      <c r="AK2450" s="28" t="str">
        <f aca="false">IF($A2450="","",IF(OR($Q2450=TRUE(),$Q2450="TRUE"),1,0))</f>
        <v/>
      </c>
      <c r="AL2450" s="28" t="str">
        <f aca="false">IF($N2450="","",IF(MATCH($N2450,$N$2:$N$3001,0)=ROWS($N$2:$N2450),$N2450,""))</f>
        <v/>
      </c>
    </row>
    <row r="2451" customFormat="false" ht="15" hidden="false" customHeight="false" outlineLevel="0" collapsed="false">
      <c r="E2451" s="25"/>
      <c r="M2451" s="26" t="str">
        <f aca="false">IF($A2451="","",$L2451*$U2451/100)</f>
        <v/>
      </c>
      <c r="W2451" s="26" t="str">
        <f aca="false">IF($A2451="","",U2451*AB2451/100)</f>
        <v/>
      </c>
      <c r="X2451" s="26" t="str">
        <f aca="false">IF($A2451="","",U2451-W2451)</f>
        <v/>
      </c>
      <c r="Y2451" s="26" t="str">
        <f aca="false">IF($A2451="","",U2451-W2451-M2451)</f>
        <v/>
      </c>
      <c r="AB2451" s="27" t="str">
        <f aca="false">IF($A2451="","",IF($AK2451=1,'كشف المطالبة'!$D$5,'كشف المطالبة'!$D$6)*100)</f>
        <v/>
      </c>
      <c r="AK2451" s="28" t="str">
        <f aca="false">IF($A2451="","",IF(OR($Q2451=TRUE(),$Q2451="TRUE"),1,0))</f>
        <v/>
      </c>
      <c r="AL2451" s="28" t="str">
        <f aca="false">IF($N2451="","",IF(MATCH($N2451,$N$2:$N$3001,0)=ROWS($N$2:$N2451),$N2451,""))</f>
        <v/>
      </c>
    </row>
    <row r="2452" customFormat="false" ht="15" hidden="false" customHeight="false" outlineLevel="0" collapsed="false">
      <c r="E2452" s="25"/>
      <c r="M2452" s="26" t="str">
        <f aca="false">IF($A2452="","",$L2452*$U2452/100)</f>
        <v/>
      </c>
      <c r="W2452" s="26" t="str">
        <f aca="false">IF($A2452="","",U2452*AB2452/100)</f>
        <v/>
      </c>
      <c r="X2452" s="26" t="str">
        <f aca="false">IF($A2452="","",U2452-W2452)</f>
        <v/>
      </c>
      <c r="Y2452" s="26" t="str">
        <f aca="false">IF($A2452="","",U2452-W2452-M2452)</f>
        <v/>
      </c>
      <c r="AB2452" s="27" t="str">
        <f aca="false">IF($A2452="","",IF($AK2452=1,'كشف المطالبة'!$D$5,'كشف المطالبة'!$D$6)*100)</f>
        <v/>
      </c>
      <c r="AK2452" s="28" t="str">
        <f aca="false">IF($A2452="","",IF(OR($Q2452=TRUE(),$Q2452="TRUE"),1,0))</f>
        <v/>
      </c>
      <c r="AL2452" s="28" t="str">
        <f aca="false">IF($N2452="","",IF(MATCH($N2452,$N$2:$N$3001,0)=ROWS($N$2:$N2452),$N2452,""))</f>
        <v/>
      </c>
    </row>
    <row r="2453" customFormat="false" ht="15" hidden="false" customHeight="false" outlineLevel="0" collapsed="false">
      <c r="E2453" s="25"/>
      <c r="M2453" s="26" t="str">
        <f aca="false">IF($A2453="","",$L2453*$U2453/100)</f>
        <v/>
      </c>
      <c r="W2453" s="26" t="str">
        <f aca="false">IF($A2453="","",U2453*AB2453/100)</f>
        <v/>
      </c>
      <c r="X2453" s="26" t="str">
        <f aca="false">IF($A2453="","",U2453-W2453)</f>
        <v/>
      </c>
      <c r="Y2453" s="26" t="str">
        <f aca="false">IF($A2453="","",U2453-W2453-M2453)</f>
        <v/>
      </c>
      <c r="AB2453" s="27" t="str">
        <f aca="false">IF($A2453="","",IF($AK2453=1,'كشف المطالبة'!$D$5,'كشف المطالبة'!$D$6)*100)</f>
        <v/>
      </c>
      <c r="AK2453" s="28" t="str">
        <f aca="false">IF($A2453="","",IF(OR($Q2453=TRUE(),$Q2453="TRUE"),1,0))</f>
        <v/>
      </c>
      <c r="AL2453" s="28" t="str">
        <f aca="false">IF($N2453="","",IF(MATCH($N2453,$N$2:$N$3001,0)=ROWS($N$2:$N2453),$N2453,""))</f>
        <v/>
      </c>
    </row>
    <row r="2454" customFormat="false" ht="15" hidden="false" customHeight="false" outlineLevel="0" collapsed="false">
      <c r="E2454" s="25"/>
      <c r="M2454" s="26" t="str">
        <f aca="false">IF($A2454="","",$L2454*$U2454/100)</f>
        <v/>
      </c>
      <c r="W2454" s="26" t="str">
        <f aca="false">IF($A2454="","",U2454*AB2454/100)</f>
        <v/>
      </c>
      <c r="X2454" s="26" t="str">
        <f aca="false">IF($A2454="","",U2454-W2454)</f>
        <v/>
      </c>
      <c r="Y2454" s="26" t="str">
        <f aca="false">IF($A2454="","",U2454-W2454-M2454)</f>
        <v/>
      </c>
      <c r="AB2454" s="27" t="str">
        <f aca="false">IF($A2454="","",IF($AK2454=1,'كشف المطالبة'!$D$5,'كشف المطالبة'!$D$6)*100)</f>
        <v/>
      </c>
      <c r="AK2454" s="28" t="str">
        <f aca="false">IF($A2454="","",IF(OR($Q2454=TRUE(),$Q2454="TRUE"),1,0))</f>
        <v/>
      </c>
      <c r="AL2454" s="28" t="str">
        <f aca="false">IF($N2454="","",IF(MATCH($N2454,$N$2:$N$3001,0)=ROWS($N$2:$N2454),$N2454,""))</f>
        <v/>
      </c>
    </row>
    <row r="2455" customFormat="false" ht="15" hidden="false" customHeight="false" outlineLevel="0" collapsed="false">
      <c r="E2455" s="25"/>
      <c r="M2455" s="26" t="str">
        <f aca="false">IF($A2455="","",$L2455*$U2455/100)</f>
        <v/>
      </c>
      <c r="W2455" s="26" t="str">
        <f aca="false">IF($A2455="","",U2455*AB2455/100)</f>
        <v/>
      </c>
      <c r="X2455" s="26" t="str">
        <f aca="false">IF($A2455="","",U2455-W2455)</f>
        <v/>
      </c>
      <c r="Y2455" s="26" t="str">
        <f aca="false">IF($A2455="","",U2455-W2455-M2455)</f>
        <v/>
      </c>
      <c r="AB2455" s="27" t="str">
        <f aca="false">IF($A2455="","",IF($AK2455=1,'كشف المطالبة'!$D$5,'كشف المطالبة'!$D$6)*100)</f>
        <v/>
      </c>
      <c r="AK2455" s="28" t="str">
        <f aca="false">IF($A2455="","",IF(OR($Q2455=TRUE(),$Q2455="TRUE"),1,0))</f>
        <v/>
      </c>
      <c r="AL2455" s="28" t="str">
        <f aca="false">IF($N2455="","",IF(MATCH($N2455,$N$2:$N$3001,0)=ROWS($N$2:$N2455),$N2455,""))</f>
        <v/>
      </c>
    </row>
    <row r="2456" customFormat="false" ht="15" hidden="false" customHeight="false" outlineLevel="0" collapsed="false">
      <c r="E2456" s="25"/>
      <c r="M2456" s="26" t="str">
        <f aca="false">IF($A2456="","",$L2456*$U2456/100)</f>
        <v/>
      </c>
      <c r="W2456" s="26" t="str">
        <f aca="false">IF($A2456="","",U2456*AB2456/100)</f>
        <v/>
      </c>
      <c r="X2456" s="26" t="str">
        <f aca="false">IF($A2456="","",U2456-W2456)</f>
        <v/>
      </c>
      <c r="Y2456" s="26" t="str">
        <f aca="false">IF($A2456="","",U2456-W2456-M2456)</f>
        <v/>
      </c>
      <c r="AB2456" s="27" t="str">
        <f aca="false">IF($A2456="","",IF($AK2456=1,'كشف المطالبة'!$D$5,'كشف المطالبة'!$D$6)*100)</f>
        <v/>
      </c>
      <c r="AK2456" s="28" t="str">
        <f aca="false">IF($A2456="","",IF(OR($Q2456=TRUE(),$Q2456="TRUE"),1,0))</f>
        <v/>
      </c>
      <c r="AL2456" s="28" t="str">
        <f aca="false">IF($N2456="","",IF(MATCH($N2456,$N$2:$N$3001,0)=ROWS($N$2:$N2456),$N2456,""))</f>
        <v/>
      </c>
    </row>
    <row r="2457" customFormat="false" ht="15" hidden="false" customHeight="false" outlineLevel="0" collapsed="false">
      <c r="E2457" s="25"/>
      <c r="M2457" s="26" t="str">
        <f aca="false">IF($A2457="","",$L2457*$U2457/100)</f>
        <v/>
      </c>
      <c r="W2457" s="26" t="str">
        <f aca="false">IF($A2457="","",U2457*AB2457/100)</f>
        <v/>
      </c>
      <c r="X2457" s="26" t="str">
        <f aca="false">IF($A2457="","",U2457-W2457)</f>
        <v/>
      </c>
      <c r="Y2457" s="26" t="str">
        <f aca="false">IF($A2457="","",U2457-W2457-M2457)</f>
        <v/>
      </c>
      <c r="AB2457" s="27" t="str">
        <f aca="false">IF($A2457="","",IF($AK2457=1,'كشف المطالبة'!$D$5,'كشف المطالبة'!$D$6)*100)</f>
        <v/>
      </c>
      <c r="AK2457" s="28" t="str">
        <f aca="false">IF($A2457="","",IF(OR($Q2457=TRUE(),$Q2457="TRUE"),1,0))</f>
        <v/>
      </c>
      <c r="AL2457" s="28" t="str">
        <f aca="false">IF($N2457="","",IF(MATCH($N2457,$N$2:$N$3001,0)=ROWS($N$2:$N2457),$N2457,""))</f>
        <v/>
      </c>
    </row>
    <row r="2458" customFormat="false" ht="15" hidden="false" customHeight="false" outlineLevel="0" collapsed="false">
      <c r="E2458" s="25"/>
      <c r="M2458" s="26" t="str">
        <f aca="false">IF($A2458="","",$L2458*$U2458/100)</f>
        <v/>
      </c>
      <c r="W2458" s="26" t="str">
        <f aca="false">IF($A2458="","",U2458*AB2458/100)</f>
        <v/>
      </c>
      <c r="X2458" s="26" t="str">
        <f aca="false">IF($A2458="","",U2458-W2458)</f>
        <v/>
      </c>
      <c r="Y2458" s="26" t="str">
        <f aca="false">IF($A2458="","",U2458-W2458-M2458)</f>
        <v/>
      </c>
      <c r="AB2458" s="27" t="str">
        <f aca="false">IF($A2458="","",IF($AK2458=1,'كشف المطالبة'!$D$5,'كشف المطالبة'!$D$6)*100)</f>
        <v/>
      </c>
      <c r="AK2458" s="28" t="str">
        <f aca="false">IF($A2458="","",IF(OR($Q2458=TRUE(),$Q2458="TRUE"),1,0))</f>
        <v/>
      </c>
      <c r="AL2458" s="28" t="str">
        <f aca="false">IF($N2458="","",IF(MATCH($N2458,$N$2:$N$3001,0)=ROWS($N$2:$N2458),$N2458,""))</f>
        <v/>
      </c>
    </row>
    <row r="2459" customFormat="false" ht="15" hidden="false" customHeight="false" outlineLevel="0" collapsed="false">
      <c r="E2459" s="25"/>
      <c r="M2459" s="26" t="str">
        <f aca="false">IF($A2459="","",$L2459*$U2459/100)</f>
        <v/>
      </c>
      <c r="W2459" s="26" t="str">
        <f aca="false">IF($A2459="","",U2459*AB2459/100)</f>
        <v/>
      </c>
      <c r="X2459" s="26" t="str">
        <f aca="false">IF($A2459="","",U2459-W2459)</f>
        <v/>
      </c>
      <c r="Y2459" s="26" t="str">
        <f aca="false">IF($A2459="","",U2459-W2459-M2459)</f>
        <v/>
      </c>
      <c r="AB2459" s="27" t="str">
        <f aca="false">IF($A2459="","",IF($AK2459=1,'كشف المطالبة'!$D$5,'كشف المطالبة'!$D$6)*100)</f>
        <v/>
      </c>
      <c r="AK2459" s="28" t="str">
        <f aca="false">IF($A2459="","",IF(OR($Q2459=TRUE(),$Q2459="TRUE"),1,0))</f>
        <v/>
      </c>
      <c r="AL2459" s="28" t="str">
        <f aca="false">IF($N2459="","",IF(MATCH($N2459,$N$2:$N$3001,0)=ROWS($N$2:$N2459),$N2459,""))</f>
        <v/>
      </c>
    </row>
    <row r="2460" customFormat="false" ht="15" hidden="false" customHeight="false" outlineLevel="0" collapsed="false">
      <c r="E2460" s="25"/>
      <c r="M2460" s="26" t="str">
        <f aca="false">IF($A2460="","",$L2460*$U2460/100)</f>
        <v/>
      </c>
      <c r="W2460" s="26" t="str">
        <f aca="false">IF($A2460="","",U2460*AB2460/100)</f>
        <v/>
      </c>
      <c r="X2460" s="26" t="str">
        <f aca="false">IF($A2460="","",U2460-W2460)</f>
        <v/>
      </c>
      <c r="Y2460" s="26" t="str">
        <f aca="false">IF($A2460="","",U2460-W2460-M2460)</f>
        <v/>
      </c>
      <c r="AB2460" s="27" t="str">
        <f aca="false">IF($A2460="","",IF($AK2460=1,'كشف المطالبة'!$D$5,'كشف المطالبة'!$D$6)*100)</f>
        <v/>
      </c>
      <c r="AK2460" s="28" t="str">
        <f aca="false">IF($A2460="","",IF(OR($Q2460=TRUE(),$Q2460="TRUE"),1,0))</f>
        <v/>
      </c>
      <c r="AL2460" s="28" t="str">
        <f aca="false">IF($N2460="","",IF(MATCH($N2460,$N$2:$N$3001,0)=ROWS($N$2:$N2460),$N2460,""))</f>
        <v/>
      </c>
    </row>
    <row r="2461" customFormat="false" ht="15" hidden="false" customHeight="false" outlineLevel="0" collapsed="false">
      <c r="E2461" s="25"/>
      <c r="M2461" s="26" t="str">
        <f aca="false">IF($A2461="","",$L2461*$U2461/100)</f>
        <v/>
      </c>
      <c r="W2461" s="26" t="str">
        <f aca="false">IF($A2461="","",U2461*AB2461/100)</f>
        <v/>
      </c>
      <c r="X2461" s="26" t="str">
        <f aca="false">IF($A2461="","",U2461-W2461)</f>
        <v/>
      </c>
      <c r="Y2461" s="26" t="str">
        <f aca="false">IF($A2461="","",U2461-W2461-M2461)</f>
        <v/>
      </c>
      <c r="AB2461" s="27" t="str">
        <f aca="false">IF($A2461="","",IF($AK2461=1,'كشف المطالبة'!$D$5,'كشف المطالبة'!$D$6)*100)</f>
        <v/>
      </c>
      <c r="AK2461" s="28" t="str">
        <f aca="false">IF($A2461="","",IF(OR($Q2461=TRUE(),$Q2461="TRUE"),1,0))</f>
        <v/>
      </c>
      <c r="AL2461" s="28" t="str">
        <f aca="false">IF($N2461="","",IF(MATCH($N2461,$N$2:$N$3001,0)=ROWS($N$2:$N2461),$N2461,""))</f>
        <v/>
      </c>
    </row>
    <row r="2462" customFormat="false" ht="15" hidden="false" customHeight="false" outlineLevel="0" collapsed="false">
      <c r="E2462" s="25"/>
      <c r="M2462" s="26" t="str">
        <f aca="false">IF($A2462="","",$L2462*$U2462/100)</f>
        <v/>
      </c>
      <c r="W2462" s="26" t="str">
        <f aca="false">IF($A2462="","",U2462*AB2462/100)</f>
        <v/>
      </c>
      <c r="X2462" s="26" t="str">
        <f aca="false">IF($A2462="","",U2462-W2462)</f>
        <v/>
      </c>
      <c r="Y2462" s="26" t="str">
        <f aca="false">IF($A2462="","",U2462-W2462-M2462)</f>
        <v/>
      </c>
      <c r="AB2462" s="27" t="str">
        <f aca="false">IF($A2462="","",IF($AK2462=1,'كشف المطالبة'!$D$5,'كشف المطالبة'!$D$6)*100)</f>
        <v/>
      </c>
      <c r="AK2462" s="28" t="str">
        <f aca="false">IF($A2462="","",IF(OR($Q2462=TRUE(),$Q2462="TRUE"),1,0))</f>
        <v/>
      </c>
      <c r="AL2462" s="28" t="str">
        <f aca="false">IF($N2462="","",IF(MATCH($N2462,$N$2:$N$3001,0)=ROWS($N$2:$N2462),$N2462,""))</f>
        <v/>
      </c>
    </row>
    <row r="2463" customFormat="false" ht="15" hidden="false" customHeight="false" outlineLevel="0" collapsed="false">
      <c r="E2463" s="25"/>
      <c r="M2463" s="26" t="str">
        <f aca="false">IF($A2463="","",$L2463*$U2463/100)</f>
        <v/>
      </c>
      <c r="W2463" s="26" t="str">
        <f aca="false">IF($A2463="","",U2463*AB2463/100)</f>
        <v/>
      </c>
      <c r="X2463" s="26" t="str">
        <f aca="false">IF($A2463="","",U2463-W2463)</f>
        <v/>
      </c>
      <c r="Y2463" s="26" t="str">
        <f aca="false">IF($A2463="","",U2463-W2463-M2463)</f>
        <v/>
      </c>
      <c r="AB2463" s="27" t="str">
        <f aca="false">IF($A2463="","",IF($AK2463=1,'كشف المطالبة'!$D$5,'كشف المطالبة'!$D$6)*100)</f>
        <v/>
      </c>
      <c r="AK2463" s="28" t="str">
        <f aca="false">IF($A2463="","",IF(OR($Q2463=TRUE(),$Q2463="TRUE"),1,0))</f>
        <v/>
      </c>
      <c r="AL2463" s="28" t="str">
        <f aca="false">IF($N2463="","",IF(MATCH($N2463,$N$2:$N$3001,0)=ROWS($N$2:$N2463),$N2463,""))</f>
        <v/>
      </c>
    </row>
    <row r="2464" customFormat="false" ht="15" hidden="false" customHeight="false" outlineLevel="0" collapsed="false">
      <c r="E2464" s="25"/>
      <c r="M2464" s="26" t="str">
        <f aca="false">IF($A2464="","",$L2464*$U2464/100)</f>
        <v/>
      </c>
      <c r="W2464" s="26" t="str">
        <f aca="false">IF($A2464="","",U2464*AB2464/100)</f>
        <v/>
      </c>
      <c r="X2464" s="26" t="str">
        <f aca="false">IF($A2464="","",U2464-W2464)</f>
        <v/>
      </c>
      <c r="Y2464" s="26" t="str">
        <f aca="false">IF($A2464="","",U2464-W2464-M2464)</f>
        <v/>
      </c>
      <c r="AB2464" s="27" t="str">
        <f aca="false">IF($A2464="","",IF($AK2464=1,'كشف المطالبة'!$D$5,'كشف المطالبة'!$D$6)*100)</f>
        <v/>
      </c>
      <c r="AK2464" s="28" t="str">
        <f aca="false">IF($A2464="","",IF(OR($Q2464=TRUE(),$Q2464="TRUE"),1,0))</f>
        <v/>
      </c>
      <c r="AL2464" s="28" t="str">
        <f aca="false">IF($N2464="","",IF(MATCH($N2464,$N$2:$N$3001,0)=ROWS($N$2:$N2464),$N2464,""))</f>
        <v/>
      </c>
    </row>
    <row r="2465" customFormat="false" ht="15" hidden="false" customHeight="false" outlineLevel="0" collapsed="false">
      <c r="E2465" s="25"/>
      <c r="M2465" s="26" t="str">
        <f aca="false">IF($A2465="","",$L2465*$U2465/100)</f>
        <v/>
      </c>
      <c r="W2465" s="26" t="str">
        <f aca="false">IF($A2465="","",U2465*AB2465/100)</f>
        <v/>
      </c>
      <c r="X2465" s="26" t="str">
        <f aca="false">IF($A2465="","",U2465-W2465)</f>
        <v/>
      </c>
      <c r="Y2465" s="26" t="str">
        <f aca="false">IF($A2465="","",U2465-W2465-M2465)</f>
        <v/>
      </c>
      <c r="AB2465" s="27" t="str">
        <f aca="false">IF($A2465="","",IF($AK2465=1,'كشف المطالبة'!$D$5,'كشف المطالبة'!$D$6)*100)</f>
        <v/>
      </c>
      <c r="AK2465" s="28" t="str">
        <f aca="false">IF($A2465="","",IF(OR($Q2465=TRUE(),$Q2465="TRUE"),1,0))</f>
        <v/>
      </c>
      <c r="AL2465" s="28" t="str">
        <f aca="false">IF($N2465="","",IF(MATCH($N2465,$N$2:$N$3001,0)=ROWS($N$2:$N2465),$N2465,""))</f>
        <v/>
      </c>
    </row>
    <row r="2466" customFormat="false" ht="15" hidden="false" customHeight="false" outlineLevel="0" collapsed="false">
      <c r="E2466" s="25"/>
      <c r="M2466" s="26" t="str">
        <f aca="false">IF($A2466="","",$L2466*$U2466/100)</f>
        <v/>
      </c>
      <c r="W2466" s="26" t="str">
        <f aca="false">IF($A2466="","",U2466*AB2466/100)</f>
        <v/>
      </c>
      <c r="X2466" s="26" t="str">
        <f aca="false">IF($A2466="","",U2466-W2466)</f>
        <v/>
      </c>
      <c r="Y2466" s="26" t="str">
        <f aca="false">IF($A2466="","",U2466-W2466-M2466)</f>
        <v/>
      </c>
      <c r="AB2466" s="27" t="str">
        <f aca="false">IF($A2466="","",IF($AK2466=1,'كشف المطالبة'!$D$5,'كشف المطالبة'!$D$6)*100)</f>
        <v/>
      </c>
      <c r="AK2466" s="28" t="str">
        <f aca="false">IF($A2466="","",IF(OR($Q2466=TRUE(),$Q2466="TRUE"),1,0))</f>
        <v/>
      </c>
      <c r="AL2466" s="28" t="str">
        <f aca="false">IF($N2466="","",IF(MATCH($N2466,$N$2:$N$3001,0)=ROWS($N$2:$N2466),$N2466,""))</f>
        <v/>
      </c>
    </row>
    <row r="2467" customFormat="false" ht="15" hidden="false" customHeight="false" outlineLevel="0" collapsed="false">
      <c r="E2467" s="25"/>
      <c r="M2467" s="26" t="str">
        <f aca="false">IF($A2467="","",$L2467*$U2467/100)</f>
        <v/>
      </c>
      <c r="W2467" s="26" t="str">
        <f aca="false">IF($A2467="","",U2467*AB2467/100)</f>
        <v/>
      </c>
      <c r="X2467" s="26" t="str">
        <f aca="false">IF($A2467="","",U2467-W2467)</f>
        <v/>
      </c>
      <c r="Y2467" s="26" t="str">
        <f aca="false">IF($A2467="","",U2467-W2467-M2467)</f>
        <v/>
      </c>
      <c r="AB2467" s="27" t="str">
        <f aca="false">IF($A2467="","",IF($AK2467=1,'كشف المطالبة'!$D$5,'كشف المطالبة'!$D$6)*100)</f>
        <v/>
      </c>
      <c r="AK2467" s="28" t="str">
        <f aca="false">IF($A2467="","",IF(OR($Q2467=TRUE(),$Q2467="TRUE"),1,0))</f>
        <v/>
      </c>
      <c r="AL2467" s="28" t="str">
        <f aca="false">IF($N2467="","",IF(MATCH($N2467,$N$2:$N$3001,0)=ROWS($N$2:$N2467),$N2467,""))</f>
        <v/>
      </c>
    </row>
    <row r="2468" customFormat="false" ht="15" hidden="false" customHeight="false" outlineLevel="0" collapsed="false">
      <c r="E2468" s="25"/>
      <c r="M2468" s="26" t="str">
        <f aca="false">IF($A2468="","",$L2468*$U2468/100)</f>
        <v/>
      </c>
      <c r="W2468" s="26" t="str">
        <f aca="false">IF($A2468="","",U2468*AB2468/100)</f>
        <v/>
      </c>
      <c r="X2468" s="26" t="str">
        <f aca="false">IF($A2468="","",U2468-W2468)</f>
        <v/>
      </c>
      <c r="Y2468" s="26" t="str">
        <f aca="false">IF($A2468="","",U2468-W2468-M2468)</f>
        <v/>
      </c>
      <c r="AB2468" s="27" t="str">
        <f aca="false">IF($A2468="","",IF($AK2468=1,'كشف المطالبة'!$D$5,'كشف المطالبة'!$D$6)*100)</f>
        <v/>
      </c>
      <c r="AK2468" s="28" t="str">
        <f aca="false">IF($A2468="","",IF(OR($Q2468=TRUE(),$Q2468="TRUE"),1,0))</f>
        <v/>
      </c>
      <c r="AL2468" s="28" t="str">
        <f aca="false">IF($N2468="","",IF(MATCH($N2468,$N$2:$N$3001,0)=ROWS($N$2:$N2468),$N2468,""))</f>
        <v/>
      </c>
    </row>
    <row r="2469" customFormat="false" ht="15" hidden="false" customHeight="false" outlineLevel="0" collapsed="false">
      <c r="E2469" s="25"/>
      <c r="M2469" s="26" t="str">
        <f aca="false">IF($A2469="","",$L2469*$U2469/100)</f>
        <v/>
      </c>
      <c r="W2469" s="26" t="str">
        <f aca="false">IF($A2469="","",U2469*AB2469/100)</f>
        <v/>
      </c>
      <c r="X2469" s="26" t="str">
        <f aca="false">IF($A2469="","",U2469-W2469)</f>
        <v/>
      </c>
      <c r="Y2469" s="26" t="str">
        <f aca="false">IF($A2469="","",U2469-W2469-M2469)</f>
        <v/>
      </c>
      <c r="AB2469" s="27" t="str">
        <f aca="false">IF($A2469="","",IF($AK2469=1,'كشف المطالبة'!$D$5,'كشف المطالبة'!$D$6)*100)</f>
        <v/>
      </c>
      <c r="AK2469" s="28" t="str">
        <f aca="false">IF($A2469="","",IF(OR($Q2469=TRUE(),$Q2469="TRUE"),1,0))</f>
        <v/>
      </c>
      <c r="AL2469" s="28" t="str">
        <f aca="false">IF($N2469="","",IF(MATCH($N2469,$N$2:$N$3001,0)=ROWS($N$2:$N2469),$N2469,""))</f>
        <v/>
      </c>
    </row>
    <row r="2470" customFormat="false" ht="15" hidden="false" customHeight="false" outlineLevel="0" collapsed="false">
      <c r="E2470" s="25"/>
      <c r="M2470" s="26" t="str">
        <f aca="false">IF($A2470="","",$L2470*$U2470/100)</f>
        <v/>
      </c>
      <c r="W2470" s="26" t="str">
        <f aca="false">IF($A2470="","",U2470*AB2470/100)</f>
        <v/>
      </c>
      <c r="X2470" s="26" t="str">
        <f aca="false">IF($A2470="","",U2470-W2470)</f>
        <v/>
      </c>
      <c r="Y2470" s="26" t="str">
        <f aca="false">IF($A2470="","",U2470-W2470-M2470)</f>
        <v/>
      </c>
      <c r="AB2470" s="27" t="str">
        <f aca="false">IF($A2470="","",IF($AK2470=1,'كشف المطالبة'!$D$5,'كشف المطالبة'!$D$6)*100)</f>
        <v/>
      </c>
      <c r="AK2470" s="28" t="str">
        <f aca="false">IF($A2470="","",IF(OR($Q2470=TRUE(),$Q2470="TRUE"),1,0))</f>
        <v/>
      </c>
      <c r="AL2470" s="28" t="str">
        <f aca="false">IF($N2470="","",IF(MATCH($N2470,$N$2:$N$3001,0)=ROWS($N$2:$N2470),$N2470,""))</f>
        <v/>
      </c>
    </row>
    <row r="2471" customFormat="false" ht="15" hidden="false" customHeight="false" outlineLevel="0" collapsed="false">
      <c r="E2471" s="25"/>
      <c r="M2471" s="26" t="str">
        <f aca="false">IF($A2471="","",$L2471*$U2471/100)</f>
        <v/>
      </c>
      <c r="W2471" s="26" t="str">
        <f aca="false">IF($A2471="","",U2471*AB2471/100)</f>
        <v/>
      </c>
      <c r="X2471" s="26" t="str">
        <f aca="false">IF($A2471="","",U2471-W2471)</f>
        <v/>
      </c>
      <c r="Y2471" s="26" t="str">
        <f aca="false">IF($A2471="","",U2471-W2471-M2471)</f>
        <v/>
      </c>
      <c r="AB2471" s="27" t="str">
        <f aca="false">IF($A2471="","",IF($AK2471=1,'كشف المطالبة'!$D$5,'كشف المطالبة'!$D$6)*100)</f>
        <v/>
      </c>
      <c r="AK2471" s="28" t="str">
        <f aca="false">IF($A2471="","",IF(OR($Q2471=TRUE(),$Q2471="TRUE"),1,0))</f>
        <v/>
      </c>
      <c r="AL2471" s="28" t="str">
        <f aca="false">IF($N2471="","",IF(MATCH($N2471,$N$2:$N$3001,0)=ROWS($N$2:$N2471),$N2471,""))</f>
        <v/>
      </c>
    </row>
    <row r="2472" customFormat="false" ht="15" hidden="false" customHeight="false" outlineLevel="0" collapsed="false">
      <c r="E2472" s="25"/>
      <c r="M2472" s="26" t="str">
        <f aca="false">IF($A2472="","",$L2472*$U2472/100)</f>
        <v/>
      </c>
      <c r="W2472" s="26" t="str">
        <f aca="false">IF($A2472="","",U2472*AB2472/100)</f>
        <v/>
      </c>
      <c r="X2472" s="26" t="str">
        <f aca="false">IF($A2472="","",U2472-W2472)</f>
        <v/>
      </c>
      <c r="Y2472" s="26" t="str">
        <f aca="false">IF($A2472="","",U2472-W2472-M2472)</f>
        <v/>
      </c>
      <c r="AB2472" s="27" t="str">
        <f aca="false">IF($A2472="","",IF($AK2472=1,'كشف المطالبة'!$D$5,'كشف المطالبة'!$D$6)*100)</f>
        <v/>
      </c>
      <c r="AK2472" s="28" t="str">
        <f aca="false">IF($A2472="","",IF(OR($Q2472=TRUE(),$Q2472="TRUE"),1,0))</f>
        <v/>
      </c>
      <c r="AL2472" s="28" t="str">
        <f aca="false">IF($N2472="","",IF(MATCH($N2472,$N$2:$N$3001,0)=ROWS($N$2:$N2472),$N2472,""))</f>
        <v/>
      </c>
    </row>
    <row r="2473" customFormat="false" ht="15" hidden="false" customHeight="false" outlineLevel="0" collapsed="false">
      <c r="E2473" s="25"/>
      <c r="M2473" s="26" t="str">
        <f aca="false">IF($A2473="","",$L2473*$U2473/100)</f>
        <v/>
      </c>
      <c r="W2473" s="26" t="str">
        <f aca="false">IF($A2473="","",U2473*AB2473/100)</f>
        <v/>
      </c>
      <c r="X2473" s="26" t="str">
        <f aca="false">IF($A2473="","",U2473-W2473)</f>
        <v/>
      </c>
      <c r="Y2473" s="26" t="str">
        <f aca="false">IF($A2473="","",U2473-W2473-M2473)</f>
        <v/>
      </c>
      <c r="AB2473" s="27" t="str">
        <f aca="false">IF($A2473="","",IF($AK2473=1,'كشف المطالبة'!$D$5,'كشف المطالبة'!$D$6)*100)</f>
        <v/>
      </c>
      <c r="AK2473" s="28" t="str">
        <f aca="false">IF($A2473="","",IF(OR($Q2473=TRUE(),$Q2473="TRUE"),1,0))</f>
        <v/>
      </c>
      <c r="AL2473" s="28" t="str">
        <f aca="false">IF($N2473="","",IF(MATCH($N2473,$N$2:$N$3001,0)=ROWS($N$2:$N2473),$N2473,""))</f>
        <v/>
      </c>
    </row>
    <row r="2474" customFormat="false" ht="15" hidden="false" customHeight="false" outlineLevel="0" collapsed="false">
      <c r="E2474" s="25"/>
      <c r="M2474" s="26" t="str">
        <f aca="false">IF($A2474="","",$L2474*$U2474/100)</f>
        <v/>
      </c>
      <c r="W2474" s="26" t="str">
        <f aca="false">IF($A2474="","",U2474*AB2474/100)</f>
        <v/>
      </c>
      <c r="X2474" s="26" t="str">
        <f aca="false">IF($A2474="","",U2474-W2474)</f>
        <v/>
      </c>
      <c r="Y2474" s="26" t="str">
        <f aca="false">IF($A2474="","",U2474-W2474-M2474)</f>
        <v/>
      </c>
      <c r="AB2474" s="27" t="str">
        <f aca="false">IF($A2474="","",IF($AK2474=1,'كشف المطالبة'!$D$5,'كشف المطالبة'!$D$6)*100)</f>
        <v/>
      </c>
      <c r="AK2474" s="28" t="str">
        <f aca="false">IF($A2474="","",IF(OR($Q2474=TRUE(),$Q2474="TRUE"),1,0))</f>
        <v/>
      </c>
      <c r="AL2474" s="28" t="str">
        <f aca="false">IF($N2474="","",IF(MATCH($N2474,$N$2:$N$3001,0)=ROWS($N$2:$N2474),$N2474,""))</f>
        <v/>
      </c>
    </row>
    <row r="2475" customFormat="false" ht="15" hidden="false" customHeight="false" outlineLevel="0" collapsed="false">
      <c r="E2475" s="25"/>
      <c r="M2475" s="26" t="str">
        <f aca="false">IF($A2475="","",$L2475*$U2475/100)</f>
        <v/>
      </c>
      <c r="W2475" s="26" t="str">
        <f aca="false">IF($A2475="","",U2475*AB2475/100)</f>
        <v/>
      </c>
      <c r="X2475" s="26" t="str">
        <f aca="false">IF($A2475="","",U2475-W2475)</f>
        <v/>
      </c>
      <c r="Y2475" s="26" t="str">
        <f aca="false">IF($A2475="","",U2475-W2475-M2475)</f>
        <v/>
      </c>
      <c r="AB2475" s="27" t="str">
        <f aca="false">IF($A2475="","",IF($AK2475=1,'كشف المطالبة'!$D$5,'كشف المطالبة'!$D$6)*100)</f>
        <v/>
      </c>
      <c r="AK2475" s="28" t="str">
        <f aca="false">IF($A2475="","",IF(OR($Q2475=TRUE(),$Q2475="TRUE"),1,0))</f>
        <v/>
      </c>
      <c r="AL2475" s="28" t="str">
        <f aca="false">IF($N2475="","",IF(MATCH($N2475,$N$2:$N$3001,0)=ROWS($N$2:$N2475),$N2475,""))</f>
        <v/>
      </c>
    </row>
    <row r="2476" customFormat="false" ht="15" hidden="false" customHeight="false" outlineLevel="0" collapsed="false">
      <c r="E2476" s="25"/>
      <c r="M2476" s="26" t="str">
        <f aca="false">IF($A2476="","",$L2476*$U2476/100)</f>
        <v/>
      </c>
      <c r="W2476" s="26" t="str">
        <f aca="false">IF($A2476="","",U2476*AB2476/100)</f>
        <v/>
      </c>
      <c r="X2476" s="26" t="str">
        <f aca="false">IF($A2476="","",U2476-W2476)</f>
        <v/>
      </c>
      <c r="Y2476" s="26" t="str">
        <f aca="false">IF($A2476="","",U2476-W2476-M2476)</f>
        <v/>
      </c>
      <c r="AB2476" s="27" t="str">
        <f aca="false">IF($A2476="","",IF($AK2476=1,'كشف المطالبة'!$D$5,'كشف المطالبة'!$D$6)*100)</f>
        <v/>
      </c>
      <c r="AK2476" s="28" t="str">
        <f aca="false">IF($A2476="","",IF(OR($Q2476=TRUE(),$Q2476="TRUE"),1,0))</f>
        <v/>
      </c>
      <c r="AL2476" s="28" t="str">
        <f aca="false">IF($N2476="","",IF(MATCH($N2476,$N$2:$N$3001,0)=ROWS($N$2:$N2476),$N2476,""))</f>
        <v/>
      </c>
    </row>
    <row r="2477" customFormat="false" ht="15" hidden="false" customHeight="false" outlineLevel="0" collapsed="false">
      <c r="E2477" s="25"/>
      <c r="M2477" s="26" t="str">
        <f aca="false">IF($A2477="","",$L2477*$U2477/100)</f>
        <v/>
      </c>
      <c r="W2477" s="26" t="str">
        <f aca="false">IF($A2477="","",U2477*AB2477/100)</f>
        <v/>
      </c>
      <c r="X2477" s="26" t="str">
        <f aca="false">IF($A2477="","",U2477-W2477)</f>
        <v/>
      </c>
      <c r="Y2477" s="26" t="str">
        <f aca="false">IF($A2477="","",U2477-W2477-M2477)</f>
        <v/>
      </c>
      <c r="AB2477" s="27" t="str">
        <f aca="false">IF($A2477="","",IF($AK2477=1,'كشف المطالبة'!$D$5,'كشف المطالبة'!$D$6)*100)</f>
        <v/>
      </c>
      <c r="AK2477" s="28" t="str">
        <f aca="false">IF($A2477="","",IF(OR($Q2477=TRUE(),$Q2477="TRUE"),1,0))</f>
        <v/>
      </c>
      <c r="AL2477" s="28" t="str">
        <f aca="false">IF($N2477="","",IF(MATCH($N2477,$N$2:$N$3001,0)=ROWS($N$2:$N2477),$N2477,""))</f>
        <v/>
      </c>
    </row>
    <row r="2478" customFormat="false" ht="15" hidden="false" customHeight="false" outlineLevel="0" collapsed="false">
      <c r="E2478" s="25"/>
      <c r="M2478" s="26" t="str">
        <f aca="false">IF($A2478="","",$L2478*$U2478/100)</f>
        <v/>
      </c>
      <c r="W2478" s="26" t="str">
        <f aca="false">IF($A2478="","",U2478*AB2478/100)</f>
        <v/>
      </c>
      <c r="X2478" s="26" t="str">
        <f aca="false">IF($A2478="","",U2478-W2478)</f>
        <v/>
      </c>
      <c r="Y2478" s="26" t="str">
        <f aca="false">IF($A2478="","",U2478-W2478-M2478)</f>
        <v/>
      </c>
      <c r="AB2478" s="27" t="str">
        <f aca="false">IF($A2478="","",IF($AK2478=1,'كشف المطالبة'!$D$5,'كشف المطالبة'!$D$6)*100)</f>
        <v/>
      </c>
      <c r="AK2478" s="28" t="str">
        <f aca="false">IF($A2478="","",IF(OR($Q2478=TRUE(),$Q2478="TRUE"),1,0))</f>
        <v/>
      </c>
      <c r="AL2478" s="28" t="str">
        <f aca="false">IF($N2478="","",IF(MATCH($N2478,$N$2:$N$3001,0)=ROWS($N$2:$N2478),$N2478,""))</f>
        <v/>
      </c>
    </row>
    <row r="2479" customFormat="false" ht="15" hidden="false" customHeight="false" outlineLevel="0" collapsed="false">
      <c r="E2479" s="25"/>
      <c r="M2479" s="26" t="str">
        <f aca="false">IF($A2479="","",$L2479*$U2479/100)</f>
        <v/>
      </c>
      <c r="W2479" s="26" t="str">
        <f aca="false">IF($A2479="","",U2479*AB2479/100)</f>
        <v/>
      </c>
      <c r="X2479" s="26" t="str">
        <f aca="false">IF($A2479="","",U2479-W2479)</f>
        <v/>
      </c>
      <c r="Y2479" s="26" t="str">
        <f aca="false">IF($A2479="","",U2479-W2479-M2479)</f>
        <v/>
      </c>
      <c r="AB2479" s="27" t="str">
        <f aca="false">IF($A2479="","",IF($AK2479=1,'كشف المطالبة'!$D$5,'كشف المطالبة'!$D$6)*100)</f>
        <v/>
      </c>
      <c r="AK2479" s="28" t="str">
        <f aca="false">IF($A2479="","",IF(OR($Q2479=TRUE(),$Q2479="TRUE"),1,0))</f>
        <v/>
      </c>
      <c r="AL2479" s="28" t="str">
        <f aca="false">IF($N2479="","",IF(MATCH($N2479,$N$2:$N$3001,0)=ROWS($N$2:$N2479),$N2479,""))</f>
        <v/>
      </c>
    </row>
    <row r="2480" customFormat="false" ht="15" hidden="false" customHeight="false" outlineLevel="0" collapsed="false">
      <c r="E2480" s="25"/>
      <c r="M2480" s="26" t="str">
        <f aca="false">IF($A2480="","",$L2480*$U2480/100)</f>
        <v/>
      </c>
      <c r="W2480" s="26" t="str">
        <f aca="false">IF($A2480="","",U2480*AB2480/100)</f>
        <v/>
      </c>
      <c r="X2480" s="26" t="str">
        <f aca="false">IF($A2480="","",U2480-W2480)</f>
        <v/>
      </c>
      <c r="Y2480" s="26" t="str">
        <f aca="false">IF($A2480="","",U2480-W2480-M2480)</f>
        <v/>
      </c>
      <c r="AB2480" s="27" t="str">
        <f aca="false">IF($A2480="","",IF($AK2480=1,'كشف المطالبة'!$D$5,'كشف المطالبة'!$D$6)*100)</f>
        <v/>
      </c>
      <c r="AK2480" s="28" t="str">
        <f aca="false">IF($A2480="","",IF(OR($Q2480=TRUE(),$Q2480="TRUE"),1,0))</f>
        <v/>
      </c>
      <c r="AL2480" s="28" t="str">
        <f aca="false">IF($N2480="","",IF(MATCH($N2480,$N$2:$N$3001,0)=ROWS($N$2:$N2480),$N2480,""))</f>
        <v/>
      </c>
    </row>
    <row r="2481" customFormat="false" ht="15" hidden="false" customHeight="false" outlineLevel="0" collapsed="false">
      <c r="E2481" s="25"/>
      <c r="M2481" s="26" t="str">
        <f aca="false">IF($A2481="","",$L2481*$U2481/100)</f>
        <v/>
      </c>
      <c r="W2481" s="26" t="str">
        <f aca="false">IF($A2481="","",U2481*AB2481/100)</f>
        <v/>
      </c>
      <c r="X2481" s="26" t="str">
        <f aca="false">IF($A2481="","",U2481-W2481)</f>
        <v/>
      </c>
      <c r="Y2481" s="26" t="str">
        <f aca="false">IF($A2481="","",U2481-W2481-M2481)</f>
        <v/>
      </c>
      <c r="AB2481" s="27" t="str">
        <f aca="false">IF($A2481="","",IF($AK2481=1,'كشف المطالبة'!$D$5,'كشف المطالبة'!$D$6)*100)</f>
        <v/>
      </c>
      <c r="AK2481" s="28" t="str">
        <f aca="false">IF($A2481="","",IF(OR($Q2481=TRUE(),$Q2481="TRUE"),1,0))</f>
        <v/>
      </c>
      <c r="AL2481" s="28" t="str">
        <f aca="false">IF($N2481="","",IF(MATCH($N2481,$N$2:$N$3001,0)=ROWS($N$2:$N2481),$N2481,""))</f>
        <v/>
      </c>
    </row>
    <row r="2482" customFormat="false" ht="15" hidden="false" customHeight="false" outlineLevel="0" collapsed="false">
      <c r="E2482" s="25"/>
      <c r="M2482" s="26" t="str">
        <f aca="false">IF($A2482="","",$L2482*$U2482/100)</f>
        <v/>
      </c>
      <c r="W2482" s="26" t="str">
        <f aca="false">IF($A2482="","",U2482*AB2482/100)</f>
        <v/>
      </c>
      <c r="X2482" s="26" t="str">
        <f aca="false">IF($A2482="","",U2482-W2482)</f>
        <v/>
      </c>
      <c r="Y2482" s="26" t="str">
        <f aca="false">IF($A2482="","",U2482-W2482-M2482)</f>
        <v/>
      </c>
      <c r="AB2482" s="27" t="str">
        <f aca="false">IF($A2482="","",IF($AK2482=1,'كشف المطالبة'!$D$5,'كشف المطالبة'!$D$6)*100)</f>
        <v/>
      </c>
      <c r="AK2482" s="28" t="str">
        <f aca="false">IF($A2482="","",IF(OR($Q2482=TRUE(),$Q2482="TRUE"),1,0))</f>
        <v/>
      </c>
      <c r="AL2482" s="28" t="str">
        <f aca="false">IF($N2482="","",IF(MATCH($N2482,$N$2:$N$3001,0)=ROWS($N$2:$N2482),$N2482,""))</f>
        <v/>
      </c>
    </row>
    <row r="2483" customFormat="false" ht="15" hidden="false" customHeight="false" outlineLevel="0" collapsed="false">
      <c r="E2483" s="25"/>
      <c r="M2483" s="26" t="str">
        <f aca="false">IF($A2483="","",$L2483*$U2483/100)</f>
        <v/>
      </c>
      <c r="W2483" s="26" t="str">
        <f aca="false">IF($A2483="","",U2483*AB2483/100)</f>
        <v/>
      </c>
      <c r="X2483" s="26" t="str">
        <f aca="false">IF($A2483="","",U2483-W2483)</f>
        <v/>
      </c>
      <c r="Y2483" s="26" t="str">
        <f aca="false">IF($A2483="","",U2483-W2483-M2483)</f>
        <v/>
      </c>
      <c r="AB2483" s="27" t="str">
        <f aca="false">IF($A2483="","",IF($AK2483=1,'كشف المطالبة'!$D$5,'كشف المطالبة'!$D$6)*100)</f>
        <v/>
      </c>
      <c r="AK2483" s="28" t="str">
        <f aca="false">IF($A2483="","",IF(OR($Q2483=TRUE(),$Q2483="TRUE"),1,0))</f>
        <v/>
      </c>
      <c r="AL2483" s="28" t="str">
        <f aca="false">IF($N2483="","",IF(MATCH($N2483,$N$2:$N$3001,0)=ROWS($N$2:$N2483),$N2483,""))</f>
        <v/>
      </c>
    </row>
    <row r="2484" customFormat="false" ht="15" hidden="false" customHeight="false" outlineLevel="0" collapsed="false">
      <c r="E2484" s="25"/>
      <c r="M2484" s="26" t="str">
        <f aca="false">IF($A2484="","",$L2484*$U2484/100)</f>
        <v/>
      </c>
      <c r="W2484" s="26" t="str">
        <f aca="false">IF($A2484="","",U2484*AB2484/100)</f>
        <v/>
      </c>
      <c r="X2484" s="26" t="str">
        <f aca="false">IF($A2484="","",U2484-W2484)</f>
        <v/>
      </c>
      <c r="Y2484" s="26" t="str">
        <f aca="false">IF($A2484="","",U2484-W2484-M2484)</f>
        <v/>
      </c>
      <c r="AB2484" s="27" t="str">
        <f aca="false">IF($A2484="","",IF($AK2484=1,'كشف المطالبة'!$D$5,'كشف المطالبة'!$D$6)*100)</f>
        <v/>
      </c>
      <c r="AK2484" s="28" t="str">
        <f aca="false">IF($A2484="","",IF(OR($Q2484=TRUE(),$Q2484="TRUE"),1,0))</f>
        <v/>
      </c>
      <c r="AL2484" s="28" t="str">
        <f aca="false">IF($N2484="","",IF(MATCH($N2484,$N$2:$N$3001,0)=ROWS($N$2:$N2484),$N2484,""))</f>
        <v/>
      </c>
    </row>
    <row r="2485" customFormat="false" ht="15" hidden="false" customHeight="false" outlineLevel="0" collapsed="false">
      <c r="E2485" s="25"/>
      <c r="M2485" s="26" t="str">
        <f aca="false">IF($A2485="","",$L2485*$U2485/100)</f>
        <v/>
      </c>
      <c r="W2485" s="26" t="str">
        <f aca="false">IF($A2485="","",U2485*AB2485/100)</f>
        <v/>
      </c>
      <c r="X2485" s="26" t="str">
        <f aca="false">IF($A2485="","",U2485-W2485)</f>
        <v/>
      </c>
      <c r="Y2485" s="26" t="str">
        <f aca="false">IF($A2485="","",U2485-W2485-M2485)</f>
        <v/>
      </c>
      <c r="AB2485" s="27" t="str">
        <f aca="false">IF($A2485="","",IF($AK2485=1,'كشف المطالبة'!$D$5,'كشف المطالبة'!$D$6)*100)</f>
        <v/>
      </c>
      <c r="AK2485" s="28" t="str">
        <f aca="false">IF($A2485="","",IF(OR($Q2485=TRUE(),$Q2485="TRUE"),1,0))</f>
        <v/>
      </c>
      <c r="AL2485" s="28" t="str">
        <f aca="false">IF($N2485="","",IF(MATCH($N2485,$N$2:$N$3001,0)=ROWS($N$2:$N2485),$N2485,""))</f>
        <v/>
      </c>
    </row>
    <row r="2486" customFormat="false" ht="15" hidden="false" customHeight="false" outlineLevel="0" collapsed="false">
      <c r="E2486" s="25"/>
      <c r="M2486" s="26" t="str">
        <f aca="false">IF($A2486="","",$L2486*$U2486/100)</f>
        <v/>
      </c>
      <c r="W2486" s="26" t="str">
        <f aca="false">IF($A2486="","",U2486*AB2486/100)</f>
        <v/>
      </c>
      <c r="X2486" s="26" t="str">
        <f aca="false">IF($A2486="","",U2486-W2486)</f>
        <v/>
      </c>
      <c r="Y2486" s="26" t="str">
        <f aca="false">IF($A2486="","",U2486-W2486-M2486)</f>
        <v/>
      </c>
      <c r="AB2486" s="27" t="str">
        <f aca="false">IF($A2486="","",IF($AK2486=1,'كشف المطالبة'!$D$5,'كشف المطالبة'!$D$6)*100)</f>
        <v/>
      </c>
      <c r="AK2486" s="28" t="str">
        <f aca="false">IF($A2486="","",IF(OR($Q2486=TRUE(),$Q2486="TRUE"),1,0))</f>
        <v/>
      </c>
      <c r="AL2486" s="28" t="str">
        <f aca="false">IF($N2486="","",IF(MATCH($N2486,$N$2:$N$3001,0)=ROWS($N$2:$N2486),$N2486,""))</f>
        <v/>
      </c>
    </row>
    <row r="2487" customFormat="false" ht="15" hidden="false" customHeight="false" outlineLevel="0" collapsed="false">
      <c r="E2487" s="25"/>
      <c r="M2487" s="26" t="str">
        <f aca="false">IF($A2487="","",$L2487*$U2487/100)</f>
        <v/>
      </c>
      <c r="W2487" s="26" t="str">
        <f aca="false">IF($A2487="","",U2487*AB2487/100)</f>
        <v/>
      </c>
      <c r="X2487" s="26" t="str">
        <f aca="false">IF($A2487="","",U2487-W2487)</f>
        <v/>
      </c>
      <c r="Y2487" s="26" t="str">
        <f aca="false">IF($A2487="","",U2487-W2487-M2487)</f>
        <v/>
      </c>
      <c r="AB2487" s="27" t="str">
        <f aca="false">IF($A2487="","",IF($AK2487=1,'كشف المطالبة'!$D$5,'كشف المطالبة'!$D$6)*100)</f>
        <v/>
      </c>
      <c r="AK2487" s="28" t="str">
        <f aca="false">IF($A2487="","",IF(OR($Q2487=TRUE(),$Q2487="TRUE"),1,0))</f>
        <v/>
      </c>
      <c r="AL2487" s="28" t="str">
        <f aca="false">IF($N2487="","",IF(MATCH($N2487,$N$2:$N$3001,0)=ROWS($N$2:$N2487),$N2487,""))</f>
        <v/>
      </c>
    </row>
    <row r="2488" customFormat="false" ht="15" hidden="false" customHeight="false" outlineLevel="0" collapsed="false">
      <c r="E2488" s="25"/>
      <c r="M2488" s="26" t="str">
        <f aca="false">IF($A2488="","",$L2488*$U2488/100)</f>
        <v/>
      </c>
      <c r="W2488" s="26" t="str">
        <f aca="false">IF($A2488="","",U2488*AB2488/100)</f>
        <v/>
      </c>
      <c r="X2488" s="26" t="str">
        <f aca="false">IF($A2488="","",U2488-W2488)</f>
        <v/>
      </c>
      <c r="Y2488" s="26" t="str">
        <f aca="false">IF($A2488="","",U2488-W2488-M2488)</f>
        <v/>
      </c>
      <c r="AB2488" s="27" t="str">
        <f aca="false">IF($A2488="","",IF($AK2488=1,'كشف المطالبة'!$D$5,'كشف المطالبة'!$D$6)*100)</f>
        <v/>
      </c>
      <c r="AK2488" s="28" t="str">
        <f aca="false">IF($A2488="","",IF(OR($Q2488=TRUE(),$Q2488="TRUE"),1,0))</f>
        <v/>
      </c>
      <c r="AL2488" s="28" t="str">
        <f aca="false">IF($N2488="","",IF(MATCH($N2488,$N$2:$N$3001,0)=ROWS($N$2:$N2488),$N2488,""))</f>
        <v/>
      </c>
    </row>
    <row r="2489" customFormat="false" ht="15" hidden="false" customHeight="false" outlineLevel="0" collapsed="false">
      <c r="E2489" s="25"/>
      <c r="M2489" s="26" t="str">
        <f aca="false">IF($A2489="","",$L2489*$U2489/100)</f>
        <v/>
      </c>
      <c r="W2489" s="26" t="str">
        <f aca="false">IF($A2489="","",U2489*AB2489/100)</f>
        <v/>
      </c>
      <c r="X2489" s="26" t="str">
        <f aca="false">IF($A2489="","",U2489-W2489)</f>
        <v/>
      </c>
      <c r="Y2489" s="26" t="str">
        <f aca="false">IF($A2489="","",U2489-W2489-M2489)</f>
        <v/>
      </c>
      <c r="AB2489" s="27" t="str">
        <f aca="false">IF($A2489="","",IF($AK2489=1,'كشف المطالبة'!$D$5,'كشف المطالبة'!$D$6)*100)</f>
        <v/>
      </c>
      <c r="AK2489" s="28" t="str">
        <f aca="false">IF($A2489="","",IF(OR($Q2489=TRUE(),$Q2489="TRUE"),1,0))</f>
        <v/>
      </c>
      <c r="AL2489" s="28" t="str">
        <f aca="false">IF($N2489="","",IF(MATCH($N2489,$N$2:$N$3001,0)=ROWS($N$2:$N2489),$N2489,""))</f>
        <v/>
      </c>
    </row>
    <row r="2490" customFormat="false" ht="15" hidden="false" customHeight="false" outlineLevel="0" collapsed="false">
      <c r="E2490" s="25"/>
      <c r="M2490" s="26" t="str">
        <f aca="false">IF($A2490="","",$L2490*$U2490/100)</f>
        <v/>
      </c>
      <c r="W2490" s="26" t="str">
        <f aca="false">IF($A2490="","",U2490*AB2490/100)</f>
        <v/>
      </c>
      <c r="X2490" s="26" t="str">
        <f aca="false">IF($A2490="","",U2490-W2490)</f>
        <v/>
      </c>
      <c r="Y2490" s="26" t="str">
        <f aca="false">IF($A2490="","",U2490-W2490-M2490)</f>
        <v/>
      </c>
      <c r="AB2490" s="27" t="str">
        <f aca="false">IF($A2490="","",IF($AK2490=1,'كشف المطالبة'!$D$5,'كشف المطالبة'!$D$6)*100)</f>
        <v/>
      </c>
      <c r="AK2490" s="28" t="str">
        <f aca="false">IF($A2490="","",IF(OR($Q2490=TRUE(),$Q2490="TRUE"),1,0))</f>
        <v/>
      </c>
      <c r="AL2490" s="28" t="str">
        <f aca="false">IF($N2490="","",IF(MATCH($N2490,$N$2:$N$3001,0)=ROWS($N$2:$N2490),$N2490,""))</f>
        <v/>
      </c>
    </row>
    <row r="2491" customFormat="false" ht="15" hidden="false" customHeight="false" outlineLevel="0" collapsed="false">
      <c r="E2491" s="25"/>
      <c r="M2491" s="26" t="str">
        <f aca="false">IF($A2491="","",$L2491*$U2491/100)</f>
        <v/>
      </c>
      <c r="W2491" s="26" t="str">
        <f aca="false">IF($A2491="","",U2491*AB2491/100)</f>
        <v/>
      </c>
      <c r="X2491" s="26" t="str">
        <f aca="false">IF($A2491="","",U2491-W2491)</f>
        <v/>
      </c>
      <c r="Y2491" s="26" t="str">
        <f aca="false">IF($A2491="","",U2491-W2491-M2491)</f>
        <v/>
      </c>
      <c r="AB2491" s="27" t="str">
        <f aca="false">IF($A2491="","",IF($AK2491=1,'كشف المطالبة'!$D$5,'كشف المطالبة'!$D$6)*100)</f>
        <v/>
      </c>
      <c r="AK2491" s="28" t="str">
        <f aca="false">IF($A2491="","",IF(OR($Q2491=TRUE(),$Q2491="TRUE"),1,0))</f>
        <v/>
      </c>
      <c r="AL2491" s="28" t="str">
        <f aca="false">IF($N2491="","",IF(MATCH($N2491,$N$2:$N$3001,0)=ROWS($N$2:$N2491),$N2491,""))</f>
        <v/>
      </c>
    </row>
    <row r="2492" customFormat="false" ht="15" hidden="false" customHeight="false" outlineLevel="0" collapsed="false">
      <c r="E2492" s="25"/>
      <c r="M2492" s="26" t="str">
        <f aca="false">IF($A2492="","",$L2492*$U2492/100)</f>
        <v/>
      </c>
      <c r="W2492" s="26" t="str">
        <f aca="false">IF($A2492="","",U2492*AB2492/100)</f>
        <v/>
      </c>
      <c r="X2492" s="26" t="str">
        <f aca="false">IF($A2492="","",U2492-W2492)</f>
        <v/>
      </c>
      <c r="Y2492" s="26" t="str">
        <f aca="false">IF($A2492="","",U2492-W2492-M2492)</f>
        <v/>
      </c>
      <c r="AB2492" s="27" t="str">
        <f aca="false">IF($A2492="","",IF($AK2492=1,'كشف المطالبة'!$D$5,'كشف المطالبة'!$D$6)*100)</f>
        <v/>
      </c>
      <c r="AK2492" s="28" t="str">
        <f aca="false">IF($A2492="","",IF(OR($Q2492=TRUE(),$Q2492="TRUE"),1,0))</f>
        <v/>
      </c>
      <c r="AL2492" s="28" t="str">
        <f aca="false">IF($N2492="","",IF(MATCH($N2492,$N$2:$N$3001,0)=ROWS($N$2:$N2492),$N2492,""))</f>
        <v/>
      </c>
    </row>
    <row r="2493" customFormat="false" ht="15" hidden="false" customHeight="false" outlineLevel="0" collapsed="false">
      <c r="E2493" s="25"/>
      <c r="M2493" s="26" t="str">
        <f aca="false">IF($A2493="","",$L2493*$U2493/100)</f>
        <v/>
      </c>
      <c r="W2493" s="26" t="str">
        <f aca="false">IF($A2493="","",U2493*AB2493/100)</f>
        <v/>
      </c>
      <c r="X2493" s="26" t="str">
        <f aca="false">IF($A2493="","",U2493-W2493)</f>
        <v/>
      </c>
      <c r="Y2493" s="26" t="str">
        <f aca="false">IF($A2493="","",U2493-W2493-M2493)</f>
        <v/>
      </c>
      <c r="AB2493" s="27" t="str">
        <f aca="false">IF($A2493="","",IF($AK2493=1,'كشف المطالبة'!$D$5,'كشف المطالبة'!$D$6)*100)</f>
        <v/>
      </c>
      <c r="AK2493" s="28" t="str">
        <f aca="false">IF($A2493="","",IF(OR($Q2493=TRUE(),$Q2493="TRUE"),1,0))</f>
        <v/>
      </c>
      <c r="AL2493" s="28" t="str">
        <f aca="false">IF($N2493="","",IF(MATCH($N2493,$N$2:$N$3001,0)=ROWS($N$2:$N2493),$N2493,""))</f>
        <v/>
      </c>
    </row>
    <row r="2494" customFormat="false" ht="15" hidden="false" customHeight="false" outlineLevel="0" collapsed="false">
      <c r="E2494" s="25"/>
      <c r="M2494" s="26" t="str">
        <f aca="false">IF($A2494="","",$L2494*$U2494/100)</f>
        <v/>
      </c>
      <c r="W2494" s="26" t="str">
        <f aca="false">IF($A2494="","",U2494*AB2494/100)</f>
        <v/>
      </c>
      <c r="X2494" s="26" t="str">
        <f aca="false">IF($A2494="","",U2494-W2494)</f>
        <v/>
      </c>
      <c r="Y2494" s="26" t="str">
        <f aca="false">IF($A2494="","",U2494-W2494-M2494)</f>
        <v/>
      </c>
      <c r="AB2494" s="27" t="str">
        <f aca="false">IF($A2494="","",IF($AK2494=1,'كشف المطالبة'!$D$5,'كشف المطالبة'!$D$6)*100)</f>
        <v/>
      </c>
      <c r="AK2494" s="28" t="str">
        <f aca="false">IF($A2494="","",IF(OR($Q2494=TRUE(),$Q2494="TRUE"),1,0))</f>
        <v/>
      </c>
      <c r="AL2494" s="28" t="str">
        <f aca="false">IF($N2494="","",IF(MATCH($N2494,$N$2:$N$3001,0)=ROWS($N$2:$N2494),$N2494,""))</f>
        <v/>
      </c>
    </row>
    <row r="2495" customFormat="false" ht="15" hidden="false" customHeight="false" outlineLevel="0" collapsed="false">
      <c r="E2495" s="25"/>
      <c r="M2495" s="26" t="str">
        <f aca="false">IF($A2495="","",$L2495*$U2495/100)</f>
        <v/>
      </c>
      <c r="W2495" s="26" t="str">
        <f aca="false">IF($A2495="","",U2495*AB2495/100)</f>
        <v/>
      </c>
      <c r="X2495" s="26" t="str">
        <f aca="false">IF($A2495="","",U2495-W2495)</f>
        <v/>
      </c>
      <c r="Y2495" s="26" t="str">
        <f aca="false">IF($A2495="","",U2495-W2495-M2495)</f>
        <v/>
      </c>
      <c r="AB2495" s="27" t="str">
        <f aca="false">IF($A2495="","",IF($AK2495=1,'كشف المطالبة'!$D$5,'كشف المطالبة'!$D$6)*100)</f>
        <v/>
      </c>
      <c r="AK2495" s="28" t="str">
        <f aca="false">IF($A2495="","",IF(OR($Q2495=TRUE(),$Q2495="TRUE"),1,0))</f>
        <v/>
      </c>
      <c r="AL2495" s="28" t="str">
        <f aca="false">IF($N2495="","",IF(MATCH($N2495,$N$2:$N$3001,0)=ROWS($N$2:$N2495),$N2495,""))</f>
        <v/>
      </c>
    </row>
    <row r="2496" customFormat="false" ht="15" hidden="false" customHeight="false" outlineLevel="0" collapsed="false">
      <c r="E2496" s="25"/>
      <c r="M2496" s="26" t="str">
        <f aca="false">IF($A2496="","",$L2496*$U2496/100)</f>
        <v/>
      </c>
      <c r="W2496" s="26" t="str">
        <f aca="false">IF($A2496="","",U2496*AB2496/100)</f>
        <v/>
      </c>
      <c r="X2496" s="26" t="str">
        <f aca="false">IF($A2496="","",U2496-W2496)</f>
        <v/>
      </c>
      <c r="Y2496" s="26" t="str">
        <f aca="false">IF($A2496="","",U2496-W2496-M2496)</f>
        <v/>
      </c>
      <c r="AB2496" s="27" t="str">
        <f aca="false">IF($A2496="","",IF($AK2496=1,'كشف المطالبة'!$D$5,'كشف المطالبة'!$D$6)*100)</f>
        <v/>
      </c>
      <c r="AK2496" s="28" t="str">
        <f aca="false">IF($A2496="","",IF(OR($Q2496=TRUE(),$Q2496="TRUE"),1,0))</f>
        <v/>
      </c>
      <c r="AL2496" s="28" t="str">
        <f aca="false">IF($N2496="","",IF(MATCH($N2496,$N$2:$N$3001,0)=ROWS($N$2:$N2496),$N2496,""))</f>
        <v/>
      </c>
    </row>
    <row r="2497" customFormat="false" ht="15" hidden="false" customHeight="false" outlineLevel="0" collapsed="false">
      <c r="E2497" s="25"/>
      <c r="M2497" s="26" t="str">
        <f aca="false">IF($A2497="","",$L2497*$U2497/100)</f>
        <v/>
      </c>
      <c r="W2497" s="26" t="str">
        <f aca="false">IF($A2497="","",U2497*AB2497/100)</f>
        <v/>
      </c>
      <c r="X2497" s="26" t="str">
        <f aca="false">IF($A2497="","",U2497-W2497)</f>
        <v/>
      </c>
      <c r="Y2497" s="26" t="str">
        <f aca="false">IF($A2497="","",U2497-W2497-M2497)</f>
        <v/>
      </c>
      <c r="AB2497" s="27" t="str">
        <f aca="false">IF($A2497="","",IF($AK2497=1,'كشف المطالبة'!$D$5,'كشف المطالبة'!$D$6)*100)</f>
        <v/>
      </c>
      <c r="AK2497" s="28" t="str">
        <f aca="false">IF($A2497="","",IF(OR($Q2497=TRUE(),$Q2497="TRUE"),1,0))</f>
        <v/>
      </c>
      <c r="AL2497" s="28" t="str">
        <f aca="false">IF($N2497="","",IF(MATCH($N2497,$N$2:$N$3001,0)=ROWS($N$2:$N2497),$N2497,""))</f>
        <v/>
      </c>
    </row>
    <row r="2498" customFormat="false" ht="15" hidden="false" customHeight="false" outlineLevel="0" collapsed="false">
      <c r="E2498" s="25"/>
      <c r="M2498" s="26" t="str">
        <f aca="false">IF($A2498="","",$L2498*$U2498/100)</f>
        <v/>
      </c>
      <c r="W2498" s="26" t="str">
        <f aca="false">IF($A2498="","",U2498*AB2498/100)</f>
        <v/>
      </c>
      <c r="X2498" s="26" t="str">
        <f aca="false">IF($A2498="","",U2498-W2498)</f>
        <v/>
      </c>
      <c r="Y2498" s="26" t="str">
        <f aca="false">IF($A2498="","",U2498-W2498-M2498)</f>
        <v/>
      </c>
      <c r="AB2498" s="27" t="str">
        <f aca="false">IF($A2498="","",IF($AK2498=1,'كشف المطالبة'!$D$5,'كشف المطالبة'!$D$6)*100)</f>
        <v/>
      </c>
      <c r="AK2498" s="28" t="str">
        <f aca="false">IF($A2498="","",IF(OR($Q2498=TRUE(),$Q2498="TRUE"),1,0))</f>
        <v/>
      </c>
      <c r="AL2498" s="28" t="str">
        <f aca="false">IF($N2498="","",IF(MATCH($N2498,$N$2:$N$3001,0)=ROWS($N$2:$N2498),$N2498,""))</f>
        <v/>
      </c>
    </row>
    <row r="2499" customFormat="false" ht="15" hidden="false" customHeight="false" outlineLevel="0" collapsed="false">
      <c r="E2499" s="25"/>
      <c r="M2499" s="26" t="str">
        <f aca="false">IF($A2499="","",$L2499*$U2499/100)</f>
        <v/>
      </c>
      <c r="W2499" s="26" t="str">
        <f aca="false">IF($A2499="","",U2499*AB2499/100)</f>
        <v/>
      </c>
      <c r="X2499" s="26" t="str">
        <f aca="false">IF($A2499="","",U2499-W2499)</f>
        <v/>
      </c>
      <c r="Y2499" s="26" t="str">
        <f aca="false">IF($A2499="","",U2499-W2499-M2499)</f>
        <v/>
      </c>
      <c r="AB2499" s="27" t="str">
        <f aca="false">IF($A2499="","",IF($AK2499=1,'كشف المطالبة'!$D$5,'كشف المطالبة'!$D$6)*100)</f>
        <v/>
      </c>
      <c r="AK2499" s="28" t="str">
        <f aca="false">IF($A2499="","",IF(OR($Q2499=TRUE(),$Q2499="TRUE"),1,0))</f>
        <v/>
      </c>
      <c r="AL2499" s="28" t="str">
        <f aca="false">IF($N2499="","",IF(MATCH($N2499,$N$2:$N$3001,0)=ROWS($N$2:$N2499),$N2499,""))</f>
        <v/>
      </c>
    </row>
    <row r="2500" customFormat="false" ht="15" hidden="false" customHeight="false" outlineLevel="0" collapsed="false">
      <c r="E2500" s="25"/>
      <c r="M2500" s="26" t="str">
        <f aca="false">IF($A2500="","",$L2500*$U2500/100)</f>
        <v/>
      </c>
      <c r="W2500" s="26" t="str">
        <f aca="false">IF($A2500="","",U2500*AB2500/100)</f>
        <v/>
      </c>
      <c r="X2500" s="26" t="str">
        <f aca="false">IF($A2500="","",U2500-W2500)</f>
        <v/>
      </c>
      <c r="Y2500" s="26" t="str">
        <f aca="false">IF($A2500="","",U2500-W2500-M2500)</f>
        <v/>
      </c>
      <c r="AB2500" s="27" t="str">
        <f aca="false">IF($A2500="","",IF($AK2500=1,'كشف المطالبة'!$D$5,'كشف المطالبة'!$D$6)*100)</f>
        <v/>
      </c>
      <c r="AK2500" s="28" t="str">
        <f aca="false">IF($A2500="","",IF(OR($Q2500=TRUE(),$Q2500="TRUE"),1,0))</f>
        <v/>
      </c>
      <c r="AL2500" s="28" t="str">
        <f aca="false">IF($N2500="","",IF(MATCH($N2500,$N$2:$N$3001,0)=ROWS($N$2:$N2500),$N2500,""))</f>
        <v/>
      </c>
    </row>
    <row r="2501" customFormat="false" ht="15" hidden="false" customHeight="false" outlineLevel="0" collapsed="false">
      <c r="E2501" s="25"/>
      <c r="M2501" s="26" t="str">
        <f aca="false">IF($A2501="","",$L2501*$U2501/100)</f>
        <v/>
      </c>
      <c r="W2501" s="26" t="str">
        <f aca="false">IF($A2501="","",U2501*AB2501/100)</f>
        <v/>
      </c>
      <c r="X2501" s="26" t="str">
        <f aca="false">IF($A2501="","",U2501-W2501)</f>
        <v/>
      </c>
      <c r="Y2501" s="26" t="str">
        <f aca="false">IF($A2501="","",U2501-W2501-M2501)</f>
        <v/>
      </c>
      <c r="AB2501" s="27" t="str">
        <f aca="false">IF($A2501="","",IF($AK2501=1,'كشف المطالبة'!$D$5,'كشف المطالبة'!$D$6)*100)</f>
        <v/>
      </c>
      <c r="AK2501" s="28" t="str">
        <f aca="false">IF($A2501="","",IF(OR($Q2501=TRUE(),$Q2501="TRUE"),1,0))</f>
        <v/>
      </c>
      <c r="AL2501" s="28" t="str">
        <f aca="false">IF($N2501="","",IF(MATCH($N2501,$N$2:$N$3001,0)=ROWS($N$2:$N2501),$N2501,""))</f>
        <v/>
      </c>
    </row>
    <row r="2502" customFormat="false" ht="15" hidden="false" customHeight="false" outlineLevel="0" collapsed="false">
      <c r="E2502" s="25"/>
      <c r="M2502" s="26" t="str">
        <f aca="false">IF($A2502="","",$L2502*$U2502/100)</f>
        <v/>
      </c>
      <c r="W2502" s="26" t="str">
        <f aca="false">IF($A2502="","",U2502*AB2502/100)</f>
        <v/>
      </c>
      <c r="X2502" s="26" t="str">
        <f aca="false">IF($A2502="","",U2502-W2502)</f>
        <v/>
      </c>
      <c r="Y2502" s="26" t="str">
        <f aca="false">IF($A2502="","",U2502-W2502-M2502)</f>
        <v/>
      </c>
      <c r="AB2502" s="27" t="str">
        <f aca="false">IF($A2502="","",IF($AK2502=1,'كشف المطالبة'!$D$5,'كشف المطالبة'!$D$6)*100)</f>
        <v/>
      </c>
      <c r="AK2502" s="28" t="str">
        <f aca="false">IF($A2502="","",IF(OR($Q2502=TRUE(),$Q2502="TRUE"),1,0))</f>
        <v/>
      </c>
      <c r="AL2502" s="28" t="str">
        <f aca="false">IF($N2502="","",IF(MATCH($N2502,$N$2:$N$3001,0)=ROWS($N$2:$N2502),$N2502,""))</f>
        <v/>
      </c>
    </row>
    <row r="2503" customFormat="false" ht="15" hidden="false" customHeight="false" outlineLevel="0" collapsed="false">
      <c r="E2503" s="25"/>
      <c r="M2503" s="26" t="str">
        <f aca="false">IF($A2503="","",$L2503*$U2503/100)</f>
        <v/>
      </c>
      <c r="W2503" s="26" t="str">
        <f aca="false">IF($A2503="","",U2503*AB2503/100)</f>
        <v/>
      </c>
      <c r="X2503" s="26" t="str">
        <f aca="false">IF($A2503="","",U2503-W2503)</f>
        <v/>
      </c>
      <c r="Y2503" s="26" t="str">
        <f aca="false">IF($A2503="","",U2503-W2503-M2503)</f>
        <v/>
      </c>
      <c r="AB2503" s="27" t="str">
        <f aca="false">IF($A2503="","",IF($AK2503=1,'كشف المطالبة'!$D$5,'كشف المطالبة'!$D$6)*100)</f>
        <v/>
      </c>
      <c r="AK2503" s="28" t="str">
        <f aca="false">IF($A2503="","",IF(OR($Q2503=TRUE(),$Q2503="TRUE"),1,0))</f>
        <v/>
      </c>
      <c r="AL2503" s="28" t="str">
        <f aca="false">IF($N2503="","",IF(MATCH($N2503,$N$2:$N$3001,0)=ROWS($N$2:$N2503),$N2503,""))</f>
        <v/>
      </c>
    </row>
    <row r="2504" customFormat="false" ht="15" hidden="false" customHeight="false" outlineLevel="0" collapsed="false">
      <c r="E2504" s="25"/>
      <c r="M2504" s="26" t="str">
        <f aca="false">IF($A2504="","",$L2504*$U2504/100)</f>
        <v/>
      </c>
      <c r="W2504" s="26" t="str">
        <f aca="false">IF($A2504="","",U2504*AB2504/100)</f>
        <v/>
      </c>
      <c r="X2504" s="26" t="str">
        <f aca="false">IF($A2504="","",U2504-W2504)</f>
        <v/>
      </c>
      <c r="Y2504" s="26" t="str">
        <f aca="false">IF($A2504="","",U2504-W2504-M2504)</f>
        <v/>
      </c>
      <c r="AB2504" s="27" t="str">
        <f aca="false">IF($A2504="","",IF($AK2504=1,'كشف المطالبة'!$D$5,'كشف المطالبة'!$D$6)*100)</f>
        <v/>
      </c>
      <c r="AK2504" s="28" t="str">
        <f aca="false">IF($A2504="","",IF(OR($Q2504=TRUE(),$Q2504="TRUE"),1,0))</f>
        <v/>
      </c>
      <c r="AL2504" s="28" t="str">
        <f aca="false">IF($N2504="","",IF(MATCH($N2504,$N$2:$N$3001,0)=ROWS($N$2:$N2504),$N2504,""))</f>
        <v/>
      </c>
    </row>
    <row r="2505" customFormat="false" ht="15" hidden="false" customHeight="false" outlineLevel="0" collapsed="false">
      <c r="E2505" s="25"/>
      <c r="M2505" s="26" t="str">
        <f aca="false">IF($A2505="","",$L2505*$U2505/100)</f>
        <v/>
      </c>
      <c r="W2505" s="26" t="str">
        <f aca="false">IF($A2505="","",U2505*AB2505/100)</f>
        <v/>
      </c>
      <c r="X2505" s="26" t="str">
        <f aca="false">IF($A2505="","",U2505-W2505)</f>
        <v/>
      </c>
      <c r="Y2505" s="26" t="str">
        <f aca="false">IF($A2505="","",U2505-W2505-M2505)</f>
        <v/>
      </c>
      <c r="AB2505" s="27" t="str">
        <f aca="false">IF($A2505="","",IF($AK2505=1,'كشف المطالبة'!$D$5,'كشف المطالبة'!$D$6)*100)</f>
        <v/>
      </c>
      <c r="AK2505" s="28" t="str">
        <f aca="false">IF($A2505="","",IF(OR($Q2505=TRUE(),$Q2505="TRUE"),1,0))</f>
        <v/>
      </c>
      <c r="AL2505" s="28" t="str">
        <f aca="false">IF($N2505="","",IF(MATCH($N2505,$N$2:$N$3001,0)=ROWS($N$2:$N2505),$N2505,""))</f>
        <v/>
      </c>
    </row>
    <row r="2506" customFormat="false" ht="15" hidden="false" customHeight="false" outlineLevel="0" collapsed="false">
      <c r="E2506" s="25"/>
      <c r="M2506" s="26" t="str">
        <f aca="false">IF($A2506="","",$L2506*$U2506/100)</f>
        <v/>
      </c>
      <c r="W2506" s="26" t="str">
        <f aca="false">IF($A2506="","",U2506*AB2506/100)</f>
        <v/>
      </c>
      <c r="X2506" s="26" t="str">
        <f aca="false">IF($A2506="","",U2506-W2506)</f>
        <v/>
      </c>
      <c r="Y2506" s="26" t="str">
        <f aca="false">IF($A2506="","",U2506-W2506-M2506)</f>
        <v/>
      </c>
      <c r="AB2506" s="27" t="str">
        <f aca="false">IF($A2506="","",IF($AK2506=1,'كشف المطالبة'!$D$5,'كشف المطالبة'!$D$6)*100)</f>
        <v/>
      </c>
      <c r="AK2506" s="28" t="str">
        <f aca="false">IF($A2506="","",IF(OR($Q2506=TRUE(),$Q2506="TRUE"),1,0))</f>
        <v/>
      </c>
      <c r="AL2506" s="28" t="str">
        <f aca="false">IF($N2506="","",IF(MATCH($N2506,$N$2:$N$3001,0)=ROWS($N$2:$N2506),$N2506,""))</f>
        <v/>
      </c>
    </row>
    <row r="2507" customFormat="false" ht="15" hidden="false" customHeight="false" outlineLevel="0" collapsed="false">
      <c r="E2507" s="25"/>
      <c r="M2507" s="26" t="str">
        <f aca="false">IF($A2507="","",$L2507*$U2507/100)</f>
        <v/>
      </c>
      <c r="W2507" s="26" t="str">
        <f aca="false">IF($A2507="","",U2507*AB2507/100)</f>
        <v/>
      </c>
      <c r="X2507" s="26" t="str">
        <f aca="false">IF($A2507="","",U2507-W2507)</f>
        <v/>
      </c>
      <c r="Y2507" s="26" t="str">
        <f aca="false">IF($A2507="","",U2507-W2507-M2507)</f>
        <v/>
      </c>
      <c r="AB2507" s="27" t="str">
        <f aca="false">IF($A2507="","",IF($AK2507=1,'كشف المطالبة'!$D$5,'كشف المطالبة'!$D$6)*100)</f>
        <v/>
      </c>
      <c r="AK2507" s="28" t="str">
        <f aca="false">IF($A2507="","",IF(OR($Q2507=TRUE(),$Q2507="TRUE"),1,0))</f>
        <v/>
      </c>
      <c r="AL2507" s="28" t="str">
        <f aca="false">IF($N2507="","",IF(MATCH($N2507,$N$2:$N$3001,0)=ROWS($N$2:$N2507),$N2507,""))</f>
        <v/>
      </c>
    </row>
    <row r="2508" customFormat="false" ht="15" hidden="false" customHeight="false" outlineLevel="0" collapsed="false">
      <c r="E2508" s="25"/>
      <c r="M2508" s="26" t="str">
        <f aca="false">IF($A2508="","",$L2508*$U2508/100)</f>
        <v/>
      </c>
      <c r="W2508" s="26" t="str">
        <f aca="false">IF($A2508="","",U2508*AB2508/100)</f>
        <v/>
      </c>
      <c r="X2508" s="26" t="str">
        <f aca="false">IF($A2508="","",U2508-W2508)</f>
        <v/>
      </c>
      <c r="Y2508" s="26" t="str">
        <f aca="false">IF($A2508="","",U2508-W2508-M2508)</f>
        <v/>
      </c>
      <c r="AB2508" s="27" t="str">
        <f aca="false">IF($A2508="","",IF($AK2508=1,'كشف المطالبة'!$D$5,'كشف المطالبة'!$D$6)*100)</f>
        <v/>
      </c>
      <c r="AK2508" s="28" t="str">
        <f aca="false">IF($A2508="","",IF(OR($Q2508=TRUE(),$Q2508="TRUE"),1,0))</f>
        <v/>
      </c>
      <c r="AL2508" s="28" t="str">
        <f aca="false">IF($N2508="","",IF(MATCH($N2508,$N$2:$N$3001,0)=ROWS($N$2:$N2508),$N2508,""))</f>
        <v/>
      </c>
    </row>
    <row r="2509" customFormat="false" ht="15" hidden="false" customHeight="false" outlineLevel="0" collapsed="false">
      <c r="E2509" s="25"/>
      <c r="M2509" s="26" t="str">
        <f aca="false">IF($A2509="","",$L2509*$U2509/100)</f>
        <v/>
      </c>
      <c r="W2509" s="26" t="str">
        <f aca="false">IF($A2509="","",U2509*AB2509/100)</f>
        <v/>
      </c>
      <c r="X2509" s="26" t="str">
        <f aca="false">IF($A2509="","",U2509-W2509)</f>
        <v/>
      </c>
      <c r="Y2509" s="26" t="str">
        <f aca="false">IF($A2509="","",U2509-W2509-M2509)</f>
        <v/>
      </c>
      <c r="AB2509" s="27" t="str">
        <f aca="false">IF($A2509="","",IF($AK2509=1,'كشف المطالبة'!$D$5,'كشف المطالبة'!$D$6)*100)</f>
        <v/>
      </c>
      <c r="AK2509" s="28" t="str">
        <f aca="false">IF($A2509="","",IF(OR($Q2509=TRUE(),$Q2509="TRUE"),1,0))</f>
        <v/>
      </c>
      <c r="AL2509" s="28" t="str">
        <f aca="false">IF($N2509="","",IF(MATCH($N2509,$N$2:$N$3001,0)=ROWS($N$2:$N2509),$N2509,""))</f>
        <v/>
      </c>
    </row>
    <row r="2510" customFormat="false" ht="15" hidden="false" customHeight="false" outlineLevel="0" collapsed="false">
      <c r="E2510" s="25"/>
      <c r="M2510" s="26" t="str">
        <f aca="false">IF($A2510="","",$L2510*$U2510/100)</f>
        <v/>
      </c>
      <c r="W2510" s="26" t="str">
        <f aca="false">IF($A2510="","",U2510*AB2510/100)</f>
        <v/>
      </c>
      <c r="X2510" s="26" t="str">
        <f aca="false">IF($A2510="","",U2510-W2510)</f>
        <v/>
      </c>
      <c r="Y2510" s="26" t="str">
        <f aca="false">IF($A2510="","",U2510-W2510-M2510)</f>
        <v/>
      </c>
      <c r="AB2510" s="27" t="str">
        <f aca="false">IF($A2510="","",IF($AK2510=1,'كشف المطالبة'!$D$5,'كشف المطالبة'!$D$6)*100)</f>
        <v/>
      </c>
      <c r="AK2510" s="28" t="str">
        <f aca="false">IF($A2510="","",IF(OR($Q2510=TRUE(),$Q2510="TRUE"),1,0))</f>
        <v/>
      </c>
      <c r="AL2510" s="28" t="str">
        <f aca="false">IF($N2510="","",IF(MATCH($N2510,$N$2:$N$3001,0)=ROWS($N$2:$N2510),$N2510,""))</f>
        <v/>
      </c>
    </row>
    <row r="2511" customFormat="false" ht="15" hidden="false" customHeight="false" outlineLevel="0" collapsed="false">
      <c r="E2511" s="25"/>
      <c r="M2511" s="26" t="str">
        <f aca="false">IF($A2511="","",$L2511*$U2511/100)</f>
        <v/>
      </c>
      <c r="W2511" s="26" t="str">
        <f aca="false">IF($A2511="","",U2511*AB2511/100)</f>
        <v/>
      </c>
      <c r="X2511" s="26" t="str">
        <f aca="false">IF($A2511="","",U2511-W2511)</f>
        <v/>
      </c>
      <c r="Y2511" s="26" t="str">
        <f aca="false">IF($A2511="","",U2511-W2511-M2511)</f>
        <v/>
      </c>
      <c r="AB2511" s="27" t="str">
        <f aca="false">IF($A2511="","",IF($AK2511=1,'كشف المطالبة'!$D$5,'كشف المطالبة'!$D$6)*100)</f>
        <v/>
      </c>
      <c r="AK2511" s="28" t="str">
        <f aca="false">IF($A2511="","",IF(OR($Q2511=TRUE(),$Q2511="TRUE"),1,0))</f>
        <v/>
      </c>
      <c r="AL2511" s="28" t="str">
        <f aca="false">IF($N2511="","",IF(MATCH($N2511,$N$2:$N$3001,0)=ROWS($N$2:$N2511),$N2511,""))</f>
        <v/>
      </c>
    </row>
    <row r="2512" customFormat="false" ht="15" hidden="false" customHeight="false" outlineLevel="0" collapsed="false">
      <c r="E2512" s="25"/>
      <c r="M2512" s="26" t="str">
        <f aca="false">IF($A2512="","",$L2512*$U2512/100)</f>
        <v/>
      </c>
      <c r="W2512" s="26" t="str">
        <f aca="false">IF($A2512="","",U2512*AB2512/100)</f>
        <v/>
      </c>
      <c r="X2512" s="26" t="str">
        <f aca="false">IF($A2512="","",U2512-W2512)</f>
        <v/>
      </c>
      <c r="Y2512" s="26" t="str">
        <f aca="false">IF($A2512="","",U2512-W2512-M2512)</f>
        <v/>
      </c>
      <c r="AB2512" s="27" t="str">
        <f aca="false">IF($A2512="","",IF($AK2512=1,'كشف المطالبة'!$D$5,'كشف المطالبة'!$D$6)*100)</f>
        <v/>
      </c>
      <c r="AK2512" s="28" t="str">
        <f aca="false">IF($A2512="","",IF(OR($Q2512=TRUE(),$Q2512="TRUE"),1,0))</f>
        <v/>
      </c>
      <c r="AL2512" s="28" t="str">
        <f aca="false">IF($N2512="","",IF(MATCH($N2512,$N$2:$N$3001,0)=ROWS($N$2:$N2512),$N2512,""))</f>
        <v/>
      </c>
    </row>
    <row r="2513" customFormat="false" ht="15" hidden="false" customHeight="false" outlineLevel="0" collapsed="false">
      <c r="E2513" s="25"/>
      <c r="M2513" s="26" t="str">
        <f aca="false">IF($A2513="","",$L2513*$U2513/100)</f>
        <v/>
      </c>
      <c r="W2513" s="26" t="str">
        <f aca="false">IF($A2513="","",U2513*AB2513/100)</f>
        <v/>
      </c>
      <c r="X2513" s="26" t="str">
        <f aca="false">IF($A2513="","",U2513-W2513)</f>
        <v/>
      </c>
      <c r="Y2513" s="26" t="str">
        <f aca="false">IF($A2513="","",U2513-W2513-M2513)</f>
        <v/>
      </c>
      <c r="AB2513" s="27" t="str">
        <f aca="false">IF($A2513="","",IF($AK2513=1,'كشف المطالبة'!$D$5,'كشف المطالبة'!$D$6)*100)</f>
        <v/>
      </c>
      <c r="AK2513" s="28" t="str">
        <f aca="false">IF($A2513="","",IF(OR($Q2513=TRUE(),$Q2513="TRUE"),1,0))</f>
        <v/>
      </c>
      <c r="AL2513" s="28" t="str">
        <f aca="false">IF($N2513="","",IF(MATCH($N2513,$N$2:$N$3001,0)=ROWS($N$2:$N2513),$N2513,""))</f>
        <v/>
      </c>
    </row>
    <row r="2514" customFormat="false" ht="15" hidden="false" customHeight="false" outlineLevel="0" collapsed="false">
      <c r="E2514" s="25"/>
      <c r="M2514" s="26" t="str">
        <f aca="false">IF($A2514="","",$L2514*$U2514/100)</f>
        <v/>
      </c>
      <c r="W2514" s="26" t="str">
        <f aca="false">IF($A2514="","",U2514*AB2514/100)</f>
        <v/>
      </c>
      <c r="X2514" s="26" t="str">
        <f aca="false">IF($A2514="","",U2514-W2514)</f>
        <v/>
      </c>
      <c r="Y2514" s="26" t="str">
        <f aca="false">IF($A2514="","",U2514-W2514-M2514)</f>
        <v/>
      </c>
      <c r="AB2514" s="27" t="str">
        <f aca="false">IF($A2514="","",IF($AK2514=1,'كشف المطالبة'!$D$5,'كشف المطالبة'!$D$6)*100)</f>
        <v/>
      </c>
      <c r="AK2514" s="28" t="str">
        <f aca="false">IF($A2514="","",IF(OR($Q2514=TRUE(),$Q2514="TRUE"),1,0))</f>
        <v/>
      </c>
      <c r="AL2514" s="28" t="str">
        <f aca="false">IF($N2514="","",IF(MATCH($N2514,$N$2:$N$3001,0)=ROWS($N$2:$N2514),$N2514,""))</f>
        <v/>
      </c>
    </row>
    <row r="2515" customFormat="false" ht="15" hidden="false" customHeight="false" outlineLevel="0" collapsed="false">
      <c r="E2515" s="25"/>
      <c r="M2515" s="26" t="str">
        <f aca="false">IF($A2515="","",$L2515*$U2515/100)</f>
        <v/>
      </c>
      <c r="W2515" s="26" t="str">
        <f aca="false">IF($A2515="","",U2515*AB2515/100)</f>
        <v/>
      </c>
      <c r="X2515" s="26" t="str">
        <f aca="false">IF($A2515="","",U2515-W2515)</f>
        <v/>
      </c>
      <c r="Y2515" s="26" t="str">
        <f aca="false">IF($A2515="","",U2515-W2515-M2515)</f>
        <v/>
      </c>
      <c r="AB2515" s="27" t="str">
        <f aca="false">IF($A2515="","",IF($AK2515=1,'كشف المطالبة'!$D$5,'كشف المطالبة'!$D$6)*100)</f>
        <v/>
      </c>
      <c r="AK2515" s="28" t="str">
        <f aca="false">IF($A2515="","",IF(OR($Q2515=TRUE(),$Q2515="TRUE"),1,0))</f>
        <v/>
      </c>
      <c r="AL2515" s="28" t="str">
        <f aca="false">IF($N2515="","",IF(MATCH($N2515,$N$2:$N$3001,0)=ROWS($N$2:$N2515),$N2515,""))</f>
        <v/>
      </c>
    </row>
    <row r="2516" customFormat="false" ht="15" hidden="false" customHeight="false" outlineLevel="0" collapsed="false">
      <c r="E2516" s="25"/>
      <c r="M2516" s="26" t="str">
        <f aca="false">IF($A2516="","",$L2516*$U2516/100)</f>
        <v/>
      </c>
      <c r="W2516" s="26" t="str">
        <f aca="false">IF($A2516="","",U2516*AB2516/100)</f>
        <v/>
      </c>
      <c r="X2516" s="26" t="str">
        <f aca="false">IF($A2516="","",U2516-W2516)</f>
        <v/>
      </c>
      <c r="Y2516" s="26" t="str">
        <f aca="false">IF($A2516="","",U2516-W2516-M2516)</f>
        <v/>
      </c>
      <c r="AB2516" s="27" t="str">
        <f aca="false">IF($A2516="","",IF($AK2516=1,'كشف المطالبة'!$D$5,'كشف المطالبة'!$D$6)*100)</f>
        <v/>
      </c>
      <c r="AK2516" s="28" t="str">
        <f aca="false">IF($A2516="","",IF(OR($Q2516=TRUE(),$Q2516="TRUE"),1,0))</f>
        <v/>
      </c>
      <c r="AL2516" s="28" t="str">
        <f aca="false">IF($N2516="","",IF(MATCH($N2516,$N$2:$N$3001,0)=ROWS($N$2:$N2516),$N2516,""))</f>
        <v/>
      </c>
    </row>
    <row r="2517" customFormat="false" ht="15" hidden="false" customHeight="false" outlineLevel="0" collapsed="false">
      <c r="E2517" s="25"/>
      <c r="M2517" s="26" t="str">
        <f aca="false">IF($A2517="","",$L2517*$U2517/100)</f>
        <v/>
      </c>
      <c r="W2517" s="26" t="str">
        <f aca="false">IF($A2517="","",U2517*AB2517/100)</f>
        <v/>
      </c>
      <c r="X2517" s="26" t="str">
        <f aca="false">IF($A2517="","",U2517-W2517)</f>
        <v/>
      </c>
      <c r="Y2517" s="26" t="str">
        <f aca="false">IF($A2517="","",U2517-W2517-M2517)</f>
        <v/>
      </c>
      <c r="AB2517" s="27" t="str">
        <f aca="false">IF($A2517="","",IF($AK2517=1,'كشف المطالبة'!$D$5,'كشف المطالبة'!$D$6)*100)</f>
        <v/>
      </c>
      <c r="AK2517" s="28" t="str">
        <f aca="false">IF($A2517="","",IF(OR($Q2517=TRUE(),$Q2517="TRUE"),1,0))</f>
        <v/>
      </c>
      <c r="AL2517" s="28" t="str">
        <f aca="false">IF($N2517="","",IF(MATCH($N2517,$N$2:$N$3001,0)=ROWS($N$2:$N2517),$N2517,""))</f>
        <v/>
      </c>
    </row>
    <row r="2518" customFormat="false" ht="15" hidden="false" customHeight="false" outlineLevel="0" collapsed="false">
      <c r="E2518" s="25"/>
      <c r="M2518" s="26" t="str">
        <f aca="false">IF($A2518="","",$L2518*$U2518/100)</f>
        <v/>
      </c>
      <c r="W2518" s="26" t="str">
        <f aca="false">IF($A2518="","",U2518*AB2518/100)</f>
        <v/>
      </c>
      <c r="X2518" s="26" t="str">
        <f aca="false">IF($A2518="","",U2518-W2518)</f>
        <v/>
      </c>
      <c r="Y2518" s="26" t="str">
        <f aca="false">IF($A2518="","",U2518-W2518-M2518)</f>
        <v/>
      </c>
      <c r="AB2518" s="27" t="str">
        <f aca="false">IF($A2518="","",IF($AK2518=1,'كشف المطالبة'!$D$5,'كشف المطالبة'!$D$6)*100)</f>
        <v/>
      </c>
      <c r="AK2518" s="28" t="str">
        <f aca="false">IF($A2518="","",IF(OR($Q2518=TRUE(),$Q2518="TRUE"),1,0))</f>
        <v/>
      </c>
      <c r="AL2518" s="28" t="str">
        <f aca="false">IF($N2518="","",IF(MATCH($N2518,$N$2:$N$3001,0)=ROWS($N$2:$N2518),$N2518,""))</f>
        <v/>
      </c>
    </row>
    <row r="2519" customFormat="false" ht="15" hidden="false" customHeight="false" outlineLevel="0" collapsed="false">
      <c r="E2519" s="25"/>
      <c r="M2519" s="26" t="str">
        <f aca="false">IF($A2519="","",$L2519*$U2519/100)</f>
        <v/>
      </c>
      <c r="W2519" s="26" t="str">
        <f aca="false">IF($A2519="","",U2519*AB2519/100)</f>
        <v/>
      </c>
      <c r="X2519" s="26" t="str">
        <f aca="false">IF($A2519="","",U2519-W2519)</f>
        <v/>
      </c>
      <c r="Y2519" s="26" t="str">
        <f aca="false">IF($A2519="","",U2519-W2519-M2519)</f>
        <v/>
      </c>
      <c r="AB2519" s="27" t="str">
        <f aca="false">IF($A2519="","",IF($AK2519=1,'كشف المطالبة'!$D$5,'كشف المطالبة'!$D$6)*100)</f>
        <v/>
      </c>
      <c r="AK2519" s="28" t="str">
        <f aca="false">IF($A2519="","",IF(OR($Q2519=TRUE(),$Q2519="TRUE"),1,0))</f>
        <v/>
      </c>
      <c r="AL2519" s="28" t="str">
        <f aca="false">IF($N2519="","",IF(MATCH($N2519,$N$2:$N$3001,0)=ROWS($N$2:$N2519),$N2519,""))</f>
        <v/>
      </c>
    </row>
    <row r="2520" customFormat="false" ht="15" hidden="false" customHeight="false" outlineLevel="0" collapsed="false">
      <c r="E2520" s="25"/>
      <c r="M2520" s="26" t="str">
        <f aca="false">IF($A2520="","",$L2520*$U2520/100)</f>
        <v/>
      </c>
      <c r="W2520" s="26" t="str">
        <f aca="false">IF($A2520="","",U2520*AB2520/100)</f>
        <v/>
      </c>
      <c r="X2520" s="26" t="str">
        <f aca="false">IF($A2520="","",U2520-W2520)</f>
        <v/>
      </c>
      <c r="Y2520" s="26" t="str">
        <f aca="false">IF($A2520="","",U2520-W2520-M2520)</f>
        <v/>
      </c>
      <c r="AB2520" s="27" t="str">
        <f aca="false">IF($A2520="","",IF($AK2520=1,'كشف المطالبة'!$D$5,'كشف المطالبة'!$D$6)*100)</f>
        <v/>
      </c>
      <c r="AK2520" s="28" t="str">
        <f aca="false">IF($A2520="","",IF(OR($Q2520=TRUE(),$Q2520="TRUE"),1,0))</f>
        <v/>
      </c>
      <c r="AL2520" s="28" t="str">
        <f aca="false">IF($N2520="","",IF(MATCH($N2520,$N$2:$N$3001,0)=ROWS($N$2:$N2520),$N2520,""))</f>
        <v/>
      </c>
    </row>
    <row r="2521" customFormat="false" ht="15" hidden="false" customHeight="false" outlineLevel="0" collapsed="false">
      <c r="E2521" s="25"/>
      <c r="M2521" s="26" t="str">
        <f aca="false">IF($A2521="","",$L2521*$U2521/100)</f>
        <v/>
      </c>
      <c r="W2521" s="26" t="str">
        <f aca="false">IF($A2521="","",U2521*AB2521/100)</f>
        <v/>
      </c>
      <c r="X2521" s="26" t="str">
        <f aca="false">IF($A2521="","",U2521-W2521)</f>
        <v/>
      </c>
      <c r="Y2521" s="26" t="str">
        <f aca="false">IF($A2521="","",U2521-W2521-M2521)</f>
        <v/>
      </c>
      <c r="AB2521" s="27" t="str">
        <f aca="false">IF($A2521="","",IF($AK2521=1,'كشف المطالبة'!$D$5,'كشف المطالبة'!$D$6)*100)</f>
        <v/>
      </c>
      <c r="AK2521" s="28" t="str">
        <f aca="false">IF($A2521="","",IF(OR($Q2521=TRUE(),$Q2521="TRUE"),1,0))</f>
        <v/>
      </c>
      <c r="AL2521" s="28" t="str">
        <f aca="false">IF($N2521="","",IF(MATCH($N2521,$N$2:$N$3001,0)=ROWS($N$2:$N2521),$N2521,""))</f>
        <v/>
      </c>
    </row>
    <row r="2522" customFormat="false" ht="15" hidden="false" customHeight="false" outlineLevel="0" collapsed="false">
      <c r="E2522" s="25"/>
      <c r="M2522" s="26" t="str">
        <f aca="false">IF($A2522="","",$L2522*$U2522/100)</f>
        <v/>
      </c>
      <c r="W2522" s="26" t="str">
        <f aca="false">IF($A2522="","",U2522*AB2522/100)</f>
        <v/>
      </c>
      <c r="X2522" s="26" t="str">
        <f aca="false">IF($A2522="","",U2522-W2522)</f>
        <v/>
      </c>
      <c r="Y2522" s="26" t="str">
        <f aca="false">IF($A2522="","",U2522-W2522-M2522)</f>
        <v/>
      </c>
      <c r="AB2522" s="27" t="str">
        <f aca="false">IF($A2522="","",IF($AK2522=1,'كشف المطالبة'!$D$5,'كشف المطالبة'!$D$6)*100)</f>
        <v/>
      </c>
      <c r="AK2522" s="28" t="str">
        <f aca="false">IF($A2522="","",IF(OR($Q2522=TRUE(),$Q2522="TRUE"),1,0))</f>
        <v/>
      </c>
      <c r="AL2522" s="28" t="str">
        <f aca="false">IF($N2522="","",IF(MATCH($N2522,$N$2:$N$3001,0)=ROWS($N$2:$N2522),$N2522,""))</f>
        <v/>
      </c>
    </row>
    <row r="2523" customFormat="false" ht="15" hidden="false" customHeight="false" outlineLevel="0" collapsed="false">
      <c r="E2523" s="25"/>
      <c r="M2523" s="26" t="str">
        <f aca="false">IF($A2523="","",$L2523*$U2523/100)</f>
        <v/>
      </c>
      <c r="W2523" s="26" t="str">
        <f aca="false">IF($A2523="","",U2523*AB2523/100)</f>
        <v/>
      </c>
      <c r="X2523" s="26" t="str">
        <f aca="false">IF($A2523="","",U2523-W2523)</f>
        <v/>
      </c>
      <c r="Y2523" s="26" t="str">
        <f aca="false">IF($A2523="","",U2523-W2523-M2523)</f>
        <v/>
      </c>
      <c r="AB2523" s="27" t="str">
        <f aca="false">IF($A2523="","",IF($AK2523=1,'كشف المطالبة'!$D$5,'كشف المطالبة'!$D$6)*100)</f>
        <v/>
      </c>
      <c r="AK2523" s="28" t="str">
        <f aca="false">IF($A2523="","",IF(OR($Q2523=TRUE(),$Q2523="TRUE"),1,0))</f>
        <v/>
      </c>
      <c r="AL2523" s="28" t="str">
        <f aca="false">IF($N2523="","",IF(MATCH($N2523,$N$2:$N$3001,0)=ROWS($N$2:$N2523),$N2523,""))</f>
        <v/>
      </c>
    </row>
    <row r="2524" customFormat="false" ht="15" hidden="false" customHeight="false" outlineLevel="0" collapsed="false">
      <c r="E2524" s="25"/>
      <c r="M2524" s="26" t="str">
        <f aca="false">IF($A2524="","",$L2524*$U2524/100)</f>
        <v/>
      </c>
      <c r="W2524" s="26" t="str">
        <f aca="false">IF($A2524="","",U2524*AB2524/100)</f>
        <v/>
      </c>
      <c r="X2524" s="26" t="str">
        <f aca="false">IF($A2524="","",U2524-W2524)</f>
        <v/>
      </c>
      <c r="Y2524" s="26" t="str">
        <f aca="false">IF($A2524="","",U2524-W2524-M2524)</f>
        <v/>
      </c>
      <c r="AB2524" s="27" t="str">
        <f aca="false">IF($A2524="","",IF($AK2524=1,'كشف المطالبة'!$D$5,'كشف المطالبة'!$D$6)*100)</f>
        <v/>
      </c>
      <c r="AK2524" s="28" t="str">
        <f aca="false">IF($A2524="","",IF(OR($Q2524=TRUE(),$Q2524="TRUE"),1,0))</f>
        <v/>
      </c>
      <c r="AL2524" s="28" t="str">
        <f aca="false">IF($N2524="","",IF(MATCH($N2524,$N$2:$N$3001,0)=ROWS($N$2:$N2524),$N2524,""))</f>
        <v/>
      </c>
    </row>
    <row r="2525" customFormat="false" ht="15" hidden="false" customHeight="false" outlineLevel="0" collapsed="false">
      <c r="E2525" s="25"/>
      <c r="M2525" s="26" t="str">
        <f aca="false">IF($A2525="","",$L2525*$U2525/100)</f>
        <v/>
      </c>
      <c r="W2525" s="26" t="str">
        <f aca="false">IF($A2525="","",U2525*AB2525/100)</f>
        <v/>
      </c>
      <c r="X2525" s="26" t="str">
        <f aca="false">IF($A2525="","",U2525-W2525)</f>
        <v/>
      </c>
      <c r="Y2525" s="26" t="str">
        <f aca="false">IF($A2525="","",U2525-W2525-M2525)</f>
        <v/>
      </c>
      <c r="AB2525" s="27" t="str">
        <f aca="false">IF($A2525="","",IF($AK2525=1,'كشف المطالبة'!$D$5,'كشف المطالبة'!$D$6)*100)</f>
        <v/>
      </c>
      <c r="AK2525" s="28" t="str">
        <f aca="false">IF($A2525="","",IF(OR($Q2525=TRUE(),$Q2525="TRUE"),1,0))</f>
        <v/>
      </c>
      <c r="AL2525" s="28" t="str">
        <f aca="false">IF($N2525="","",IF(MATCH($N2525,$N$2:$N$3001,0)=ROWS($N$2:$N2525),$N2525,""))</f>
        <v/>
      </c>
    </row>
    <row r="2526" customFormat="false" ht="15" hidden="false" customHeight="false" outlineLevel="0" collapsed="false">
      <c r="E2526" s="25"/>
      <c r="M2526" s="26" t="str">
        <f aca="false">IF($A2526="","",$L2526*$U2526/100)</f>
        <v/>
      </c>
      <c r="W2526" s="26" t="str">
        <f aca="false">IF($A2526="","",U2526*AB2526/100)</f>
        <v/>
      </c>
      <c r="X2526" s="26" t="str">
        <f aca="false">IF($A2526="","",U2526-W2526)</f>
        <v/>
      </c>
      <c r="Y2526" s="26" t="str">
        <f aca="false">IF($A2526="","",U2526-W2526-M2526)</f>
        <v/>
      </c>
      <c r="AB2526" s="27" t="str">
        <f aca="false">IF($A2526="","",IF($AK2526=1,'كشف المطالبة'!$D$5,'كشف المطالبة'!$D$6)*100)</f>
        <v/>
      </c>
      <c r="AK2526" s="28" t="str">
        <f aca="false">IF($A2526="","",IF(OR($Q2526=TRUE(),$Q2526="TRUE"),1,0))</f>
        <v/>
      </c>
      <c r="AL2526" s="28" t="str">
        <f aca="false">IF($N2526="","",IF(MATCH($N2526,$N$2:$N$3001,0)=ROWS($N$2:$N2526),$N2526,""))</f>
        <v/>
      </c>
    </row>
    <row r="2527" customFormat="false" ht="15" hidden="false" customHeight="false" outlineLevel="0" collapsed="false">
      <c r="E2527" s="25"/>
      <c r="M2527" s="26" t="str">
        <f aca="false">IF($A2527="","",$L2527*$U2527/100)</f>
        <v/>
      </c>
      <c r="W2527" s="26" t="str">
        <f aca="false">IF($A2527="","",U2527*AB2527/100)</f>
        <v/>
      </c>
      <c r="X2527" s="26" t="str">
        <f aca="false">IF($A2527="","",U2527-W2527)</f>
        <v/>
      </c>
      <c r="Y2527" s="26" t="str">
        <f aca="false">IF($A2527="","",U2527-W2527-M2527)</f>
        <v/>
      </c>
      <c r="AB2527" s="27" t="str">
        <f aca="false">IF($A2527="","",IF($AK2527=1,'كشف المطالبة'!$D$5,'كشف المطالبة'!$D$6)*100)</f>
        <v/>
      </c>
      <c r="AK2527" s="28" t="str">
        <f aca="false">IF($A2527="","",IF(OR($Q2527=TRUE(),$Q2527="TRUE"),1,0))</f>
        <v/>
      </c>
      <c r="AL2527" s="28" t="str">
        <f aca="false">IF($N2527="","",IF(MATCH($N2527,$N$2:$N$3001,0)=ROWS($N$2:$N2527),$N2527,""))</f>
        <v/>
      </c>
    </row>
    <row r="2528" customFormat="false" ht="15" hidden="false" customHeight="false" outlineLevel="0" collapsed="false">
      <c r="E2528" s="25"/>
      <c r="M2528" s="26" t="str">
        <f aca="false">IF($A2528="","",$L2528*$U2528/100)</f>
        <v/>
      </c>
      <c r="W2528" s="26" t="str">
        <f aca="false">IF($A2528="","",U2528*AB2528/100)</f>
        <v/>
      </c>
      <c r="X2528" s="26" t="str">
        <f aca="false">IF($A2528="","",U2528-W2528)</f>
        <v/>
      </c>
      <c r="Y2528" s="26" t="str">
        <f aca="false">IF($A2528="","",U2528-W2528-M2528)</f>
        <v/>
      </c>
      <c r="AB2528" s="27" t="str">
        <f aca="false">IF($A2528="","",IF($AK2528=1,'كشف المطالبة'!$D$5,'كشف المطالبة'!$D$6)*100)</f>
        <v/>
      </c>
      <c r="AK2528" s="28" t="str">
        <f aca="false">IF($A2528="","",IF(OR($Q2528=TRUE(),$Q2528="TRUE"),1,0))</f>
        <v/>
      </c>
      <c r="AL2528" s="28" t="str">
        <f aca="false">IF($N2528="","",IF(MATCH($N2528,$N$2:$N$3001,0)=ROWS($N$2:$N2528),$N2528,""))</f>
        <v/>
      </c>
    </row>
    <row r="2529" customFormat="false" ht="15" hidden="false" customHeight="false" outlineLevel="0" collapsed="false">
      <c r="E2529" s="25"/>
      <c r="M2529" s="26" t="str">
        <f aca="false">IF($A2529="","",$L2529*$U2529/100)</f>
        <v/>
      </c>
      <c r="W2529" s="26" t="str">
        <f aca="false">IF($A2529="","",U2529*AB2529/100)</f>
        <v/>
      </c>
      <c r="X2529" s="26" t="str">
        <f aca="false">IF($A2529="","",U2529-W2529)</f>
        <v/>
      </c>
      <c r="Y2529" s="26" t="str">
        <f aca="false">IF($A2529="","",U2529-W2529-M2529)</f>
        <v/>
      </c>
      <c r="AB2529" s="27" t="str">
        <f aca="false">IF($A2529="","",IF($AK2529=1,'كشف المطالبة'!$D$5,'كشف المطالبة'!$D$6)*100)</f>
        <v/>
      </c>
      <c r="AK2529" s="28" t="str">
        <f aca="false">IF($A2529="","",IF(OR($Q2529=TRUE(),$Q2529="TRUE"),1,0))</f>
        <v/>
      </c>
      <c r="AL2529" s="28" t="str">
        <f aca="false">IF($N2529="","",IF(MATCH($N2529,$N$2:$N$3001,0)=ROWS($N$2:$N2529),$N2529,""))</f>
        <v/>
      </c>
    </row>
    <row r="2530" customFormat="false" ht="15" hidden="false" customHeight="false" outlineLevel="0" collapsed="false">
      <c r="E2530" s="25"/>
      <c r="M2530" s="26" t="str">
        <f aca="false">IF($A2530="","",$L2530*$U2530/100)</f>
        <v/>
      </c>
      <c r="W2530" s="26" t="str">
        <f aca="false">IF($A2530="","",U2530*AB2530/100)</f>
        <v/>
      </c>
      <c r="X2530" s="26" t="str">
        <f aca="false">IF($A2530="","",U2530-W2530)</f>
        <v/>
      </c>
      <c r="Y2530" s="26" t="str">
        <f aca="false">IF($A2530="","",U2530-W2530-M2530)</f>
        <v/>
      </c>
      <c r="AB2530" s="27" t="str">
        <f aca="false">IF($A2530="","",IF($AK2530=1,'كشف المطالبة'!$D$5,'كشف المطالبة'!$D$6)*100)</f>
        <v/>
      </c>
      <c r="AK2530" s="28" t="str">
        <f aca="false">IF($A2530="","",IF(OR($Q2530=TRUE(),$Q2530="TRUE"),1,0))</f>
        <v/>
      </c>
      <c r="AL2530" s="28" t="str">
        <f aca="false">IF($N2530="","",IF(MATCH($N2530,$N$2:$N$3001,0)=ROWS($N$2:$N2530),$N2530,""))</f>
        <v/>
      </c>
    </row>
    <row r="2531" customFormat="false" ht="15" hidden="false" customHeight="false" outlineLevel="0" collapsed="false">
      <c r="E2531" s="25"/>
      <c r="M2531" s="26" t="str">
        <f aca="false">IF($A2531="","",$L2531*$U2531/100)</f>
        <v/>
      </c>
      <c r="W2531" s="26" t="str">
        <f aca="false">IF($A2531="","",U2531*AB2531/100)</f>
        <v/>
      </c>
      <c r="X2531" s="26" t="str">
        <f aca="false">IF($A2531="","",U2531-W2531)</f>
        <v/>
      </c>
      <c r="Y2531" s="26" t="str">
        <f aca="false">IF($A2531="","",U2531-W2531-M2531)</f>
        <v/>
      </c>
      <c r="AB2531" s="27" t="str">
        <f aca="false">IF($A2531="","",IF($AK2531=1,'كشف المطالبة'!$D$5,'كشف المطالبة'!$D$6)*100)</f>
        <v/>
      </c>
      <c r="AK2531" s="28" t="str">
        <f aca="false">IF($A2531="","",IF(OR($Q2531=TRUE(),$Q2531="TRUE"),1,0))</f>
        <v/>
      </c>
      <c r="AL2531" s="28" t="str">
        <f aca="false">IF($N2531="","",IF(MATCH($N2531,$N$2:$N$3001,0)=ROWS($N$2:$N2531),$N2531,""))</f>
        <v/>
      </c>
    </row>
    <row r="2532" customFormat="false" ht="15" hidden="false" customHeight="false" outlineLevel="0" collapsed="false">
      <c r="E2532" s="25"/>
      <c r="M2532" s="26" t="str">
        <f aca="false">IF($A2532="","",$L2532*$U2532/100)</f>
        <v/>
      </c>
      <c r="W2532" s="26" t="str">
        <f aca="false">IF($A2532="","",U2532*AB2532/100)</f>
        <v/>
      </c>
      <c r="X2532" s="26" t="str">
        <f aca="false">IF($A2532="","",U2532-W2532)</f>
        <v/>
      </c>
      <c r="Y2532" s="26" t="str">
        <f aca="false">IF($A2532="","",U2532-W2532-M2532)</f>
        <v/>
      </c>
      <c r="AB2532" s="27" t="str">
        <f aca="false">IF($A2532="","",IF($AK2532=1,'كشف المطالبة'!$D$5,'كشف المطالبة'!$D$6)*100)</f>
        <v/>
      </c>
      <c r="AK2532" s="28" t="str">
        <f aca="false">IF($A2532="","",IF(OR($Q2532=TRUE(),$Q2532="TRUE"),1,0))</f>
        <v/>
      </c>
      <c r="AL2532" s="28" t="str">
        <f aca="false">IF($N2532="","",IF(MATCH($N2532,$N$2:$N$3001,0)=ROWS($N$2:$N2532),$N2532,""))</f>
        <v/>
      </c>
    </row>
    <row r="2533" customFormat="false" ht="15" hidden="false" customHeight="false" outlineLevel="0" collapsed="false">
      <c r="E2533" s="25"/>
      <c r="M2533" s="26" t="str">
        <f aca="false">IF($A2533="","",$L2533*$U2533/100)</f>
        <v/>
      </c>
      <c r="W2533" s="26" t="str">
        <f aca="false">IF($A2533="","",U2533*AB2533/100)</f>
        <v/>
      </c>
      <c r="X2533" s="26" t="str">
        <f aca="false">IF($A2533="","",U2533-W2533)</f>
        <v/>
      </c>
      <c r="Y2533" s="26" t="str">
        <f aca="false">IF($A2533="","",U2533-W2533-M2533)</f>
        <v/>
      </c>
      <c r="AB2533" s="27" t="str">
        <f aca="false">IF($A2533="","",IF($AK2533=1,'كشف المطالبة'!$D$5,'كشف المطالبة'!$D$6)*100)</f>
        <v/>
      </c>
      <c r="AK2533" s="28" t="str">
        <f aca="false">IF($A2533="","",IF(OR($Q2533=TRUE(),$Q2533="TRUE"),1,0))</f>
        <v/>
      </c>
      <c r="AL2533" s="28" t="str">
        <f aca="false">IF($N2533="","",IF(MATCH($N2533,$N$2:$N$3001,0)=ROWS($N$2:$N2533),$N2533,""))</f>
        <v/>
      </c>
    </row>
    <row r="2534" customFormat="false" ht="15" hidden="false" customHeight="false" outlineLevel="0" collapsed="false">
      <c r="E2534" s="25"/>
      <c r="M2534" s="26" t="str">
        <f aca="false">IF($A2534="","",$L2534*$U2534/100)</f>
        <v/>
      </c>
      <c r="W2534" s="26" t="str">
        <f aca="false">IF($A2534="","",U2534*AB2534/100)</f>
        <v/>
      </c>
      <c r="X2534" s="26" t="str">
        <f aca="false">IF($A2534="","",U2534-W2534)</f>
        <v/>
      </c>
      <c r="Y2534" s="26" t="str">
        <f aca="false">IF($A2534="","",U2534-W2534-M2534)</f>
        <v/>
      </c>
      <c r="AB2534" s="27" t="str">
        <f aca="false">IF($A2534="","",IF($AK2534=1,'كشف المطالبة'!$D$5,'كشف المطالبة'!$D$6)*100)</f>
        <v/>
      </c>
      <c r="AK2534" s="28" t="str">
        <f aca="false">IF($A2534="","",IF(OR($Q2534=TRUE(),$Q2534="TRUE"),1,0))</f>
        <v/>
      </c>
      <c r="AL2534" s="28" t="str">
        <f aca="false">IF($N2534="","",IF(MATCH($N2534,$N$2:$N$3001,0)=ROWS($N$2:$N2534),$N2534,""))</f>
        <v/>
      </c>
    </row>
    <row r="2535" customFormat="false" ht="15" hidden="false" customHeight="false" outlineLevel="0" collapsed="false">
      <c r="E2535" s="25"/>
      <c r="M2535" s="26" t="str">
        <f aca="false">IF($A2535="","",$L2535*$U2535/100)</f>
        <v/>
      </c>
      <c r="W2535" s="26" t="str">
        <f aca="false">IF($A2535="","",U2535*AB2535/100)</f>
        <v/>
      </c>
      <c r="X2535" s="26" t="str">
        <f aca="false">IF($A2535="","",U2535-W2535)</f>
        <v/>
      </c>
      <c r="Y2535" s="26" t="str">
        <f aca="false">IF($A2535="","",U2535-W2535-M2535)</f>
        <v/>
      </c>
      <c r="AB2535" s="27" t="str">
        <f aca="false">IF($A2535="","",IF($AK2535=1,'كشف المطالبة'!$D$5,'كشف المطالبة'!$D$6)*100)</f>
        <v/>
      </c>
      <c r="AK2535" s="28" t="str">
        <f aca="false">IF($A2535="","",IF(OR($Q2535=TRUE(),$Q2535="TRUE"),1,0))</f>
        <v/>
      </c>
      <c r="AL2535" s="28" t="str">
        <f aca="false">IF($N2535="","",IF(MATCH($N2535,$N$2:$N$3001,0)=ROWS($N$2:$N2535),$N2535,""))</f>
        <v/>
      </c>
    </row>
    <row r="2536" customFormat="false" ht="15" hidden="false" customHeight="false" outlineLevel="0" collapsed="false">
      <c r="E2536" s="25"/>
      <c r="M2536" s="26" t="str">
        <f aca="false">IF($A2536="","",$L2536*$U2536/100)</f>
        <v/>
      </c>
      <c r="W2536" s="26" t="str">
        <f aca="false">IF($A2536="","",U2536*AB2536/100)</f>
        <v/>
      </c>
      <c r="X2536" s="26" t="str">
        <f aca="false">IF($A2536="","",U2536-W2536)</f>
        <v/>
      </c>
      <c r="Y2536" s="26" t="str">
        <f aca="false">IF($A2536="","",U2536-W2536-M2536)</f>
        <v/>
      </c>
      <c r="AB2536" s="27" t="str">
        <f aca="false">IF($A2536="","",IF($AK2536=1,'كشف المطالبة'!$D$5,'كشف المطالبة'!$D$6)*100)</f>
        <v/>
      </c>
      <c r="AK2536" s="28" t="str">
        <f aca="false">IF($A2536="","",IF(OR($Q2536=TRUE(),$Q2536="TRUE"),1,0))</f>
        <v/>
      </c>
      <c r="AL2536" s="28" t="str">
        <f aca="false">IF($N2536="","",IF(MATCH($N2536,$N$2:$N$3001,0)=ROWS($N$2:$N2536),$N2536,""))</f>
        <v/>
      </c>
    </row>
    <row r="2537" customFormat="false" ht="15" hidden="false" customHeight="false" outlineLevel="0" collapsed="false">
      <c r="E2537" s="25"/>
      <c r="M2537" s="26" t="str">
        <f aca="false">IF($A2537="","",$L2537*$U2537/100)</f>
        <v/>
      </c>
      <c r="W2537" s="26" t="str">
        <f aca="false">IF($A2537="","",U2537*AB2537/100)</f>
        <v/>
      </c>
      <c r="X2537" s="26" t="str">
        <f aca="false">IF($A2537="","",U2537-W2537)</f>
        <v/>
      </c>
      <c r="Y2537" s="26" t="str">
        <f aca="false">IF($A2537="","",U2537-W2537-M2537)</f>
        <v/>
      </c>
      <c r="AB2537" s="27" t="str">
        <f aca="false">IF($A2537="","",IF($AK2537=1,'كشف المطالبة'!$D$5,'كشف المطالبة'!$D$6)*100)</f>
        <v/>
      </c>
      <c r="AK2537" s="28" t="str">
        <f aca="false">IF($A2537="","",IF(OR($Q2537=TRUE(),$Q2537="TRUE"),1,0))</f>
        <v/>
      </c>
      <c r="AL2537" s="28" t="str">
        <f aca="false">IF($N2537="","",IF(MATCH($N2537,$N$2:$N$3001,0)=ROWS($N$2:$N2537),$N2537,""))</f>
        <v/>
      </c>
    </row>
    <row r="2538" customFormat="false" ht="15" hidden="false" customHeight="false" outlineLevel="0" collapsed="false">
      <c r="E2538" s="25"/>
      <c r="M2538" s="26" t="str">
        <f aca="false">IF($A2538="","",$L2538*$U2538/100)</f>
        <v/>
      </c>
      <c r="W2538" s="26" t="str">
        <f aca="false">IF($A2538="","",U2538*AB2538/100)</f>
        <v/>
      </c>
      <c r="X2538" s="26" t="str">
        <f aca="false">IF($A2538="","",U2538-W2538)</f>
        <v/>
      </c>
      <c r="Y2538" s="26" t="str">
        <f aca="false">IF($A2538="","",U2538-W2538-M2538)</f>
        <v/>
      </c>
      <c r="AB2538" s="27" t="str">
        <f aca="false">IF($A2538="","",IF($AK2538=1,'كشف المطالبة'!$D$5,'كشف المطالبة'!$D$6)*100)</f>
        <v/>
      </c>
      <c r="AK2538" s="28" t="str">
        <f aca="false">IF($A2538="","",IF(OR($Q2538=TRUE(),$Q2538="TRUE"),1,0))</f>
        <v/>
      </c>
      <c r="AL2538" s="28" t="str">
        <f aca="false">IF($N2538="","",IF(MATCH($N2538,$N$2:$N$3001,0)=ROWS($N$2:$N2538),$N2538,""))</f>
        <v/>
      </c>
    </row>
    <row r="2539" customFormat="false" ht="15" hidden="false" customHeight="false" outlineLevel="0" collapsed="false">
      <c r="E2539" s="25"/>
      <c r="M2539" s="26" t="str">
        <f aca="false">IF($A2539="","",$L2539*$U2539/100)</f>
        <v/>
      </c>
      <c r="W2539" s="26" t="str">
        <f aca="false">IF($A2539="","",U2539*AB2539/100)</f>
        <v/>
      </c>
      <c r="X2539" s="26" t="str">
        <f aca="false">IF($A2539="","",U2539-W2539)</f>
        <v/>
      </c>
      <c r="Y2539" s="26" t="str">
        <f aca="false">IF($A2539="","",U2539-W2539-M2539)</f>
        <v/>
      </c>
      <c r="AB2539" s="27" t="str">
        <f aca="false">IF($A2539="","",IF($AK2539=1,'كشف المطالبة'!$D$5,'كشف المطالبة'!$D$6)*100)</f>
        <v/>
      </c>
      <c r="AK2539" s="28" t="str">
        <f aca="false">IF($A2539="","",IF(OR($Q2539=TRUE(),$Q2539="TRUE"),1,0))</f>
        <v/>
      </c>
      <c r="AL2539" s="28" t="str">
        <f aca="false">IF($N2539="","",IF(MATCH($N2539,$N$2:$N$3001,0)=ROWS($N$2:$N2539),$N2539,""))</f>
        <v/>
      </c>
    </row>
    <row r="2540" customFormat="false" ht="15" hidden="false" customHeight="false" outlineLevel="0" collapsed="false">
      <c r="E2540" s="25"/>
      <c r="M2540" s="26" t="str">
        <f aca="false">IF($A2540="","",$L2540*$U2540/100)</f>
        <v/>
      </c>
      <c r="W2540" s="26" t="str">
        <f aca="false">IF($A2540="","",U2540*AB2540/100)</f>
        <v/>
      </c>
      <c r="X2540" s="26" t="str">
        <f aca="false">IF($A2540="","",U2540-W2540)</f>
        <v/>
      </c>
      <c r="Y2540" s="26" t="str">
        <f aca="false">IF($A2540="","",U2540-W2540-M2540)</f>
        <v/>
      </c>
      <c r="AB2540" s="27" t="str">
        <f aca="false">IF($A2540="","",IF($AK2540=1,'كشف المطالبة'!$D$5,'كشف المطالبة'!$D$6)*100)</f>
        <v/>
      </c>
      <c r="AK2540" s="28" t="str">
        <f aca="false">IF($A2540="","",IF(OR($Q2540=TRUE(),$Q2540="TRUE"),1,0))</f>
        <v/>
      </c>
      <c r="AL2540" s="28" t="str">
        <f aca="false">IF($N2540="","",IF(MATCH($N2540,$N$2:$N$3001,0)=ROWS($N$2:$N2540),$N2540,""))</f>
        <v/>
      </c>
    </row>
    <row r="2541" customFormat="false" ht="15" hidden="false" customHeight="false" outlineLevel="0" collapsed="false">
      <c r="E2541" s="25"/>
      <c r="M2541" s="26" t="str">
        <f aca="false">IF($A2541="","",$L2541*$U2541/100)</f>
        <v/>
      </c>
      <c r="W2541" s="26" t="str">
        <f aca="false">IF($A2541="","",U2541*AB2541/100)</f>
        <v/>
      </c>
      <c r="X2541" s="26" t="str">
        <f aca="false">IF($A2541="","",U2541-W2541)</f>
        <v/>
      </c>
      <c r="Y2541" s="26" t="str">
        <f aca="false">IF($A2541="","",U2541-W2541-M2541)</f>
        <v/>
      </c>
      <c r="AB2541" s="27" t="str">
        <f aca="false">IF($A2541="","",IF($AK2541=1,'كشف المطالبة'!$D$5,'كشف المطالبة'!$D$6)*100)</f>
        <v/>
      </c>
      <c r="AK2541" s="28" t="str">
        <f aca="false">IF($A2541="","",IF(OR($Q2541=TRUE(),$Q2541="TRUE"),1,0))</f>
        <v/>
      </c>
      <c r="AL2541" s="28" t="str">
        <f aca="false">IF($N2541="","",IF(MATCH($N2541,$N$2:$N$3001,0)=ROWS($N$2:$N2541),$N2541,""))</f>
        <v/>
      </c>
    </row>
    <row r="2542" customFormat="false" ht="15" hidden="false" customHeight="false" outlineLevel="0" collapsed="false">
      <c r="E2542" s="25"/>
      <c r="M2542" s="26" t="str">
        <f aca="false">IF($A2542="","",$L2542*$U2542/100)</f>
        <v/>
      </c>
      <c r="W2542" s="26" t="str">
        <f aca="false">IF($A2542="","",U2542*AB2542/100)</f>
        <v/>
      </c>
      <c r="X2542" s="26" t="str">
        <f aca="false">IF($A2542="","",U2542-W2542)</f>
        <v/>
      </c>
      <c r="Y2542" s="26" t="str">
        <f aca="false">IF($A2542="","",U2542-W2542-M2542)</f>
        <v/>
      </c>
      <c r="AB2542" s="27" t="str">
        <f aca="false">IF($A2542="","",IF($AK2542=1,'كشف المطالبة'!$D$5,'كشف المطالبة'!$D$6)*100)</f>
        <v/>
      </c>
      <c r="AK2542" s="28" t="str">
        <f aca="false">IF($A2542="","",IF(OR($Q2542=TRUE(),$Q2542="TRUE"),1,0))</f>
        <v/>
      </c>
      <c r="AL2542" s="28" t="str">
        <f aca="false">IF($N2542="","",IF(MATCH($N2542,$N$2:$N$3001,0)=ROWS($N$2:$N2542),$N2542,""))</f>
        <v/>
      </c>
    </row>
    <row r="2543" customFormat="false" ht="15" hidden="false" customHeight="false" outlineLevel="0" collapsed="false">
      <c r="E2543" s="25"/>
      <c r="M2543" s="26" t="str">
        <f aca="false">IF($A2543="","",$L2543*$U2543/100)</f>
        <v/>
      </c>
      <c r="W2543" s="26" t="str">
        <f aca="false">IF($A2543="","",U2543*AB2543/100)</f>
        <v/>
      </c>
      <c r="X2543" s="26" t="str">
        <f aca="false">IF($A2543="","",U2543-W2543)</f>
        <v/>
      </c>
      <c r="Y2543" s="26" t="str">
        <f aca="false">IF($A2543="","",U2543-W2543-M2543)</f>
        <v/>
      </c>
      <c r="AB2543" s="27" t="str">
        <f aca="false">IF($A2543="","",IF($AK2543=1,'كشف المطالبة'!$D$5,'كشف المطالبة'!$D$6)*100)</f>
        <v/>
      </c>
      <c r="AK2543" s="28" t="str">
        <f aca="false">IF($A2543="","",IF(OR($Q2543=TRUE(),$Q2543="TRUE"),1,0))</f>
        <v/>
      </c>
      <c r="AL2543" s="28" t="str">
        <f aca="false">IF($N2543="","",IF(MATCH($N2543,$N$2:$N$3001,0)=ROWS($N$2:$N2543),$N2543,""))</f>
        <v/>
      </c>
    </row>
    <row r="2544" customFormat="false" ht="15" hidden="false" customHeight="false" outlineLevel="0" collapsed="false">
      <c r="E2544" s="25"/>
      <c r="M2544" s="26" t="str">
        <f aca="false">IF($A2544="","",$L2544*$U2544/100)</f>
        <v/>
      </c>
      <c r="W2544" s="26" t="str">
        <f aca="false">IF($A2544="","",U2544*AB2544/100)</f>
        <v/>
      </c>
      <c r="X2544" s="26" t="str">
        <f aca="false">IF($A2544="","",U2544-W2544)</f>
        <v/>
      </c>
      <c r="Y2544" s="26" t="str">
        <f aca="false">IF($A2544="","",U2544-W2544-M2544)</f>
        <v/>
      </c>
      <c r="AB2544" s="27" t="str">
        <f aca="false">IF($A2544="","",IF($AK2544=1,'كشف المطالبة'!$D$5,'كشف المطالبة'!$D$6)*100)</f>
        <v/>
      </c>
      <c r="AK2544" s="28" t="str">
        <f aca="false">IF($A2544="","",IF(OR($Q2544=TRUE(),$Q2544="TRUE"),1,0))</f>
        <v/>
      </c>
      <c r="AL2544" s="28" t="str">
        <f aca="false">IF($N2544="","",IF(MATCH($N2544,$N$2:$N$3001,0)=ROWS($N$2:$N2544),$N2544,""))</f>
        <v/>
      </c>
    </row>
    <row r="2545" customFormat="false" ht="15" hidden="false" customHeight="false" outlineLevel="0" collapsed="false">
      <c r="E2545" s="25"/>
      <c r="M2545" s="26" t="str">
        <f aca="false">IF($A2545="","",$L2545*$U2545/100)</f>
        <v/>
      </c>
      <c r="W2545" s="26" t="str">
        <f aca="false">IF($A2545="","",U2545*AB2545/100)</f>
        <v/>
      </c>
      <c r="X2545" s="26" t="str">
        <f aca="false">IF($A2545="","",U2545-W2545)</f>
        <v/>
      </c>
      <c r="Y2545" s="26" t="str">
        <f aca="false">IF($A2545="","",U2545-W2545-M2545)</f>
        <v/>
      </c>
      <c r="AB2545" s="27" t="str">
        <f aca="false">IF($A2545="","",IF($AK2545=1,'كشف المطالبة'!$D$5,'كشف المطالبة'!$D$6)*100)</f>
        <v/>
      </c>
      <c r="AK2545" s="28" t="str">
        <f aca="false">IF($A2545="","",IF(OR($Q2545=TRUE(),$Q2545="TRUE"),1,0))</f>
        <v/>
      </c>
      <c r="AL2545" s="28" t="str">
        <f aca="false">IF($N2545="","",IF(MATCH($N2545,$N$2:$N$3001,0)=ROWS($N$2:$N2545),$N2545,""))</f>
        <v/>
      </c>
    </row>
    <row r="2546" customFormat="false" ht="15" hidden="false" customHeight="false" outlineLevel="0" collapsed="false">
      <c r="E2546" s="25"/>
      <c r="M2546" s="26" t="str">
        <f aca="false">IF($A2546="","",$L2546*$U2546/100)</f>
        <v/>
      </c>
      <c r="W2546" s="26" t="str">
        <f aca="false">IF($A2546="","",U2546*AB2546/100)</f>
        <v/>
      </c>
      <c r="X2546" s="26" t="str">
        <f aca="false">IF($A2546="","",U2546-W2546)</f>
        <v/>
      </c>
      <c r="Y2546" s="26" t="str">
        <f aca="false">IF($A2546="","",U2546-W2546-M2546)</f>
        <v/>
      </c>
      <c r="AB2546" s="27" t="str">
        <f aca="false">IF($A2546="","",IF($AK2546=1,'كشف المطالبة'!$D$5,'كشف المطالبة'!$D$6)*100)</f>
        <v/>
      </c>
      <c r="AK2546" s="28" t="str">
        <f aca="false">IF($A2546="","",IF(OR($Q2546=TRUE(),$Q2546="TRUE"),1,0))</f>
        <v/>
      </c>
      <c r="AL2546" s="28" t="str">
        <f aca="false">IF($N2546="","",IF(MATCH($N2546,$N$2:$N$3001,0)=ROWS($N$2:$N2546),$N2546,""))</f>
        <v/>
      </c>
    </row>
    <row r="2547" customFormat="false" ht="15" hidden="false" customHeight="false" outlineLevel="0" collapsed="false">
      <c r="E2547" s="25"/>
      <c r="M2547" s="26" t="str">
        <f aca="false">IF($A2547="","",$L2547*$U2547/100)</f>
        <v/>
      </c>
      <c r="W2547" s="26" t="str">
        <f aca="false">IF($A2547="","",U2547*AB2547/100)</f>
        <v/>
      </c>
      <c r="X2547" s="26" t="str">
        <f aca="false">IF($A2547="","",U2547-W2547)</f>
        <v/>
      </c>
      <c r="Y2547" s="26" t="str">
        <f aca="false">IF($A2547="","",U2547-W2547-M2547)</f>
        <v/>
      </c>
      <c r="AB2547" s="27" t="str">
        <f aca="false">IF($A2547="","",IF($AK2547=1,'كشف المطالبة'!$D$5,'كشف المطالبة'!$D$6)*100)</f>
        <v/>
      </c>
      <c r="AK2547" s="28" t="str">
        <f aca="false">IF($A2547="","",IF(OR($Q2547=TRUE(),$Q2547="TRUE"),1,0))</f>
        <v/>
      </c>
      <c r="AL2547" s="28" t="str">
        <f aca="false">IF($N2547="","",IF(MATCH($N2547,$N$2:$N$3001,0)=ROWS($N$2:$N2547),$N2547,""))</f>
        <v/>
      </c>
    </row>
    <row r="2548" customFormat="false" ht="15" hidden="false" customHeight="false" outlineLevel="0" collapsed="false">
      <c r="E2548" s="25"/>
      <c r="M2548" s="26" t="str">
        <f aca="false">IF($A2548="","",$L2548*$U2548/100)</f>
        <v/>
      </c>
      <c r="W2548" s="26" t="str">
        <f aca="false">IF($A2548="","",U2548*AB2548/100)</f>
        <v/>
      </c>
      <c r="X2548" s="26" t="str">
        <f aca="false">IF($A2548="","",U2548-W2548)</f>
        <v/>
      </c>
      <c r="Y2548" s="26" t="str">
        <f aca="false">IF($A2548="","",U2548-W2548-M2548)</f>
        <v/>
      </c>
      <c r="AB2548" s="27" t="str">
        <f aca="false">IF($A2548="","",IF($AK2548=1,'كشف المطالبة'!$D$5,'كشف المطالبة'!$D$6)*100)</f>
        <v/>
      </c>
      <c r="AK2548" s="28" t="str">
        <f aca="false">IF($A2548="","",IF(OR($Q2548=TRUE(),$Q2548="TRUE"),1,0))</f>
        <v/>
      </c>
      <c r="AL2548" s="28" t="str">
        <f aca="false">IF($N2548="","",IF(MATCH($N2548,$N$2:$N$3001,0)=ROWS($N$2:$N2548),$N2548,""))</f>
        <v/>
      </c>
    </row>
    <row r="2549" customFormat="false" ht="15" hidden="false" customHeight="false" outlineLevel="0" collapsed="false">
      <c r="E2549" s="25"/>
      <c r="M2549" s="26" t="str">
        <f aca="false">IF($A2549="","",$L2549*$U2549/100)</f>
        <v/>
      </c>
      <c r="W2549" s="26" t="str">
        <f aca="false">IF($A2549="","",U2549*AB2549/100)</f>
        <v/>
      </c>
      <c r="X2549" s="26" t="str">
        <f aca="false">IF($A2549="","",U2549-W2549)</f>
        <v/>
      </c>
      <c r="Y2549" s="26" t="str">
        <f aca="false">IF($A2549="","",U2549-W2549-M2549)</f>
        <v/>
      </c>
      <c r="AB2549" s="27" t="str">
        <f aca="false">IF($A2549="","",IF($AK2549=1,'كشف المطالبة'!$D$5,'كشف المطالبة'!$D$6)*100)</f>
        <v/>
      </c>
      <c r="AK2549" s="28" t="str">
        <f aca="false">IF($A2549="","",IF(OR($Q2549=TRUE(),$Q2549="TRUE"),1,0))</f>
        <v/>
      </c>
      <c r="AL2549" s="28" t="str">
        <f aca="false">IF($N2549="","",IF(MATCH($N2549,$N$2:$N$3001,0)=ROWS($N$2:$N2549),$N2549,""))</f>
        <v/>
      </c>
    </row>
    <row r="2550" customFormat="false" ht="15" hidden="false" customHeight="false" outlineLevel="0" collapsed="false">
      <c r="E2550" s="25"/>
      <c r="M2550" s="26" t="str">
        <f aca="false">IF($A2550="","",$L2550*$U2550/100)</f>
        <v/>
      </c>
      <c r="W2550" s="26" t="str">
        <f aca="false">IF($A2550="","",U2550*AB2550/100)</f>
        <v/>
      </c>
      <c r="X2550" s="26" t="str">
        <f aca="false">IF($A2550="","",U2550-W2550)</f>
        <v/>
      </c>
      <c r="Y2550" s="26" t="str">
        <f aca="false">IF($A2550="","",U2550-W2550-M2550)</f>
        <v/>
      </c>
      <c r="AB2550" s="27" t="str">
        <f aca="false">IF($A2550="","",IF($AK2550=1,'كشف المطالبة'!$D$5,'كشف المطالبة'!$D$6)*100)</f>
        <v/>
      </c>
      <c r="AK2550" s="28" t="str">
        <f aca="false">IF($A2550="","",IF(OR($Q2550=TRUE(),$Q2550="TRUE"),1,0))</f>
        <v/>
      </c>
      <c r="AL2550" s="28" t="str">
        <f aca="false">IF($N2550="","",IF(MATCH($N2550,$N$2:$N$3001,0)=ROWS($N$2:$N2550),$N2550,""))</f>
        <v/>
      </c>
    </row>
    <row r="2551" customFormat="false" ht="15" hidden="false" customHeight="false" outlineLevel="0" collapsed="false">
      <c r="E2551" s="25"/>
      <c r="M2551" s="26" t="str">
        <f aca="false">IF($A2551="","",$L2551*$U2551/100)</f>
        <v/>
      </c>
      <c r="W2551" s="26" t="str">
        <f aca="false">IF($A2551="","",U2551*AB2551/100)</f>
        <v/>
      </c>
      <c r="X2551" s="26" t="str">
        <f aca="false">IF($A2551="","",U2551-W2551)</f>
        <v/>
      </c>
      <c r="Y2551" s="26" t="str">
        <f aca="false">IF($A2551="","",U2551-W2551-M2551)</f>
        <v/>
      </c>
      <c r="AB2551" s="27" t="str">
        <f aca="false">IF($A2551="","",IF($AK2551=1,'كشف المطالبة'!$D$5,'كشف المطالبة'!$D$6)*100)</f>
        <v/>
      </c>
      <c r="AK2551" s="28" t="str">
        <f aca="false">IF($A2551="","",IF(OR($Q2551=TRUE(),$Q2551="TRUE"),1,0))</f>
        <v/>
      </c>
      <c r="AL2551" s="28" t="str">
        <f aca="false">IF($N2551="","",IF(MATCH($N2551,$N$2:$N$3001,0)=ROWS($N$2:$N2551),$N2551,""))</f>
        <v/>
      </c>
    </row>
    <row r="2552" customFormat="false" ht="15" hidden="false" customHeight="false" outlineLevel="0" collapsed="false">
      <c r="E2552" s="25"/>
      <c r="M2552" s="26" t="str">
        <f aca="false">IF($A2552="","",$L2552*$U2552/100)</f>
        <v/>
      </c>
      <c r="W2552" s="26" t="str">
        <f aca="false">IF($A2552="","",U2552*AB2552/100)</f>
        <v/>
      </c>
      <c r="X2552" s="26" t="str">
        <f aca="false">IF($A2552="","",U2552-W2552)</f>
        <v/>
      </c>
      <c r="Y2552" s="26" t="str">
        <f aca="false">IF($A2552="","",U2552-W2552-M2552)</f>
        <v/>
      </c>
      <c r="AB2552" s="27" t="str">
        <f aca="false">IF($A2552="","",IF($AK2552=1,'كشف المطالبة'!$D$5,'كشف المطالبة'!$D$6)*100)</f>
        <v/>
      </c>
      <c r="AK2552" s="28" t="str">
        <f aca="false">IF($A2552="","",IF(OR($Q2552=TRUE(),$Q2552="TRUE"),1,0))</f>
        <v/>
      </c>
      <c r="AL2552" s="28" t="str">
        <f aca="false">IF($N2552="","",IF(MATCH($N2552,$N$2:$N$3001,0)=ROWS($N$2:$N2552),$N2552,""))</f>
        <v/>
      </c>
    </row>
    <row r="2553" customFormat="false" ht="15" hidden="false" customHeight="false" outlineLevel="0" collapsed="false">
      <c r="E2553" s="25"/>
      <c r="M2553" s="26" t="str">
        <f aca="false">IF($A2553="","",$L2553*$U2553/100)</f>
        <v/>
      </c>
      <c r="W2553" s="26" t="str">
        <f aca="false">IF($A2553="","",U2553*AB2553/100)</f>
        <v/>
      </c>
      <c r="X2553" s="26" t="str">
        <f aca="false">IF($A2553="","",U2553-W2553)</f>
        <v/>
      </c>
      <c r="Y2553" s="26" t="str">
        <f aca="false">IF($A2553="","",U2553-W2553-M2553)</f>
        <v/>
      </c>
      <c r="AB2553" s="27" t="str">
        <f aca="false">IF($A2553="","",IF($AK2553=1,'كشف المطالبة'!$D$5,'كشف المطالبة'!$D$6)*100)</f>
        <v/>
      </c>
      <c r="AK2553" s="28" t="str">
        <f aca="false">IF($A2553="","",IF(OR($Q2553=TRUE(),$Q2553="TRUE"),1,0))</f>
        <v/>
      </c>
      <c r="AL2553" s="28" t="str">
        <f aca="false">IF($N2553="","",IF(MATCH($N2553,$N$2:$N$3001,0)=ROWS($N$2:$N2553),$N2553,""))</f>
        <v/>
      </c>
    </row>
    <row r="2554" customFormat="false" ht="15" hidden="false" customHeight="false" outlineLevel="0" collapsed="false">
      <c r="E2554" s="25"/>
      <c r="M2554" s="26" t="str">
        <f aca="false">IF($A2554="","",$L2554*$U2554/100)</f>
        <v/>
      </c>
      <c r="W2554" s="26" t="str">
        <f aca="false">IF($A2554="","",U2554*AB2554/100)</f>
        <v/>
      </c>
      <c r="X2554" s="26" t="str">
        <f aca="false">IF($A2554="","",U2554-W2554)</f>
        <v/>
      </c>
      <c r="Y2554" s="26" t="str">
        <f aca="false">IF($A2554="","",U2554-W2554-M2554)</f>
        <v/>
      </c>
      <c r="AB2554" s="27" t="str">
        <f aca="false">IF($A2554="","",IF($AK2554=1,'كشف المطالبة'!$D$5,'كشف المطالبة'!$D$6)*100)</f>
        <v/>
      </c>
      <c r="AK2554" s="28" t="str">
        <f aca="false">IF($A2554="","",IF(OR($Q2554=TRUE(),$Q2554="TRUE"),1,0))</f>
        <v/>
      </c>
      <c r="AL2554" s="28" t="str">
        <f aca="false">IF($N2554="","",IF(MATCH($N2554,$N$2:$N$3001,0)=ROWS($N$2:$N2554),$N2554,""))</f>
        <v/>
      </c>
    </row>
    <row r="2555" customFormat="false" ht="15" hidden="false" customHeight="false" outlineLevel="0" collapsed="false">
      <c r="E2555" s="25"/>
      <c r="M2555" s="26" t="str">
        <f aca="false">IF($A2555="","",$L2555*$U2555/100)</f>
        <v/>
      </c>
      <c r="W2555" s="26" t="str">
        <f aca="false">IF($A2555="","",U2555*AB2555/100)</f>
        <v/>
      </c>
      <c r="X2555" s="26" t="str">
        <f aca="false">IF($A2555="","",U2555-W2555)</f>
        <v/>
      </c>
      <c r="Y2555" s="26" t="str">
        <f aca="false">IF($A2555="","",U2555-W2555-M2555)</f>
        <v/>
      </c>
      <c r="AB2555" s="27" t="str">
        <f aca="false">IF($A2555="","",IF($AK2555=1,'كشف المطالبة'!$D$5,'كشف المطالبة'!$D$6)*100)</f>
        <v/>
      </c>
      <c r="AK2555" s="28" t="str">
        <f aca="false">IF($A2555="","",IF(OR($Q2555=TRUE(),$Q2555="TRUE"),1,0))</f>
        <v/>
      </c>
      <c r="AL2555" s="28" t="str">
        <f aca="false">IF($N2555="","",IF(MATCH($N2555,$N$2:$N$3001,0)=ROWS($N$2:$N2555),$N2555,""))</f>
        <v/>
      </c>
    </row>
    <row r="2556" customFormat="false" ht="15" hidden="false" customHeight="false" outlineLevel="0" collapsed="false">
      <c r="E2556" s="25"/>
      <c r="M2556" s="26" t="str">
        <f aca="false">IF($A2556="","",$L2556*$U2556/100)</f>
        <v/>
      </c>
      <c r="W2556" s="26" t="str">
        <f aca="false">IF($A2556="","",U2556*AB2556/100)</f>
        <v/>
      </c>
      <c r="X2556" s="26" t="str">
        <f aca="false">IF($A2556="","",U2556-W2556)</f>
        <v/>
      </c>
      <c r="Y2556" s="26" t="str">
        <f aca="false">IF($A2556="","",U2556-W2556-M2556)</f>
        <v/>
      </c>
      <c r="AB2556" s="27" t="str">
        <f aca="false">IF($A2556="","",IF($AK2556=1,'كشف المطالبة'!$D$5,'كشف المطالبة'!$D$6)*100)</f>
        <v/>
      </c>
      <c r="AK2556" s="28" t="str">
        <f aca="false">IF($A2556="","",IF(OR($Q2556=TRUE(),$Q2556="TRUE"),1,0))</f>
        <v/>
      </c>
      <c r="AL2556" s="28" t="str">
        <f aca="false">IF($N2556="","",IF(MATCH($N2556,$N$2:$N$3001,0)=ROWS($N$2:$N2556),$N2556,""))</f>
        <v/>
      </c>
    </row>
    <row r="2557" customFormat="false" ht="15" hidden="false" customHeight="false" outlineLevel="0" collapsed="false">
      <c r="E2557" s="25"/>
      <c r="M2557" s="26" t="str">
        <f aca="false">IF($A2557="","",$L2557*$U2557/100)</f>
        <v/>
      </c>
      <c r="W2557" s="26" t="str">
        <f aca="false">IF($A2557="","",U2557*AB2557/100)</f>
        <v/>
      </c>
      <c r="X2557" s="26" t="str">
        <f aca="false">IF($A2557="","",U2557-W2557)</f>
        <v/>
      </c>
      <c r="Y2557" s="26" t="str">
        <f aca="false">IF($A2557="","",U2557-W2557-M2557)</f>
        <v/>
      </c>
      <c r="AB2557" s="27" t="str">
        <f aca="false">IF($A2557="","",IF($AK2557=1,'كشف المطالبة'!$D$5,'كشف المطالبة'!$D$6)*100)</f>
        <v/>
      </c>
      <c r="AK2557" s="28" t="str">
        <f aca="false">IF($A2557="","",IF(OR($Q2557=TRUE(),$Q2557="TRUE"),1,0))</f>
        <v/>
      </c>
      <c r="AL2557" s="28" t="str">
        <f aca="false">IF($N2557="","",IF(MATCH($N2557,$N$2:$N$3001,0)=ROWS($N$2:$N2557),$N2557,""))</f>
        <v/>
      </c>
    </row>
    <row r="2558" customFormat="false" ht="15" hidden="false" customHeight="false" outlineLevel="0" collapsed="false">
      <c r="E2558" s="25"/>
      <c r="M2558" s="26" t="str">
        <f aca="false">IF($A2558="","",$L2558*$U2558/100)</f>
        <v/>
      </c>
      <c r="W2558" s="26" t="str">
        <f aca="false">IF($A2558="","",U2558*AB2558/100)</f>
        <v/>
      </c>
      <c r="X2558" s="26" t="str">
        <f aca="false">IF($A2558="","",U2558-W2558)</f>
        <v/>
      </c>
      <c r="Y2558" s="26" t="str">
        <f aca="false">IF($A2558="","",U2558-W2558-M2558)</f>
        <v/>
      </c>
      <c r="AB2558" s="27" t="str">
        <f aca="false">IF($A2558="","",IF($AK2558=1,'كشف المطالبة'!$D$5,'كشف المطالبة'!$D$6)*100)</f>
        <v/>
      </c>
      <c r="AK2558" s="28" t="str">
        <f aca="false">IF($A2558="","",IF(OR($Q2558=TRUE(),$Q2558="TRUE"),1,0))</f>
        <v/>
      </c>
      <c r="AL2558" s="28" t="str">
        <f aca="false">IF($N2558="","",IF(MATCH($N2558,$N$2:$N$3001,0)=ROWS($N$2:$N2558),$N2558,""))</f>
        <v/>
      </c>
    </row>
    <row r="2559" customFormat="false" ht="15" hidden="false" customHeight="false" outlineLevel="0" collapsed="false">
      <c r="E2559" s="25"/>
      <c r="M2559" s="26" t="str">
        <f aca="false">IF($A2559="","",$L2559*$U2559/100)</f>
        <v/>
      </c>
      <c r="W2559" s="26" t="str">
        <f aca="false">IF($A2559="","",U2559*AB2559/100)</f>
        <v/>
      </c>
      <c r="X2559" s="26" t="str">
        <f aca="false">IF($A2559="","",U2559-W2559)</f>
        <v/>
      </c>
      <c r="Y2559" s="26" t="str">
        <f aca="false">IF($A2559="","",U2559-W2559-M2559)</f>
        <v/>
      </c>
      <c r="AB2559" s="27" t="str">
        <f aca="false">IF($A2559="","",IF($AK2559=1,'كشف المطالبة'!$D$5,'كشف المطالبة'!$D$6)*100)</f>
        <v/>
      </c>
      <c r="AK2559" s="28" t="str">
        <f aca="false">IF($A2559="","",IF(OR($Q2559=TRUE(),$Q2559="TRUE"),1,0))</f>
        <v/>
      </c>
      <c r="AL2559" s="28" t="str">
        <f aca="false">IF($N2559="","",IF(MATCH($N2559,$N$2:$N$3001,0)=ROWS($N$2:$N2559),$N2559,""))</f>
        <v/>
      </c>
    </row>
    <row r="2560" customFormat="false" ht="15" hidden="false" customHeight="false" outlineLevel="0" collapsed="false">
      <c r="E2560" s="25"/>
      <c r="M2560" s="26" t="str">
        <f aca="false">IF($A2560="","",$L2560*$U2560/100)</f>
        <v/>
      </c>
      <c r="W2560" s="26" t="str">
        <f aca="false">IF($A2560="","",U2560*AB2560/100)</f>
        <v/>
      </c>
      <c r="X2560" s="26" t="str">
        <f aca="false">IF($A2560="","",U2560-W2560)</f>
        <v/>
      </c>
      <c r="Y2560" s="26" t="str">
        <f aca="false">IF($A2560="","",U2560-W2560-M2560)</f>
        <v/>
      </c>
      <c r="AB2560" s="27" t="str">
        <f aca="false">IF($A2560="","",IF($AK2560=1,'كشف المطالبة'!$D$5,'كشف المطالبة'!$D$6)*100)</f>
        <v/>
      </c>
      <c r="AK2560" s="28" t="str">
        <f aca="false">IF($A2560="","",IF(OR($Q2560=TRUE(),$Q2560="TRUE"),1,0))</f>
        <v/>
      </c>
      <c r="AL2560" s="28" t="str">
        <f aca="false">IF($N2560="","",IF(MATCH($N2560,$N$2:$N$3001,0)=ROWS($N$2:$N2560),$N2560,""))</f>
        <v/>
      </c>
    </row>
    <row r="2561" customFormat="false" ht="15" hidden="false" customHeight="false" outlineLevel="0" collapsed="false">
      <c r="E2561" s="25"/>
      <c r="M2561" s="26" t="str">
        <f aca="false">IF($A2561="","",$L2561*$U2561/100)</f>
        <v/>
      </c>
      <c r="W2561" s="26" t="str">
        <f aca="false">IF($A2561="","",U2561*AB2561/100)</f>
        <v/>
      </c>
      <c r="X2561" s="26" t="str">
        <f aca="false">IF($A2561="","",U2561-W2561)</f>
        <v/>
      </c>
      <c r="Y2561" s="26" t="str">
        <f aca="false">IF($A2561="","",U2561-W2561-M2561)</f>
        <v/>
      </c>
      <c r="AB2561" s="27" t="str">
        <f aca="false">IF($A2561="","",IF($AK2561=1,'كشف المطالبة'!$D$5,'كشف المطالبة'!$D$6)*100)</f>
        <v/>
      </c>
      <c r="AK2561" s="28" t="str">
        <f aca="false">IF($A2561="","",IF(OR($Q2561=TRUE(),$Q2561="TRUE"),1,0))</f>
        <v/>
      </c>
      <c r="AL2561" s="28" t="str">
        <f aca="false">IF($N2561="","",IF(MATCH($N2561,$N$2:$N$3001,0)=ROWS($N$2:$N2561),$N2561,""))</f>
        <v/>
      </c>
    </row>
    <row r="2562" customFormat="false" ht="15" hidden="false" customHeight="false" outlineLevel="0" collapsed="false">
      <c r="E2562" s="25"/>
      <c r="M2562" s="26" t="str">
        <f aca="false">IF($A2562="","",$L2562*$U2562/100)</f>
        <v/>
      </c>
      <c r="W2562" s="26" t="str">
        <f aca="false">IF($A2562="","",U2562*AB2562/100)</f>
        <v/>
      </c>
      <c r="X2562" s="26" t="str">
        <f aca="false">IF($A2562="","",U2562-W2562)</f>
        <v/>
      </c>
      <c r="Y2562" s="26" t="str">
        <f aca="false">IF($A2562="","",U2562-W2562-M2562)</f>
        <v/>
      </c>
      <c r="AB2562" s="27" t="str">
        <f aca="false">IF($A2562="","",IF($AK2562=1,'كشف المطالبة'!$D$5,'كشف المطالبة'!$D$6)*100)</f>
        <v/>
      </c>
      <c r="AK2562" s="28" t="str">
        <f aca="false">IF($A2562="","",IF(OR($Q2562=TRUE(),$Q2562="TRUE"),1,0))</f>
        <v/>
      </c>
      <c r="AL2562" s="28" t="str">
        <f aca="false">IF($N2562="","",IF(MATCH($N2562,$N$2:$N$3001,0)=ROWS($N$2:$N2562),$N2562,""))</f>
        <v/>
      </c>
    </row>
    <row r="2563" customFormat="false" ht="15" hidden="false" customHeight="false" outlineLevel="0" collapsed="false">
      <c r="E2563" s="25"/>
      <c r="M2563" s="26" t="str">
        <f aca="false">IF($A2563="","",$L2563*$U2563/100)</f>
        <v/>
      </c>
      <c r="W2563" s="26" t="str">
        <f aca="false">IF($A2563="","",U2563*AB2563/100)</f>
        <v/>
      </c>
      <c r="X2563" s="26" t="str">
        <f aca="false">IF($A2563="","",U2563-W2563)</f>
        <v/>
      </c>
      <c r="Y2563" s="26" t="str">
        <f aca="false">IF($A2563="","",U2563-W2563-M2563)</f>
        <v/>
      </c>
      <c r="AB2563" s="27" t="str">
        <f aca="false">IF($A2563="","",IF($AK2563=1,'كشف المطالبة'!$D$5,'كشف المطالبة'!$D$6)*100)</f>
        <v/>
      </c>
      <c r="AK2563" s="28" t="str">
        <f aca="false">IF($A2563="","",IF(OR($Q2563=TRUE(),$Q2563="TRUE"),1,0))</f>
        <v/>
      </c>
      <c r="AL2563" s="28" t="str">
        <f aca="false">IF($N2563="","",IF(MATCH($N2563,$N$2:$N$3001,0)=ROWS($N$2:$N2563),$N2563,""))</f>
        <v/>
      </c>
    </row>
    <row r="2564" customFormat="false" ht="15" hidden="false" customHeight="false" outlineLevel="0" collapsed="false">
      <c r="E2564" s="25"/>
      <c r="M2564" s="26" t="str">
        <f aca="false">IF($A2564="","",$L2564*$U2564/100)</f>
        <v/>
      </c>
      <c r="W2564" s="26" t="str">
        <f aca="false">IF($A2564="","",U2564*AB2564/100)</f>
        <v/>
      </c>
      <c r="X2564" s="26" t="str">
        <f aca="false">IF($A2564="","",U2564-W2564)</f>
        <v/>
      </c>
      <c r="Y2564" s="26" t="str">
        <f aca="false">IF($A2564="","",U2564-W2564-M2564)</f>
        <v/>
      </c>
      <c r="AB2564" s="27" t="str">
        <f aca="false">IF($A2564="","",IF($AK2564=1,'كشف المطالبة'!$D$5,'كشف المطالبة'!$D$6)*100)</f>
        <v/>
      </c>
      <c r="AK2564" s="28" t="str">
        <f aca="false">IF($A2564="","",IF(OR($Q2564=TRUE(),$Q2564="TRUE"),1,0))</f>
        <v/>
      </c>
      <c r="AL2564" s="28" t="str">
        <f aca="false">IF($N2564="","",IF(MATCH($N2564,$N$2:$N$3001,0)=ROWS($N$2:$N2564),$N2564,""))</f>
        <v/>
      </c>
    </row>
    <row r="2565" customFormat="false" ht="15" hidden="false" customHeight="false" outlineLevel="0" collapsed="false">
      <c r="E2565" s="25"/>
      <c r="M2565" s="26" t="str">
        <f aca="false">IF($A2565="","",$L2565*$U2565/100)</f>
        <v/>
      </c>
      <c r="W2565" s="26" t="str">
        <f aca="false">IF($A2565="","",U2565*AB2565/100)</f>
        <v/>
      </c>
      <c r="X2565" s="26" t="str">
        <f aca="false">IF($A2565="","",U2565-W2565)</f>
        <v/>
      </c>
      <c r="Y2565" s="26" t="str">
        <f aca="false">IF($A2565="","",U2565-W2565-M2565)</f>
        <v/>
      </c>
      <c r="AB2565" s="27" t="str">
        <f aca="false">IF($A2565="","",IF($AK2565=1,'كشف المطالبة'!$D$5,'كشف المطالبة'!$D$6)*100)</f>
        <v/>
      </c>
      <c r="AK2565" s="28" t="str">
        <f aca="false">IF($A2565="","",IF(OR($Q2565=TRUE(),$Q2565="TRUE"),1,0))</f>
        <v/>
      </c>
      <c r="AL2565" s="28" t="str">
        <f aca="false">IF($N2565="","",IF(MATCH($N2565,$N$2:$N$3001,0)=ROWS($N$2:$N2565),$N2565,""))</f>
        <v/>
      </c>
    </row>
    <row r="2566" customFormat="false" ht="15" hidden="false" customHeight="false" outlineLevel="0" collapsed="false">
      <c r="E2566" s="25"/>
      <c r="M2566" s="26" t="str">
        <f aca="false">IF($A2566="","",$L2566*$U2566/100)</f>
        <v/>
      </c>
      <c r="W2566" s="26" t="str">
        <f aca="false">IF($A2566="","",U2566*AB2566/100)</f>
        <v/>
      </c>
      <c r="X2566" s="26" t="str">
        <f aca="false">IF($A2566="","",U2566-W2566)</f>
        <v/>
      </c>
      <c r="Y2566" s="26" t="str">
        <f aca="false">IF($A2566="","",U2566-W2566-M2566)</f>
        <v/>
      </c>
      <c r="AB2566" s="27" t="str">
        <f aca="false">IF($A2566="","",IF($AK2566=1,'كشف المطالبة'!$D$5,'كشف المطالبة'!$D$6)*100)</f>
        <v/>
      </c>
      <c r="AK2566" s="28" t="str">
        <f aca="false">IF($A2566="","",IF(OR($Q2566=TRUE(),$Q2566="TRUE"),1,0))</f>
        <v/>
      </c>
      <c r="AL2566" s="28" t="str">
        <f aca="false">IF($N2566="","",IF(MATCH($N2566,$N$2:$N$3001,0)=ROWS($N$2:$N2566),$N2566,""))</f>
        <v/>
      </c>
    </row>
    <row r="2567" customFormat="false" ht="15" hidden="false" customHeight="false" outlineLevel="0" collapsed="false">
      <c r="E2567" s="25"/>
      <c r="M2567" s="26" t="str">
        <f aca="false">IF($A2567="","",$L2567*$U2567/100)</f>
        <v/>
      </c>
      <c r="W2567" s="26" t="str">
        <f aca="false">IF($A2567="","",U2567*AB2567/100)</f>
        <v/>
      </c>
      <c r="X2567" s="26" t="str">
        <f aca="false">IF($A2567="","",U2567-W2567)</f>
        <v/>
      </c>
      <c r="Y2567" s="26" t="str">
        <f aca="false">IF($A2567="","",U2567-W2567-M2567)</f>
        <v/>
      </c>
      <c r="AB2567" s="27" t="str">
        <f aca="false">IF($A2567="","",IF($AK2567=1,'كشف المطالبة'!$D$5,'كشف المطالبة'!$D$6)*100)</f>
        <v/>
      </c>
      <c r="AK2567" s="28" t="str">
        <f aca="false">IF($A2567="","",IF(OR($Q2567=TRUE(),$Q2567="TRUE"),1,0))</f>
        <v/>
      </c>
      <c r="AL2567" s="28" t="str">
        <f aca="false">IF($N2567="","",IF(MATCH($N2567,$N$2:$N$3001,0)=ROWS($N$2:$N2567),$N2567,""))</f>
        <v/>
      </c>
    </row>
    <row r="2568" customFormat="false" ht="15" hidden="false" customHeight="false" outlineLevel="0" collapsed="false">
      <c r="E2568" s="25"/>
      <c r="M2568" s="26" t="str">
        <f aca="false">IF($A2568="","",$L2568*$U2568/100)</f>
        <v/>
      </c>
      <c r="W2568" s="26" t="str">
        <f aca="false">IF($A2568="","",U2568*AB2568/100)</f>
        <v/>
      </c>
      <c r="X2568" s="26" t="str">
        <f aca="false">IF($A2568="","",U2568-W2568)</f>
        <v/>
      </c>
      <c r="Y2568" s="26" t="str">
        <f aca="false">IF($A2568="","",U2568-W2568-M2568)</f>
        <v/>
      </c>
      <c r="AB2568" s="27" t="str">
        <f aca="false">IF($A2568="","",IF($AK2568=1,'كشف المطالبة'!$D$5,'كشف المطالبة'!$D$6)*100)</f>
        <v/>
      </c>
      <c r="AK2568" s="28" t="str">
        <f aca="false">IF($A2568="","",IF(OR($Q2568=TRUE(),$Q2568="TRUE"),1,0))</f>
        <v/>
      </c>
      <c r="AL2568" s="28" t="str">
        <f aca="false">IF($N2568="","",IF(MATCH($N2568,$N$2:$N$3001,0)=ROWS($N$2:$N2568),$N2568,""))</f>
        <v/>
      </c>
    </row>
    <row r="2569" customFormat="false" ht="15" hidden="false" customHeight="false" outlineLevel="0" collapsed="false">
      <c r="E2569" s="25"/>
      <c r="M2569" s="26" t="str">
        <f aca="false">IF($A2569="","",$L2569*$U2569/100)</f>
        <v/>
      </c>
      <c r="W2569" s="26" t="str">
        <f aca="false">IF($A2569="","",U2569*AB2569/100)</f>
        <v/>
      </c>
      <c r="X2569" s="26" t="str">
        <f aca="false">IF($A2569="","",U2569-W2569)</f>
        <v/>
      </c>
      <c r="Y2569" s="26" t="str">
        <f aca="false">IF($A2569="","",U2569-W2569-M2569)</f>
        <v/>
      </c>
      <c r="AB2569" s="27" t="str">
        <f aca="false">IF($A2569="","",IF($AK2569=1,'كشف المطالبة'!$D$5,'كشف المطالبة'!$D$6)*100)</f>
        <v/>
      </c>
      <c r="AK2569" s="28" t="str">
        <f aca="false">IF($A2569="","",IF(OR($Q2569=TRUE(),$Q2569="TRUE"),1,0))</f>
        <v/>
      </c>
      <c r="AL2569" s="28" t="str">
        <f aca="false">IF($N2569="","",IF(MATCH($N2569,$N$2:$N$3001,0)=ROWS($N$2:$N2569),$N2569,""))</f>
        <v/>
      </c>
    </row>
    <row r="2570" customFormat="false" ht="15" hidden="false" customHeight="false" outlineLevel="0" collapsed="false">
      <c r="E2570" s="25"/>
      <c r="M2570" s="26" t="str">
        <f aca="false">IF($A2570="","",$L2570*$U2570/100)</f>
        <v/>
      </c>
      <c r="W2570" s="26" t="str">
        <f aca="false">IF($A2570="","",U2570*AB2570/100)</f>
        <v/>
      </c>
      <c r="X2570" s="26" t="str">
        <f aca="false">IF($A2570="","",U2570-W2570)</f>
        <v/>
      </c>
      <c r="Y2570" s="26" t="str">
        <f aca="false">IF($A2570="","",U2570-W2570-M2570)</f>
        <v/>
      </c>
      <c r="AB2570" s="27" t="str">
        <f aca="false">IF($A2570="","",IF($AK2570=1,'كشف المطالبة'!$D$5,'كشف المطالبة'!$D$6)*100)</f>
        <v/>
      </c>
      <c r="AK2570" s="28" t="str">
        <f aca="false">IF($A2570="","",IF(OR($Q2570=TRUE(),$Q2570="TRUE"),1,0))</f>
        <v/>
      </c>
      <c r="AL2570" s="28" t="str">
        <f aca="false">IF($N2570="","",IF(MATCH($N2570,$N$2:$N$3001,0)=ROWS($N$2:$N2570),$N2570,""))</f>
        <v/>
      </c>
    </row>
    <row r="2571" customFormat="false" ht="15" hidden="false" customHeight="false" outlineLevel="0" collapsed="false">
      <c r="E2571" s="25"/>
      <c r="M2571" s="26" t="str">
        <f aca="false">IF($A2571="","",$L2571*$U2571/100)</f>
        <v/>
      </c>
      <c r="W2571" s="26" t="str">
        <f aca="false">IF($A2571="","",U2571*AB2571/100)</f>
        <v/>
      </c>
      <c r="X2571" s="26" t="str">
        <f aca="false">IF($A2571="","",U2571-W2571)</f>
        <v/>
      </c>
      <c r="Y2571" s="26" t="str">
        <f aca="false">IF($A2571="","",U2571-W2571-M2571)</f>
        <v/>
      </c>
      <c r="AB2571" s="27" t="str">
        <f aca="false">IF($A2571="","",IF($AK2571=1,'كشف المطالبة'!$D$5,'كشف المطالبة'!$D$6)*100)</f>
        <v/>
      </c>
      <c r="AK2571" s="28" t="str">
        <f aca="false">IF($A2571="","",IF(OR($Q2571=TRUE(),$Q2571="TRUE"),1,0))</f>
        <v/>
      </c>
      <c r="AL2571" s="28" t="str">
        <f aca="false">IF($N2571="","",IF(MATCH($N2571,$N$2:$N$3001,0)=ROWS($N$2:$N2571),$N2571,""))</f>
        <v/>
      </c>
    </row>
    <row r="2572" customFormat="false" ht="15" hidden="false" customHeight="false" outlineLevel="0" collapsed="false">
      <c r="E2572" s="25"/>
      <c r="M2572" s="26" t="str">
        <f aca="false">IF($A2572="","",$L2572*$U2572/100)</f>
        <v/>
      </c>
      <c r="W2572" s="26" t="str">
        <f aca="false">IF($A2572="","",U2572*AB2572/100)</f>
        <v/>
      </c>
      <c r="X2572" s="26" t="str">
        <f aca="false">IF($A2572="","",U2572-W2572)</f>
        <v/>
      </c>
      <c r="Y2572" s="26" t="str">
        <f aca="false">IF($A2572="","",U2572-W2572-M2572)</f>
        <v/>
      </c>
      <c r="AB2572" s="27" t="str">
        <f aca="false">IF($A2572="","",IF($AK2572=1,'كشف المطالبة'!$D$5,'كشف المطالبة'!$D$6)*100)</f>
        <v/>
      </c>
      <c r="AK2572" s="28" t="str">
        <f aca="false">IF($A2572="","",IF(OR($Q2572=TRUE(),$Q2572="TRUE"),1,0))</f>
        <v/>
      </c>
      <c r="AL2572" s="28" t="str">
        <f aca="false">IF($N2572="","",IF(MATCH($N2572,$N$2:$N$3001,0)=ROWS($N$2:$N2572),$N2572,""))</f>
        <v/>
      </c>
    </row>
    <row r="2573" customFormat="false" ht="15" hidden="false" customHeight="false" outlineLevel="0" collapsed="false">
      <c r="E2573" s="25"/>
      <c r="M2573" s="26" t="str">
        <f aca="false">IF($A2573="","",$L2573*$U2573/100)</f>
        <v/>
      </c>
      <c r="W2573" s="26" t="str">
        <f aca="false">IF($A2573="","",U2573*AB2573/100)</f>
        <v/>
      </c>
      <c r="X2573" s="26" t="str">
        <f aca="false">IF($A2573="","",U2573-W2573)</f>
        <v/>
      </c>
      <c r="Y2573" s="26" t="str">
        <f aca="false">IF($A2573="","",U2573-W2573-M2573)</f>
        <v/>
      </c>
      <c r="AB2573" s="27" t="str">
        <f aca="false">IF($A2573="","",IF($AK2573=1,'كشف المطالبة'!$D$5,'كشف المطالبة'!$D$6)*100)</f>
        <v/>
      </c>
      <c r="AK2573" s="28" t="str">
        <f aca="false">IF($A2573="","",IF(OR($Q2573=TRUE(),$Q2573="TRUE"),1,0))</f>
        <v/>
      </c>
      <c r="AL2573" s="28" t="str">
        <f aca="false">IF($N2573="","",IF(MATCH($N2573,$N$2:$N$3001,0)=ROWS($N$2:$N2573),$N2573,""))</f>
        <v/>
      </c>
    </row>
    <row r="2574" customFormat="false" ht="15" hidden="false" customHeight="false" outlineLevel="0" collapsed="false">
      <c r="E2574" s="25"/>
      <c r="M2574" s="26" t="str">
        <f aca="false">IF($A2574="","",$L2574*$U2574/100)</f>
        <v/>
      </c>
      <c r="W2574" s="26" t="str">
        <f aca="false">IF($A2574="","",U2574*AB2574/100)</f>
        <v/>
      </c>
      <c r="X2574" s="26" t="str">
        <f aca="false">IF($A2574="","",U2574-W2574)</f>
        <v/>
      </c>
      <c r="Y2574" s="26" t="str">
        <f aca="false">IF($A2574="","",U2574-W2574-M2574)</f>
        <v/>
      </c>
      <c r="AB2574" s="27" t="str">
        <f aca="false">IF($A2574="","",IF($AK2574=1,'كشف المطالبة'!$D$5,'كشف المطالبة'!$D$6)*100)</f>
        <v/>
      </c>
      <c r="AK2574" s="28" t="str">
        <f aca="false">IF($A2574="","",IF(OR($Q2574=TRUE(),$Q2574="TRUE"),1,0))</f>
        <v/>
      </c>
      <c r="AL2574" s="28" t="str">
        <f aca="false">IF($N2574="","",IF(MATCH($N2574,$N$2:$N$3001,0)=ROWS($N$2:$N2574),$N2574,""))</f>
        <v/>
      </c>
    </row>
    <row r="2575" customFormat="false" ht="15" hidden="false" customHeight="false" outlineLevel="0" collapsed="false">
      <c r="E2575" s="25"/>
      <c r="M2575" s="26" t="str">
        <f aca="false">IF($A2575="","",$L2575*$U2575/100)</f>
        <v/>
      </c>
      <c r="W2575" s="26" t="str">
        <f aca="false">IF($A2575="","",U2575*AB2575/100)</f>
        <v/>
      </c>
      <c r="X2575" s="26" t="str">
        <f aca="false">IF($A2575="","",U2575-W2575)</f>
        <v/>
      </c>
      <c r="Y2575" s="26" t="str">
        <f aca="false">IF($A2575="","",U2575-W2575-M2575)</f>
        <v/>
      </c>
      <c r="AB2575" s="27" t="str">
        <f aca="false">IF($A2575="","",IF($AK2575=1,'كشف المطالبة'!$D$5,'كشف المطالبة'!$D$6)*100)</f>
        <v/>
      </c>
      <c r="AK2575" s="28" t="str">
        <f aca="false">IF($A2575="","",IF(OR($Q2575=TRUE(),$Q2575="TRUE"),1,0))</f>
        <v/>
      </c>
      <c r="AL2575" s="28" t="str">
        <f aca="false">IF($N2575="","",IF(MATCH($N2575,$N$2:$N$3001,0)=ROWS($N$2:$N2575),$N2575,""))</f>
        <v/>
      </c>
    </row>
    <row r="2576" customFormat="false" ht="15" hidden="false" customHeight="false" outlineLevel="0" collapsed="false">
      <c r="E2576" s="25"/>
      <c r="M2576" s="26" t="str">
        <f aca="false">IF($A2576="","",$L2576*$U2576/100)</f>
        <v/>
      </c>
      <c r="W2576" s="26" t="str">
        <f aca="false">IF($A2576="","",U2576*AB2576/100)</f>
        <v/>
      </c>
      <c r="X2576" s="26" t="str">
        <f aca="false">IF($A2576="","",U2576-W2576)</f>
        <v/>
      </c>
      <c r="Y2576" s="26" t="str">
        <f aca="false">IF($A2576="","",U2576-W2576-M2576)</f>
        <v/>
      </c>
      <c r="AB2576" s="27" t="str">
        <f aca="false">IF($A2576="","",IF($AK2576=1,'كشف المطالبة'!$D$5,'كشف المطالبة'!$D$6)*100)</f>
        <v/>
      </c>
      <c r="AK2576" s="28" t="str">
        <f aca="false">IF($A2576="","",IF(OR($Q2576=TRUE(),$Q2576="TRUE"),1,0))</f>
        <v/>
      </c>
      <c r="AL2576" s="28" t="str">
        <f aca="false">IF($N2576="","",IF(MATCH($N2576,$N$2:$N$3001,0)=ROWS($N$2:$N2576),$N2576,""))</f>
        <v/>
      </c>
    </row>
    <row r="2577" customFormat="false" ht="15" hidden="false" customHeight="false" outlineLevel="0" collapsed="false">
      <c r="E2577" s="25"/>
      <c r="M2577" s="26" t="str">
        <f aca="false">IF($A2577="","",$L2577*$U2577/100)</f>
        <v/>
      </c>
      <c r="W2577" s="26" t="str">
        <f aca="false">IF($A2577="","",U2577*AB2577/100)</f>
        <v/>
      </c>
      <c r="X2577" s="26" t="str">
        <f aca="false">IF($A2577="","",U2577-W2577)</f>
        <v/>
      </c>
      <c r="Y2577" s="26" t="str">
        <f aca="false">IF($A2577="","",U2577-W2577-M2577)</f>
        <v/>
      </c>
      <c r="AB2577" s="27" t="str">
        <f aca="false">IF($A2577="","",IF($AK2577=1,'كشف المطالبة'!$D$5,'كشف المطالبة'!$D$6)*100)</f>
        <v/>
      </c>
      <c r="AK2577" s="28" t="str">
        <f aca="false">IF($A2577="","",IF(OR($Q2577=TRUE(),$Q2577="TRUE"),1,0))</f>
        <v/>
      </c>
      <c r="AL2577" s="28" t="str">
        <f aca="false">IF($N2577="","",IF(MATCH($N2577,$N$2:$N$3001,0)=ROWS($N$2:$N2577),$N2577,""))</f>
        <v/>
      </c>
    </row>
    <row r="2578" customFormat="false" ht="15" hidden="false" customHeight="false" outlineLevel="0" collapsed="false">
      <c r="E2578" s="25"/>
      <c r="M2578" s="26" t="str">
        <f aca="false">IF($A2578="","",$L2578*$U2578/100)</f>
        <v/>
      </c>
      <c r="W2578" s="26" t="str">
        <f aca="false">IF($A2578="","",U2578*AB2578/100)</f>
        <v/>
      </c>
      <c r="X2578" s="26" t="str">
        <f aca="false">IF($A2578="","",U2578-W2578)</f>
        <v/>
      </c>
      <c r="Y2578" s="26" t="str">
        <f aca="false">IF($A2578="","",U2578-W2578-M2578)</f>
        <v/>
      </c>
      <c r="AB2578" s="27" t="str">
        <f aca="false">IF($A2578="","",IF($AK2578=1,'كشف المطالبة'!$D$5,'كشف المطالبة'!$D$6)*100)</f>
        <v/>
      </c>
      <c r="AK2578" s="28" t="str">
        <f aca="false">IF($A2578="","",IF(OR($Q2578=TRUE(),$Q2578="TRUE"),1,0))</f>
        <v/>
      </c>
      <c r="AL2578" s="28" t="str">
        <f aca="false">IF($N2578="","",IF(MATCH($N2578,$N$2:$N$3001,0)=ROWS($N$2:$N2578),$N2578,""))</f>
        <v/>
      </c>
    </row>
    <row r="2579" customFormat="false" ht="15" hidden="false" customHeight="false" outlineLevel="0" collapsed="false">
      <c r="E2579" s="25"/>
      <c r="M2579" s="26" t="str">
        <f aca="false">IF($A2579="","",$L2579*$U2579/100)</f>
        <v/>
      </c>
      <c r="W2579" s="26" t="str">
        <f aca="false">IF($A2579="","",U2579*AB2579/100)</f>
        <v/>
      </c>
      <c r="X2579" s="26" t="str">
        <f aca="false">IF($A2579="","",U2579-W2579)</f>
        <v/>
      </c>
      <c r="Y2579" s="26" t="str">
        <f aca="false">IF($A2579="","",U2579-W2579-M2579)</f>
        <v/>
      </c>
      <c r="AB2579" s="27" t="str">
        <f aca="false">IF($A2579="","",IF($AK2579=1,'كشف المطالبة'!$D$5,'كشف المطالبة'!$D$6)*100)</f>
        <v/>
      </c>
      <c r="AK2579" s="28" t="str">
        <f aca="false">IF($A2579="","",IF(OR($Q2579=TRUE(),$Q2579="TRUE"),1,0))</f>
        <v/>
      </c>
      <c r="AL2579" s="28" t="str">
        <f aca="false">IF($N2579="","",IF(MATCH($N2579,$N$2:$N$3001,0)=ROWS($N$2:$N2579),$N2579,""))</f>
        <v/>
      </c>
    </row>
    <row r="2580" customFormat="false" ht="15" hidden="false" customHeight="false" outlineLevel="0" collapsed="false">
      <c r="E2580" s="25"/>
      <c r="M2580" s="26" t="str">
        <f aca="false">IF($A2580="","",$L2580*$U2580/100)</f>
        <v/>
      </c>
      <c r="W2580" s="26" t="str">
        <f aca="false">IF($A2580="","",U2580*AB2580/100)</f>
        <v/>
      </c>
      <c r="X2580" s="26" t="str">
        <f aca="false">IF($A2580="","",U2580-W2580)</f>
        <v/>
      </c>
      <c r="Y2580" s="26" t="str">
        <f aca="false">IF($A2580="","",U2580-W2580-M2580)</f>
        <v/>
      </c>
      <c r="AB2580" s="27" t="str">
        <f aca="false">IF($A2580="","",IF($AK2580=1,'كشف المطالبة'!$D$5,'كشف المطالبة'!$D$6)*100)</f>
        <v/>
      </c>
      <c r="AK2580" s="28" t="str">
        <f aca="false">IF($A2580="","",IF(OR($Q2580=TRUE(),$Q2580="TRUE"),1,0))</f>
        <v/>
      </c>
      <c r="AL2580" s="28" t="str">
        <f aca="false">IF($N2580="","",IF(MATCH($N2580,$N$2:$N$3001,0)=ROWS($N$2:$N2580),$N2580,""))</f>
        <v/>
      </c>
    </row>
    <row r="2581" customFormat="false" ht="15" hidden="false" customHeight="false" outlineLevel="0" collapsed="false">
      <c r="E2581" s="25"/>
      <c r="M2581" s="26" t="str">
        <f aca="false">IF($A2581="","",$L2581*$U2581/100)</f>
        <v/>
      </c>
      <c r="W2581" s="26" t="str">
        <f aca="false">IF($A2581="","",U2581*AB2581/100)</f>
        <v/>
      </c>
      <c r="X2581" s="26" t="str">
        <f aca="false">IF($A2581="","",U2581-W2581)</f>
        <v/>
      </c>
      <c r="Y2581" s="26" t="str">
        <f aca="false">IF($A2581="","",U2581-W2581-M2581)</f>
        <v/>
      </c>
      <c r="AB2581" s="27" t="str">
        <f aca="false">IF($A2581="","",IF($AK2581=1,'كشف المطالبة'!$D$5,'كشف المطالبة'!$D$6)*100)</f>
        <v/>
      </c>
      <c r="AK2581" s="28" t="str">
        <f aca="false">IF($A2581="","",IF(OR($Q2581=TRUE(),$Q2581="TRUE"),1,0))</f>
        <v/>
      </c>
      <c r="AL2581" s="28" t="str">
        <f aca="false">IF($N2581="","",IF(MATCH($N2581,$N$2:$N$3001,0)=ROWS($N$2:$N2581),$N2581,""))</f>
        <v/>
      </c>
    </row>
    <row r="2582" customFormat="false" ht="15" hidden="false" customHeight="false" outlineLevel="0" collapsed="false">
      <c r="E2582" s="25"/>
      <c r="M2582" s="26" t="str">
        <f aca="false">IF($A2582="","",$L2582*$U2582/100)</f>
        <v/>
      </c>
      <c r="W2582" s="26" t="str">
        <f aca="false">IF($A2582="","",U2582*AB2582/100)</f>
        <v/>
      </c>
      <c r="X2582" s="26" t="str">
        <f aca="false">IF($A2582="","",U2582-W2582)</f>
        <v/>
      </c>
      <c r="Y2582" s="26" t="str">
        <f aca="false">IF($A2582="","",U2582-W2582-M2582)</f>
        <v/>
      </c>
      <c r="AB2582" s="27" t="str">
        <f aca="false">IF($A2582="","",IF($AK2582=1,'كشف المطالبة'!$D$5,'كشف المطالبة'!$D$6)*100)</f>
        <v/>
      </c>
      <c r="AK2582" s="28" t="str">
        <f aca="false">IF($A2582="","",IF(OR($Q2582=TRUE(),$Q2582="TRUE"),1,0))</f>
        <v/>
      </c>
      <c r="AL2582" s="28" t="str">
        <f aca="false">IF($N2582="","",IF(MATCH($N2582,$N$2:$N$3001,0)=ROWS($N$2:$N2582),$N2582,""))</f>
        <v/>
      </c>
    </row>
    <row r="2583" customFormat="false" ht="15" hidden="false" customHeight="false" outlineLevel="0" collapsed="false">
      <c r="E2583" s="25"/>
      <c r="M2583" s="26" t="str">
        <f aca="false">IF($A2583="","",$L2583*$U2583/100)</f>
        <v/>
      </c>
      <c r="W2583" s="26" t="str">
        <f aca="false">IF($A2583="","",U2583*AB2583/100)</f>
        <v/>
      </c>
      <c r="X2583" s="26" t="str">
        <f aca="false">IF($A2583="","",U2583-W2583)</f>
        <v/>
      </c>
      <c r="Y2583" s="26" t="str">
        <f aca="false">IF($A2583="","",U2583-W2583-M2583)</f>
        <v/>
      </c>
      <c r="AB2583" s="27" t="str">
        <f aca="false">IF($A2583="","",IF($AK2583=1,'كشف المطالبة'!$D$5,'كشف المطالبة'!$D$6)*100)</f>
        <v/>
      </c>
      <c r="AK2583" s="28" t="str">
        <f aca="false">IF($A2583="","",IF(OR($Q2583=TRUE(),$Q2583="TRUE"),1,0))</f>
        <v/>
      </c>
      <c r="AL2583" s="28" t="str">
        <f aca="false">IF($N2583="","",IF(MATCH($N2583,$N$2:$N$3001,0)=ROWS($N$2:$N2583),$N2583,""))</f>
        <v/>
      </c>
    </row>
    <row r="2584" customFormat="false" ht="15" hidden="false" customHeight="false" outlineLevel="0" collapsed="false">
      <c r="E2584" s="25"/>
      <c r="M2584" s="26" t="str">
        <f aca="false">IF($A2584="","",$L2584*$U2584/100)</f>
        <v/>
      </c>
      <c r="W2584" s="26" t="str">
        <f aca="false">IF($A2584="","",U2584*AB2584/100)</f>
        <v/>
      </c>
      <c r="X2584" s="26" t="str">
        <f aca="false">IF($A2584="","",U2584-W2584)</f>
        <v/>
      </c>
      <c r="Y2584" s="26" t="str">
        <f aca="false">IF($A2584="","",U2584-W2584-M2584)</f>
        <v/>
      </c>
      <c r="AB2584" s="27" t="str">
        <f aca="false">IF($A2584="","",IF($AK2584=1,'كشف المطالبة'!$D$5,'كشف المطالبة'!$D$6)*100)</f>
        <v/>
      </c>
      <c r="AK2584" s="28" t="str">
        <f aca="false">IF($A2584="","",IF(OR($Q2584=TRUE(),$Q2584="TRUE"),1,0))</f>
        <v/>
      </c>
      <c r="AL2584" s="28" t="str">
        <f aca="false">IF($N2584="","",IF(MATCH($N2584,$N$2:$N$3001,0)=ROWS($N$2:$N2584),$N2584,""))</f>
        <v/>
      </c>
    </row>
    <row r="2585" customFormat="false" ht="15" hidden="false" customHeight="false" outlineLevel="0" collapsed="false">
      <c r="E2585" s="25"/>
      <c r="M2585" s="26" t="str">
        <f aca="false">IF($A2585="","",$L2585*$U2585/100)</f>
        <v/>
      </c>
      <c r="W2585" s="26" t="str">
        <f aca="false">IF($A2585="","",U2585*AB2585/100)</f>
        <v/>
      </c>
      <c r="X2585" s="26" t="str">
        <f aca="false">IF($A2585="","",U2585-W2585)</f>
        <v/>
      </c>
      <c r="Y2585" s="26" t="str">
        <f aca="false">IF($A2585="","",U2585-W2585-M2585)</f>
        <v/>
      </c>
      <c r="AB2585" s="27" t="str">
        <f aca="false">IF($A2585="","",IF($AK2585=1,'كشف المطالبة'!$D$5,'كشف المطالبة'!$D$6)*100)</f>
        <v/>
      </c>
      <c r="AK2585" s="28" t="str">
        <f aca="false">IF($A2585="","",IF(OR($Q2585=TRUE(),$Q2585="TRUE"),1,0))</f>
        <v/>
      </c>
      <c r="AL2585" s="28" t="str">
        <f aca="false">IF($N2585="","",IF(MATCH($N2585,$N$2:$N$3001,0)=ROWS($N$2:$N2585),$N2585,""))</f>
        <v/>
      </c>
    </row>
    <row r="2586" customFormat="false" ht="15" hidden="false" customHeight="false" outlineLevel="0" collapsed="false">
      <c r="E2586" s="25"/>
      <c r="M2586" s="26" t="str">
        <f aca="false">IF($A2586="","",$L2586*$U2586/100)</f>
        <v/>
      </c>
      <c r="W2586" s="26" t="str">
        <f aca="false">IF($A2586="","",U2586*AB2586/100)</f>
        <v/>
      </c>
      <c r="X2586" s="26" t="str">
        <f aca="false">IF($A2586="","",U2586-W2586)</f>
        <v/>
      </c>
      <c r="Y2586" s="26" t="str">
        <f aca="false">IF($A2586="","",U2586-W2586-M2586)</f>
        <v/>
      </c>
      <c r="AB2586" s="27" t="str">
        <f aca="false">IF($A2586="","",IF($AK2586=1,'كشف المطالبة'!$D$5,'كشف المطالبة'!$D$6)*100)</f>
        <v/>
      </c>
      <c r="AK2586" s="28" t="str">
        <f aca="false">IF($A2586="","",IF(OR($Q2586=TRUE(),$Q2586="TRUE"),1,0))</f>
        <v/>
      </c>
      <c r="AL2586" s="28" t="str">
        <f aca="false">IF($N2586="","",IF(MATCH($N2586,$N$2:$N$3001,0)=ROWS($N$2:$N2586),$N2586,""))</f>
        <v/>
      </c>
    </row>
    <row r="2587" customFormat="false" ht="15" hidden="false" customHeight="false" outlineLevel="0" collapsed="false">
      <c r="E2587" s="25"/>
      <c r="M2587" s="26" t="str">
        <f aca="false">IF($A2587="","",$L2587*$U2587/100)</f>
        <v/>
      </c>
      <c r="W2587" s="26" t="str">
        <f aca="false">IF($A2587="","",U2587*AB2587/100)</f>
        <v/>
      </c>
      <c r="X2587" s="26" t="str">
        <f aca="false">IF($A2587="","",U2587-W2587)</f>
        <v/>
      </c>
      <c r="Y2587" s="26" t="str">
        <f aca="false">IF($A2587="","",U2587-W2587-M2587)</f>
        <v/>
      </c>
      <c r="AB2587" s="27" t="str">
        <f aca="false">IF($A2587="","",IF($AK2587=1,'كشف المطالبة'!$D$5,'كشف المطالبة'!$D$6)*100)</f>
        <v/>
      </c>
      <c r="AK2587" s="28" t="str">
        <f aca="false">IF($A2587="","",IF(OR($Q2587=TRUE(),$Q2587="TRUE"),1,0))</f>
        <v/>
      </c>
      <c r="AL2587" s="28" t="str">
        <f aca="false">IF($N2587="","",IF(MATCH($N2587,$N$2:$N$3001,0)=ROWS($N$2:$N2587),$N2587,""))</f>
        <v/>
      </c>
    </row>
    <row r="2588" customFormat="false" ht="15" hidden="false" customHeight="false" outlineLevel="0" collapsed="false">
      <c r="E2588" s="25"/>
      <c r="M2588" s="26" t="str">
        <f aca="false">IF($A2588="","",$L2588*$U2588/100)</f>
        <v/>
      </c>
      <c r="W2588" s="26" t="str">
        <f aca="false">IF($A2588="","",U2588*AB2588/100)</f>
        <v/>
      </c>
      <c r="X2588" s="26" t="str">
        <f aca="false">IF($A2588="","",U2588-W2588)</f>
        <v/>
      </c>
      <c r="Y2588" s="26" t="str">
        <f aca="false">IF($A2588="","",U2588-W2588-M2588)</f>
        <v/>
      </c>
      <c r="AB2588" s="27" t="str">
        <f aca="false">IF($A2588="","",IF($AK2588=1,'كشف المطالبة'!$D$5,'كشف المطالبة'!$D$6)*100)</f>
        <v/>
      </c>
      <c r="AK2588" s="28" t="str">
        <f aca="false">IF($A2588="","",IF(OR($Q2588=TRUE(),$Q2588="TRUE"),1,0))</f>
        <v/>
      </c>
      <c r="AL2588" s="28" t="str">
        <f aca="false">IF($N2588="","",IF(MATCH($N2588,$N$2:$N$3001,0)=ROWS($N$2:$N2588),$N2588,""))</f>
        <v/>
      </c>
    </row>
    <row r="2589" customFormat="false" ht="15" hidden="false" customHeight="false" outlineLevel="0" collapsed="false">
      <c r="E2589" s="25"/>
      <c r="M2589" s="26" t="str">
        <f aca="false">IF($A2589="","",$L2589*$U2589/100)</f>
        <v/>
      </c>
      <c r="W2589" s="26" t="str">
        <f aca="false">IF($A2589="","",U2589*AB2589/100)</f>
        <v/>
      </c>
      <c r="X2589" s="26" t="str">
        <f aca="false">IF($A2589="","",U2589-W2589)</f>
        <v/>
      </c>
      <c r="Y2589" s="26" t="str">
        <f aca="false">IF($A2589="","",U2589-W2589-M2589)</f>
        <v/>
      </c>
      <c r="AB2589" s="27" t="str">
        <f aca="false">IF($A2589="","",IF($AK2589=1,'كشف المطالبة'!$D$5,'كشف المطالبة'!$D$6)*100)</f>
        <v/>
      </c>
      <c r="AK2589" s="28" t="str">
        <f aca="false">IF($A2589="","",IF(OR($Q2589=TRUE(),$Q2589="TRUE"),1,0))</f>
        <v/>
      </c>
      <c r="AL2589" s="28" t="str">
        <f aca="false">IF($N2589="","",IF(MATCH($N2589,$N$2:$N$3001,0)=ROWS($N$2:$N2589),$N2589,""))</f>
        <v/>
      </c>
    </row>
    <row r="2590" customFormat="false" ht="15" hidden="false" customHeight="false" outlineLevel="0" collapsed="false">
      <c r="E2590" s="25"/>
      <c r="M2590" s="26" t="str">
        <f aca="false">IF($A2590="","",$L2590*$U2590/100)</f>
        <v/>
      </c>
      <c r="W2590" s="26" t="str">
        <f aca="false">IF($A2590="","",U2590*AB2590/100)</f>
        <v/>
      </c>
      <c r="X2590" s="26" t="str">
        <f aca="false">IF($A2590="","",U2590-W2590)</f>
        <v/>
      </c>
      <c r="Y2590" s="26" t="str">
        <f aca="false">IF($A2590="","",U2590-W2590-M2590)</f>
        <v/>
      </c>
      <c r="AB2590" s="27" t="str">
        <f aca="false">IF($A2590="","",IF($AK2590=1,'كشف المطالبة'!$D$5,'كشف المطالبة'!$D$6)*100)</f>
        <v/>
      </c>
      <c r="AK2590" s="28" t="str">
        <f aca="false">IF($A2590="","",IF(OR($Q2590=TRUE(),$Q2590="TRUE"),1,0))</f>
        <v/>
      </c>
      <c r="AL2590" s="28" t="str">
        <f aca="false">IF($N2590="","",IF(MATCH($N2590,$N$2:$N$3001,0)=ROWS($N$2:$N2590),$N2590,""))</f>
        <v/>
      </c>
    </row>
    <row r="2591" customFormat="false" ht="15" hidden="false" customHeight="false" outlineLevel="0" collapsed="false">
      <c r="E2591" s="25"/>
      <c r="M2591" s="26" t="str">
        <f aca="false">IF($A2591="","",$L2591*$U2591/100)</f>
        <v/>
      </c>
      <c r="W2591" s="26" t="str">
        <f aca="false">IF($A2591="","",U2591*AB2591/100)</f>
        <v/>
      </c>
      <c r="X2591" s="26" t="str">
        <f aca="false">IF($A2591="","",U2591-W2591)</f>
        <v/>
      </c>
      <c r="Y2591" s="26" t="str">
        <f aca="false">IF($A2591="","",U2591-W2591-M2591)</f>
        <v/>
      </c>
      <c r="AB2591" s="27" t="str">
        <f aca="false">IF($A2591="","",IF($AK2591=1,'كشف المطالبة'!$D$5,'كشف المطالبة'!$D$6)*100)</f>
        <v/>
      </c>
      <c r="AK2591" s="28" t="str">
        <f aca="false">IF($A2591="","",IF(OR($Q2591=TRUE(),$Q2591="TRUE"),1,0))</f>
        <v/>
      </c>
      <c r="AL2591" s="28" t="str">
        <f aca="false">IF($N2591="","",IF(MATCH($N2591,$N$2:$N$3001,0)=ROWS($N$2:$N2591),$N2591,""))</f>
        <v/>
      </c>
    </row>
    <row r="2592" customFormat="false" ht="15" hidden="false" customHeight="false" outlineLevel="0" collapsed="false">
      <c r="E2592" s="25"/>
      <c r="M2592" s="26" t="str">
        <f aca="false">IF($A2592="","",$L2592*$U2592/100)</f>
        <v/>
      </c>
      <c r="W2592" s="26" t="str">
        <f aca="false">IF($A2592="","",U2592*AB2592/100)</f>
        <v/>
      </c>
      <c r="X2592" s="26" t="str">
        <f aca="false">IF($A2592="","",U2592-W2592)</f>
        <v/>
      </c>
      <c r="Y2592" s="26" t="str">
        <f aca="false">IF($A2592="","",U2592-W2592-M2592)</f>
        <v/>
      </c>
      <c r="AB2592" s="27" t="str">
        <f aca="false">IF($A2592="","",IF($AK2592=1,'كشف المطالبة'!$D$5,'كشف المطالبة'!$D$6)*100)</f>
        <v/>
      </c>
      <c r="AK2592" s="28" t="str">
        <f aca="false">IF($A2592="","",IF(OR($Q2592=TRUE(),$Q2592="TRUE"),1,0))</f>
        <v/>
      </c>
      <c r="AL2592" s="28" t="str">
        <f aca="false">IF($N2592="","",IF(MATCH($N2592,$N$2:$N$3001,0)=ROWS($N$2:$N2592),$N2592,""))</f>
        <v/>
      </c>
    </row>
    <row r="2593" customFormat="false" ht="15" hidden="false" customHeight="false" outlineLevel="0" collapsed="false">
      <c r="E2593" s="25"/>
      <c r="M2593" s="26" t="str">
        <f aca="false">IF($A2593="","",$L2593*$U2593/100)</f>
        <v/>
      </c>
      <c r="W2593" s="26" t="str">
        <f aca="false">IF($A2593="","",U2593*AB2593/100)</f>
        <v/>
      </c>
      <c r="X2593" s="26" t="str">
        <f aca="false">IF($A2593="","",U2593-W2593)</f>
        <v/>
      </c>
      <c r="Y2593" s="26" t="str">
        <f aca="false">IF($A2593="","",U2593-W2593-M2593)</f>
        <v/>
      </c>
      <c r="AB2593" s="27" t="str">
        <f aca="false">IF($A2593="","",IF($AK2593=1,'كشف المطالبة'!$D$5,'كشف المطالبة'!$D$6)*100)</f>
        <v/>
      </c>
      <c r="AK2593" s="28" t="str">
        <f aca="false">IF($A2593="","",IF(OR($Q2593=TRUE(),$Q2593="TRUE"),1,0))</f>
        <v/>
      </c>
      <c r="AL2593" s="28" t="str">
        <f aca="false">IF($N2593="","",IF(MATCH($N2593,$N$2:$N$3001,0)=ROWS($N$2:$N2593),$N2593,""))</f>
        <v/>
      </c>
    </row>
    <row r="2594" customFormat="false" ht="15" hidden="false" customHeight="false" outlineLevel="0" collapsed="false">
      <c r="E2594" s="25"/>
      <c r="M2594" s="26" t="str">
        <f aca="false">IF($A2594="","",$L2594*$U2594/100)</f>
        <v/>
      </c>
      <c r="W2594" s="26" t="str">
        <f aca="false">IF($A2594="","",U2594*AB2594/100)</f>
        <v/>
      </c>
      <c r="X2594" s="26" t="str">
        <f aca="false">IF($A2594="","",U2594-W2594)</f>
        <v/>
      </c>
      <c r="Y2594" s="26" t="str">
        <f aca="false">IF($A2594="","",U2594-W2594-M2594)</f>
        <v/>
      </c>
      <c r="AB2594" s="27" t="str">
        <f aca="false">IF($A2594="","",IF($AK2594=1,'كشف المطالبة'!$D$5,'كشف المطالبة'!$D$6)*100)</f>
        <v/>
      </c>
      <c r="AK2594" s="28" t="str">
        <f aca="false">IF($A2594="","",IF(OR($Q2594=TRUE(),$Q2594="TRUE"),1,0))</f>
        <v/>
      </c>
      <c r="AL2594" s="28" t="str">
        <f aca="false">IF($N2594="","",IF(MATCH($N2594,$N$2:$N$3001,0)=ROWS($N$2:$N2594),$N2594,""))</f>
        <v/>
      </c>
    </row>
    <row r="2595" customFormat="false" ht="15" hidden="false" customHeight="false" outlineLevel="0" collapsed="false">
      <c r="E2595" s="25"/>
      <c r="M2595" s="26" t="str">
        <f aca="false">IF($A2595="","",$L2595*$U2595/100)</f>
        <v/>
      </c>
      <c r="W2595" s="26" t="str">
        <f aca="false">IF($A2595="","",U2595*AB2595/100)</f>
        <v/>
      </c>
      <c r="X2595" s="26" t="str">
        <f aca="false">IF($A2595="","",U2595-W2595)</f>
        <v/>
      </c>
      <c r="Y2595" s="26" t="str">
        <f aca="false">IF($A2595="","",U2595-W2595-M2595)</f>
        <v/>
      </c>
      <c r="AB2595" s="27" t="str">
        <f aca="false">IF($A2595="","",IF($AK2595=1,'كشف المطالبة'!$D$5,'كشف المطالبة'!$D$6)*100)</f>
        <v/>
      </c>
      <c r="AK2595" s="28" t="str">
        <f aca="false">IF($A2595="","",IF(OR($Q2595=TRUE(),$Q2595="TRUE"),1,0))</f>
        <v/>
      </c>
      <c r="AL2595" s="28" t="str">
        <f aca="false">IF($N2595="","",IF(MATCH($N2595,$N$2:$N$3001,0)=ROWS($N$2:$N2595),$N2595,""))</f>
        <v/>
      </c>
    </row>
    <row r="2596" customFormat="false" ht="15" hidden="false" customHeight="false" outlineLevel="0" collapsed="false">
      <c r="E2596" s="25"/>
      <c r="M2596" s="26" t="str">
        <f aca="false">IF($A2596="","",$L2596*$U2596/100)</f>
        <v/>
      </c>
      <c r="W2596" s="26" t="str">
        <f aca="false">IF($A2596="","",U2596*AB2596/100)</f>
        <v/>
      </c>
      <c r="X2596" s="26" t="str">
        <f aca="false">IF($A2596="","",U2596-W2596)</f>
        <v/>
      </c>
      <c r="Y2596" s="26" t="str">
        <f aca="false">IF($A2596="","",U2596-W2596-M2596)</f>
        <v/>
      </c>
      <c r="AB2596" s="27" t="str">
        <f aca="false">IF($A2596="","",IF($AK2596=1,'كشف المطالبة'!$D$5,'كشف المطالبة'!$D$6)*100)</f>
        <v/>
      </c>
      <c r="AK2596" s="28" t="str">
        <f aca="false">IF($A2596="","",IF(OR($Q2596=TRUE(),$Q2596="TRUE"),1,0))</f>
        <v/>
      </c>
      <c r="AL2596" s="28" t="str">
        <f aca="false">IF($N2596="","",IF(MATCH($N2596,$N$2:$N$3001,0)=ROWS($N$2:$N2596),$N2596,""))</f>
        <v/>
      </c>
    </row>
    <row r="2597" customFormat="false" ht="15" hidden="false" customHeight="false" outlineLevel="0" collapsed="false">
      <c r="E2597" s="25"/>
      <c r="M2597" s="26" t="str">
        <f aca="false">IF($A2597="","",$L2597*$U2597/100)</f>
        <v/>
      </c>
      <c r="W2597" s="26" t="str">
        <f aca="false">IF($A2597="","",U2597*AB2597/100)</f>
        <v/>
      </c>
      <c r="X2597" s="26" t="str">
        <f aca="false">IF($A2597="","",U2597-W2597)</f>
        <v/>
      </c>
      <c r="Y2597" s="26" t="str">
        <f aca="false">IF($A2597="","",U2597-W2597-M2597)</f>
        <v/>
      </c>
      <c r="AB2597" s="27" t="str">
        <f aca="false">IF($A2597="","",IF($AK2597=1,'كشف المطالبة'!$D$5,'كشف المطالبة'!$D$6)*100)</f>
        <v/>
      </c>
      <c r="AK2597" s="28" t="str">
        <f aca="false">IF($A2597="","",IF(OR($Q2597=TRUE(),$Q2597="TRUE"),1,0))</f>
        <v/>
      </c>
      <c r="AL2597" s="28" t="str">
        <f aca="false">IF($N2597="","",IF(MATCH($N2597,$N$2:$N$3001,0)=ROWS($N$2:$N2597),$N2597,""))</f>
        <v/>
      </c>
    </row>
    <row r="2598" customFormat="false" ht="15" hidden="false" customHeight="false" outlineLevel="0" collapsed="false">
      <c r="E2598" s="25"/>
      <c r="M2598" s="26" t="str">
        <f aca="false">IF($A2598="","",$L2598*$U2598/100)</f>
        <v/>
      </c>
      <c r="W2598" s="26" t="str">
        <f aca="false">IF($A2598="","",U2598*AB2598/100)</f>
        <v/>
      </c>
      <c r="X2598" s="26" t="str">
        <f aca="false">IF($A2598="","",U2598-W2598)</f>
        <v/>
      </c>
      <c r="Y2598" s="26" t="str">
        <f aca="false">IF($A2598="","",U2598-W2598-M2598)</f>
        <v/>
      </c>
      <c r="AB2598" s="27" t="str">
        <f aca="false">IF($A2598="","",IF($AK2598=1,'كشف المطالبة'!$D$5,'كشف المطالبة'!$D$6)*100)</f>
        <v/>
      </c>
      <c r="AK2598" s="28" t="str">
        <f aca="false">IF($A2598="","",IF(OR($Q2598=TRUE(),$Q2598="TRUE"),1,0))</f>
        <v/>
      </c>
      <c r="AL2598" s="28" t="str">
        <f aca="false">IF($N2598="","",IF(MATCH($N2598,$N$2:$N$3001,0)=ROWS($N$2:$N2598),$N2598,""))</f>
        <v/>
      </c>
    </row>
    <row r="2599" customFormat="false" ht="15" hidden="false" customHeight="false" outlineLevel="0" collapsed="false">
      <c r="E2599" s="25"/>
      <c r="M2599" s="26" t="str">
        <f aca="false">IF($A2599="","",$L2599*$U2599/100)</f>
        <v/>
      </c>
      <c r="W2599" s="26" t="str">
        <f aca="false">IF($A2599="","",U2599*AB2599/100)</f>
        <v/>
      </c>
      <c r="X2599" s="26" t="str">
        <f aca="false">IF($A2599="","",U2599-W2599)</f>
        <v/>
      </c>
      <c r="Y2599" s="26" t="str">
        <f aca="false">IF($A2599="","",U2599-W2599-M2599)</f>
        <v/>
      </c>
      <c r="AB2599" s="27" t="str">
        <f aca="false">IF($A2599="","",IF($AK2599=1,'كشف المطالبة'!$D$5,'كشف المطالبة'!$D$6)*100)</f>
        <v/>
      </c>
      <c r="AK2599" s="28" t="str">
        <f aca="false">IF($A2599="","",IF(OR($Q2599=TRUE(),$Q2599="TRUE"),1,0))</f>
        <v/>
      </c>
      <c r="AL2599" s="28" t="str">
        <f aca="false">IF($N2599="","",IF(MATCH($N2599,$N$2:$N$3001,0)=ROWS($N$2:$N2599),$N2599,""))</f>
        <v/>
      </c>
    </row>
    <row r="2600" customFormat="false" ht="15" hidden="false" customHeight="false" outlineLevel="0" collapsed="false">
      <c r="E2600" s="25"/>
      <c r="M2600" s="26" t="str">
        <f aca="false">IF($A2600="","",$L2600*$U2600/100)</f>
        <v/>
      </c>
      <c r="W2600" s="26" t="str">
        <f aca="false">IF($A2600="","",U2600*AB2600/100)</f>
        <v/>
      </c>
      <c r="X2600" s="26" t="str">
        <f aca="false">IF($A2600="","",U2600-W2600)</f>
        <v/>
      </c>
      <c r="Y2600" s="26" t="str">
        <f aca="false">IF($A2600="","",U2600-W2600-M2600)</f>
        <v/>
      </c>
      <c r="AB2600" s="27" t="str">
        <f aca="false">IF($A2600="","",IF($AK2600=1,'كشف المطالبة'!$D$5,'كشف المطالبة'!$D$6)*100)</f>
        <v/>
      </c>
      <c r="AK2600" s="28" t="str">
        <f aca="false">IF($A2600="","",IF(OR($Q2600=TRUE(),$Q2600="TRUE"),1,0))</f>
        <v/>
      </c>
      <c r="AL2600" s="28" t="str">
        <f aca="false">IF($N2600="","",IF(MATCH($N2600,$N$2:$N$3001,0)=ROWS($N$2:$N2600),$N2600,""))</f>
        <v/>
      </c>
    </row>
    <row r="2601" customFormat="false" ht="15" hidden="false" customHeight="false" outlineLevel="0" collapsed="false">
      <c r="E2601" s="25"/>
      <c r="M2601" s="26" t="str">
        <f aca="false">IF($A2601="","",$L2601*$U2601/100)</f>
        <v/>
      </c>
      <c r="W2601" s="26" t="str">
        <f aca="false">IF($A2601="","",U2601*AB2601/100)</f>
        <v/>
      </c>
      <c r="X2601" s="26" t="str">
        <f aca="false">IF($A2601="","",U2601-W2601)</f>
        <v/>
      </c>
      <c r="Y2601" s="26" t="str">
        <f aca="false">IF($A2601="","",U2601-W2601-M2601)</f>
        <v/>
      </c>
      <c r="AB2601" s="27" t="str">
        <f aca="false">IF($A2601="","",IF($AK2601=1,'كشف المطالبة'!$D$5,'كشف المطالبة'!$D$6)*100)</f>
        <v/>
      </c>
      <c r="AK2601" s="28" t="str">
        <f aca="false">IF($A2601="","",IF(OR($Q2601=TRUE(),$Q2601="TRUE"),1,0))</f>
        <v/>
      </c>
      <c r="AL2601" s="28" t="str">
        <f aca="false">IF($N2601="","",IF(MATCH($N2601,$N$2:$N$3001,0)=ROWS($N$2:$N2601),$N2601,""))</f>
        <v/>
      </c>
    </row>
    <row r="2602" customFormat="false" ht="15" hidden="false" customHeight="false" outlineLevel="0" collapsed="false">
      <c r="E2602" s="25"/>
      <c r="M2602" s="26" t="str">
        <f aca="false">IF($A2602="","",$L2602*$U2602/100)</f>
        <v/>
      </c>
      <c r="W2602" s="26" t="str">
        <f aca="false">IF($A2602="","",U2602*AB2602/100)</f>
        <v/>
      </c>
      <c r="X2602" s="26" t="str">
        <f aca="false">IF($A2602="","",U2602-W2602)</f>
        <v/>
      </c>
      <c r="Y2602" s="26" t="str">
        <f aca="false">IF($A2602="","",U2602-W2602-M2602)</f>
        <v/>
      </c>
      <c r="AB2602" s="27" t="str">
        <f aca="false">IF($A2602="","",IF($AK2602=1,'كشف المطالبة'!$D$5,'كشف المطالبة'!$D$6)*100)</f>
        <v/>
      </c>
      <c r="AK2602" s="28" t="str">
        <f aca="false">IF($A2602="","",IF(OR($Q2602=TRUE(),$Q2602="TRUE"),1,0))</f>
        <v/>
      </c>
      <c r="AL2602" s="28" t="str">
        <f aca="false">IF($N2602="","",IF(MATCH($N2602,$N$2:$N$3001,0)=ROWS($N$2:$N2602),$N2602,""))</f>
        <v/>
      </c>
    </row>
    <row r="2603" customFormat="false" ht="15" hidden="false" customHeight="false" outlineLevel="0" collapsed="false">
      <c r="E2603" s="25"/>
      <c r="M2603" s="26" t="str">
        <f aca="false">IF($A2603="","",$L2603*$U2603/100)</f>
        <v/>
      </c>
      <c r="W2603" s="26" t="str">
        <f aca="false">IF($A2603="","",U2603*AB2603/100)</f>
        <v/>
      </c>
      <c r="X2603" s="26" t="str">
        <f aca="false">IF($A2603="","",U2603-W2603)</f>
        <v/>
      </c>
      <c r="Y2603" s="26" t="str">
        <f aca="false">IF($A2603="","",U2603-W2603-M2603)</f>
        <v/>
      </c>
      <c r="AB2603" s="27" t="str">
        <f aca="false">IF($A2603="","",IF($AK2603=1,'كشف المطالبة'!$D$5,'كشف المطالبة'!$D$6)*100)</f>
        <v/>
      </c>
      <c r="AK2603" s="28" t="str">
        <f aca="false">IF($A2603="","",IF(OR($Q2603=TRUE(),$Q2603="TRUE"),1,0))</f>
        <v/>
      </c>
      <c r="AL2603" s="28" t="str">
        <f aca="false">IF($N2603="","",IF(MATCH($N2603,$N$2:$N$3001,0)=ROWS($N$2:$N2603),$N2603,""))</f>
        <v/>
      </c>
    </row>
    <row r="2604" customFormat="false" ht="15" hidden="false" customHeight="false" outlineLevel="0" collapsed="false">
      <c r="E2604" s="25"/>
      <c r="M2604" s="26" t="str">
        <f aca="false">IF($A2604="","",$L2604*$U2604/100)</f>
        <v/>
      </c>
      <c r="W2604" s="26" t="str">
        <f aca="false">IF($A2604="","",U2604*AB2604/100)</f>
        <v/>
      </c>
      <c r="X2604" s="26" t="str">
        <f aca="false">IF($A2604="","",U2604-W2604)</f>
        <v/>
      </c>
      <c r="Y2604" s="26" t="str">
        <f aca="false">IF($A2604="","",U2604-W2604-M2604)</f>
        <v/>
      </c>
      <c r="AB2604" s="27" t="str">
        <f aca="false">IF($A2604="","",IF($AK2604=1,'كشف المطالبة'!$D$5,'كشف المطالبة'!$D$6)*100)</f>
        <v/>
      </c>
      <c r="AK2604" s="28" t="str">
        <f aca="false">IF($A2604="","",IF(OR($Q2604=TRUE(),$Q2604="TRUE"),1,0))</f>
        <v/>
      </c>
      <c r="AL2604" s="28" t="str">
        <f aca="false">IF($N2604="","",IF(MATCH($N2604,$N$2:$N$3001,0)=ROWS($N$2:$N2604),$N2604,""))</f>
        <v/>
      </c>
    </row>
    <row r="2605" customFormat="false" ht="15" hidden="false" customHeight="false" outlineLevel="0" collapsed="false">
      <c r="E2605" s="25"/>
      <c r="M2605" s="26" t="str">
        <f aca="false">IF($A2605="","",$L2605*$U2605/100)</f>
        <v/>
      </c>
      <c r="W2605" s="26" t="str">
        <f aca="false">IF($A2605="","",U2605*AB2605/100)</f>
        <v/>
      </c>
      <c r="X2605" s="26" t="str">
        <f aca="false">IF($A2605="","",U2605-W2605)</f>
        <v/>
      </c>
      <c r="Y2605" s="26" t="str">
        <f aca="false">IF($A2605="","",U2605-W2605-M2605)</f>
        <v/>
      </c>
      <c r="AB2605" s="27" t="str">
        <f aca="false">IF($A2605="","",IF($AK2605=1,'كشف المطالبة'!$D$5,'كشف المطالبة'!$D$6)*100)</f>
        <v/>
      </c>
      <c r="AK2605" s="28" t="str">
        <f aca="false">IF($A2605="","",IF(OR($Q2605=TRUE(),$Q2605="TRUE"),1,0))</f>
        <v/>
      </c>
      <c r="AL2605" s="28" t="str">
        <f aca="false">IF($N2605="","",IF(MATCH($N2605,$N$2:$N$3001,0)=ROWS($N$2:$N2605),$N2605,""))</f>
        <v/>
      </c>
    </row>
    <row r="2606" customFormat="false" ht="15" hidden="false" customHeight="false" outlineLevel="0" collapsed="false">
      <c r="E2606" s="25"/>
      <c r="M2606" s="26" t="str">
        <f aca="false">IF($A2606="","",$L2606*$U2606/100)</f>
        <v/>
      </c>
      <c r="W2606" s="26" t="str">
        <f aca="false">IF($A2606="","",U2606*AB2606/100)</f>
        <v/>
      </c>
      <c r="X2606" s="26" t="str">
        <f aca="false">IF($A2606="","",U2606-W2606)</f>
        <v/>
      </c>
      <c r="Y2606" s="26" t="str">
        <f aca="false">IF($A2606="","",U2606-W2606-M2606)</f>
        <v/>
      </c>
      <c r="AB2606" s="27" t="str">
        <f aca="false">IF($A2606="","",IF($AK2606=1,'كشف المطالبة'!$D$5,'كشف المطالبة'!$D$6)*100)</f>
        <v/>
      </c>
      <c r="AK2606" s="28" t="str">
        <f aca="false">IF($A2606="","",IF(OR($Q2606=TRUE(),$Q2606="TRUE"),1,0))</f>
        <v/>
      </c>
      <c r="AL2606" s="28" t="str">
        <f aca="false">IF($N2606="","",IF(MATCH($N2606,$N$2:$N$3001,0)=ROWS($N$2:$N2606),$N2606,""))</f>
        <v/>
      </c>
    </row>
    <row r="2607" customFormat="false" ht="15" hidden="false" customHeight="false" outlineLevel="0" collapsed="false">
      <c r="E2607" s="25"/>
      <c r="M2607" s="26" t="str">
        <f aca="false">IF($A2607="","",$L2607*$U2607/100)</f>
        <v/>
      </c>
      <c r="W2607" s="26" t="str">
        <f aca="false">IF($A2607="","",U2607*AB2607/100)</f>
        <v/>
      </c>
      <c r="X2607" s="26" t="str">
        <f aca="false">IF($A2607="","",U2607-W2607)</f>
        <v/>
      </c>
      <c r="Y2607" s="26" t="str">
        <f aca="false">IF($A2607="","",U2607-W2607-M2607)</f>
        <v/>
      </c>
      <c r="AB2607" s="27" t="str">
        <f aca="false">IF($A2607="","",IF($AK2607=1,'كشف المطالبة'!$D$5,'كشف المطالبة'!$D$6)*100)</f>
        <v/>
      </c>
      <c r="AK2607" s="28" t="str">
        <f aca="false">IF($A2607="","",IF(OR($Q2607=TRUE(),$Q2607="TRUE"),1,0))</f>
        <v/>
      </c>
      <c r="AL2607" s="28" t="str">
        <f aca="false">IF($N2607="","",IF(MATCH($N2607,$N$2:$N$3001,0)=ROWS($N$2:$N2607),$N2607,""))</f>
        <v/>
      </c>
    </row>
    <row r="2608" customFormat="false" ht="15" hidden="false" customHeight="false" outlineLevel="0" collapsed="false">
      <c r="E2608" s="25"/>
      <c r="M2608" s="26" t="str">
        <f aca="false">IF($A2608="","",$L2608*$U2608/100)</f>
        <v/>
      </c>
      <c r="W2608" s="26" t="str">
        <f aca="false">IF($A2608="","",U2608*AB2608/100)</f>
        <v/>
      </c>
      <c r="X2608" s="26" t="str">
        <f aca="false">IF($A2608="","",U2608-W2608)</f>
        <v/>
      </c>
      <c r="Y2608" s="26" t="str">
        <f aca="false">IF($A2608="","",U2608-W2608-M2608)</f>
        <v/>
      </c>
      <c r="AB2608" s="27" t="str">
        <f aca="false">IF($A2608="","",IF($AK2608=1,'كشف المطالبة'!$D$5,'كشف المطالبة'!$D$6)*100)</f>
        <v/>
      </c>
      <c r="AK2608" s="28" t="str">
        <f aca="false">IF($A2608="","",IF(OR($Q2608=TRUE(),$Q2608="TRUE"),1,0))</f>
        <v/>
      </c>
      <c r="AL2608" s="28" t="str">
        <f aca="false">IF($N2608="","",IF(MATCH($N2608,$N$2:$N$3001,0)=ROWS($N$2:$N2608),$N2608,""))</f>
        <v/>
      </c>
    </row>
    <row r="2609" customFormat="false" ht="15" hidden="false" customHeight="false" outlineLevel="0" collapsed="false">
      <c r="E2609" s="25"/>
      <c r="M2609" s="26" t="str">
        <f aca="false">IF($A2609="","",$L2609*$U2609/100)</f>
        <v/>
      </c>
      <c r="W2609" s="26" t="str">
        <f aca="false">IF($A2609="","",U2609*AB2609/100)</f>
        <v/>
      </c>
      <c r="X2609" s="26" t="str">
        <f aca="false">IF($A2609="","",U2609-W2609)</f>
        <v/>
      </c>
      <c r="Y2609" s="26" t="str">
        <f aca="false">IF($A2609="","",U2609-W2609-M2609)</f>
        <v/>
      </c>
      <c r="AB2609" s="27" t="str">
        <f aca="false">IF($A2609="","",IF($AK2609=1,'كشف المطالبة'!$D$5,'كشف المطالبة'!$D$6)*100)</f>
        <v/>
      </c>
      <c r="AK2609" s="28" t="str">
        <f aca="false">IF($A2609="","",IF(OR($Q2609=TRUE(),$Q2609="TRUE"),1,0))</f>
        <v/>
      </c>
      <c r="AL2609" s="28" t="str">
        <f aca="false">IF($N2609="","",IF(MATCH($N2609,$N$2:$N$3001,0)=ROWS($N$2:$N2609),$N2609,""))</f>
        <v/>
      </c>
    </row>
    <row r="2610" customFormat="false" ht="15" hidden="false" customHeight="false" outlineLevel="0" collapsed="false">
      <c r="E2610" s="25"/>
      <c r="M2610" s="26" t="str">
        <f aca="false">IF($A2610="","",$L2610*$U2610/100)</f>
        <v/>
      </c>
      <c r="W2610" s="26" t="str">
        <f aca="false">IF($A2610="","",U2610*AB2610/100)</f>
        <v/>
      </c>
      <c r="X2610" s="26" t="str">
        <f aca="false">IF($A2610="","",U2610-W2610)</f>
        <v/>
      </c>
      <c r="Y2610" s="26" t="str">
        <f aca="false">IF($A2610="","",U2610-W2610-M2610)</f>
        <v/>
      </c>
      <c r="AB2610" s="27" t="str">
        <f aca="false">IF($A2610="","",IF($AK2610=1,'كشف المطالبة'!$D$5,'كشف المطالبة'!$D$6)*100)</f>
        <v/>
      </c>
      <c r="AK2610" s="28" t="str">
        <f aca="false">IF($A2610="","",IF(OR($Q2610=TRUE(),$Q2610="TRUE"),1,0))</f>
        <v/>
      </c>
      <c r="AL2610" s="28" t="str">
        <f aca="false">IF($N2610="","",IF(MATCH($N2610,$N$2:$N$3001,0)=ROWS($N$2:$N2610),$N2610,""))</f>
        <v/>
      </c>
    </row>
    <row r="2611" customFormat="false" ht="15" hidden="false" customHeight="false" outlineLevel="0" collapsed="false">
      <c r="E2611" s="25"/>
      <c r="M2611" s="26" t="str">
        <f aca="false">IF($A2611="","",$L2611*$U2611/100)</f>
        <v/>
      </c>
      <c r="W2611" s="26" t="str">
        <f aca="false">IF($A2611="","",U2611*AB2611/100)</f>
        <v/>
      </c>
      <c r="X2611" s="26" t="str">
        <f aca="false">IF($A2611="","",U2611-W2611)</f>
        <v/>
      </c>
      <c r="Y2611" s="26" t="str">
        <f aca="false">IF($A2611="","",U2611-W2611-M2611)</f>
        <v/>
      </c>
      <c r="AB2611" s="27" t="str">
        <f aca="false">IF($A2611="","",IF($AK2611=1,'كشف المطالبة'!$D$5,'كشف المطالبة'!$D$6)*100)</f>
        <v/>
      </c>
      <c r="AK2611" s="28" t="str">
        <f aca="false">IF($A2611="","",IF(OR($Q2611=TRUE(),$Q2611="TRUE"),1,0))</f>
        <v/>
      </c>
      <c r="AL2611" s="28" t="str">
        <f aca="false">IF($N2611="","",IF(MATCH($N2611,$N$2:$N$3001,0)=ROWS($N$2:$N2611),$N2611,""))</f>
        <v/>
      </c>
    </row>
    <row r="2612" customFormat="false" ht="15" hidden="false" customHeight="false" outlineLevel="0" collapsed="false">
      <c r="E2612" s="25"/>
      <c r="M2612" s="26" t="str">
        <f aca="false">IF($A2612="","",$L2612*$U2612/100)</f>
        <v/>
      </c>
      <c r="W2612" s="26" t="str">
        <f aca="false">IF($A2612="","",U2612*AB2612/100)</f>
        <v/>
      </c>
      <c r="X2612" s="26" t="str">
        <f aca="false">IF($A2612="","",U2612-W2612)</f>
        <v/>
      </c>
      <c r="Y2612" s="26" t="str">
        <f aca="false">IF($A2612="","",U2612-W2612-M2612)</f>
        <v/>
      </c>
      <c r="AB2612" s="27" t="str">
        <f aca="false">IF($A2612="","",IF($AK2612=1,'كشف المطالبة'!$D$5,'كشف المطالبة'!$D$6)*100)</f>
        <v/>
      </c>
      <c r="AK2612" s="28" t="str">
        <f aca="false">IF($A2612="","",IF(OR($Q2612=TRUE(),$Q2612="TRUE"),1,0))</f>
        <v/>
      </c>
      <c r="AL2612" s="28" t="str">
        <f aca="false">IF($N2612="","",IF(MATCH($N2612,$N$2:$N$3001,0)=ROWS($N$2:$N2612),$N2612,""))</f>
        <v/>
      </c>
    </row>
    <row r="2613" customFormat="false" ht="15" hidden="false" customHeight="false" outlineLevel="0" collapsed="false">
      <c r="E2613" s="25"/>
      <c r="M2613" s="26" t="str">
        <f aca="false">IF($A2613="","",$L2613*$U2613/100)</f>
        <v/>
      </c>
      <c r="W2613" s="26" t="str">
        <f aca="false">IF($A2613="","",U2613*AB2613/100)</f>
        <v/>
      </c>
      <c r="X2613" s="26" t="str">
        <f aca="false">IF($A2613="","",U2613-W2613)</f>
        <v/>
      </c>
      <c r="Y2613" s="26" t="str">
        <f aca="false">IF($A2613="","",U2613-W2613-M2613)</f>
        <v/>
      </c>
      <c r="AB2613" s="27" t="str">
        <f aca="false">IF($A2613="","",IF($AK2613=1,'كشف المطالبة'!$D$5,'كشف المطالبة'!$D$6)*100)</f>
        <v/>
      </c>
      <c r="AK2613" s="28" t="str">
        <f aca="false">IF($A2613="","",IF(OR($Q2613=TRUE(),$Q2613="TRUE"),1,0))</f>
        <v/>
      </c>
      <c r="AL2613" s="28" t="str">
        <f aca="false">IF($N2613="","",IF(MATCH($N2613,$N$2:$N$3001,0)=ROWS($N$2:$N2613),$N2613,""))</f>
        <v/>
      </c>
    </row>
    <row r="2614" customFormat="false" ht="15" hidden="false" customHeight="false" outlineLevel="0" collapsed="false">
      <c r="E2614" s="25"/>
      <c r="M2614" s="26" t="str">
        <f aca="false">IF($A2614="","",$L2614*$U2614/100)</f>
        <v/>
      </c>
      <c r="W2614" s="26" t="str">
        <f aca="false">IF($A2614="","",U2614*AB2614/100)</f>
        <v/>
      </c>
      <c r="X2614" s="26" t="str">
        <f aca="false">IF($A2614="","",U2614-W2614)</f>
        <v/>
      </c>
      <c r="Y2614" s="26" t="str">
        <f aca="false">IF($A2614="","",U2614-W2614-M2614)</f>
        <v/>
      </c>
      <c r="AB2614" s="27" t="str">
        <f aca="false">IF($A2614="","",IF($AK2614=1,'كشف المطالبة'!$D$5,'كشف المطالبة'!$D$6)*100)</f>
        <v/>
      </c>
      <c r="AK2614" s="28" t="str">
        <f aca="false">IF($A2614="","",IF(OR($Q2614=TRUE(),$Q2614="TRUE"),1,0))</f>
        <v/>
      </c>
      <c r="AL2614" s="28" t="str">
        <f aca="false">IF($N2614="","",IF(MATCH($N2614,$N$2:$N$3001,0)=ROWS($N$2:$N2614),$N2614,""))</f>
        <v/>
      </c>
    </row>
    <row r="2615" customFormat="false" ht="15" hidden="false" customHeight="false" outlineLevel="0" collapsed="false">
      <c r="E2615" s="25"/>
      <c r="M2615" s="26" t="str">
        <f aca="false">IF($A2615="","",$L2615*$U2615/100)</f>
        <v/>
      </c>
      <c r="W2615" s="26" t="str">
        <f aca="false">IF($A2615="","",U2615*AB2615/100)</f>
        <v/>
      </c>
      <c r="X2615" s="26" t="str">
        <f aca="false">IF($A2615="","",U2615-W2615)</f>
        <v/>
      </c>
      <c r="Y2615" s="26" t="str">
        <f aca="false">IF($A2615="","",U2615-W2615-M2615)</f>
        <v/>
      </c>
      <c r="AB2615" s="27" t="str">
        <f aca="false">IF($A2615="","",IF($AK2615=1,'كشف المطالبة'!$D$5,'كشف المطالبة'!$D$6)*100)</f>
        <v/>
      </c>
      <c r="AK2615" s="28" t="str">
        <f aca="false">IF($A2615="","",IF(OR($Q2615=TRUE(),$Q2615="TRUE"),1,0))</f>
        <v/>
      </c>
      <c r="AL2615" s="28" t="str">
        <f aca="false">IF($N2615="","",IF(MATCH($N2615,$N$2:$N$3001,0)=ROWS($N$2:$N2615),$N2615,""))</f>
        <v/>
      </c>
    </row>
    <row r="2616" customFormat="false" ht="15" hidden="false" customHeight="false" outlineLevel="0" collapsed="false">
      <c r="E2616" s="25"/>
      <c r="M2616" s="26" t="str">
        <f aca="false">IF($A2616="","",$L2616*$U2616/100)</f>
        <v/>
      </c>
      <c r="W2616" s="26" t="str">
        <f aca="false">IF($A2616="","",U2616*AB2616/100)</f>
        <v/>
      </c>
      <c r="X2616" s="26" t="str">
        <f aca="false">IF($A2616="","",U2616-W2616)</f>
        <v/>
      </c>
      <c r="Y2616" s="26" t="str">
        <f aca="false">IF($A2616="","",U2616-W2616-M2616)</f>
        <v/>
      </c>
      <c r="AB2616" s="27" t="str">
        <f aca="false">IF($A2616="","",IF($AK2616=1,'كشف المطالبة'!$D$5,'كشف المطالبة'!$D$6)*100)</f>
        <v/>
      </c>
      <c r="AK2616" s="28" t="str">
        <f aca="false">IF($A2616="","",IF(OR($Q2616=TRUE(),$Q2616="TRUE"),1,0))</f>
        <v/>
      </c>
      <c r="AL2616" s="28" t="str">
        <f aca="false">IF($N2616="","",IF(MATCH($N2616,$N$2:$N$3001,0)=ROWS($N$2:$N2616),$N2616,""))</f>
        <v/>
      </c>
    </row>
    <row r="2617" customFormat="false" ht="15" hidden="false" customHeight="false" outlineLevel="0" collapsed="false">
      <c r="E2617" s="25"/>
      <c r="M2617" s="26" t="str">
        <f aca="false">IF($A2617="","",$L2617*$U2617/100)</f>
        <v/>
      </c>
      <c r="W2617" s="26" t="str">
        <f aca="false">IF($A2617="","",U2617*AB2617/100)</f>
        <v/>
      </c>
      <c r="X2617" s="26" t="str">
        <f aca="false">IF($A2617="","",U2617-W2617)</f>
        <v/>
      </c>
      <c r="Y2617" s="26" t="str">
        <f aca="false">IF($A2617="","",U2617-W2617-M2617)</f>
        <v/>
      </c>
      <c r="AB2617" s="27" t="str">
        <f aca="false">IF($A2617="","",IF($AK2617=1,'كشف المطالبة'!$D$5,'كشف المطالبة'!$D$6)*100)</f>
        <v/>
      </c>
      <c r="AK2617" s="28" t="str">
        <f aca="false">IF($A2617="","",IF(OR($Q2617=TRUE(),$Q2617="TRUE"),1,0))</f>
        <v/>
      </c>
      <c r="AL2617" s="28" t="str">
        <f aca="false">IF($N2617="","",IF(MATCH($N2617,$N$2:$N$3001,0)=ROWS($N$2:$N2617),$N2617,""))</f>
        <v/>
      </c>
    </row>
    <row r="2618" customFormat="false" ht="15" hidden="false" customHeight="false" outlineLevel="0" collapsed="false">
      <c r="E2618" s="25"/>
      <c r="M2618" s="26" t="str">
        <f aca="false">IF($A2618="","",$L2618*$U2618/100)</f>
        <v/>
      </c>
      <c r="W2618" s="26" t="str">
        <f aca="false">IF($A2618="","",U2618*AB2618/100)</f>
        <v/>
      </c>
      <c r="X2618" s="26" t="str">
        <f aca="false">IF($A2618="","",U2618-W2618)</f>
        <v/>
      </c>
      <c r="Y2618" s="26" t="str">
        <f aca="false">IF($A2618="","",U2618-W2618-M2618)</f>
        <v/>
      </c>
      <c r="AB2618" s="27" t="str">
        <f aca="false">IF($A2618="","",IF($AK2618=1,'كشف المطالبة'!$D$5,'كشف المطالبة'!$D$6)*100)</f>
        <v/>
      </c>
      <c r="AK2618" s="28" t="str">
        <f aca="false">IF($A2618="","",IF(OR($Q2618=TRUE(),$Q2618="TRUE"),1,0))</f>
        <v/>
      </c>
      <c r="AL2618" s="28" t="str">
        <f aca="false">IF($N2618="","",IF(MATCH($N2618,$N$2:$N$3001,0)=ROWS($N$2:$N2618),$N2618,""))</f>
        <v/>
      </c>
    </row>
    <row r="2619" customFormat="false" ht="15" hidden="false" customHeight="false" outlineLevel="0" collapsed="false">
      <c r="E2619" s="25"/>
      <c r="M2619" s="26" t="str">
        <f aca="false">IF($A2619="","",$L2619*$U2619/100)</f>
        <v/>
      </c>
      <c r="W2619" s="26" t="str">
        <f aca="false">IF($A2619="","",U2619*AB2619/100)</f>
        <v/>
      </c>
      <c r="X2619" s="26" t="str">
        <f aca="false">IF($A2619="","",U2619-W2619)</f>
        <v/>
      </c>
      <c r="Y2619" s="26" t="str">
        <f aca="false">IF($A2619="","",U2619-W2619-M2619)</f>
        <v/>
      </c>
      <c r="AB2619" s="27" t="str">
        <f aca="false">IF($A2619="","",IF($AK2619=1,'كشف المطالبة'!$D$5,'كشف المطالبة'!$D$6)*100)</f>
        <v/>
      </c>
      <c r="AK2619" s="28" t="str">
        <f aca="false">IF($A2619="","",IF(OR($Q2619=TRUE(),$Q2619="TRUE"),1,0))</f>
        <v/>
      </c>
      <c r="AL2619" s="28" t="str">
        <f aca="false">IF($N2619="","",IF(MATCH($N2619,$N$2:$N$3001,0)=ROWS($N$2:$N2619),$N2619,""))</f>
        <v/>
      </c>
    </row>
    <row r="2620" customFormat="false" ht="15" hidden="false" customHeight="false" outlineLevel="0" collapsed="false">
      <c r="E2620" s="25"/>
      <c r="M2620" s="26" t="str">
        <f aca="false">IF($A2620="","",$L2620*$U2620/100)</f>
        <v/>
      </c>
      <c r="W2620" s="26" t="str">
        <f aca="false">IF($A2620="","",U2620*AB2620/100)</f>
        <v/>
      </c>
      <c r="X2620" s="26" t="str">
        <f aca="false">IF($A2620="","",U2620-W2620)</f>
        <v/>
      </c>
      <c r="Y2620" s="26" t="str">
        <f aca="false">IF($A2620="","",U2620-W2620-M2620)</f>
        <v/>
      </c>
      <c r="AB2620" s="27" t="str">
        <f aca="false">IF($A2620="","",IF($AK2620=1,'كشف المطالبة'!$D$5,'كشف المطالبة'!$D$6)*100)</f>
        <v/>
      </c>
      <c r="AK2620" s="28" t="str">
        <f aca="false">IF($A2620="","",IF(OR($Q2620=TRUE(),$Q2620="TRUE"),1,0))</f>
        <v/>
      </c>
      <c r="AL2620" s="28" t="str">
        <f aca="false">IF($N2620="","",IF(MATCH($N2620,$N$2:$N$3001,0)=ROWS($N$2:$N2620),$N2620,""))</f>
        <v/>
      </c>
    </row>
    <row r="2621" customFormat="false" ht="15" hidden="false" customHeight="false" outlineLevel="0" collapsed="false">
      <c r="E2621" s="25"/>
      <c r="M2621" s="26" t="str">
        <f aca="false">IF($A2621="","",$L2621*$U2621/100)</f>
        <v/>
      </c>
      <c r="W2621" s="26" t="str">
        <f aca="false">IF($A2621="","",U2621*AB2621/100)</f>
        <v/>
      </c>
      <c r="X2621" s="26" t="str">
        <f aca="false">IF($A2621="","",U2621-W2621)</f>
        <v/>
      </c>
      <c r="Y2621" s="26" t="str">
        <f aca="false">IF($A2621="","",U2621-W2621-M2621)</f>
        <v/>
      </c>
      <c r="AB2621" s="27" t="str">
        <f aca="false">IF($A2621="","",IF($AK2621=1,'كشف المطالبة'!$D$5,'كشف المطالبة'!$D$6)*100)</f>
        <v/>
      </c>
      <c r="AK2621" s="28" t="str">
        <f aca="false">IF($A2621="","",IF(OR($Q2621=TRUE(),$Q2621="TRUE"),1,0))</f>
        <v/>
      </c>
      <c r="AL2621" s="28" t="str">
        <f aca="false">IF($N2621="","",IF(MATCH($N2621,$N$2:$N$3001,0)=ROWS($N$2:$N2621),$N2621,""))</f>
        <v/>
      </c>
    </row>
    <row r="2622" customFormat="false" ht="15" hidden="false" customHeight="false" outlineLevel="0" collapsed="false">
      <c r="E2622" s="25"/>
      <c r="M2622" s="26" t="str">
        <f aca="false">IF($A2622="","",$L2622*$U2622/100)</f>
        <v/>
      </c>
      <c r="W2622" s="26" t="str">
        <f aca="false">IF($A2622="","",U2622*AB2622/100)</f>
        <v/>
      </c>
      <c r="X2622" s="26" t="str">
        <f aca="false">IF($A2622="","",U2622-W2622)</f>
        <v/>
      </c>
      <c r="Y2622" s="26" t="str">
        <f aca="false">IF($A2622="","",U2622-W2622-M2622)</f>
        <v/>
      </c>
      <c r="AB2622" s="27" t="str">
        <f aca="false">IF($A2622="","",IF($AK2622=1,'كشف المطالبة'!$D$5,'كشف المطالبة'!$D$6)*100)</f>
        <v/>
      </c>
      <c r="AK2622" s="28" t="str">
        <f aca="false">IF($A2622="","",IF(OR($Q2622=TRUE(),$Q2622="TRUE"),1,0))</f>
        <v/>
      </c>
      <c r="AL2622" s="28" t="str">
        <f aca="false">IF($N2622="","",IF(MATCH($N2622,$N$2:$N$3001,0)=ROWS($N$2:$N2622),$N2622,""))</f>
        <v/>
      </c>
    </row>
    <row r="2623" customFormat="false" ht="15" hidden="false" customHeight="false" outlineLevel="0" collapsed="false">
      <c r="E2623" s="25"/>
      <c r="M2623" s="26" t="str">
        <f aca="false">IF($A2623="","",$L2623*$U2623/100)</f>
        <v/>
      </c>
      <c r="W2623" s="26" t="str">
        <f aca="false">IF($A2623="","",U2623*AB2623/100)</f>
        <v/>
      </c>
      <c r="X2623" s="26" t="str">
        <f aca="false">IF($A2623="","",U2623-W2623)</f>
        <v/>
      </c>
      <c r="Y2623" s="26" t="str">
        <f aca="false">IF($A2623="","",U2623-W2623-M2623)</f>
        <v/>
      </c>
      <c r="AB2623" s="27" t="str">
        <f aca="false">IF($A2623="","",IF($AK2623=1,'كشف المطالبة'!$D$5,'كشف المطالبة'!$D$6)*100)</f>
        <v/>
      </c>
      <c r="AK2623" s="28" t="str">
        <f aca="false">IF($A2623="","",IF(OR($Q2623=TRUE(),$Q2623="TRUE"),1,0))</f>
        <v/>
      </c>
      <c r="AL2623" s="28" t="str">
        <f aca="false">IF($N2623="","",IF(MATCH($N2623,$N$2:$N$3001,0)=ROWS($N$2:$N2623),$N2623,""))</f>
        <v/>
      </c>
    </row>
    <row r="2624" customFormat="false" ht="15" hidden="false" customHeight="false" outlineLevel="0" collapsed="false">
      <c r="E2624" s="25"/>
      <c r="M2624" s="26" t="str">
        <f aca="false">IF($A2624="","",$L2624*$U2624/100)</f>
        <v/>
      </c>
      <c r="W2624" s="26" t="str">
        <f aca="false">IF($A2624="","",U2624*AB2624/100)</f>
        <v/>
      </c>
      <c r="X2624" s="26" t="str">
        <f aca="false">IF($A2624="","",U2624-W2624)</f>
        <v/>
      </c>
      <c r="Y2624" s="26" t="str">
        <f aca="false">IF($A2624="","",U2624-W2624-M2624)</f>
        <v/>
      </c>
      <c r="AB2624" s="27" t="str">
        <f aca="false">IF($A2624="","",IF($AK2624=1,'كشف المطالبة'!$D$5,'كشف المطالبة'!$D$6)*100)</f>
        <v/>
      </c>
      <c r="AK2624" s="28" t="str">
        <f aca="false">IF($A2624="","",IF(OR($Q2624=TRUE(),$Q2624="TRUE"),1,0))</f>
        <v/>
      </c>
      <c r="AL2624" s="28" t="str">
        <f aca="false">IF($N2624="","",IF(MATCH($N2624,$N$2:$N$3001,0)=ROWS($N$2:$N2624),$N2624,""))</f>
        <v/>
      </c>
    </row>
    <row r="2625" customFormat="false" ht="15" hidden="false" customHeight="false" outlineLevel="0" collapsed="false">
      <c r="E2625" s="25"/>
      <c r="M2625" s="26" t="str">
        <f aca="false">IF($A2625="","",$L2625*$U2625/100)</f>
        <v/>
      </c>
      <c r="W2625" s="26" t="str">
        <f aca="false">IF($A2625="","",U2625*AB2625/100)</f>
        <v/>
      </c>
      <c r="X2625" s="26" t="str">
        <f aca="false">IF($A2625="","",U2625-W2625)</f>
        <v/>
      </c>
      <c r="Y2625" s="26" t="str">
        <f aca="false">IF($A2625="","",U2625-W2625-M2625)</f>
        <v/>
      </c>
      <c r="AB2625" s="27" t="str">
        <f aca="false">IF($A2625="","",IF($AK2625=1,'كشف المطالبة'!$D$5,'كشف المطالبة'!$D$6)*100)</f>
        <v/>
      </c>
      <c r="AK2625" s="28" t="str">
        <f aca="false">IF($A2625="","",IF(OR($Q2625=TRUE(),$Q2625="TRUE"),1,0))</f>
        <v/>
      </c>
      <c r="AL2625" s="28" t="str">
        <f aca="false">IF($N2625="","",IF(MATCH($N2625,$N$2:$N$3001,0)=ROWS($N$2:$N2625),$N2625,""))</f>
        <v/>
      </c>
    </row>
    <row r="2626" customFormat="false" ht="15" hidden="false" customHeight="false" outlineLevel="0" collapsed="false">
      <c r="E2626" s="25"/>
      <c r="M2626" s="26" t="str">
        <f aca="false">IF($A2626="","",$L2626*$U2626/100)</f>
        <v/>
      </c>
      <c r="W2626" s="26" t="str">
        <f aca="false">IF($A2626="","",U2626*AB2626/100)</f>
        <v/>
      </c>
      <c r="X2626" s="26" t="str">
        <f aca="false">IF($A2626="","",U2626-W2626)</f>
        <v/>
      </c>
      <c r="Y2626" s="26" t="str">
        <f aca="false">IF($A2626="","",U2626-W2626-M2626)</f>
        <v/>
      </c>
      <c r="AB2626" s="27" t="str">
        <f aca="false">IF($A2626="","",IF($AK2626=1,'كشف المطالبة'!$D$5,'كشف المطالبة'!$D$6)*100)</f>
        <v/>
      </c>
      <c r="AK2626" s="28" t="str">
        <f aca="false">IF($A2626="","",IF(OR($Q2626=TRUE(),$Q2626="TRUE"),1,0))</f>
        <v/>
      </c>
      <c r="AL2626" s="28" t="str">
        <f aca="false">IF($N2626="","",IF(MATCH($N2626,$N$2:$N$3001,0)=ROWS($N$2:$N2626),$N2626,""))</f>
        <v/>
      </c>
    </row>
    <row r="2627" customFormat="false" ht="15" hidden="false" customHeight="false" outlineLevel="0" collapsed="false">
      <c r="E2627" s="25"/>
      <c r="M2627" s="26" t="str">
        <f aca="false">IF($A2627="","",$L2627*$U2627/100)</f>
        <v/>
      </c>
      <c r="W2627" s="26" t="str">
        <f aca="false">IF($A2627="","",U2627*AB2627/100)</f>
        <v/>
      </c>
      <c r="X2627" s="26" t="str">
        <f aca="false">IF($A2627="","",U2627-W2627)</f>
        <v/>
      </c>
      <c r="Y2627" s="26" t="str">
        <f aca="false">IF($A2627="","",U2627-W2627-M2627)</f>
        <v/>
      </c>
      <c r="AB2627" s="27" t="str">
        <f aca="false">IF($A2627="","",IF($AK2627=1,'كشف المطالبة'!$D$5,'كشف المطالبة'!$D$6)*100)</f>
        <v/>
      </c>
      <c r="AK2627" s="28" t="str">
        <f aca="false">IF($A2627="","",IF(OR($Q2627=TRUE(),$Q2627="TRUE"),1,0))</f>
        <v/>
      </c>
      <c r="AL2627" s="28" t="str">
        <f aca="false">IF($N2627="","",IF(MATCH($N2627,$N$2:$N$3001,0)=ROWS($N$2:$N2627),$N2627,""))</f>
        <v/>
      </c>
    </row>
    <row r="2628" customFormat="false" ht="15" hidden="false" customHeight="false" outlineLevel="0" collapsed="false">
      <c r="E2628" s="25"/>
      <c r="M2628" s="26" t="str">
        <f aca="false">IF($A2628="","",$L2628*$U2628/100)</f>
        <v/>
      </c>
      <c r="W2628" s="26" t="str">
        <f aca="false">IF($A2628="","",U2628*AB2628/100)</f>
        <v/>
      </c>
      <c r="X2628" s="26" t="str">
        <f aca="false">IF($A2628="","",U2628-W2628)</f>
        <v/>
      </c>
      <c r="Y2628" s="26" t="str">
        <f aca="false">IF($A2628="","",U2628-W2628-M2628)</f>
        <v/>
      </c>
      <c r="AB2628" s="27" t="str">
        <f aca="false">IF($A2628="","",IF($AK2628=1,'كشف المطالبة'!$D$5,'كشف المطالبة'!$D$6)*100)</f>
        <v/>
      </c>
      <c r="AK2628" s="28" t="str">
        <f aca="false">IF($A2628="","",IF(OR($Q2628=TRUE(),$Q2628="TRUE"),1,0))</f>
        <v/>
      </c>
      <c r="AL2628" s="28" t="str">
        <f aca="false">IF($N2628="","",IF(MATCH($N2628,$N$2:$N$3001,0)=ROWS($N$2:$N2628),$N2628,""))</f>
        <v/>
      </c>
    </row>
    <row r="2629" customFormat="false" ht="15" hidden="false" customHeight="false" outlineLevel="0" collapsed="false">
      <c r="E2629" s="25"/>
      <c r="M2629" s="26" t="str">
        <f aca="false">IF($A2629="","",$L2629*$U2629/100)</f>
        <v/>
      </c>
      <c r="W2629" s="26" t="str">
        <f aca="false">IF($A2629="","",U2629*AB2629/100)</f>
        <v/>
      </c>
      <c r="X2629" s="26" t="str">
        <f aca="false">IF($A2629="","",U2629-W2629)</f>
        <v/>
      </c>
      <c r="Y2629" s="26" t="str">
        <f aca="false">IF($A2629="","",U2629-W2629-M2629)</f>
        <v/>
      </c>
      <c r="AB2629" s="27" t="str">
        <f aca="false">IF($A2629="","",IF($AK2629=1,'كشف المطالبة'!$D$5,'كشف المطالبة'!$D$6)*100)</f>
        <v/>
      </c>
      <c r="AK2629" s="28" t="str">
        <f aca="false">IF($A2629="","",IF(OR($Q2629=TRUE(),$Q2629="TRUE"),1,0))</f>
        <v/>
      </c>
      <c r="AL2629" s="28" t="str">
        <f aca="false">IF($N2629="","",IF(MATCH($N2629,$N$2:$N$3001,0)=ROWS($N$2:$N2629),$N2629,""))</f>
        <v/>
      </c>
    </row>
    <row r="2630" customFormat="false" ht="15" hidden="false" customHeight="false" outlineLevel="0" collapsed="false">
      <c r="E2630" s="25"/>
      <c r="M2630" s="26" t="str">
        <f aca="false">IF($A2630="","",$L2630*$U2630/100)</f>
        <v/>
      </c>
      <c r="W2630" s="26" t="str">
        <f aca="false">IF($A2630="","",U2630*AB2630/100)</f>
        <v/>
      </c>
      <c r="X2630" s="26" t="str">
        <f aca="false">IF($A2630="","",U2630-W2630)</f>
        <v/>
      </c>
      <c r="Y2630" s="26" t="str">
        <f aca="false">IF($A2630="","",U2630-W2630-M2630)</f>
        <v/>
      </c>
      <c r="AB2630" s="27" t="str">
        <f aca="false">IF($A2630="","",IF($AK2630=1,'كشف المطالبة'!$D$5,'كشف المطالبة'!$D$6)*100)</f>
        <v/>
      </c>
      <c r="AK2630" s="28" t="str">
        <f aca="false">IF($A2630="","",IF(OR($Q2630=TRUE(),$Q2630="TRUE"),1,0))</f>
        <v/>
      </c>
      <c r="AL2630" s="28" t="str">
        <f aca="false">IF($N2630="","",IF(MATCH($N2630,$N$2:$N$3001,0)=ROWS($N$2:$N2630),$N2630,""))</f>
        <v/>
      </c>
    </row>
    <row r="2631" customFormat="false" ht="15" hidden="false" customHeight="false" outlineLevel="0" collapsed="false">
      <c r="E2631" s="25"/>
      <c r="M2631" s="26" t="str">
        <f aca="false">IF($A2631="","",$L2631*$U2631/100)</f>
        <v/>
      </c>
      <c r="W2631" s="26" t="str">
        <f aca="false">IF($A2631="","",U2631*AB2631/100)</f>
        <v/>
      </c>
      <c r="X2631" s="26" t="str">
        <f aca="false">IF($A2631="","",U2631-W2631)</f>
        <v/>
      </c>
      <c r="Y2631" s="26" t="str">
        <f aca="false">IF($A2631="","",U2631-W2631-M2631)</f>
        <v/>
      </c>
      <c r="AB2631" s="27" t="str">
        <f aca="false">IF($A2631="","",IF($AK2631=1,'كشف المطالبة'!$D$5,'كشف المطالبة'!$D$6)*100)</f>
        <v/>
      </c>
      <c r="AK2631" s="28" t="str">
        <f aca="false">IF($A2631="","",IF(OR($Q2631=TRUE(),$Q2631="TRUE"),1,0))</f>
        <v/>
      </c>
      <c r="AL2631" s="28" t="str">
        <f aca="false">IF($N2631="","",IF(MATCH($N2631,$N$2:$N$3001,0)=ROWS($N$2:$N2631),$N2631,""))</f>
        <v/>
      </c>
    </row>
    <row r="2632" customFormat="false" ht="15" hidden="false" customHeight="false" outlineLevel="0" collapsed="false">
      <c r="E2632" s="25"/>
      <c r="M2632" s="26" t="str">
        <f aca="false">IF($A2632="","",$L2632*$U2632/100)</f>
        <v/>
      </c>
      <c r="W2632" s="26" t="str">
        <f aca="false">IF($A2632="","",U2632*AB2632/100)</f>
        <v/>
      </c>
      <c r="X2632" s="26" t="str">
        <f aca="false">IF($A2632="","",U2632-W2632)</f>
        <v/>
      </c>
      <c r="Y2632" s="26" t="str">
        <f aca="false">IF($A2632="","",U2632-W2632-M2632)</f>
        <v/>
      </c>
      <c r="AB2632" s="27" t="str">
        <f aca="false">IF($A2632="","",IF($AK2632=1,'كشف المطالبة'!$D$5,'كشف المطالبة'!$D$6)*100)</f>
        <v/>
      </c>
      <c r="AK2632" s="28" t="str">
        <f aca="false">IF($A2632="","",IF(OR($Q2632=TRUE(),$Q2632="TRUE"),1,0))</f>
        <v/>
      </c>
      <c r="AL2632" s="28" t="str">
        <f aca="false">IF($N2632="","",IF(MATCH($N2632,$N$2:$N$3001,0)=ROWS($N$2:$N2632),$N2632,""))</f>
        <v/>
      </c>
    </row>
    <row r="2633" customFormat="false" ht="15" hidden="false" customHeight="false" outlineLevel="0" collapsed="false">
      <c r="E2633" s="25"/>
      <c r="M2633" s="26" t="str">
        <f aca="false">IF($A2633="","",$L2633*$U2633/100)</f>
        <v/>
      </c>
      <c r="W2633" s="26" t="str">
        <f aca="false">IF($A2633="","",U2633*AB2633/100)</f>
        <v/>
      </c>
      <c r="X2633" s="26" t="str">
        <f aca="false">IF($A2633="","",U2633-W2633)</f>
        <v/>
      </c>
      <c r="Y2633" s="26" t="str">
        <f aca="false">IF($A2633="","",U2633-W2633-M2633)</f>
        <v/>
      </c>
      <c r="AB2633" s="27" t="str">
        <f aca="false">IF($A2633="","",IF($AK2633=1,'كشف المطالبة'!$D$5,'كشف المطالبة'!$D$6)*100)</f>
        <v/>
      </c>
      <c r="AK2633" s="28" t="str">
        <f aca="false">IF($A2633="","",IF(OR($Q2633=TRUE(),$Q2633="TRUE"),1,0))</f>
        <v/>
      </c>
      <c r="AL2633" s="28" t="str">
        <f aca="false">IF($N2633="","",IF(MATCH($N2633,$N$2:$N$3001,0)=ROWS($N$2:$N2633),$N2633,""))</f>
        <v/>
      </c>
    </row>
    <row r="2634" customFormat="false" ht="15" hidden="false" customHeight="false" outlineLevel="0" collapsed="false">
      <c r="E2634" s="25"/>
      <c r="M2634" s="26" t="str">
        <f aca="false">IF($A2634="","",$L2634*$U2634/100)</f>
        <v/>
      </c>
      <c r="W2634" s="26" t="str">
        <f aca="false">IF($A2634="","",U2634*AB2634/100)</f>
        <v/>
      </c>
      <c r="X2634" s="26" t="str">
        <f aca="false">IF($A2634="","",U2634-W2634)</f>
        <v/>
      </c>
      <c r="Y2634" s="26" t="str">
        <f aca="false">IF($A2634="","",U2634-W2634-M2634)</f>
        <v/>
      </c>
      <c r="AB2634" s="27" t="str">
        <f aca="false">IF($A2634="","",IF($AK2634=1,'كشف المطالبة'!$D$5,'كشف المطالبة'!$D$6)*100)</f>
        <v/>
      </c>
      <c r="AK2634" s="28" t="str">
        <f aca="false">IF($A2634="","",IF(OR($Q2634=TRUE(),$Q2634="TRUE"),1,0))</f>
        <v/>
      </c>
      <c r="AL2634" s="28" t="str">
        <f aca="false">IF($N2634="","",IF(MATCH($N2634,$N$2:$N$3001,0)=ROWS($N$2:$N2634),$N2634,""))</f>
        <v/>
      </c>
    </row>
    <row r="2635" customFormat="false" ht="15" hidden="false" customHeight="false" outlineLevel="0" collapsed="false">
      <c r="E2635" s="25"/>
      <c r="M2635" s="26" t="str">
        <f aca="false">IF($A2635="","",$L2635*$U2635/100)</f>
        <v/>
      </c>
      <c r="W2635" s="26" t="str">
        <f aca="false">IF($A2635="","",U2635*AB2635/100)</f>
        <v/>
      </c>
      <c r="X2635" s="26" t="str">
        <f aca="false">IF($A2635="","",U2635-W2635)</f>
        <v/>
      </c>
      <c r="Y2635" s="26" t="str">
        <f aca="false">IF($A2635="","",U2635-W2635-M2635)</f>
        <v/>
      </c>
      <c r="AB2635" s="27" t="str">
        <f aca="false">IF($A2635="","",IF($AK2635=1,'كشف المطالبة'!$D$5,'كشف المطالبة'!$D$6)*100)</f>
        <v/>
      </c>
      <c r="AK2635" s="28" t="str">
        <f aca="false">IF($A2635="","",IF(OR($Q2635=TRUE(),$Q2635="TRUE"),1,0))</f>
        <v/>
      </c>
      <c r="AL2635" s="28" t="str">
        <f aca="false">IF($N2635="","",IF(MATCH($N2635,$N$2:$N$3001,0)=ROWS($N$2:$N2635),$N2635,""))</f>
        <v/>
      </c>
    </row>
    <row r="2636" customFormat="false" ht="15" hidden="false" customHeight="false" outlineLevel="0" collapsed="false">
      <c r="E2636" s="25"/>
      <c r="M2636" s="26" t="str">
        <f aca="false">IF($A2636="","",$L2636*$U2636/100)</f>
        <v/>
      </c>
      <c r="W2636" s="26" t="str">
        <f aca="false">IF($A2636="","",U2636*AB2636/100)</f>
        <v/>
      </c>
      <c r="X2636" s="26" t="str">
        <f aca="false">IF($A2636="","",U2636-W2636)</f>
        <v/>
      </c>
      <c r="Y2636" s="26" t="str">
        <f aca="false">IF($A2636="","",U2636-W2636-M2636)</f>
        <v/>
      </c>
      <c r="AB2636" s="27" t="str">
        <f aca="false">IF($A2636="","",IF($AK2636=1,'كشف المطالبة'!$D$5,'كشف المطالبة'!$D$6)*100)</f>
        <v/>
      </c>
      <c r="AK2636" s="28" t="str">
        <f aca="false">IF($A2636="","",IF(OR($Q2636=TRUE(),$Q2636="TRUE"),1,0))</f>
        <v/>
      </c>
      <c r="AL2636" s="28" t="str">
        <f aca="false">IF($N2636="","",IF(MATCH($N2636,$N$2:$N$3001,0)=ROWS($N$2:$N2636),$N2636,""))</f>
        <v/>
      </c>
    </row>
    <row r="2637" customFormat="false" ht="15" hidden="false" customHeight="false" outlineLevel="0" collapsed="false">
      <c r="E2637" s="25"/>
      <c r="M2637" s="26" t="str">
        <f aca="false">IF($A2637="","",$L2637*$U2637/100)</f>
        <v/>
      </c>
      <c r="W2637" s="26" t="str">
        <f aca="false">IF($A2637="","",U2637*AB2637/100)</f>
        <v/>
      </c>
      <c r="X2637" s="26" t="str">
        <f aca="false">IF($A2637="","",U2637-W2637)</f>
        <v/>
      </c>
      <c r="Y2637" s="26" t="str">
        <f aca="false">IF($A2637="","",U2637-W2637-M2637)</f>
        <v/>
      </c>
      <c r="AB2637" s="27" t="str">
        <f aca="false">IF($A2637="","",IF($AK2637=1,'كشف المطالبة'!$D$5,'كشف المطالبة'!$D$6)*100)</f>
        <v/>
      </c>
      <c r="AK2637" s="28" t="str">
        <f aca="false">IF($A2637="","",IF(OR($Q2637=TRUE(),$Q2637="TRUE"),1,0))</f>
        <v/>
      </c>
      <c r="AL2637" s="28" t="str">
        <f aca="false">IF($N2637="","",IF(MATCH($N2637,$N$2:$N$3001,0)=ROWS($N$2:$N2637),$N2637,""))</f>
        <v/>
      </c>
    </row>
    <row r="2638" customFormat="false" ht="15" hidden="false" customHeight="false" outlineLevel="0" collapsed="false">
      <c r="E2638" s="25"/>
      <c r="M2638" s="26" t="str">
        <f aca="false">IF($A2638="","",$L2638*$U2638/100)</f>
        <v/>
      </c>
      <c r="W2638" s="26" t="str">
        <f aca="false">IF($A2638="","",U2638*AB2638/100)</f>
        <v/>
      </c>
      <c r="X2638" s="26" t="str">
        <f aca="false">IF($A2638="","",U2638-W2638)</f>
        <v/>
      </c>
      <c r="Y2638" s="26" t="str">
        <f aca="false">IF($A2638="","",U2638-W2638-M2638)</f>
        <v/>
      </c>
      <c r="AB2638" s="27" t="str">
        <f aca="false">IF($A2638="","",IF($AK2638=1,'كشف المطالبة'!$D$5,'كشف المطالبة'!$D$6)*100)</f>
        <v/>
      </c>
      <c r="AK2638" s="28" t="str">
        <f aca="false">IF($A2638="","",IF(OR($Q2638=TRUE(),$Q2638="TRUE"),1,0))</f>
        <v/>
      </c>
      <c r="AL2638" s="28" t="str">
        <f aca="false">IF($N2638="","",IF(MATCH($N2638,$N$2:$N$3001,0)=ROWS($N$2:$N2638),$N2638,""))</f>
        <v/>
      </c>
    </row>
    <row r="2639" customFormat="false" ht="15" hidden="false" customHeight="false" outlineLevel="0" collapsed="false">
      <c r="E2639" s="25"/>
      <c r="M2639" s="26" t="str">
        <f aca="false">IF($A2639="","",$L2639*$U2639/100)</f>
        <v/>
      </c>
      <c r="W2639" s="26" t="str">
        <f aca="false">IF($A2639="","",U2639*AB2639/100)</f>
        <v/>
      </c>
      <c r="X2639" s="26" t="str">
        <f aca="false">IF($A2639="","",U2639-W2639)</f>
        <v/>
      </c>
      <c r="Y2639" s="26" t="str">
        <f aca="false">IF($A2639="","",U2639-W2639-M2639)</f>
        <v/>
      </c>
      <c r="AB2639" s="27" t="str">
        <f aca="false">IF($A2639="","",IF($AK2639=1,'كشف المطالبة'!$D$5,'كشف المطالبة'!$D$6)*100)</f>
        <v/>
      </c>
      <c r="AK2639" s="28" t="str">
        <f aca="false">IF($A2639="","",IF(OR($Q2639=TRUE(),$Q2639="TRUE"),1,0))</f>
        <v/>
      </c>
      <c r="AL2639" s="28" t="str">
        <f aca="false">IF($N2639="","",IF(MATCH($N2639,$N$2:$N$3001,0)=ROWS($N$2:$N2639),$N2639,""))</f>
        <v/>
      </c>
    </row>
    <row r="2640" customFormat="false" ht="15" hidden="false" customHeight="false" outlineLevel="0" collapsed="false">
      <c r="E2640" s="25"/>
      <c r="M2640" s="26" t="str">
        <f aca="false">IF($A2640="","",$L2640*$U2640/100)</f>
        <v/>
      </c>
      <c r="W2640" s="26" t="str">
        <f aca="false">IF($A2640="","",U2640*AB2640/100)</f>
        <v/>
      </c>
      <c r="X2640" s="26" t="str">
        <f aca="false">IF($A2640="","",U2640-W2640)</f>
        <v/>
      </c>
      <c r="Y2640" s="26" t="str">
        <f aca="false">IF($A2640="","",U2640-W2640-M2640)</f>
        <v/>
      </c>
      <c r="AB2640" s="27" t="str">
        <f aca="false">IF($A2640="","",IF($AK2640=1,'كشف المطالبة'!$D$5,'كشف المطالبة'!$D$6)*100)</f>
        <v/>
      </c>
      <c r="AK2640" s="28" t="str">
        <f aca="false">IF($A2640="","",IF(OR($Q2640=TRUE(),$Q2640="TRUE"),1,0))</f>
        <v/>
      </c>
      <c r="AL2640" s="28" t="str">
        <f aca="false">IF($N2640="","",IF(MATCH($N2640,$N$2:$N$3001,0)=ROWS($N$2:$N2640),$N2640,""))</f>
        <v/>
      </c>
    </row>
    <row r="2641" customFormat="false" ht="15" hidden="false" customHeight="false" outlineLevel="0" collapsed="false">
      <c r="E2641" s="25"/>
      <c r="M2641" s="26" t="str">
        <f aca="false">IF($A2641="","",$L2641*$U2641/100)</f>
        <v/>
      </c>
      <c r="W2641" s="26" t="str">
        <f aca="false">IF($A2641="","",U2641*AB2641/100)</f>
        <v/>
      </c>
      <c r="X2641" s="26" t="str">
        <f aca="false">IF($A2641="","",U2641-W2641)</f>
        <v/>
      </c>
      <c r="Y2641" s="26" t="str">
        <f aca="false">IF($A2641="","",U2641-W2641-M2641)</f>
        <v/>
      </c>
      <c r="AB2641" s="27" t="str">
        <f aca="false">IF($A2641="","",IF($AK2641=1,'كشف المطالبة'!$D$5,'كشف المطالبة'!$D$6)*100)</f>
        <v/>
      </c>
      <c r="AK2641" s="28" t="str">
        <f aca="false">IF($A2641="","",IF(OR($Q2641=TRUE(),$Q2641="TRUE"),1,0))</f>
        <v/>
      </c>
      <c r="AL2641" s="28" t="str">
        <f aca="false">IF($N2641="","",IF(MATCH($N2641,$N$2:$N$3001,0)=ROWS($N$2:$N2641),$N2641,""))</f>
        <v/>
      </c>
    </row>
    <row r="2642" customFormat="false" ht="15" hidden="false" customHeight="false" outlineLevel="0" collapsed="false">
      <c r="E2642" s="25"/>
      <c r="M2642" s="26" t="str">
        <f aca="false">IF($A2642="","",$L2642*$U2642/100)</f>
        <v/>
      </c>
      <c r="W2642" s="26" t="str">
        <f aca="false">IF($A2642="","",U2642*AB2642/100)</f>
        <v/>
      </c>
      <c r="X2642" s="26" t="str">
        <f aca="false">IF($A2642="","",U2642-W2642)</f>
        <v/>
      </c>
      <c r="Y2642" s="26" t="str">
        <f aca="false">IF($A2642="","",U2642-W2642-M2642)</f>
        <v/>
      </c>
      <c r="AB2642" s="27" t="str">
        <f aca="false">IF($A2642="","",IF($AK2642=1,'كشف المطالبة'!$D$5,'كشف المطالبة'!$D$6)*100)</f>
        <v/>
      </c>
      <c r="AK2642" s="28" t="str">
        <f aca="false">IF($A2642="","",IF(OR($Q2642=TRUE(),$Q2642="TRUE"),1,0))</f>
        <v/>
      </c>
      <c r="AL2642" s="28" t="str">
        <f aca="false">IF($N2642="","",IF(MATCH($N2642,$N$2:$N$3001,0)=ROWS($N$2:$N2642),$N2642,""))</f>
        <v/>
      </c>
    </row>
    <row r="2643" customFormat="false" ht="15" hidden="false" customHeight="false" outlineLevel="0" collapsed="false">
      <c r="E2643" s="25"/>
      <c r="M2643" s="26" t="str">
        <f aca="false">IF($A2643="","",$L2643*$U2643/100)</f>
        <v/>
      </c>
      <c r="W2643" s="26" t="str">
        <f aca="false">IF($A2643="","",U2643*AB2643/100)</f>
        <v/>
      </c>
      <c r="X2643" s="26" t="str">
        <f aca="false">IF($A2643="","",U2643-W2643)</f>
        <v/>
      </c>
      <c r="Y2643" s="26" t="str">
        <f aca="false">IF($A2643="","",U2643-W2643-M2643)</f>
        <v/>
      </c>
      <c r="AB2643" s="27" t="str">
        <f aca="false">IF($A2643="","",IF($AK2643=1,'كشف المطالبة'!$D$5,'كشف المطالبة'!$D$6)*100)</f>
        <v/>
      </c>
      <c r="AK2643" s="28" t="str">
        <f aca="false">IF($A2643="","",IF(OR($Q2643=TRUE(),$Q2643="TRUE"),1,0))</f>
        <v/>
      </c>
      <c r="AL2643" s="28" t="str">
        <f aca="false">IF($N2643="","",IF(MATCH($N2643,$N$2:$N$3001,0)=ROWS($N$2:$N2643),$N2643,""))</f>
        <v/>
      </c>
    </row>
    <row r="2644" customFormat="false" ht="15" hidden="false" customHeight="false" outlineLevel="0" collapsed="false">
      <c r="E2644" s="25"/>
      <c r="M2644" s="26" t="str">
        <f aca="false">IF($A2644="","",$L2644*$U2644/100)</f>
        <v/>
      </c>
      <c r="W2644" s="26" t="str">
        <f aca="false">IF($A2644="","",U2644*AB2644/100)</f>
        <v/>
      </c>
      <c r="X2644" s="26" t="str">
        <f aca="false">IF($A2644="","",U2644-W2644)</f>
        <v/>
      </c>
      <c r="Y2644" s="26" t="str">
        <f aca="false">IF($A2644="","",U2644-W2644-M2644)</f>
        <v/>
      </c>
      <c r="AB2644" s="27" t="str">
        <f aca="false">IF($A2644="","",IF($AK2644=1,'كشف المطالبة'!$D$5,'كشف المطالبة'!$D$6)*100)</f>
        <v/>
      </c>
      <c r="AK2644" s="28" t="str">
        <f aca="false">IF($A2644="","",IF(OR($Q2644=TRUE(),$Q2644="TRUE"),1,0))</f>
        <v/>
      </c>
      <c r="AL2644" s="28" t="str">
        <f aca="false">IF($N2644="","",IF(MATCH($N2644,$N$2:$N$3001,0)=ROWS($N$2:$N2644),$N2644,""))</f>
        <v/>
      </c>
    </row>
    <row r="2645" customFormat="false" ht="15" hidden="false" customHeight="false" outlineLevel="0" collapsed="false">
      <c r="E2645" s="25"/>
      <c r="M2645" s="26" t="str">
        <f aca="false">IF($A2645="","",$L2645*$U2645/100)</f>
        <v/>
      </c>
      <c r="W2645" s="26" t="str">
        <f aca="false">IF($A2645="","",U2645*AB2645/100)</f>
        <v/>
      </c>
      <c r="X2645" s="26" t="str">
        <f aca="false">IF($A2645="","",U2645-W2645)</f>
        <v/>
      </c>
      <c r="Y2645" s="26" t="str">
        <f aca="false">IF($A2645="","",U2645-W2645-M2645)</f>
        <v/>
      </c>
      <c r="AB2645" s="27" t="str">
        <f aca="false">IF($A2645="","",IF($AK2645=1,'كشف المطالبة'!$D$5,'كشف المطالبة'!$D$6)*100)</f>
        <v/>
      </c>
      <c r="AK2645" s="28" t="str">
        <f aca="false">IF($A2645="","",IF(OR($Q2645=TRUE(),$Q2645="TRUE"),1,0))</f>
        <v/>
      </c>
      <c r="AL2645" s="28" t="str">
        <f aca="false">IF($N2645="","",IF(MATCH($N2645,$N$2:$N$3001,0)=ROWS($N$2:$N2645),$N2645,""))</f>
        <v/>
      </c>
    </row>
    <row r="2646" customFormat="false" ht="15" hidden="false" customHeight="false" outlineLevel="0" collapsed="false">
      <c r="E2646" s="25"/>
      <c r="M2646" s="26" t="str">
        <f aca="false">IF($A2646="","",$L2646*$U2646/100)</f>
        <v/>
      </c>
      <c r="W2646" s="26" t="str">
        <f aca="false">IF($A2646="","",U2646*AB2646/100)</f>
        <v/>
      </c>
      <c r="X2646" s="26" t="str">
        <f aca="false">IF($A2646="","",U2646-W2646)</f>
        <v/>
      </c>
      <c r="Y2646" s="26" t="str">
        <f aca="false">IF($A2646="","",U2646-W2646-M2646)</f>
        <v/>
      </c>
      <c r="AB2646" s="27" t="str">
        <f aca="false">IF($A2646="","",IF($AK2646=1,'كشف المطالبة'!$D$5,'كشف المطالبة'!$D$6)*100)</f>
        <v/>
      </c>
      <c r="AK2646" s="28" t="str">
        <f aca="false">IF($A2646="","",IF(OR($Q2646=TRUE(),$Q2646="TRUE"),1,0))</f>
        <v/>
      </c>
      <c r="AL2646" s="28" t="str">
        <f aca="false">IF($N2646="","",IF(MATCH($N2646,$N$2:$N$3001,0)=ROWS($N$2:$N2646),$N2646,""))</f>
        <v/>
      </c>
    </row>
    <row r="2647" customFormat="false" ht="15" hidden="false" customHeight="false" outlineLevel="0" collapsed="false">
      <c r="E2647" s="25"/>
      <c r="M2647" s="26" t="str">
        <f aca="false">IF($A2647="","",$L2647*$U2647/100)</f>
        <v/>
      </c>
      <c r="W2647" s="26" t="str">
        <f aca="false">IF($A2647="","",U2647*AB2647/100)</f>
        <v/>
      </c>
      <c r="X2647" s="26" t="str">
        <f aca="false">IF($A2647="","",U2647-W2647)</f>
        <v/>
      </c>
      <c r="Y2647" s="26" t="str">
        <f aca="false">IF($A2647="","",U2647-W2647-M2647)</f>
        <v/>
      </c>
      <c r="AB2647" s="27" t="str">
        <f aca="false">IF($A2647="","",IF($AK2647=1,'كشف المطالبة'!$D$5,'كشف المطالبة'!$D$6)*100)</f>
        <v/>
      </c>
      <c r="AK2647" s="28" t="str">
        <f aca="false">IF($A2647="","",IF(OR($Q2647=TRUE(),$Q2647="TRUE"),1,0))</f>
        <v/>
      </c>
      <c r="AL2647" s="28" t="str">
        <f aca="false">IF($N2647="","",IF(MATCH($N2647,$N$2:$N$3001,0)=ROWS($N$2:$N2647),$N2647,""))</f>
        <v/>
      </c>
    </row>
    <row r="2648" customFormat="false" ht="15" hidden="false" customHeight="false" outlineLevel="0" collapsed="false">
      <c r="E2648" s="25"/>
      <c r="M2648" s="26" t="str">
        <f aca="false">IF($A2648="","",$L2648*$U2648/100)</f>
        <v/>
      </c>
      <c r="W2648" s="26" t="str">
        <f aca="false">IF($A2648="","",U2648*AB2648/100)</f>
        <v/>
      </c>
      <c r="X2648" s="26" t="str">
        <f aca="false">IF($A2648="","",U2648-W2648)</f>
        <v/>
      </c>
      <c r="Y2648" s="26" t="str">
        <f aca="false">IF($A2648="","",U2648-W2648-M2648)</f>
        <v/>
      </c>
      <c r="AB2648" s="27" t="str">
        <f aca="false">IF($A2648="","",IF($AK2648=1,'كشف المطالبة'!$D$5,'كشف المطالبة'!$D$6)*100)</f>
        <v/>
      </c>
      <c r="AK2648" s="28" t="str">
        <f aca="false">IF($A2648="","",IF(OR($Q2648=TRUE(),$Q2648="TRUE"),1,0))</f>
        <v/>
      </c>
      <c r="AL2648" s="28" t="str">
        <f aca="false">IF($N2648="","",IF(MATCH($N2648,$N$2:$N$3001,0)=ROWS($N$2:$N2648),$N2648,""))</f>
        <v/>
      </c>
    </row>
    <row r="2649" customFormat="false" ht="15" hidden="false" customHeight="false" outlineLevel="0" collapsed="false">
      <c r="E2649" s="25"/>
      <c r="M2649" s="26" t="str">
        <f aca="false">IF($A2649="","",$L2649*$U2649/100)</f>
        <v/>
      </c>
      <c r="W2649" s="26" t="str">
        <f aca="false">IF($A2649="","",U2649*AB2649/100)</f>
        <v/>
      </c>
      <c r="X2649" s="26" t="str">
        <f aca="false">IF($A2649="","",U2649-W2649)</f>
        <v/>
      </c>
      <c r="Y2649" s="26" t="str">
        <f aca="false">IF($A2649="","",U2649-W2649-M2649)</f>
        <v/>
      </c>
      <c r="AB2649" s="27" t="str">
        <f aca="false">IF($A2649="","",IF($AK2649=1,'كشف المطالبة'!$D$5,'كشف المطالبة'!$D$6)*100)</f>
        <v/>
      </c>
      <c r="AK2649" s="28" t="str">
        <f aca="false">IF($A2649="","",IF(OR($Q2649=TRUE(),$Q2649="TRUE"),1,0))</f>
        <v/>
      </c>
      <c r="AL2649" s="28" t="str">
        <f aca="false">IF($N2649="","",IF(MATCH($N2649,$N$2:$N$3001,0)=ROWS($N$2:$N2649),$N2649,""))</f>
        <v/>
      </c>
    </row>
    <row r="2650" customFormat="false" ht="15" hidden="false" customHeight="false" outlineLevel="0" collapsed="false">
      <c r="E2650" s="25"/>
      <c r="M2650" s="26" t="str">
        <f aca="false">IF($A2650="","",$L2650*$U2650/100)</f>
        <v/>
      </c>
      <c r="W2650" s="26" t="str">
        <f aca="false">IF($A2650="","",U2650*AB2650/100)</f>
        <v/>
      </c>
      <c r="X2650" s="26" t="str">
        <f aca="false">IF($A2650="","",U2650-W2650)</f>
        <v/>
      </c>
      <c r="Y2650" s="26" t="str">
        <f aca="false">IF($A2650="","",U2650-W2650-M2650)</f>
        <v/>
      </c>
      <c r="AB2650" s="27" t="str">
        <f aca="false">IF($A2650="","",IF($AK2650=1,'كشف المطالبة'!$D$5,'كشف المطالبة'!$D$6)*100)</f>
        <v/>
      </c>
      <c r="AK2650" s="28" t="str">
        <f aca="false">IF($A2650="","",IF(OR($Q2650=TRUE(),$Q2650="TRUE"),1,0))</f>
        <v/>
      </c>
      <c r="AL2650" s="28" t="str">
        <f aca="false">IF($N2650="","",IF(MATCH($N2650,$N$2:$N$3001,0)=ROWS($N$2:$N2650),$N2650,""))</f>
        <v/>
      </c>
    </row>
    <row r="2651" customFormat="false" ht="15" hidden="false" customHeight="false" outlineLevel="0" collapsed="false">
      <c r="E2651" s="25"/>
      <c r="M2651" s="26" t="str">
        <f aca="false">IF($A2651="","",$L2651*$U2651/100)</f>
        <v/>
      </c>
      <c r="W2651" s="26" t="str">
        <f aca="false">IF($A2651="","",U2651*AB2651/100)</f>
        <v/>
      </c>
      <c r="X2651" s="26" t="str">
        <f aca="false">IF($A2651="","",U2651-W2651)</f>
        <v/>
      </c>
      <c r="Y2651" s="26" t="str">
        <f aca="false">IF($A2651="","",U2651-W2651-M2651)</f>
        <v/>
      </c>
      <c r="AB2651" s="27" t="str">
        <f aca="false">IF($A2651="","",IF($AK2651=1,'كشف المطالبة'!$D$5,'كشف المطالبة'!$D$6)*100)</f>
        <v/>
      </c>
      <c r="AK2651" s="28" t="str">
        <f aca="false">IF($A2651="","",IF(OR($Q2651=TRUE(),$Q2651="TRUE"),1,0))</f>
        <v/>
      </c>
      <c r="AL2651" s="28" t="str">
        <f aca="false">IF($N2651="","",IF(MATCH($N2651,$N$2:$N$3001,0)=ROWS($N$2:$N2651),$N2651,""))</f>
        <v/>
      </c>
    </row>
    <row r="2652" customFormat="false" ht="15" hidden="false" customHeight="false" outlineLevel="0" collapsed="false">
      <c r="E2652" s="25"/>
      <c r="M2652" s="26" t="str">
        <f aca="false">IF($A2652="","",$L2652*$U2652/100)</f>
        <v/>
      </c>
      <c r="W2652" s="26" t="str">
        <f aca="false">IF($A2652="","",U2652*AB2652/100)</f>
        <v/>
      </c>
      <c r="X2652" s="26" t="str">
        <f aca="false">IF($A2652="","",U2652-W2652)</f>
        <v/>
      </c>
      <c r="Y2652" s="26" t="str">
        <f aca="false">IF($A2652="","",U2652-W2652-M2652)</f>
        <v/>
      </c>
      <c r="AB2652" s="27" t="str">
        <f aca="false">IF($A2652="","",IF($AK2652=1,'كشف المطالبة'!$D$5,'كشف المطالبة'!$D$6)*100)</f>
        <v/>
      </c>
      <c r="AK2652" s="28" t="str">
        <f aca="false">IF($A2652="","",IF(OR($Q2652=TRUE(),$Q2652="TRUE"),1,0))</f>
        <v/>
      </c>
      <c r="AL2652" s="28" t="str">
        <f aca="false">IF($N2652="","",IF(MATCH($N2652,$N$2:$N$3001,0)=ROWS($N$2:$N2652),$N2652,""))</f>
        <v/>
      </c>
    </row>
    <row r="2653" customFormat="false" ht="15" hidden="false" customHeight="false" outlineLevel="0" collapsed="false">
      <c r="E2653" s="25"/>
      <c r="M2653" s="26" t="str">
        <f aca="false">IF($A2653="","",$L2653*$U2653/100)</f>
        <v/>
      </c>
      <c r="W2653" s="26" t="str">
        <f aca="false">IF($A2653="","",U2653*AB2653/100)</f>
        <v/>
      </c>
      <c r="X2653" s="26" t="str">
        <f aca="false">IF($A2653="","",U2653-W2653)</f>
        <v/>
      </c>
      <c r="Y2653" s="26" t="str">
        <f aca="false">IF($A2653="","",U2653-W2653-M2653)</f>
        <v/>
      </c>
      <c r="AB2653" s="27" t="str">
        <f aca="false">IF($A2653="","",IF($AK2653=1,'كشف المطالبة'!$D$5,'كشف المطالبة'!$D$6)*100)</f>
        <v/>
      </c>
      <c r="AK2653" s="28" t="str">
        <f aca="false">IF($A2653="","",IF(OR($Q2653=TRUE(),$Q2653="TRUE"),1,0))</f>
        <v/>
      </c>
      <c r="AL2653" s="28" t="str">
        <f aca="false">IF($N2653="","",IF(MATCH($N2653,$N$2:$N$3001,0)=ROWS($N$2:$N2653),$N2653,""))</f>
        <v/>
      </c>
    </row>
    <row r="2654" customFormat="false" ht="15" hidden="false" customHeight="false" outlineLevel="0" collapsed="false">
      <c r="E2654" s="25"/>
      <c r="M2654" s="26" t="str">
        <f aca="false">IF($A2654="","",$L2654*$U2654/100)</f>
        <v/>
      </c>
      <c r="W2654" s="26" t="str">
        <f aca="false">IF($A2654="","",U2654*AB2654/100)</f>
        <v/>
      </c>
      <c r="X2654" s="26" t="str">
        <f aca="false">IF($A2654="","",U2654-W2654)</f>
        <v/>
      </c>
      <c r="Y2654" s="26" t="str">
        <f aca="false">IF($A2654="","",U2654-W2654-M2654)</f>
        <v/>
      </c>
      <c r="AB2654" s="27" t="str">
        <f aca="false">IF($A2654="","",IF($AK2654=1,'كشف المطالبة'!$D$5,'كشف المطالبة'!$D$6)*100)</f>
        <v/>
      </c>
      <c r="AK2654" s="28" t="str">
        <f aca="false">IF($A2654="","",IF(OR($Q2654=TRUE(),$Q2654="TRUE"),1,0))</f>
        <v/>
      </c>
      <c r="AL2654" s="28" t="str">
        <f aca="false">IF($N2654="","",IF(MATCH($N2654,$N$2:$N$3001,0)=ROWS($N$2:$N2654),$N2654,""))</f>
        <v/>
      </c>
    </row>
    <row r="2655" customFormat="false" ht="15" hidden="false" customHeight="false" outlineLevel="0" collapsed="false">
      <c r="E2655" s="25"/>
      <c r="M2655" s="26" t="str">
        <f aca="false">IF($A2655="","",$L2655*$U2655/100)</f>
        <v/>
      </c>
      <c r="W2655" s="26" t="str">
        <f aca="false">IF($A2655="","",U2655*AB2655/100)</f>
        <v/>
      </c>
      <c r="X2655" s="26" t="str">
        <f aca="false">IF($A2655="","",U2655-W2655)</f>
        <v/>
      </c>
      <c r="Y2655" s="26" t="str">
        <f aca="false">IF($A2655="","",U2655-W2655-M2655)</f>
        <v/>
      </c>
      <c r="AB2655" s="27" t="str">
        <f aca="false">IF($A2655="","",IF($AK2655=1,'كشف المطالبة'!$D$5,'كشف المطالبة'!$D$6)*100)</f>
        <v/>
      </c>
      <c r="AK2655" s="28" t="str">
        <f aca="false">IF($A2655="","",IF(OR($Q2655=TRUE(),$Q2655="TRUE"),1,0))</f>
        <v/>
      </c>
      <c r="AL2655" s="28" t="str">
        <f aca="false">IF($N2655="","",IF(MATCH($N2655,$N$2:$N$3001,0)=ROWS($N$2:$N2655),$N2655,""))</f>
        <v/>
      </c>
    </row>
    <row r="2656" customFormat="false" ht="15" hidden="false" customHeight="false" outlineLevel="0" collapsed="false">
      <c r="E2656" s="25"/>
      <c r="M2656" s="26" t="str">
        <f aca="false">IF($A2656="","",$L2656*$U2656/100)</f>
        <v/>
      </c>
      <c r="W2656" s="26" t="str">
        <f aca="false">IF($A2656="","",U2656*AB2656/100)</f>
        <v/>
      </c>
      <c r="X2656" s="26" t="str">
        <f aca="false">IF($A2656="","",U2656-W2656)</f>
        <v/>
      </c>
      <c r="Y2656" s="26" t="str">
        <f aca="false">IF($A2656="","",U2656-W2656-M2656)</f>
        <v/>
      </c>
      <c r="AB2656" s="27" t="str">
        <f aca="false">IF($A2656="","",IF($AK2656=1,'كشف المطالبة'!$D$5,'كشف المطالبة'!$D$6)*100)</f>
        <v/>
      </c>
      <c r="AK2656" s="28" t="str">
        <f aca="false">IF($A2656="","",IF(OR($Q2656=TRUE(),$Q2656="TRUE"),1,0))</f>
        <v/>
      </c>
      <c r="AL2656" s="28" t="str">
        <f aca="false">IF($N2656="","",IF(MATCH($N2656,$N$2:$N$3001,0)=ROWS($N$2:$N2656),$N2656,""))</f>
        <v/>
      </c>
    </row>
    <row r="2657" customFormat="false" ht="15" hidden="false" customHeight="false" outlineLevel="0" collapsed="false">
      <c r="E2657" s="25"/>
      <c r="M2657" s="26" t="str">
        <f aca="false">IF($A2657="","",$L2657*$U2657/100)</f>
        <v/>
      </c>
      <c r="W2657" s="26" t="str">
        <f aca="false">IF($A2657="","",U2657*AB2657/100)</f>
        <v/>
      </c>
      <c r="X2657" s="26" t="str">
        <f aca="false">IF($A2657="","",U2657-W2657)</f>
        <v/>
      </c>
      <c r="Y2657" s="26" t="str">
        <f aca="false">IF($A2657="","",U2657-W2657-M2657)</f>
        <v/>
      </c>
      <c r="AB2657" s="27" t="str">
        <f aca="false">IF($A2657="","",IF($AK2657=1,'كشف المطالبة'!$D$5,'كشف المطالبة'!$D$6)*100)</f>
        <v/>
      </c>
      <c r="AK2657" s="28" t="str">
        <f aca="false">IF($A2657="","",IF(OR($Q2657=TRUE(),$Q2657="TRUE"),1,0))</f>
        <v/>
      </c>
      <c r="AL2657" s="28" t="str">
        <f aca="false">IF($N2657="","",IF(MATCH($N2657,$N$2:$N$3001,0)=ROWS($N$2:$N2657),$N2657,""))</f>
        <v/>
      </c>
    </row>
    <row r="2658" customFormat="false" ht="15" hidden="false" customHeight="false" outlineLevel="0" collapsed="false">
      <c r="E2658" s="25"/>
      <c r="M2658" s="26" t="str">
        <f aca="false">IF($A2658="","",$L2658*$U2658/100)</f>
        <v/>
      </c>
      <c r="W2658" s="26" t="str">
        <f aca="false">IF($A2658="","",U2658*AB2658/100)</f>
        <v/>
      </c>
      <c r="X2658" s="26" t="str">
        <f aca="false">IF($A2658="","",U2658-W2658)</f>
        <v/>
      </c>
      <c r="Y2658" s="26" t="str">
        <f aca="false">IF($A2658="","",U2658-W2658-M2658)</f>
        <v/>
      </c>
      <c r="AB2658" s="27" t="str">
        <f aca="false">IF($A2658="","",IF($AK2658=1,'كشف المطالبة'!$D$5,'كشف المطالبة'!$D$6)*100)</f>
        <v/>
      </c>
      <c r="AK2658" s="28" t="str">
        <f aca="false">IF($A2658="","",IF(OR($Q2658=TRUE(),$Q2658="TRUE"),1,0))</f>
        <v/>
      </c>
      <c r="AL2658" s="28" t="str">
        <f aca="false">IF($N2658="","",IF(MATCH($N2658,$N$2:$N$3001,0)=ROWS($N$2:$N2658),$N2658,""))</f>
        <v/>
      </c>
    </row>
    <row r="2659" customFormat="false" ht="15" hidden="false" customHeight="false" outlineLevel="0" collapsed="false">
      <c r="E2659" s="25"/>
      <c r="M2659" s="26" t="str">
        <f aca="false">IF($A2659="","",$L2659*$U2659/100)</f>
        <v/>
      </c>
      <c r="W2659" s="26" t="str">
        <f aca="false">IF($A2659="","",U2659*AB2659/100)</f>
        <v/>
      </c>
      <c r="X2659" s="26" t="str">
        <f aca="false">IF($A2659="","",U2659-W2659)</f>
        <v/>
      </c>
      <c r="Y2659" s="26" t="str">
        <f aca="false">IF($A2659="","",U2659-W2659-M2659)</f>
        <v/>
      </c>
      <c r="AB2659" s="27" t="str">
        <f aca="false">IF($A2659="","",IF($AK2659=1,'كشف المطالبة'!$D$5,'كشف المطالبة'!$D$6)*100)</f>
        <v/>
      </c>
      <c r="AK2659" s="28" t="str">
        <f aca="false">IF($A2659="","",IF(OR($Q2659=TRUE(),$Q2659="TRUE"),1,0))</f>
        <v/>
      </c>
      <c r="AL2659" s="28" t="str">
        <f aca="false">IF($N2659="","",IF(MATCH($N2659,$N$2:$N$3001,0)=ROWS($N$2:$N2659),$N2659,""))</f>
        <v/>
      </c>
    </row>
    <row r="2660" customFormat="false" ht="15" hidden="false" customHeight="false" outlineLevel="0" collapsed="false">
      <c r="E2660" s="25"/>
      <c r="M2660" s="26" t="str">
        <f aca="false">IF($A2660="","",$L2660*$U2660/100)</f>
        <v/>
      </c>
      <c r="W2660" s="26" t="str">
        <f aca="false">IF($A2660="","",U2660*AB2660/100)</f>
        <v/>
      </c>
      <c r="X2660" s="26" t="str">
        <f aca="false">IF($A2660="","",U2660-W2660)</f>
        <v/>
      </c>
      <c r="Y2660" s="26" t="str">
        <f aca="false">IF($A2660="","",U2660-W2660-M2660)</f>
        <v/>
      </c>
      <c r="AB2660" s="27" t="str">
        <f aca="false">IF($A2660="","",IF($AK2660=1,'كشف المطالبة'!$D$5,'كشف المطالبة'!$D$6)*100)</f>
        <v/>
      </c>
      <c r="AK2660" s="28" t="str">
        <f aca="false">IF($A2660="","",IF(OR($Q2660=TRUE(),$Q2660="TRUE"),1,0))</f>
        <v/>
      </c>
      <c r="AL2660" s="28" t="str">
        <f aca="false">IF($N2660="","",IF(MATCH($N2660,$N$2:$N$3001,0)=ROWS($N$2:$N2660),$N2660,""))</f>
        <v/>
      </c>
    </row>
    <row r="2661" customFormat="false" ht="15" hidden="false" customHeight="false" outlineLevel="0" collapsed="false">
      <c r="E2661" s="25"/>
      <c r="M2661" s="26" t="str">
        <f aca="false">IF($A2661="","",$L2661*$U2661/100)</f>
        <v/>
      </c>
      <c r="W2661" s="26" t="str">
        <f aca="false">IF($A2661="","",U2661*AB2661/100)</f>
        <v/>
      </c>
      <c r="X2661" s="26" t="str">
        <f aca="false">IF($A2661="","",U2661-W2661)</f>
        <v/>
      </c>
      <c r="Y2661" s="26" t="str">
        <f aca="false">IF($A2661="","",U2661-W2661-M2661)</f>
        <v/>
      </c>
      <c r="AB2661" s="27" t="str">
        <f aca="false">IF($A2661="","",IF($AK2661=1,'كشف المطالبة'!$D$5,'كشف المطالبة'!$D$6)*100)</f>
        <v/>
      </c>
      <c r="AK2661" s="28" t="str">
        <f aca="false">IF($A2661="","",IF(OR($Q2661=TRUE(),$Q2661="TRUE"),1,0))</f>
        <v/>
      </c>
      <c r="AL2661" s="28" t="str">
        <f aca="false">IF($N2661="","",IF(MATCH($N2661,$N$2:$N$3001,0)=ROWS($N$2:$N2661),$N2661,""))</f>
        <v/>
      </c>
    </row>
    <row r="2662" customFormat="false" ht="15" hidden="false" customHeight="false" outlineLevel="0" collapsed="false">
      <c r="E2662" s="25"/>
      <c r="M2662" s="26" t="str">
        <f aca="false">IF($A2662="","",$L2662*$U2662/100)</f>
        <v/>
      </c>
      <c r="W2662" s="26" t="str">
        <f aca="false">IF($A2662="","",U2662*AB2662/100)</f>
        <v/>
      </c>
      <c r="X2662" s="26" t="str">
        <f aca="false">IF($A2662="","",U2662-W2662)</f>
        <v/>
      </c>
      <c r="Y2662" s="26" t="str">
        <f aca="false">IF($A2662="","",U2662-W2662-M2662)</f>
        <v/>
      </c>
      <c r="AB2662" s="27" t="str">
        <f aca="false">IF($A2662="","",IF($AK2662=1,'كشف المطالبة'!$D$5,'كشف المطالبة'!$D$6)*100)</f>
        <v/>
      </c>
      <c r="AK2662" s="28" t="str">
        <f aca="false">IF($A2662="","",IF(OR($Q2662=TRUE(),$Q2662="TRUE"),1,0))</f>
        <v/>
      </c>
      <c r="AL2662" s="28" t="str">
        <f aca="false">IF($N2662="","",IF(MATCH($N2662,$N$2:$N$3001,0)=ROWS($N$2:$N2662),$N2662,""))</f>
        <v/>
      </c>
    </row>
    <row r="2663" customFormat="false" ht="15" hidden="false" customHeight="false" outlineLevel="0" collapsed="false">
      <c r="E2663" s="25"/>
      <c r="M2663" s="26" t="str">
        <f aca="false">IF($A2663="","",$L2663*$U2663/100)</f>
        <v/>
      </c>
      <c r="W2663" s="26" t="str">
        <f aca="false">IF($A2663="","",U2663*AB2663/100)</f>
        <v/>
      </c>
      <c r="X2663" s="26" t="str">
        <f aca="false">IF($A2663="","",U2663-W2663)</f>
        <v/>
      </c>
      <c r="Y2663" s="26" t="str">
        <f aca="false">IF($A2663="","",U2663-W2663-M2663)</f>
        <v/>
      </c>
      <c r="AB2663" s="27" t="str">
        <f aca="false">IF($A2663="","",IF($AK2663=1,'كشف المطالبة'!$D$5,'كشف المطالبة'!$D$6)*100)</f>
        <v/>
      </c>
      <c r="AK2663" s="28" t="str">
        <f aca="false">IF($A2663="","",IF(OR($Q2663=TRUE(),$Q2663="TRUE"),1,0))</f>
        <v/>
      </c>
      <c r="AL2663" s="28" t="str">
        <f aca="false">IF($N2663="","",IF(MATCH($N2663,$N$2:$N$3001,0)=ROWS($N$2:$N2663),$N2663,""))</f>
        <v/>
      </c>
    </row>
    <row r="2664" customFormat="false" ht="15" hidden="false" customHeight="false" outlineLevel="0" collapsed="false">
      <c r="E2664" s="25"/>
      <c r="M2664" s="26" t="str">
        <f aca="false">IF($A2664="","",$L2664*$U2664/100)</f>
        <v/>
      </c>
      <c r="W2664" s="26" t="str">
        <f aca="false">IF($A2664="","",U2664*AB2664/100)</f>
        <v/>
      </c>
      <c r="X2664" s="26" t="str">
        <f aca="false">IF($A2664="","",U2664-W2664)</f>
        <v/>
      </c>
      <c r="Y2664" s="26" t="str">
        <f aca="false">IF($A2664="","",U2664-W2664-M2664)</f>
        <v/>
      </c>
      <c r="AB2664" s="27" t="str">
        <f aca="false">IF($A2664="","",IF($AK2664=1,'كشف المطالبة'!$D$5,'كشف المطالبة'!$D$6)*100)</f>
        <v/>
      </c>
      <c r="AK2664" s="28" t="str">
        <f aca="false">IF($A2664="","",IF(OR($Q2664=TRUE(),$Q2664="TRUE"),1,0))</f>
        <v/>
      </c>
      <c r="AL2664" s="28" t="str">
        <f aca="false">IF($N2664="","",IF(MATCH($N2664,$N$2:$N$3001,0)=ROWS($N$2:$N2664),$N2664,""))</f>
        <v/>
      </c>
    </row>
    <row r="2665" customFormat="false" ht="15" hidden="false" customHeight="false" outlineLevel="0" collapsed="false">
      <c r="E2665" s="25"/>
      <c r="M2665" s="26" t="str">
        <f aca="false">IF($A2665="","",$L2665*$U2665/100)</f>
        <v/>
      </c>
      <c r="W2665" s="26" t="str">
        <f aca="false">IF($A2665="","",U2665*AB2665/100)</f>
        <v/>
      </c>
      <c r="X2665" s="26" t="str">
        <f aca="false">IF($A2665="","",U2665-W2665)</f>
        <v/>
      </c>
      <c r="Y2665" s="26" t="str">
        <f aca="false">IF($A2665="","",U2665-W2665-M2665)</f>
        <v/>
      </c>
      <c r="AB2665" s="27" t="str">
        <f aca="false">IF($A2665="","",IF($AK2665=1,'كشف المطالبة'!$D$5,'كشف المطالبة'!$D$6)*100)</f>
        <v/>
      </c>
      <c r="AK2665" s="28" t="str">
        <f aca="false">IF($A2665="","",IF(OR($Q2665=TRUE(),$Q2665="TRUE"),1,0))</f>
        <v/>
      </c>
      <c r="AL2665" s="28" t="str">
        <f aca="false">IF($N2665="","",IF(MATCH($N2665,$N$2:$N$3001,0)=ROWS($N$2:$N2665),$N2665,""))</f>
        <v/>
      </c>
    </row>
    <row r="2666" customFormat="false" ht="15" hidden="false" customHeight="false" outlineLevel="0" collapsed="false">
      <c r="E2666" s="25"/>
      <c r="M2666" s="26" t="str">
        <f aca="false">IF($A2666="","",$L2666*$U2666/100)</f>
        <v/>
      </c>
      <c r="W2666" s="26" t="str">
        <f aca="false">IF($A2666="","",U2666*AB2666/100)</f>
        <v/>
      </c>
      <c r="X2666" s="26" t="str">
        <f aca="false">IF($A2666="","",U2666-W2666)</f>
        <v/>
      </c>
      <c r="Y2666" s="26" t="str">
        <f aca="false">IF($A2666="","",U2666-W2666-M2666)</f>
        <v/>
      </c>
      <c r="AB2666" s="27" t="str">
        <f aca="false">IF($A2666="","",IF($AK2666=1,'كشف المطالبة'!$D$5,'كشف المطالبة'!$D$6)*100)</f>
        <v/>
      </c>
      <c r="AK2666" s="28" t="str">
        <f aca="false">IF($A2666="","",IF(OR($Q2666=TRUE(),$Q2666="TRUE"),1,0))</f>
        <v/>
      </c>
      <c r="AL2666" s="28" t="str">
        <f aca="false">IF($N2666="","",IF(MATCH($N2666,$N$2:$N$3001,0)=ROWS($N$2:$N2666),$N2666,""))</f>
        <v/>
      </c>
    </row>
    <row r="2667" customFormat="false" ht="15" hidden="false" customHeight="false" outlineLevel="0" collapsed="false">
      <c r="E2667" s="25"/>
      <c r="M2667" s="26" t="str">
        <f aca="false">IF($A2667="","",$L2667*$U2667/100)</f>
        <v/>
      </c>
      <c r="W2667" s="26" t="str">
        <f aca="false">IF($A2667="","",U2667*AB2667/100)</f>
        <v/>
      </c>
      <c r="X2667" s="26" t="str">
        <f aca="false">IF($A2667="","",U2667-W2667)</f>
        <v/>
      </c>
      <c r="Y2667" s="26" t="str">
        <f aca="false">IF($A2667="","",U2667-W2667-M2667)</f>
        <v/>
      </c>
      <c r="AB2667" s="27" t="str">
        <f aca="false">IF($A2667="","",IF($AK2667=1,'كشف المطالبة'!$D$5,'كشف المطالبة'!$D$6)*100)</f>
        <v/>
      </c>
      <c r="AK2667" s="28" t="str">
        <f aca="false">IF($A2667="","",IF(OR($Q2667=TRUE(),$Q2667="TRUE"),1,0))</f>
        <v/>
      </c>
      <c r="AL2667" s="28" t="str">
        <f aca="false">IF($N2667="","",IF(MATCH($N2667,$N$2:$N$3001,0)=ROWS($N$2:$N2667),$N2667,""))</f>
        <v/>
      </c>
    </row>
    <row r="2668" customFormat="false" ht="15" hidden="false" customHeight="false" outlineLevel="0" collapsed="false">
      <c r="E2668" s="25"/>
      <c r="M2668" s="26" t="str">
        <f aca="false">IF($A2668="","",$L2668*$U2668/100)</f>
        <v/>
      </c>
      <c r="W2668" s="26" t="str">
        <f aca="false">IF($A2668="","",U2668*AB2668/100)</f>
        <v/>
      </c>
      <c r="X2668" s="26" t="str">
        <f aca="false">IF($A2668="","",U2668-W2668)</f>
        <v/>
      </c>
      <c r="Y2668" s="26" t="str">
        <f aca="false">IF($A2668="","",U2668-W2668-M2668)</f>
        <v/>
      </c>
      <c r="AB2668" s="27" t="str">
        <f aca="false">IF($A2668="","",IF($AK2668=1,'كشف المطالبة'!$D$5,'كشف المطالبة'!$D$6)*100)</f>
        <v/>
      </c>
      <c r="AK2668" s="28" t="str">
        <f aca="false">IF($A2668="","",IF(OR($Q2668=TRUE(),$Q2668="TRUE"),1,0))</f>
        <v/>
      </c>
      <c r="AL2668" s="28" t="str">
        <f aca="false">IF($N2668="","",IF(MATCH($N2668,$N$2:$N$3001,0)=ROWS($N$2:$N2668),$N2668,""))</f>
        <v/>
      </c>
    </row>
    <row r="2669" customFormat="false" ht="15" hidden="false" customHeight="false" outlineLevel="0" collapsed="false">
      <c r="E2669" s="25"/>
      <c r="M2669" s="26" t="str">
        <f aca="false">IF($A2669="","",$L2669*$U2669/100)</f>
        <v/>
      </c>
      <c r="W2669" s="26" t="str">
        <f aca="false">IF($A2669="","",U2669*AB2669/100)</f>
        <v/>
      </c>
      <c r="X2669" s="26" t="str">
        <f aca="false">IF($A2669="","",U2669-W2669)</f>
        <v/>
      </c>
      <c r="Y2669" s="26" t="str">
        <f aca="false">IF($A2669="","",U2669-W2669-M2669)</f>
        <v/>
      </c>
      <c r="AB2669" s="27" t="str">
        <f aca="false">IF($A2669="","",IF($AK2669=1,'كشف المطالبة'!$D$5,'كشف المطالبة'!$D$6)*100)</f>
        <v/>
      </c>
      <c r="AK2669" s="28" t="str">
        <f aca="false">IF($A2669="","",IF(OR($Q2669=TRUE(),$Q2669="TRUE"),1,0))</f>
        <v/>
      </c>
      <c r="AL2669" s="28" t="str">
        <f aca="false">IF($N2669="","",IF(MATCH($N2669,$N$2:$N$3001,0)=ROWS($N$2:$N2669),$N2669,""))</f>
        <v/>
      </c>
    </row>
    <row r="2670" customFormat="false" ht="15" hidden="false" customHeight="false" outlineLevel="0" collapsed="false">
      <c r="E2670" s="25"/>
      <c r="M2670" s="26" t="str">
        <f aca="false">IF($A2670="","",$L2670*$U2670/100)</f>
        <v/>
      </c>
      <c r="W2670" s="26" t="str">
        <f aca="false">IF($A2670="","",U2670*AB2670/100)</f>
        <v/>
      </c>
      <c r="X2670" s="26" t="str">
        <f aca="false">IF($A2670="","",U2670-W2670)</f>
        <v/>
      </c>
      <c r="Y2670" s="26" t="str">
        <f aca="false">IF($A2670="","",U2670-W2670-M2670)</f>
        <v/>
      </c>
      <c r="AB2670" s="27" t="str">
        <f aca="false">IF($A2670="","",IF($AK2670=1,'كشف المطالبة'!$D$5,'كشف المطالبة'!$D$6)*100)</f>
        <v/>
      </c>
      <c r="AK2670" s="28" t="str">
        <f aca="false">IF($A2670="","",IF(OR($Q2670=TRUE(),$Q2670="TRUE"),1,0))</f>
        <v/>
      </c>
      <c r="AL2670" s="28" t="str">
        <f aca="false">IF($N2670="","",IF(MATCH($N2670,$N$2:$N$3001,0)=ROWS($N$2:$N2670),$N2670,""))</f>
        <v/>
      </c>
    </row>
    <row r="2671" customFormat="false" ht="15" hidden="false" customHeight="false" outlineLevel="0" collapsed="false">
      <c r="E2671" s="25"/>
      <c r="M2671" s="26" t="str">
        <f aca="false">IF($A2671="","",$L2671*$U2671/100)</f>
        <v/>
      </c>
      <c r="W2671" s="26" t="str">
        <f aca="false">IF($A2671="","",U2671*AB2671/100)</f>
        <v/>
      </c>
      <c r="X2671" s="26" t="str">
        <f aca="false">IF($A2671="","",U2671-W2671)</f>
        <v/>
      </c>
      <c r="Y2671" s="26" t="str">
        <f aca="false">IF($A2671="","",U2671-W2671-M2671)</f>
        <v/>
      </c>
      <c r="AB2671" s="27" t="str">
        <f aca="false">IF($A2671="","",IF($AK2671=1,'كشف المطالبة'!$D$5,'كشف المطالبة'!$D$6)*100)</f>
        <v/>
      </c>
      <c r="AK2671" s="28" t="str">
        <f aca="false">IF($A2671="","",IF(OR($Q2671=TRUE(),$Q2671="TRUE"),1,0))</f>
        <v/>
      </c>
      <c r="AL2671" s="28" t="str">
        <f aca="false">IF($N2671="","",IF(MATCH($N2671,$N$2:$N$3001,0)=ROWS($N$2:$N2671),$N2671,""))</f>
        <v/>
      </c>
    </row>
    <row r="2672" customFormat="false" ht="15" hidden="false" customHeight="false" outlineLevel="0" collapsed="false">
      <c r="E2672" s="25"/>
      <c r="M2672" s="26" t="str">
        <f aca="false">IF($A2672="","",$L2672*$U2672/100)</f>
        <v/>
      </c>
      <c r="W2672" s="26" t="str">
        <f aca="false">IF($A2672="","",U2672*AB2672/100)</f>
        <v/>
      </c>
      <c r="X2672" s="26" t="str">
        <f aca="false">IF($A2672="","",U2672-W2672)</f>
        <v/>
      </c>
      <c r="Y2672" s="26" t="str">
        <f aca="false">IF($A2672="","",U2672-W2672-M2672)</f>
        <v/>
      </c>
      <c r="AB2672" s="27" t="str">
        <f aca="false">IF($A2672="","",IF($AK2672=1,'كشف المطالبة'!$D$5,'كشف المطالبة'!$D$6)*100)</f>
        <v/>
      </c>
      <c r="AK2672" s="28" t="str">
        <f aca="false">IF($A2672="","",IF(OR($Q2672=TRUE(),$Q2672="TRUE"),1,0))</f>
        <v/>
      </c>
      <c r="AL2672" s="28" t="str">
        <f aca="false">IF($N2672="","",IF(MATCH($N2672,$N$2:$N$3001,0)=ROWS($N$2:$N2672),$N2672,""))</f>
        <v/>
      </c>
    </row>
    <row r="2673" customFormat="false" ht="15" hidden="false" customHeight="false" outlineLevel="0" collapsed="false">
      <c r="E2673" s="25"/>
      <c r="M2673" s="26" t="str">
        <f aca="false">IF($A2673="","",$L2673*$U2673/100)</f>
        <v/>
      </c>
      <c r="W2673" s="26" t="str">
        <f aca="false">IF($A2673="","",U2673*AB2673/100)</f>
        <v/>
      </c>
      <c r="X2673" s="26" t="str">
        <f aca="false">IF($A2673="","",U2673-W2673)</f>
        <v/>
      </c>
      <c r="Y2673" s="26" t="str">
        <f aca="false">IF($A2673="","",U2673-W2673-M2673)</f>
        <v/>
      </c>
      <c r="AB2673" s="27" t="str">
        <f aca="false">IF($A2673="","",IF($AK2673=1,'كشف المطالبة'!$D$5,'كشف المطالبة'!$D$6)*100)</f>
        <v/>
      </c>
      <c r="AK2673" s="28" t="str">
        <f aca="false">IF($A2673="","",IF(OR($Q2673=TRUE(),$Q2673="TRUE"),1,0))</f>
        <v/>
      </c>
      <c r="AL2673" s="28" t="str">
        <f aca="false">IF($N2673="","",IF(MATCH($N2673,$N$2:$N$3001,0)=ROWS($N$2:$N2673),$N2673,""))</f>
        <v/>
      </c>
    </row>
    <row r="2674" customFormat="false" ht="15" hidden="false" customHeight="false" outlineLevel="0" collapsed="false">
      <c r="E2674" s="25"/>
      <c r="M2674" s="26" t="str">
        <f aca="false">IF($A2674="","",$L2674*$U2674/100)</f>
        <v/>
      </c>
      <c r="W2674" s="26" t="str">
        <f aca="false">IF($A2674="","",U2674*AB2674/100)</f>
        <v/>
      </c>
      <c r="X2674" s="26" t="str">
        <f aca="false">IF($A2674="","",U2674-W2674)</f>
        <v/>
      </c>
      <c r="Y2674" s="26" t="str">
        <f aca="false">IF($A2674="","",U2674-W2674-M2674)</f>
        <v/>
      </c>
      <c r="AB2674" s="27" t="str">
        <f aca="false">IF($A2674="","",IF($AK2674=1,'كشف المطالبة'!$D$5,'كشف المطالبة'!$D$6)*100)</f>
        <v/>
      </c>
      <c r="AK2674" s="28" t="str">
        <f aca="false">IF($A2674="","",IF(OR($Q2674=TRUE(),$Q2674="TRUE"),1,0))</f>
        <v/>
      </c>
      <c r="AL2674" s="28" t="str">
        <f aca="false">IF($N2674="","",IF(MATCH($N2674,$N$2:$N$3001,0)=ROWS($N$2:$N2674),$N2674,""))</f>
        <v/>
      </c>
    </row>
    <row r="2675" customFormat="false" ht="15" hidden="false" customHeight="false" outlineLevel="0" collapsed="false">
      <c r="E2675" s="25"/>
      <c r="M2675" s="26" t="str">
        <f aca="false">IF($A2675="","",$L2675*$U2675/100)</f>
        <v/>
      </c>
      <c r="W2675" s="26" t="str">
        <f aca="false">IF($A2675="","",U2675*AB2675/100)</f>
        <v/>
      </c>
      <c r="X2675" s="26" t="str">
        <f aca="false">IF($A2675="","",U2675-W2675)</f>
        <v/>
      </c>
      <c r="Y2675" s="26" t="str">
        <f aca="false">IF($A2675="","",U2675-W2675-M2675)</f>
        <v/>
      </c>
      <c r="AB2675" s="27" t="str">
        <f aca="false">IF($A2675="","",IF($AK2675=1,'كشف المطالبة'!$D$5,'كشف المطالبة'!$D$6)*100)</f>
        <v/>
      </c>
      <c r="AK2675" s="28" t="str">
        <f aca="false">IF($A2675="","",IF(OR($Q2675=TRUE(),$Q2675="TRUE"),1,0))</f>
        <v/>
      </c>
      <c r="AL2675" s="28" t="str">
        <f aca="false">IF($N2675="","",IF(MATCH($N2675,$N$2:$N$3001,0)=ROWS($N$2:$N2675),$N2675,""))</f>
        <v/>
      </c>
    </row>
    <row r="2676" customFormat="false" ht="15" hidden="false" customHeight="false" outlineLevel="0" collapsed="false">
      <c r="E2676" s="25"/>
      <c r="M2676" s="26" t="str">
        <f aca="false">IF($A2676="","",$L2676*$U2676/100)</f>
        <v/>
      </c>
      <c r="W2676" s="26" t="str">
        <f aca="false">IF($A2676="","",U2676*AB2676/100)</f>
        <v/>
      </c>
      <c r="X2676" s="26" t="str">
        <f aca="false">IF($A2676="","",U2676-W2676)</f>
        <v/>
      </c>
      <c r="Y2676" s="26" t="str">
        <f aca="false">IF($A2676="","",U2676-W2676-M2676)</f>
        <v/>
      </c>
      <c r="AB2676" s="27" t="str">
        <f aca="false">IF($A2676="","",IF($AK2676=1,'كشف المطالبة'!$D$5,'كشف المطالبة'!$D$6)*100)</f>
        <v/>
      </c>
      <c r="AK2676" s="28" t="str">
        <f aca="false">IF($A2676="","",IF(OR($Q2676=TRUE(),$Q2676="TRUE"),1,0))</f>
        <v/>
      </c>
      <c r="AL2676" s="28" t="str">
        <f aca="false">IF($N2676="","",IF(MATCH($N2676,$N$2:$N$3001,0)=ROWS($N$2:$N2676),$N2676,""))</f>
        <v/>
      </c>
    </row>
    <row r="2677" customFormat="false" ht="15" hidden="false" customHeight="false" outlineLevel="0" collapsed="false">
      <c r="E2677" s="25"/>
      <c r="M2677" s="26" t="str">
        <f aca="false">IF($A2677="","",$L2677*$U2677/100)</f>
        <v/>
      </c>
      <c r="W2677" s="26" t="str">
        <f aca="false">IF($A2677="","",U2677*AB2677/100)</f>
        <v/>
      </c>
      <c r="X2677" s="26" t="str">
        <f aca="false">IF($A2677="","",U2677-W2677)</f>
        <v/>
      </c>
      <c r="Y2677" s="26" t="str">
        <f aca="false">IF($A2677="","",U2677-W2677-M2677)</f>
        <v/>
      </c>
      <c r="AB2677" s="27" t="str">
        <f aca="false">IF($A2677="","",IF($AK2677=1,'كشف المطالبة'!$D$5,'كشف المطالبة'!$D$6)*100)</f>
        <v/>
      </c>
      <c r="AK2677" s="28" t="str">
        <f aca="false">IF($A2677="","",IF(OR($Q2677=TRUE(),$Q2677="TRUE"),1,0))</f>
        <v/>
      </c>
      <c r="AL2677" s="28" t="str">
        <f aca="false">IF($N2677="","",IF(MATCH($N2677,$N$2:$N$3001,0)=ROWS($N$2:$N2677),$N2677,""))</f>
        <v/>
      </c>
    </row>
    <row r="2678" customFormat="false" ht="15" hidden="false" customHeight="false" outlineLevel="0" collapsed="false">
      <c r="E2678" s="25"/>
      <c r="M2678" s="26" t="str">
        <f aca="false">IF($A2678="","",$L2678*$U2678/100)</f>
        <v/>
      </c>
      <c r="W2678" s="26" t="str">
        <f aca="false">IF($A2678="","",U2678*AB2678/100)</f>
        <v/>
      </c>
      <c r="X2678" s="26" t="str">
        <f aca="false">IF($A2678="","",U2678-W2678)</f>
        <v/>
      </c>
      <c r="Y2678" s="26" t="str">
        <f aca="false">IF($A2678="","",U2678-W2678-M2678)</f>
        <v/>
      </c>
      <c r="AB2678" s="27" t="str">
        <f aca="false">IF($A2678="","",IF($AK2678=1,'كشف المطالبة'!$D$5,'كشف المطالبة'!$D$6)*100)</f>
        <v/>
      </c>
      <c r="AK2678" s="28" t="str">
        <f aca="false">IF($A2678="","",IF(OR($Q2678=TRUE(),$Q2678="TRUE"),1,0))</f>
        <v/>
      </c>
      <c r="AL2678" s="28" t="str">
        <f aca="false">IF($N2678="","",IF(MATCH($N2678,$N$2:$N$3001,0)=ROWS($N$2:$N2678),$N2678,""))</f>
        <v/>
      </c>
    </row>
    <row r="2679" customFormat="false" ht="15" hidden="false" customHeight="false" outlineLevel="0" collapsed="false">
      <c r="E2679" s="25"/>
      <c r="M2679" s="26" t="str">
        <f aca="false">IF($A2679="","",$L2679*$U2679/100)</f>
        <v/>
      </c>
      <c r="W2679" s="26" t="str">
        <f aca="false">IF($A2679="","",U2679*AB2679/100)</f>
        <v/>
      </c>
      <c r="X2679" s="26" t="str">
        <f aca="false">IF($A2679="","",U2679-W2679)</f>
        <v/>
      </c>
      <c r="Y2679" s="26" t="str">
        <f aca="false">IF($A2679="","",U2679-W2679-M2679)</f>
        <v/>
      </c>
      <c r="AB2679" s="27" t="str">
        <f aca="false">IF($A2679="","",IF($AK2679=1,'كشف المطالبة'!$D$5,'كشف المطالبة'!$D$6)*100)</f>
        <v/>
      </c>
      <c r="AK2679" s="28" t="str">
        <f aca="false">IF($A2679="","",IF(OR($Q2679=TRUE(),$Q2679="TRUE"),1,0))</f>
        <v/>
      </c>
      <c r="AL2679" s="28" t="str">
        <f aca="false">IF($N2679="","",IF(MATCH($N2679,$N$2:$N$3001,0)=ROWS($N$2:$N2679),$N2679,""))</f>
        <v/>
      </c>
    </row>
    <row r="2680" customFormat="false" ht="15" hidden="false" customHeight="false" outlineLevel="0" collapsed="false">
      <c r="E2680" s="25"/>
      <c r="M2680" s="26" t="str">
        <f aca="false">IF($A2680="","",$L2680*$U2680/100)</f>
        <v/>
      </c>
      <c r="W2680" s="26" t="str">
        <f aca="false">IF($A2680="","",U2680*AB2680/100)</f>
        <v/>
      </c>
      <c r="X2680" s="26" t="str">
        <f aca="false">IF($A2680="","",U2680-W2680)</f>
        <v/>
      </c>
      <c r="Y2680" s="26" t="str">
        <f aca="false">IF($A2680="","",U2680-W2680-M2680)</f>
        <v/>
      </c>
      <c r="AB2680" s="27" t="str">
        <f aca="false">IF($A2680="","",IF($AK2680=1,'كشف المطالبة'!$D$5,'كشف المطالبة'!$D$6)*100)</f>
        <v/>
      </c>
      <c r="AK2680" s="28" t="str">
        <f aca="false">IF($A2680="","",IF(OR($Q2680=TRUE(),$Q2680="TRUE"),1,0))</f>
        <v/>
      </c>
      <c r="AL2680" s="28" t="str">
        <f aca="false">IF($N2680="","",IF(MATCH($N2680,$N$2:$N$3001,0)=ROWS($N$2:$N2680),$N2680,""))</f>
        <v/>
      </c>
    </row>
    <row r="2681" customFormat="false" ht="15" hidden="false" customHeight="false" outlineLevel="0" collapsed="false">
      <c r="E2681" s="25"/>
      <c r="M2681" s="26" t="str">
        <f aca="false">IF($A2681="","",$L2681*$U2681/100)</f>
        <v/>
      </c>
      <c r="W2681" s="26" t="str">
        <f aca="false">IF($A2681="","",U2681*AB2681/100)</f>
        <v/>
      </c>
      <c r="X2681" s="26" t="str">
        <f aca="false">IF($A2681="","",U2681-W2681)</f>
        <v/>
      </c>
      <c r="Y2681" s="26" t="str">
        <f aca="false">IF($A2681="","",U2681-W2681-M2681)</f>
        <v/>
      </c>
      <c r="AB2681" s="27" t="str">
        <f aca="false">IF($A2681="","",IF($AK2681=1,'كشف المطالبة'!$D$5,'كشف المطالبة'!$D$6)*100)</f>
        <v/>
      </c>
      <c r="AK2681" s="28" t="str">
        <f aca="false">IF($A2681="","",IF(OR($Q2681=TRUE(),$Q2681="TRUE"),1,0))</f>
        <v/>
      </c>
      <c r="AL2681" s="28" t="str">
        <f aca="false">IF($N2681="","",IF(MATCH($N2681,$N$2:$N$3001,0)=ROWS($N$2:$N2681),$N2681,""))</f>
        <v/>
      </c>
    </row>
    <row r="2682" customFormat="false" ht="15" hidden="false" customHeight="false" outlineLevel="0" collapsed="false">
      <c r="E2682" s="25"/>
      <c r="M2682" s="26" t="str">
        <f aca="false">IF($A2682="","",$L2682*$U2682/100)</f>
        <v/>
      </c>
      <c r="W2682" s="26" t="str">
        <f aca="false">IF($A2682="","",U2682*AB2682/100)</f>
        <v/>
      </c>
      <c r="X2682" s="26" t="str">
        <f aca="false">IF($A2682="","",U2682-W2682)</f>
        <v/>
      </c>
      <c r="Y2682" s="26" t="str">
        <f aca="false">IF($A2682="","",U2682-W2682-M2682)</f>
        <v/>
      </c>
      <c r="AB2682" s="27" t="str">
        <f aca="false">IF($A2682="","",IF($AK2682=1,'كشف المطالبة'!$D$5,'كشف المطالبة'!$D$6)*100)</f>
        <v/>
      </c>
      <c r="AK2682" s="28" t="str">
        <f aca="false">IF($A2682="","",IF(OR($Q2682=TRUE(),$Q2682="TRUE"),1,0))</f>
        <v/>
      </c>
      <c r="AL2682" s="28" t="str">
        <f aca="false">IF($N2682="","",IF(MATCH($N2682,$N$2:$N$3001,0)=ROWS($N$2:$N2682),$N2682,""))</f>
        <v/>
      </c>
    </row>
    <row r="2683" customFormat="false" ht="15" hidden="false" customHeight="false" outlineLevel="0" collapsed="false">
      <c r="E2683" s="25"/>
      <c r="M2683" s="26" t="str">
        <f aca="false">IF($A2683="","",$L2683*$U2683/100)</f>
        <v/>
      </c>
      <c r="W2683" s="26" t="str">
        <f aca="false">IF($A2683="","",U2683*AB2683/100)</f>
        <v/>
      </c>
      <c r="X2683" s="26" t="str">
        <f aca="false">IF($A2683="","",U2683-W2683)</f>
        <v/>
      </c>
      <c r="Y2683" s="26" t="str">
        <f aca="false">IF($A2683="","",U2683-W2683-M2683)</f>
        <v/>
      </c>
      <c r="AB2683" s="27" t="str">
        <f aca="false">IF($A2683="","",IF($AK2683=1,'كشف المطالبة'!$D$5,'كشف المطالبة'!$D$6)*100)</f>
        <v/>
      </c>
      <c r="AK2683" s="28" t="str">
        <f aca="false">IF($A2683="","",IF(OR($Q2683=TRUE(),$Q2683="TRUE"),1,0))</f>
        <v/>
      </c>
      <c r="AL2683" s="28" t="str">
        <f aca="false">IF($N2683="","",IF(MATCH($N2683,$N$2:$N$3001,0)=ROWS($N$2:$N2683),$N2683,""))</f>
        <v/>
      </c>
    </row>
    <row r="2684" customFormat="false" ht="15" hidden="false" customHeight="false" outlineLevel="0" collapsed="false">
      <c r="E2684" s="25"/>
      <c r="M2684" s="26" t="str">
        <f aca="false">IF($A2684="","",$L2684*$U2684/100)</f>
        <v/>
      </c>
      <c r="W2684" s="26" t="str">
        <f aca="false">IF($A2684="","",U2684*AB2684/100)</f>
        <v/>
      </c>
      <c r="X2684" s="26" t="str">
        <f aca="false">IF($A2684="","",U2684-W2684)</f>
        <v/>
      </c>
      <c r="Y2684" s="26" t="str">
        <f aca="false">IF($A2684="","",U2684-W2684-M2684)</f>
        <v/>
      </c>
      <c r="AB2684" s="27" t="str">
        <f aca="false">IF($A2684="","",IF($AK2684=1,'كشف المطالبة'!$D$5,'كشف المطالبة'!$D$6)*100)</f>
        <v/>
      </c>
      <c r="AK2684" s="28" t="str">
        <f aca="false">IF($A2684="","",IF(OR($Q2684=TRUE(),$Q2684="TRUE"),1,0))</f>
        <v/>
      </c>
      <c r="AL2684" s="28" t="str">
        <f aca="false">IF($N2684="","",IF(MATCH($N2684,$N$2:$N$3001,0)=ROWS($N$2:$N2684),$N2684,""))</f>
        <v/>
      </c>
    </row>
    <row r="2685" customFormat="false" ht="15" hidden="false" customHeight="false" outlineLevel="0" collapsed="false">
      <c r="E2685" s="25"/>
      <c r="M2685" s="26" t="str">
        <f aca="false">IF($A2685="","",$L2685*$U2685/100)</f>
        <v/>
      </c>
      <c r="W2685" s="26" t="str">
        <f aca="false">IF($A2685="","",U2685*AB2685/100)</f>
        <v/>
      </c>
      <c r="X2685" s="26" t="str">
        <f aca="false">IF($A2685="","",U2685-W2685)</f>
        <v/>
      </c>
      <c r="Y2685" s="26" t="str">
        <f aca="false">IF($A2685="","",U2685-W2685-M2685)</f>
        <v/>
      </c>
      <c r="AB2685" s="27" t="str">
        <f aca="false">IF($A2685="","",IF($AK2685=1,'كشف المطالبة'!$D$5,'كشف المطالبة'!$D$6)*100)</f>
        <v/>
      </c>
      <c r="AK2685" s="28" t="str">
        <f aca="false">IF($A2685="","",IF(OR($Q2685=TRUE(),$Q2685="TRUE"),1,0))</f>
        <v/>
      </c>
      <c r="AL2685" s="28" t="str">
        <f aca="false">IF($N2685="","",IF(MATCH($N2685,$N$2:$N$3001,0)=ROWS($N$2:$N2685),$N2685,""))</f>
        <v/>
      </c>
    </row>
    <row r="2686" customFormat="false" ht="15" hidden="false" customHeight="false" outlineLevel="0" collapsed="false">
      <c r="E2686" s="25"/>
      <c r="M2686" s="26" t="str">
        <f aca="false">IF($A2686="","",$L2686*$U2686/100)</f>
        <v/>
      </c>
      <c r="W2686" s="26" t="str">
        <f aca="false">IF($A2686="","",U2686*AB2686/100)</f>
        <v/>
      </c>
      <c r="X2686" s="26" t="str">
        <f aca="false">IF($A2686="","",U2686-W2686)</f>
        <v/>
      </c>
      <c r="Y2686" s="26" t="str">
        <f aca="false">IF($A2686="","",U2686-W2686-M2686)</f>
        <v/>
      </c>
      <c r="AB2686" s="27" t="str">
        <f aca="false">IF($A2686="","",IF($AK2686=1,'كشف المطالبة'!$D$5,'كشف المطالبة'!$D$6)*100)</f>
        <v/>
      </c>
      <c r="AK2686" s="28" t="str">
        <f aca="false">IF($A2686="","",IF(OR($Q2686=TRUE(),$Q2686="TRUE"),1,0))</f>
        <v/>
      </c>
      <c r="AL2686" s="28" t="str">
        <f aca="false">IF($N2686="","",IF(MATCH($N2686,$N$2:$N$3001,0)=ROWS($N$2:$N2686),$N2686,""))</f>
        <v/>
      </c>
    </row>
    <row r="2687" customFormat="false" ht="15" hidden="false" customHeight="false" outlineLevel="0" collapsed="false">
      <c r="E2687" s="25"/>
      <c r="M2687" s="26" t="str">
        <f aca="false">IF($A2687="","",$L2687*$U2687/100)</f>
        <v/>
      </c>
      <c r="W2687" s="26" t="str">
        <f aca="false">IF($A2687="","",U2687*AB2687/100)</f>
        <v/>
      </c>
      <c r="X2687" s="26" t="str">
        <f aca="false">IF($A2687="","",U2687-W2687)</f>
        <v/>
      </c>
      <c r="Y2687" s="26" t="str">
        <f aca="false">IF($A2687="","",U2687-W2687-M2687)</f>
        <v/>
      </c>
      <c r="AB2687" s="27" t="str">
        <f aca="false">IF($A2687="","",IF($AK2687=1,'كشف المطالبة'!$D$5,'كشف المطالبة'!$D$6)*100)</f>
        <v/>
      </c>
      <c r="AK2687" s="28" t="str">
        <f aca="false">IF($A2687="","",IF(OR($Q2687=TRUE(),$Q2687="TRUE"),1,0))</f>
        <v/>
      </c>
      <c r="AL2687" s="28" t="str">
        <f aca="false">IF($N2687="","",IF(MATCH($N2687,$N$2:$N$3001,0)=ROWS($N$2:$N2687),$N2687,""))</f>
        <v/>
      </c>
    </row>
    <row r="2688" customFormat="false" ht="15" hidden="false" customHeight="false" outlineLevel="0" collapsed="false">
      <c r="E2688" s="25"/>
      <c r="M2688" s="26" t="str">
        <f aca="false">IF($A2688="","",$L2688*$U2688/100)</f>
        <v/>
      </c>
      <c r="W2688" s="26" t="str">
        <f aca="false">IF($A2688="","",U2688*AB2688/100)</f>
        <v/>
      </c>
      <c r="X2688" s="26" t="str">
        <f aca="false">IF($A2688="","",U2688-W2688)</f>
        <v/>
      </c>
      <c r="Y2688" s="26" t="str">
        <f aca="false">IF($A2688="","",U2688-W2688-M2688)</f>
        <v/>
      </c>
      <c r="AB2688" s="27" t="str">
        <f aca="false">IF($A2688="","",IF($AK2688=1,'كشف المطالبة'!$D$5,'كشف المطالبة'!$D$6)*100)</f>
        <v/>
      </c>
      <c r="AK2688" s="28" t="str">
        <f aca="false">IF($A2688="","",IF(OR($Q2688=TRUE(),$Q2688="TRUE"),1,0))</f>
        <v/>
      </c>
      <c r="AL2688" s="28" t="str">
        <f aca="false">IF($N2688="","",IF(MATCH($N2688,$N$2:$N$3001,0)=ROWS($N$2:$N2688),$N2688,""))</f>
        <v/>
      </c>
    </row>
    <row r="2689" customFormat="false" ht="15" hidden="false" customHeight="false" outlineLevel="0" collapsed="false">
      <c r="E2689" s="25"/>
      <c r="M2689" s="26" t="str">
        <f aca="false">IF($A2689="","",$L2689*$U2689/100)</f>
        <v/>
      </c>
      <c r="W2689" s="26" t="str">
        <f aca="false">IF($A2689="","",U2689*AB2689/100)</f>
        <v/>
      </c>
      <c r="X2689" s="26" t="str">
        <f aca="false">IF($A2689="","",U2689-W2689)</f>
        <v/>
      </c>
      <c r="Y2689" s="26" t="str">
        <f aca="false">IF($A2689="","",U2689-W2689-M2689)</f>
        <v/>
      </c>
      <c r="AB2689" s="27" t="str">
        <f aca="false">IF($A2689="","",IF($AK2689=1,'كشف المطالبة'!$D$5,'كشف المطالبة'!$D$6)*100)</f>
        <v/>
      </c>
      <c r="AK2689" s="28" t="str">
        <f aca="false">IF($A2689="","",IF(OR($Q2689=TRUE(),$Q2689="TRUE"),1,0))</f>
        <v/>
      </c>
      <c r="AL2689" s="28" t="str">
        <f aca="false">IF($N2689="","",IF(MATCH($N2689,$N$2:$N$3001,0)=ROWS($N$2:$N2689),$N2689,""))</f>
        <v/>
      </c>
    </row>
    <row r="2690" customFormat="false" ht="15" hidden="false" customHeight="false" outlineLevel="0" collapsed="false">
      <c r="E2690" s="25"/>
      <c r="M2690" s="26" t="str">
        <f aca="false">IF($A2690="","",$L2690*$U2690/100)</f>
        <v/>
      </c>
      <c r="W2690" s="26" t="str">
        <f aca="false">IF($A2690="","",U2690*AB2690/100)</f>
        <v/>
      </c>
      <c r="X2690" s="26" t="str">
        <f aca="false">IF($A2690="","",U2690-W2690)</f>
        <v/>
      </c>
      <c r="Y2690" s="26" t="str">
        <f aca="false">IF($A2690="","",U2690-W2690-M2690)</f>
        <v/>
      </c>
      <c r="AB2690" s="27" t="str">
        <f aca="false">IF($A2690="","",IF($AK2690=1,'كشف المطالبة'!$D$5,'كشف المطالبة'!$D$6)*100)</f>
        <v/>
      </c>
      <c r="AK2690" s="28" t="str">
        <f aca="false">IF($A2690="","",IF(OR($Q2690=TRUE(),$Q2690="TRUE"),1,0))</f>
        <v/>
      </c>
      <c r="AL2690" s="28" t="str">
        <f aca="false">IF($N2690="","",IF(MATCH($N2690,$N$2:$N$3001,0)=ROWS($N$2:$N2690),$N2690,""))</f>
        <v/>
      </c>
    </row>
    <row r="2691" customFormat="false" ht="15" hidden="false" customHeight="false" outlineLevel="0" collapsed="false">
      <c r="E2691" s="25"/>
      <c r="M2691" s="26" t="str">
        <f aca="false">IF($A2691="","",$L2691*$U2691/100)</f>
        <v/>
      </c>
      <c r="W2691" s="26" t="str">
        <f aca="false">IF($A2691="","",U2691*AB2691/100)</f>
        <v/>
      </c>
      <c r="X2691" s="26" t="str">
        <f aca="false">IF($A2691="","",U2691-W2691)</f>
        <v/>
      </c>
      <c r="Y2691" s="26" t="str">
        <f aca="false">IF($A2691="","",U2691-W2691-M2691)</f>
        <v/>
      </c>
      <c r="AB2691" s="27" t="str">
        <f aca="false">IF($A2691="","",IF($AK2691=1,'كشف المطالبة'!$D$5,'كشف المطالبة'!$D$6)*100)</f>
        <v/>
      </c>
      <c r="AK2691" s="28" t="str">
        <f aca="false">IF($A2691="","",IF(OR($Q2691=TRUE(),$Q2691="TRUE"),1,0))</f>
        <v/>
      </c>
      <c r="AL2691" s="28" t="str">
        <f aca="false">IF($N2691="","",IF(MATCH($N2691,$N$2:$N$3001,0)=ROWS($N$2:$N2691),$N2691,""))</f>
        <v/>
      </c>
    </row>
    <row r="2692" customFormat="false" ht="15" hidden="false" customHeight="false" outlineLevel="0" collapsed="false">
      <c r="E2692" s="25"/>
      <c r="M2692" s="26" t="str">
        <f aca="false">IF($A2692="","",$L2692*$U2692/100)</f>
        <v/>
      </c>
      <c r="W2692" s="26" t="str">
        <f aca="false">IF($A2692="","",U2692*AB2692/100)</f>
        <v/>
      </c>
      <c r="X2692" s="26" t="str">
        <f aca="false">IF($A2692="","",U2692-W2692)</f>
        <v/>
      </c>
      <c r="Y2692" s="26" t="str">
        <f aca="false">IF($A2692="","",U2692-W2692-M2692)</f>
        <v/>
      </c>
      <c r="AB2692" s="27" t="str">
        <f aca="false">IF($A2692="","",IF($AK2692=1,'كشف المطالبة'!$D$5,'كشف المطالبة'!$D$6)*100)</f>
        <v/>
      </c>
      <c r="AK2692" s="28" t="str">
        <f aca="false">IF($A2692="","",IF(OR($Q2692=TRUE(),$Q2692="TRUE"),1,0))</f>
        <v/>
      </c>
      <c r="AL2692" s="28" t="str">
        <f aca="false">IF($N2692="","",IF(MATCH($N2692,$N$2:$N$3001,0)=ROWS($N$2:$N2692),$N2692,""))</f>
        <v/>
      </c>
    </row>
    <row r="2693" customFormat="false" ht="15" hidden="false" customHeight="false" outlineLevel="0" collapsed="false">
      <c r="E2693" s="25"/>
      <c r="M2693" s="26" t="str">
        <f aca="false">IF($A2693="","",$L2693*$U2693/100)</f>
        <v/>
      </c>
      <c r="W2693" s="26" t="str">
        <f aca="false">IF($A2693="","",U2693*AB2693/100)</f>
        <v/>
      </c>
      <c r="X2693" s="26" t="str">
        <f aca="false">IF($A2693="","",U2693-W2693)</f>
        <v/>
      </c>
      <c r="Y2693" s="26" t="str">
        <f aca="false">IF($A2693="","",U2693-W2693-M2693)</f>
        <v/>
      </c>
      <c r="AB2693" s="27" t="str">
        <f aca="false">IF($A2693="","",IF($AK2693=1,'كشف المطالبة'!$D$5,'كشف المطالبة'!$D$6)*100)</f>
        <v/>
      </c>
      <c r="AK2693" s="28" t="str">
        <f aca="false">IF($A2693="","",IF(OR($Q2693=TRUE(),$Q2693="TRUE"),1,0))</f>
        <v/>
      </c>
      <c r="AL2693" s="28" t="str">
        <f aca="false">IF($N2693="","",IF(MATCH($N2693,$N$2:$N$3001,0)=ROWS($N$2:$N2693),$N2693,""))</f>
        <v/>
      </c>
    </row>
    <row r="2694" customFormat="false" ht="15" hidden="false" customHeight="false" outlineLevel="0" collapsed="false">
      <c r="E2694" s="25"/>
      <c r="M2694" s="26" t="str">
        <f aca="false">IF($A2694="","",$L2694*$U2694/100)</f>
        <v/>
      </c>
      <c r="W2694" s="26" t="str">
        <f aca="false">IF($A2694="","",U2694*AB2694/100)</f>
        <v/>
      </c>
      <c r="X2694" s="26" t="str">
        <f aca="false">IF($A2694="","",U2694-W2694)</f>
        <v/>
      </c>
      <c r="Y2694" s="26" t="str">
        <f aca="false">IF($A2694="","",U2694-W2694-M2694)</f>
        <v/>
      </c>
      <c r="AB2694" s="27" t="str">
        <f aca="false">IF($A2694="","",IF($AK2694=1,'كشف المطالبة'!$D$5,'كشف المطالبة'!$D$6)*100)</f>
        <v/>
      </c>
      <c r="AK2694" s="28" t="str">
        <f aca="false">IF($A2694="","",IF(OR($Q2694=TRUE(),$Q2694="TRUE"),1,0))</f>
        <v/>
      </c>
      <c r="AL2694" s="28" t="str">
        <f aca="false">IF($N2694="","",IF(MATCH($N2694,$N$2:$N$3001,0)=ROWS($N$2:$N2694),$N2694,""))</f>
        <v/>
      </c>
    </row>
    <row r="2695" customFormat="false" ht="15" hidden="false" customHeight="false" outlineLevel="0" collapsed="false">
      <c r="E2695" s="25"/>
      <c r="M2695" s="26" t="str">
        <f aca="false">IF($A2695="","",$L2695*$U2695/100)</f>
        <v/>
      </c>
      <c r="W2695" s="26" t="str">
        <f aca="false">IF($A2695="","",U2695*AB2695/100)</f>
        <v/>
      </c>
      <c r="X2695" s="26" t="str">
        <f aca="false">IF($A2695="","",U2695-W2695)</f>
        <v/>
      </c>
      <c r="Y2695" s="26" t="str">
        <f aca="false">IF($A2695="","",U2695-W2695-M2695)</f>
        <v/>
      </c>
      <c r="AB2695" s="27" t="str">
        <f aca="false">IF($A2695="","",IF($AK2695=1,'كشف المطالبة'!$D$5,'كشف المطالبة'!$D$6)*100)</f>
        <v/>
      </c>
      <c r="AK2695" s="28" t="str">
        <f aca="false">IF($A2695="","",IF(OR($Q2695=TRUE(),$Q2695="TRUE"),1,0))</f>
        <v/>
      </c>
      <c r="AL2695" s="28" t="str">
        <f aca="false">IF($N2695="","",IF(MATCH($N2695,$N$2:$N$3001,0)=ROWS($N$2:$N2695),$N2695,""))</f>
        <v/>
      </c>
    </row>
    <row r="2696" customFormat="false" ht="15" hidden="false" customHeight="false" outlineLevel="0" collapsed="false">
      <c r="E2696" s="25"/>
      <c r="M2696" s="26" t="str">
        <f aca="false">IF($A2696="","",$L2696*$U2696/100)</f>
        <v/>
      </c>
      <c r="W2696" s="26" t="str">
        <f aca="false">IF($A2696="","",U2696*AB2696/100)</f>
        <v/>
      </c>
      <c r="X2696" s="26" t="str">
        <f aca="false">IF($A2696="","",U2696-W2696)</f>
        <v/>
      </c>
      <c r="Y2696" s="26" t="str">
        <f aca="false">IF($A2696="","",U2696-W2696-M2696)</f>
        <v/>
      </c>
      <c r="AB2696" s="27" t="str">
        <f aca="false">IF($A2696="","",IF($AK2696=1,'كشف المطالبة'!$D$5,'كشف المطالبة'!$D$6)*100)</f>
        <v/>
      </c>
      <c r="AK2696" s="28" t="str">
        <f aca="false">IF($A2696="","",IF(OR($Q2696=TRUE(),$Q2696="TRUE"),1,0))</f>
        <v/>
      </c>
      <c r="AL2696" s="28" t="str">
        <f aca="false">IF($N2696="","",IF(MATCH($N2696,$N$2:$N$3001,0)=ROWS($N$2:$N2696),$N2696,""))</f>
        <v/>
      </c>
    </row>
    <row r="2697" customFormat="false" ht="15" hidden="false" customHeight="false" outlineLevel="0" collapsed="false">
      <c r="E2697" s="25"/>
      <c r="M2697" s="26" t="str">
        <f aca="false">IF($A2697="","",$L2697*$U2697/100)</f>
        <v/>
      </c>
      <c r="W2697" s="26" t="str">
        <f aca="false">IF($A2697="","",U2697*AB2697/100)</f>
        <v/>
      </c>
      <c r="X2697" s="26" t="str">
        <f aca="false">IF($A2697="","",U2697-W2697)</f>
        <v/>
      </c>
      <c r="Y2697" s="26" t="str">
        <f aca="false">IF($A2697="","",U2697-W2697-M2697)</f>
        <v/>
      </c>
      <c r="AB2697" s="27" t="str">
        <f aca="false">IF($A2697="","",IF($AK2697=1,'كشف المطالبة'!$D$5,'كشف المطالبة'!$D$6)*100)</f>
        <v/>
      </c>
      <c r="AK2697" s="28" t="str">
        <f aca="false">IF($A2697="","",IF(OR($Q2697=TRUE(),$Q2697="TRUE"),1,0))</f>
        <v/>
      </c>
      <c r="AL2697" s="28" t="str">
        <f aca="false">IF($N2697="","",IF(MATCH($N2697,$N$2:$N$3001,0)=ROWS($N$2:$N2697),$N2697,""))</f>
        <v/>
      </c>
    </row>
    <row r="2698" customFormat="false" ht="15" hidden="false" customHeight="false" outlineLevel="0" collapsed="false">
      <c r="E2698" s="25"/>
      <c r="M2698" s="26" t="str">
        <f aca="false">IF($A2698="","",$L2698*$U2698/100)</f>
        <v/>
      </c>
      <c r="W2698" s="26" t="str">
        <f aca="false">IF($A2698="","",U2698*AB2698/100)</f>
        <v/>
      </c>
      <c r="X2698" s="26" t="str">
        <f aca="false">IF($A2698="","",U2698-W2698)</f>
        <v/>
      </c>
      <c r="Y2698" s="26" t="str">
        <f aca="false">IF($A2698="","",U2698-W2698-M2698)</f>
        <v/>
      </c>
      <c r="AB2698" s="27" t="str">
        <f aca="false">IF($A2698="","",IF($AK2698=1,'كشف المطالبة'!$D$5,'كشف المطالبة'!$D$6)*100)</f>
        <v/>
      </c>
      <c r="AK2698" s="28" t="str">
        <f aca="false">IF($A2698="","",IF(OR($Q2698=TRUE(),$Q2698="TRUE"),1,0))</f>
        <v/>
      </c>
      <c r="AL2698" s="28" t="str">
        <f aca="false">IF($N2698="","",IF(MATCH($N2698,$N$2:$N$3001,0)=ROWS($N$2:$N2698),$N2698,""))</f>
        <v/>
      </c>
    </row>
    <row r="2699" customFormat="false" ht="15" hidden="false" customHeight="false" outlineLevel="0" collapsed="false">
      <c r="E2699" s="25"/>
      <c r="M2699" s="26" t="str">
        <f aca="false">IF($A2699="","",$L2699*$U2699/100)</f>
        <v/>
      </c>
      <c r="W2699" s="26" t="str">
        <f aca="false">IF($A2699="","",U2699*AB2699/100)</f>
        <v/>
      </c>
      <c r="X2699" s="26" t="str">
        <f aca="false">IF($A2699="","",U2699-W2699)</f>
        <v/>
      </c>
      <c r="Y2699" s="26" t="str">
        <f aca="false">IF($A2699="","",U2699-W2699-M2699)</f>
        <v/>
      </c>
      <c r="AB2699" s="27" t="str">
        <f aca="false">IF($A2699="","",IF($AK2699=1,'كشف المطالبة'!$D$5,'كشف المطالبة'!$D$6)*100)</f>
        <v/>
      </c>
      <c r="AK2699" s="28" t="str">
        <f aca="false">IF($A2699="","",IF(OR($Q2699=TRUE(),$Q2699="TRUE"),1,0))</f>
        <v/>
      </c>
      <c r="AL2699" s="28" t="str">
        <f aca="false">IF($N2699="","",IF(MATCH($N2699,$N$2:$N$3001,0)=ROWS($N$2:$N2699),$N2699,""))</f>
        <v/>
      </c>
    </row>
    <row r="2700" customFormat="false" ht="15" hidden="false" customHeight="false" outlineLevel="0" collapsed="false">
      <c r="E2700" s="25"/>
      <c r="M2700" s="26" t="str">
        <f aca="false">IF($A2700="","",$L2700*$U2700/100)</f>
        <v/>
      </c>
      <c r="W2700" s="26" t="str">
        <f aca="false">IF($A2700="","",U2700*AB2700/100)</f>
        <v/>
      </c>
      <c r="X2700" s="26" t="str">
        <f aca="false">IF($A2700="","",U2700-W2700)</f>
        <v/>
      </c>
      <c r="Y2700" s="26" t="str">
        <f aca="false">IF($A2700="","",U2700-W2700-M2700)</f>
        <v/>
      </c>
      <c r="AB2700" s="27" t="str">
        <f aca="false">IF($A2700="","",IF($AK2700=1,'كشف المطالبة'!$D$5,'كشف المطالبة'!$D$6)*100)</f>
        <v/>
      </c>
      <c r="AK2700" s="28" t="str">
        <f aca="false">IF($A2700="","",IF(OR($Q2700=TRUE(),$Q2700="TRUE"),1,0))</f>
        <v/>
      </c>
      <c r="AL2700" s="28" t="str">
        <f aca="false">IF($N2700="","",IF(MATCH($N2700,$N$2:$N$3001,0)=ROWS($N$2:$N2700),$N2700,""))</f>
        <v/>
      </c>
    </row>
    <row r="2701" customFormat="false" ht="15" hidden="false" customHeight="false" outlineLevel="0" collapsed="false">
      <c r="E2701" s="25"/>
      <c r="M2701" s="26" t="str">
        <f aca="false">IF($A2701="","",$L2701*$U2701/100)</f>
        <v/>
      </c>
      <c r="W2701" s="26" t="str">
        <f aca="false">IF($A2701="","",U2701*AB2701/100)</f>
        <v/>
      </c>
      <c r="X2701" s="26" t="str">
        <f aca="false">IF($A2701="","",U2701-W2701)</f>
        <v/>
      </c>
      <c r="Y2701" s="26" t="str">
        <f aca="false">IF($A2701="","",U2701-W2701-M2701)</f>
        <v/>
      </c>
      <c r="AB2701" s="27" t="str">
        <f aca="false">IF($A2701="","",IF($AK2701=1,'كشف المطالبة'!$D$5,'كشف المطالبة'!$D$6)*100)</f>
        <v/>
      </c>
      <c r="AK2701" s="28" t="str">
        <f aca="false">IF($A2701="","",IF(OR($Q2701=TRUE(),$Q2701="TRUE"),1,0))</f>
        <v/>
      </c>
      <c r="AL2701" s="28" t="str">
        <f aca="false">IF($N2701="","",IF(MATCH($N2701,$N$2:$N$3001,0)=ROWS($N$2:$N2701),$N2701,""))</f>
        <v/>
      </c>
    </row>
    <row r="2702" customFormat="false" ht="15" hidden="false" customHeight="false" outlineLevel="0" collapsed="false">
      <c r="E2702" s="25"/>
      <c r="M2702" s="26" t="str">
        <f aca="false">IF($A2702="","",$L2702*$U2702/100)</f>
        <v/>
      </c>
      <c r="W2702" s="26" t="str">
        <f aca="false">IF($A2702="","",U2702*AB2702/100)</f>
        <v/>
      </c>
      <c r="X2702" s="26" t="str">
        <f aca="false">IF($A2702="","",U2702-W2702)</f>
        <v/>
      </c>
      <c r="Y2702" s="26" t="str">
        <f aca="false">IF($A2702="","",U2702-W2702-M2702)</f>
        <v/>
      </c>
      <c r="AB2702" s="27" t="str">
        <f aca="false">IF($A2702="","",IF($AK2702=1,'كشف المطالبة'!$D$5,'كشف المطالبة'!$D$6)*100)</f>
        <v/>
      </c>
      <c r="AK2702" s="28" t="str">
        <f aca="false">IF($A2702="","",IF(OR($Q2702=TRUE(),$Q2702="TRUE"),1,0))</f>
        <v/>
      </c>
      <c r="AL2702" s="28" t="str">
        <f aca="false">IF($N2702="","",IF(MATCH($N2702,$N$2:$N$3001,0)=ROWS($N$2:$N2702),$N2702,""))</f>
        <v/>
      </c>
    </row>
    <row r="2703" customFormat="false" ht="15" hidden="false" customHeight="false" outlineLevel="0" collapsed="false">
      <c r="E2703" s="25"/>
      <c r="M2703" s="26" t="str">
        <f aca="false">IF($A2703="","",$L2703*$U2703/100)</f>
        <v/>
      </c>
      <c r="W2703" s="26" t="str">
        <f aca="false">IF($A2703="","",U2703*AB2703/100)</f>
        <v/>
      </c>
      <c r="X2703" s="26" t="str">
        <f aca="false">IF($A2703="","",U2703-W2703)</f>
        <v/>
      </c>
      <c r="Y2703" s="26" t="str">
        <f aca="false">IF($A2703="","",U2703-W2703-M2703)</f>
        <v/>
      </c>
      <c r="AB2703" s="27" t="str">
        <f aca="false">IF($A2703="","",IF($AK2703=1,'كشف المطالبة'!$D$5,'كشف المطالبة'!$D$6)*100)</f>
        <v/>
      </c>
      <c r="AK2703" s="28" t="str">
        <f aca="false">IF($A2703="","",IF(OR($Q2703=TRUE(),$Q2703="TRUE"),1,0))</f>
        <v/>
      </c>
      <c r="AL2703" s="28" t="str">
        <f aca="false">IF($N2703="","",IF(MATCH($N2703,$N$2:$N$3001,0)=ROWS($N$2:$N2703),$N2703,""))</f>
        <v/>
      </c>
    </row>
    <row r="2704" customFormat="false" ht="15" hidden="false" customHeight="false" outlineLevel="0" collapsed="false">
      <c r="E2704" s="25"/>
      <c r="M2704" s="26" t="str">
        <f aca="false">IF($A2704="","",$L2704*$U2704/100)</f>
        <v/>
      </c>
      <c r="W2704" s="26" t="str">
        <f aca="false">IF($A2704="","",U2704*AB2704/100)</f>
        <v/>
      </c>
      <c r="X2704" s="26" t="str">
        <f aca="false">IF($A2704="","",U2704-W2704)</f>
        <v/>
      </c>
      <c r="Y2704" s="26" t="str">
        <f aca="false">IF($A2704="","",U2704-W2704-M2704)</f>
        <v/>
      </c>
      <c r="AB2704" s="27" t="str">
        <f aca="false">IF($A2704="","",IF($AK2704=1,'كشف المطالبة'!$D$5,'كشف المطالبة'!$D$6)*100)</f>
        <v/>
      </c>
      <c r="AK2704" s="28" t="str">
        <f aca="false">IF($A2704="","",IF(OR($Q2704=TRUE(),$Q2704="TRUE"),1,0))</f>
        <v/>
      </c>
      <c r="AL2704" s="28" t="str">
        <f aca="false">IF($N2704="","",IF(MATCH($N2704,$N$2:$N$3001,0)=ROWS($N$2:$N2704),$N2704,""))</f>
        <v/>
      </c>
    </row>
    <row r="2705" customFormat="false" ht="15" hidden="false" customHeight="false" outlineLevel="0" collapsed="false">
      <c r="E2705" s="25"/>
      <c r="M2705" s="26" t="str">
        <f aca="false">IF($A2705="","",$L2705*$U2705/100)</f>
        <v/>
      </c>
      <c r="W2705" s="26" t="str">
        <f aca="false">IF($A2705="","",U2705*AB2705/100)</f>
        <v/>
      </c>
      <c r="X2705" s="26" t="str">
        <f aca="false">IF($A2705="","",U2705-W2705)</f>
        <v/>
      </c>
      <c r="Y2705" s="26" t="str">
        <f aca="false">IF($A2705="","",U2705-W2705-M2705)</f>
        <v/>
      </c>
      <c r="AB2705" s="27" t="str">
        <f aca="false">IF($A2705="","",IF($AK2705=1,'كشف المطالبة'!$D$5,'كشف المطالبة'!$D$6)*100)</f>
        <v/>
      </c>
      <c r="AK2705" s="28" t="str">
        <f aca="false">IF($A2705="","",IF(OR($Q2705=TRUE(),$Q2705="TRUE"),1,0))</f>
        <v/>
      </c>
      <c r="AL2705" s="28" t="str">
        <f aca="false">IF($N2705="","",IF(MATCH($N2705,$N$2:$N$3001,0)=ROWS($N$2:$N2705),$N2705,""))</f>
        <v/>
      </c>
    </row>
    <row r="2706" customFormat="false" ht="15" hidden="false" customHeight="false" outlineLevel="0" collapsed="false">
      <c r="E2706" s="25"/>
      <c r="M2706" s="26" t="str">
        <f aca="false">IF($A2706="","",$L2706*$U2706/100)</f>
        <v/>
      </c>
      <c r="W2706" s="26" t="str">
        <f aca="false">IF($A2706="","",U2706*AB2706/100)</f>
        <v/>
      </c>
      <c r="X2706" s="26" t="str">
        <f aca="false">IF($A2706="","",U2706-W2706)</f>
        <v/>
      </c>
      <c r="Y2706" s="26" t="str">
        <f aca="false">IF($A2706="","",U2706-W2706-M2706)</f>
        <v/>
      </c>
      <c r="AB2706" s="27" t="str">
        <f aca="false">IF($A2706="","",IF($AK2706=1,'كشف المطالبة'!$D$5,'كشف المطالبة'!$D$6)*100)</f>
        <v/>
      </c>
      <c r="AK2706" s="28" t="str">
        <f aca="false">IF($A2706="","",IF(OR($Q2706=TRUE(),$Q2706="TRUE"),1,0))</f>
        <v/>
      </c>
      <c r="AL2706" s="28" t="str">
        <f aca="false">IF($N2706="","",IF(MATCH($N2706,$N$2:$N$3001,0)=ROWS($N$2:$N2706),$N2706,""))</f>
        <v/>
      </c>
    </row>
    <row r="2707" customFormat="false" ht="15" hidden="false" customHeight="false" outlineLevel="0" collapsed="false">
      <c r="E2707" s="25"/>
      <c r="M2707" s="26" t="str">
        <f aca="false">IF($A2707="","",$L2707*$U2707/100)</f>
        <v/>
      </c>
      <c r="W2707" s="26" t="str">
        <f aca="false">IF($A2707="","",U2707*AB2707/100)</f>
        <v/>
      </c>
      <c r="X2707" s="26" t="str">
        <f aca="false">IF($A2707="","",U2707-W2707)</f>
        <v/>
      </c>
      <c r="Y2707" s="26" t="str">
        <f aca="false">IF($A2707="","",U2707-W2707-M2707)</f>
        <v/>
      </c>
      <c r="AB2707" s="27" t="str">
        <f aca="false">IF($A2707="","",IF($AK2707=1,'كشف المطالبة'!$D$5,'كشف المطالبة'!$D$6)*100)</f>
        <v/>
      </c>
      <c r="AK2707" s="28" t="str">
        <f aca="false">IF($A2707="","",IF(OR($Q2707=TRUE(),$Q2707="TRUE"),1,0))</f>
        <v/>
      </c>
      <c r="AL2707" s="28" t="str">
        <f aca="false">IF($N2707="","",IF(MATCH($N2707,$N$2:$N$3001,0)=ROWS($N$2:$N2707),$N2707,""))</f>
        <v/>
      </c>
    </row>
    <row r="2708" customFormat="false" ht="15" hidden="false" customHeight="false" outlineLevel="0" collapsed="false">
      <c r="E2708" s="25"/>
      <c r="M2708" s="26" t="str">
        <f aca="false">IF($A2708="","",$L2708*$U2708/100)</f>
        <v/>
      </c>
      <c r="W2708" s="26" t="str">
        <f aca="false">IF($A2708="","",U2708*AB2708/100)</f>
        <v/>
      </c>
      <c r="X2708" s="26" t="str">
        <f aca="false">IF($A2708="","",U2708-W2708)</f>
        <v/>
      </c>
      <c r="Y2708" s="26" t="str">
        <f aca="false">IF($A2708="","",U2708-W2708-M2708)</f>
        <v/>
      </c>
      <c r="AB2708" s="27" t="str">
        <f aca="false">IF($A2708="","",IF($AK2708=1,'كشف المطالبة'!$D$5,'كشف المطالبة'!$D$6)*100)</f>
        <v/>
      </c>
      <c r="AK2708" s="28" t="str">
        <f aca="false">IF($A2708="","",IF(OR($Q2708=TRUE(),$Q2708="TRUE"),1,0))</f>
        <v/>
      </c>
      <c r="AL2708" s="28" t="str">
        <f aca="false">IF($N2708="","",IF(MATCH($N2708,$N$2:$N$3001,0)=ROWS($N$2:$N2708),$N2708,""))</f>
        <v/>
      </c>
    </row>
    <row r="2709" customFormat="false" ht="15" hidden="false" customHeight="false" outlineLevel="0" collapsed="false">
      <c r="E2709" s="25"/>
      <c r="M2709" s="26" t="str">
        <f aca="false">IF($A2709="","",$L2709*$U2709/100)</f>
        <v/>
      </c>
      <c r="W2709" s="26" t="str">
        <f aca="false">IF($A2709="","",U2709*AB2709/100)</f>
        <v/>
      </c>
      <c r="X2709" s="26" t="str">
        <f aca="false">IF($A2709="","",U2709-W2709)</f>
        <v/>
      </c>
      <c r="Y2709" s="26" t="str">
        <f aca="false">IF($A2709="","",U2709-W2709-M2709)</f>
        <v/>
      </c>
      <c r="AB2709" s="27" t="str">
        <f aca="false">IF($A2709="","",IF($AK2709=1,'كشف المطالبة'!$D$5,'كشف المطالبة'!$D$6)*100)</f>
        <v/>
      </c>
      <c r="AK2709" s="28" t="str">
        <f aca="false">IF($A2709="","",IF(OR($Q2709=TRUE(),$Q2709="TRUE"),1,0))</f>
        <v/>
      </c>
      <c r="AL2709" s="28" t="str">
        <f aca="false">IF($N2709="","",IF(MATCH($N2709,$N$2:$N$3001,0)=ROWS($N$2:$N2709),$N2709,""))</f>
        <v/>
      </c>
    </row>
    <row r="2710" customFormat="false" ht="15" hidden="false" customHeight="false" outlineLevel="0" collapsed="false">
      <c r="E2710" s="25"/>
      <c r="M2710" s="26" t="str">
        <f aca="false">IF($A2710="","",$L2710*$U2710/100)</f>
        <v/>
      </c>
      <c r="W2710" s="26" t="str">
        <f aca="false">IF($A2710="","",U2710*AB2710/100)</f>
        <v/>
      </c>
      <c r="X2710" s="26" t="str">
        <f aca="false">IF($A2710="","",U2710-W2710)</f>
        <v/>
      </c>
      <c r="Y2710" s="26" t="str">
        <f aca="false">IF($A2710="","",U2710-W2710-M2710)</f>
        <v/>
      </c>
      <c r="AB2710" s="27" t="str">
        <f aca="false">IF($A2710="","",IF($AK2710=1,'كشف المطالبة'!$D$5,'كشف المطالبة'!$D$6)*100)</f>
        <v/>
      </c>
      <c r="AK2710" s="28" t="str">
        <f aca="false">IF($A2710="","",IF(OR($Q2710=TRUE(),$Q2710="TRUE"),1,0))</f>
        <v/>
      </c>
      <c r="AL2710" s="28" t="str">
        <f aca="false">IF($N2710="","",IF(MATCH($N2710,$N$2:$N$3001,0)=ROWS($N$2:$N2710),$N2710,""))</f>
        <v/>
      </c>
    </row>
    <row r="2711" customFormat="false" ht="15" hidden="false" customHeight="false" outlineLevel="0" collapsed="false">
      <c r="E2711" s="25"/>
      <c r="M2711" s="26" t="str">
        <f aca="false">IF($A2711="","",$L2711*$U2711/100)</f>
        <v/>
      </c>
      <c r="W2711" s="26" t="str">
        <f aca="false">IF($A2711="","",U2711*AB2711/100)</f>
        <v/>
      </c>
      <c r="X2711" s="26" t="str">
        <f aca="false">IF($A2711="","",U2711-W2711)</f>
        <v/>
      </c>
      <c r="Y2711" s="26" t="str">
        <f aca="false">IF($A2711="","",U2711-W2711-M2711)</f>
        <v/>
      </c>
      <c r="AB2711" s="27" t="str">
        <f aca="false">IF($A2711="","",IF($AK2711=1,'كشف المطالبة'!$D$5,'كشف المطالبة'!$D$6)*100)</f>
        <v/>
      </c>
      <c r="AK2711" s="28" t="str">
        <f aca="false">IF($A2711="","",IF(OR($Q2711=TRUE(),$Q2711="TRUE"),1,0))</f>
        <v/>
      </c>
      <c r="AL2711" s="28" t="str">
        <f aca="false">IF($N2711="","",IF(MATCH($N2711,$N$2:$N$3001,0)=ROWS($N$2:$N2711),$N2711,""))</f>
        <v/>
      </c>
    </row>
    <row r="2712" customFormat="false" ht="15" hidden="false" customHeight="false" outlineLevel="0" collapsed="false">
      <c r="E2712" s="25"/>
      <c r="M2712" s="26" t="str">
        <f aca="false">IF($A2712="","",$L2712*$U2712/100)</f>
        <v/>
      </c>
      <c r="W2712" s="26" t="str">
        <f aca="false">IF($A2712="","",U2712*AB2712/100)</f>
        <v/>
      </c>
      <c r="X2712" s="26" t="str">
        <f aca="false">IF($A2712="","",U2712-W2712)</f>
        <v/>
      </c>
      <c r="Y2712" s="26" t="str">
        <f aca="false">IF($A2712="","",U2712-W2712-M2712)</f>
        <v/>
      </c>
      <c r="AB2712" s="27" t="str">
        <f aca="false">IF($A2712="","",IF($AK2712=1,'كشف المطالبة'!$D$5,'كشف المطالبة'!$D$6)*100)</f>
        <v/>
      </c>
      <c r="AK2712" s="28" t="str">
        <f aca="false">IF($A2712="","",IF(OR($Q2712=TRUE(),$Q2712="TRUE"),1,0))</f>
        <v/>
      </c>
      <c r="AL2712" s="28" t="str">
        <f aca="false">IF($N2712="","",IF(MATCH($N2712,$N$2:$N$3001,0)=ROWS($N$2:$N2712),$N2712,""))</f>
        <v/>
      </c>
    </row>
    <row r="2713" customFormat="false" ht="15" hidden="false" customHeight="false" outlineLevel="0" collapsed="false">
      <c r="E2713" s="25"/>
      <c r="M2713" s="26" t="str">
        <f aca="false">IF($A2713="","",$L2713*$U2713/100)</f>
        <v/>
      </c>
      <c r="W2713" s="26" t="str">
        <f aca="false">IF($A2713="","",U2713*AB2713/100)</f>
        <v/>
      </c>
      <c r="X2713" s="26" t="str">
        <f aca="false">IF($A2713="","",U2713-W2713)</f>
        <v/>
      </c>
      <c r="Y2713" s="26" t="str">
        <f aca="false">IF($A2713="","",U2713-W2713-M2713)</f>
        <v/>
      </c>
      <c r="AB2713" s="27" t="str">
        <f aca="false">IF($A2713="","",IF($AK2713=1,'كشف المطالبة'!$D$5,'كشف المطالبة'!$D$6)*100)</f>
        <v/>
      </c>
      <c r="AK2713" s="28" t="str">
        <f aca="false">IF($A2713="","",IF(OR($Q2713=TRUE(),$Q2713="TRUE"),1,0))</f>
        <v/>
      </c>
      <c r="AL2713" s="28" t="str">
        <f aca="false">IF($N2713="","",IF(MATCH($N2713,$N$2:$N$3001,0)=ROWS($N$2:$N2713),$N2713,""))</f>
        <v/>
      </c>
    </row>
    <row r="2714" customFormat="false" ht="15" hidden="false" customHeight="false" outlineLevel="0" collapsed="false">
      <c r="E2714" s="25"/>
      <c r="M2714" s="26" t="str">
        <f aca="false">IF($A2714="","",$L2714*$U2714/100)</f>
        <v/>
      </c>
      <c r="W2714" s="26" t="str">
        <f aca="false">IF($A2714="","",U2714*AB2714/100)</f>
        <v/>
      </c>
      <c r="X2714" s="26" t="str">
        <f aca="false">IF($A2714="","",U2714-W2714)</f>
        <v/>
      </c>
      <c r="Y2714" s="26" t="str">
        <f aca="false">IF($A2714="","",U2714-W2714-M2714)</f>
        <v/>
      </c>
      <c r="AB2714" s="27" t="str">
        <f aca="false">IF($A2714="","",IF($AK2714=1,'كشف المطالبة'!$D$5,'كشف المطالبة'!$D$6)*100)</f>
        <v/>
      </c>
      <c r="AK2714" s="28" t="str">
        <f aca="false">IF($A2714="","",IF(OR($Q2714=TRUE(),$Q2714="TRUE"),1,0))</f>
        <v/>
      </c>
      <c r="AL2714" s="28" t="str">
        <f aca="false">IF($N2714="","",IF(MATCH($N2714,$N$2:$N$3001,0)=ROWS($N$2:$N2714),$N2714,""))</f>
        <v/>
      </c>
    </row>
    <row r="2715" customFormat="false" ht="15" hidden="false" customHeight="false" outlineLevel="0" collapsed="false">
      <c r="E2715" s="25"/>
      <c r="M2715" s="26" t="str">
        <f aca="false">IF($A2715="","",$L2715*$U2715/100)</f>
        <v/>
      </c>
      <c r="W2715" s="26" t="str">
        <f aca="false">IF($A2715="","",U2715*AB2715/100)</f>
        <v/>
      </c>
      <c r="X2715" s="26" t="str">
        <f aca="false">IF($A2715="","",U2715-W2715)</f>
        <v/>
      </c>
      <c r="Y2715" s="26" t="str">
        <f aca="false">IF($A2715="","",U2715-W2715-M2715)</f>
        <v/>
      </c>
      <c r="AB2715" s="27" t="str">
        <f aca="false">IF($A2715="","",IF($AK2715=1,'كشف المطالبة'!$D$5,'كشف المطالبة'!$D$6)*100)</f>
        <v/>
      </c>
      <c r="AK2715" s="28" t="str">
        <f aca="false">IF($A2715="","",IF(OR($Q2715=TRUE(),$Q2715="TRUE"),1,0))</f>
        <v/>
      </c>
      <c r="AL2715" s="28" t="str">
        <f aca="false">IF($N2715="","",IF(MATCH($N2715,$N$2:$N$3001,0)=ROWS($N$2:$N2715),$N2715,""))</f>
        <v/>
      </c>
    </row>
    <row r="2716" customFormat="false" ht="15" hidden="false" customHeight="false" outlineLevel="0" collapsed="false">
      <c r="E2716" s="25"/>
      <c r="M2716" s="26" t="str">
        <f aca="false">IF($A2716="","",$L2716*$U2716/100)</f>
        <v/>
      </c>
      <c r="W2716" s="26" t="str">
        <f aca="false">IF($A2716="","",U2716*AB2716/100)</f>
        <v/>
      </c>
      <c r="X2716" s="26" t="str">
        <f aca="false">IF($A2716="","",U2716-W2716)</f>
        <v/>
      </c>
      <c r="Y2716" s="26" t="str">
        <f aca="false">IF($A2716="","",U2716-W2716-M2716)</f>
        <v/>
      </c>
      <c r="AB2716" s="27" t="str">
        <f aca="false">IF($A2716="","",IF($AK2716=1,'كشف المطالبة'!$D$5,'كشف المطالبة'!$D$6)*100)</f>
        <v/>
      </c>
      <c r="AK2716" s="28" t="str">
        <f aca="false">IF($A2716="","",IF(OR($Q2716=TRUE(),$Q2716="TRUE"),1,0))</f>
        <v/>
      </c>
      <c r="AL2716" s="28" t="str">
        <f aca="false">IF($N2716="","",IF(MATCH($N2716,$N$2:$N$3001,0)=ROWS($N$2:$N2716),$N2716,""))</f>
        <v/>
      </c>
    </row>
    <row r="2717" customFormat="false" ht="15" hidden="false" customHeight="false" outlineLevel="0" collapsed="false">
      <c r="E2717" s="25"/>
      <c r="M2717" s="26" t="str">
        <f aca="false">IF($A2717="","",$L2717*$U2717/100)</f>
        <v/>
      </c>
      <c r="W2717" s="26" t="str">
        <f aca="false">IF($A2717="","",U2717*AB2717/100)</f>
        <v/>
      </c>
      <c r="X2717" s="26" t="str">
        <f aca="false">IF($A2717="","",U2717-W2717)</f>
        <v/>
      </c>
      <c r="Y2717" s="26" t="str">
        <f aca="false">IF($A2717="","",U2717-W2717-M2717)</f>
        <v/>
      </c>
      <c r="AB2717" s="27" t="str">
        <f aca="false">IF($A2717="","",IF($AK2717=1,'كشف المطالبة'!$D$5,'كشف المطالبة'!$D$6)*100)</f>
        <v/>
      </c>
      <c r="AK2717" s="28" t="str">
        <f aca="false">IF($A2717="","",IF(OR($Q2717=TRUE(),$Q2717="TRUE"),1,0))</f>
        <v/>
      </c>
      <c r="AL2717" s="28" t="str">
        <f aca="false">IF($N2717="","",IF(MATCH($N2717,$N$2:$N$3001,0)=ROWS($N$2:$N2717),$N2717,""))</f>
        <v/>
      </c>
    </row>
    <row r="2718" customFormat="false" ht="15" hidden="false" customHeight="false" outlineLevel="0" collapsed="false">
      <c r="E2718" s="25"/>
      <c r="M2718" s="26" t="str">
        <f aca="false">IF($A2718="","",$L2718*$U2718/100)</f>
        <v/>
      </c>
      <c r="W2718" s="26" t="str">
        <f aca="false">IF($A2718="","",U2718*AB2718/100)</f>
        <v/>
      </c>
      <c r="X2718" s="26" t="str">
        <f aca="false">IF($A2718="","",U2718-W2718)</f>
        <v/>
      </c>
      <c r="Y2718" s="26" t="str">
        <f aca="false">IF($A2718="","",U2718-W2718-M2718)</f>
        <v/>
      </c>
      <c r="AB2718" s="27" t="str">
        <f aca="false">IF($A2718="","",IF($AK2718=1,'كشف المطالبة'!$D$5,'كشف المطالبة'!$D$6)*100)</f>
        <v/>
      </c>
      <c r="AK2718" s="28" t="str">
        <f aca="false">IF($A2718="","",IF(OR($Q2718=TRUE(),$Q2718="TRUE"),1,0))</f>
        <v/>
      </c>
      <c r="AL2718" s="28" t="str">
        <f aca="false">IF($N2718="","",IF(MATCH($N2718,$N$2:$N$3001,0)=ROWS($N$2:$N2718),$N2718,""))</f>
        <v/>
      </c>
    </row>
    <row r="2719" customFormat="false" ht="15" hidden="false" customHeight="false" outlineLevel="0" collapsed="false">
      <c r="E2719" s="25"/>
      <c r="M2719" s="26" t="str">
        <f aca="false">IF($A2719="","",$L2719*$U2719/100)</f>
        <v/>
      </c>
      <c r="W2719" s="26" t="str">
        <f aca="false">IF($A2719="","",U2719*AB2719/100)</f>
        <v/>
      </c>
      <c r="X2719" s="26" t="str">
        <f aca="false">IF($A2719="","",U2719-W2719)</f>
        <v/>
      </c>
      <c r="Y2719" s="26" t="str">
        <f aca="false">IF($A2719="","",U2719-W2719-M2719)</f>
        <v/>
      </c>
      <c r="AB2719" s="27" t="str">
        <f aca="false">IF($A2719="","",IF($AK2719=1,'كشف المطالبة'!$D$5,'كشف المطالبة'!$D$6)*100)</f>
        <v/>
      </c>
      <c r="AK2719" s="28" t="str">
        <f aca="false">IF($A2719="","",IF(OR($Q2719=TRUE(),$Q2719="TRUE"),1,0))</f>
        <v/>
      </c>
      <c r="AL2719" s="28" t="str">
        <f aca="false">IF($N2719="","",IF(MATCH($N2719,$N$2:$N$3001,0)=ROWS($N$2:$N2719),$N2719,""))</f>
        <v/>
      </c>
    </row>
    <row r="2720" customFormat="false" ht="15" hidden="false" customHeight="false" outlineLevel="0" collapsed="false">
      <c r="E2720" s="25"/>
      <c r="M2720" s="26" t="str">
        <f aca="false">IF($A2720="","",$L2720*$U2720/100)</f>
        <v/>
      </c>
      <c r="W2720" s="26" t="str">
        <f aca="false">IF($A2720="","",U2720*AB2720/100)</f>
        <v/>
      </c>
      <c r="X2720" s="26" t="str">
        <f aca="false">IF($A2720="","",U2720-W2720)</f>
        <v/>
      </c>
      <c r="Y2720" s="26" t="str">
        <f aca="false">IF($A2720="","",U2720-W2720-M2720)</f>
        <v/>
      </c>
      <c r="AB2720" s="27" t="str">
        <f aca="false">IF($A2720="","",IF($AK2720=1,'كشف المطالبة'!$D$5,'كشف المطالبة'!$D$6)*100)</f>
        <v/>
      </c>
      <c r="AK2720" s="28" t="str">
        <f aca="false">IF($A2720="","",IF(OR($Q2720=TRUE(),$Q2720="TRUE"),1,0))</f>
        <v/>
      </c>
      <c r="AL2720" s="28" t="str">
        <f aca="false">IF($N2720="","",IF(MATCH($N2720,$N$2:$N$3001,0)=ROWS($N$2:$N2720),$N2720,""))</f>
        <v/>
      </c>
    </row>
    <row r="2721" customFormat="false" ht="15" hidden="false" customHeight="false" outlineLevel="0" collapsed="false">
      <c r="E2721" s="25"/>
      <c r="M2721" s="26" t="str">
        <f aca="false">IF($A2721="","",$L2721*$U2721/100)</f>
        <v/>
      </c>
      <c r="W2721" s="26" t="str">
        <f aca="false">IF($A2721="","",U2721*AB2721/100)</f>
        <v/>
      </c>
      <c r="X2721" s="26" t="str">
        <f aca="false">IF($A2721="","",U2721-W2721)</f>
        <v/>
      </c>
      <c r="Y2721" s="26" t="str">
        <f aca="false">IF($A2721="","",U2721-W2721-M2721)</f>
        <v/>
      </c>
      <c r="AB2721" s="27" t="str">
        <f aca="false">IF($A2721="","",IF($AK2721=1,'كشف المطالبة'!$D$5,'كشف المطالبة'!$D$6)*100)</f>
        <v/>
      </c>
      <c r="AK2721" s="28" t="str">
        <f aca="false">IF($A2721="","",IF(OR($Q2721=TRUE(),$Q2721="TRUE"),1,0))</f>
        <v/>
      </c>
      <c r="AL2721" s="28" t="str">
        <f aca="false">IF($N2721="","",IF(MATCH($N2721,$N$2:$N$3001,0)=ROWS($N$2:$N2721),$N2721,""))</f>
        <v/>
      </c>
    </row>
    <row r="2722" customFormat="false" ht="15" hidden="false" customHeight="false" outlineLevel="0" collapsed="false">
      <c r="E2722" s="25"/>
      <c r="M2722" s="26" t="str">
        <f aca="false">IF($A2722="","",$L2722*$U2722/100)</f>
        <v/>
      </c>
      <c r="W2722" s="26" t="str">
        <f aca="false">IF($A2722="","",U2722*AB2722/100)</f>
        <v/>
      </c>
      <c r="X2722" s="26" t="str">
        <f aca="false">IF($A2722="","",U2722-W2722)</f>
        <v/>
      </c>
      <c r="Y2722" s="26" t="str">
        <f aca="false">IF($A2722="","",U2722-W2722-M2722)</f>
        <v/>
      </c>
      <c r="AB2722" s="27" t="str">
        <f aca="false">IF($A2722="","",IF($AK2722=1,'كشف المطالبة'!$D$5,'كشف المطالبة'!$D$6)*100)</f>
        <v/>
      </c>
      <c r="AK2722" s="28" t="str">
        <f aca="false">IF($A2722="","",IF(OR($Q2722=TRUE(),$Q2722="TRUE"),1,0))</f>
        <v/>
      </c>
      <c r="AL2722" s="28" t="str">
        <f aca="false">IF($N2722="","",IF(MATCH($N2722,$N$2:$N$3001,0)=ROWS($N$2:$N2722),$N2722,""))</f>
        <v/>
      </c>
    </row>
    <row r="2723" customFormat="false" ht="15" hidden="false" customHeight="false" outlineLevel="0" collapsed="false">
      <c r="E2723" s="25"/>
      <c r="M2723" s="26" t="str">
        <f aca="false">IF($A2723="","",$L2723*$U2723/100)</f>
        <v/>
      </c>
      <c r="W2723" s="26" t="str">
        <f aca="false">IF($A2723="","",U2723*AB2723/100)</f>
        <v/>
      </c>
      <c r="X2723" s="26" t="str">
        <f aca="false">IF($A2723="","",U2723-W2723)</f>
        <v/>
      </c>
      <c r="Y2723" s="26" t="str">
        <f aca="false">IF($A2723="","",U2723-W2723-M2723)</f>
        <v/>
      </c>
      <c r="AB2723" s="27" t="str">
        <f aca="false">IF($A2723="","",IF($AK2723=1,'كشف المطالبة'!$D$5,'كشف المطالبة'!$D$6)*100)</f>
        <v/>
      </c>
      <c r="AK2723" s="28" t="str">
        <f aca="false">IF($A2723="","",IF(OR($Q2723=TRUE(),$Q2723="TRUE"),1,0))</f>
        <v/>
      </c>
      <c r="AL2723" s="28" t="str">
        <f aca="false">IF($N2723="","",IF(MATCH($N2723,$N$2:$N$3001,0)=ROWS($N$2:$N2723),$N2723,""))</f>
        <v/>
      </c>
    </row>
    <row r="2724" customFormat="false" ht="15" hidden="false" customHeight="false" outlineLevel="0" collapsed="false">
      <c r="E2724" s="25"/>
      <c r="M2724" s="26" t="str">
        <f aca="false">IF($A2724="","",$L2724*$U2724/100)</f>
        <v/>
      </c>
      <c r="W2724" s="26" t="str">
        <f aca="false">IF($A2724="","",U2724*AB2724/100)</f>
        <v/>
      </c>
      <c r="X2724" s="26" t="str">
        <f aca="false">IF($A2724="","",U2724-W2724)</f>
        <v/>
      </c>
      <c r="Y2724" s="26" t="str">
        <f aca="false">IF($A2724="","",U2724-W2724-M2724)</f>
        <v/>
      </c>
      <c r="AB2724" s="27" t="str">
        <f aca="false">IF($A2724="","",IF($AK2724=1,'كشف المطالبة'!$D$5,'كشف المطالبة'!$D$6)*100)</f>
        <v/>
      </c>
      <c r="AK2724" s="28" t="str">
        <f aca="false">IF($A2724="","",IF(OR($Q2724=TRUE(),$Q2724="TRUE"),1,0))</f>
        <v/>
      </c>
      <c r="AL2724" s="28" t="str">
        <f aca="false">IF($N2724="","",IF(MATCH($N2724,$N$2:$N$3001,0)=ROWS($N$2:$N2724),$N2724,""))</f>
        <v/>
      </c>
    </row>
    <row r="2725" customFormat="false" ht="15" hidden="false" customHeight="false" outlineLevel="0" collapsed="false">
      <c r="E2725" s="25"/>
      <c r="M2725" s="26" t="str">
        <f aca="false">IF($A2725="","",$L2725*$U2725/100)</f>
        <v/>
      </c>
      <c r="W2725" s="26" t="str">
        <f aca="false">IF($A2725="","",U2725*AB2725/100)</f>
        <v/>
      </c>
      <c r="X2725" s="26" t="str">
        <f aca="false">IF($A2725="","",U2725-W2725)</f>
        <v/>
      </c>
      <c r="Y2725" s="26" t="str">
        <f aca="false">IF($A2725="","",U2725-W2725-M2725)</f>
        <v/>
      </c>
      <c r="AB2725" s="27" t="str">
        <f aca="false">IF($A2725="","",IF($AK2725=1,'كشف المطالبة'!$D$5,'كشف المطالبة'!$D$6)*100)</f>
        <v/>
      </c>
      <c r="AK2725" s="28" t="str">
        <f aca="false">IF($A2725="","",IF(OR($Q2725=TRUE(),$Q2725="TRUE"),1,0))</f>
        <v/>
      </c>
      <c r="AL2725" s="28" t="str">
        <f aca="false">IF($N2725="","",IF(MATCH($N2725,$N$2:$N$3001,0)=ROWS($N$2:$N2725),$N2725,""))</f>
        <v/>
      </c>
    </row>
    <row r="2726" customFormat="false" ht="15" hidden="false" customHeight="false" outlineLevel="0" collapsed="false">
      <c r="E2726" s="25"/>
      <c r="M2726" s="26" t="str">
        <f aca="false">IF($A2726="","",$L2726*$U2726/100)</f>
        <v/>
      </c>
      <c r="W2726" s="26" t="str">
        <f aca="false">IF($A2726="","",U2726*AB2726/100)</f>
        <v/>
      </c>
      <c r="X2726" s="26" t="str">
        <f aca="false">IF($A2726="","",U2726-W2726)</f>
        <v/>
      </c>
      <c r="Y2726" s="26" t="str">
        <f aca="false">IF($A2726="","",U2726-W2726-M2726)</f>
        <v/>
      </c>
      <c r="AB2726" s="27" t="str">
        <f aca="false">IF($A2726="","",IF($AK2726=1,'كشف المطالبة'!$D$5,'كشف المطالبة'!$D$6)*100)</f>
        <v/>
      </c>
      <c r="AK2726" s="28" t="str">
        <f aca="false">IF($A2726="","",IF(OR($Q2726=TRUE(),$Q2726="TRUE"),1,0))</f>
        <v/>
      </c>
      <c r="AL2726" s="28" t="str">
        <f aca="false">IF($N2726="","",IF(MATCH($N2726,$N$2:$N$3001,0)=ROWS($N$2:$N2726),$N2726,""))</f>
        <v/>
      </c>
    </row>
    <row r="2727" customFormat="false" ht="15" hidden="false" customHeight="false" outlineLevel="0" collapsed="false">
      <c r="E2727" s="25"/>
      <c r="M2727" s="26" t="str">
        <f aca="false">IF($A2727="","",$L2727*$U2727/100)</f>
        <v/>
      </c>
      <c r="W2727" s="26" t="str">
        <f aca="false">IF($A2727="","",U2727*AB2727/100)</f>
        <v/>
      </c>
      <c r="X2727" s="26" t="str">
        <f aca="false">IF($A2727="","",U2727-W2727)</f>
        <v/>
      </c>
      <c r="Y2727" s="26" t="str">
        <f aca="false">IF($A2727="","",U2727-W2727-M2727)</f>
        <v/>
      </c>
      <c r="AB2727" s="27" t="str">
        <f aca="false">IF($A2727="","",IF($AK2727=1,'كشف المطالبة'!$D$5,'كشف المطالبة'!$D$6)*100)</f>
        <v/>
      </c>
      <c r="AK2727" s="28" t="str">
        <f aca="false">IF($A2727="","",IF(OR($Q2727=TRUE(),$Q2727="TRUE"),1,0))</f>
        <v/>
      </c>
      <c r="AL2727" s="28" t="str">
        <f aca="false">IF($N2727="","",IF(MATCH($N2727,$N$2:$N$3001,0)=ROWS($N$2:$N2727),$N2727,""))</f>
        <v/>
      </c>
    </row>
    <row r="2728" customFormat="false" ht="15" hidden="false" customHeight="false" outlineLevel="0" collapsed="false">
      <c r="E2728" s="25"/>
      <c r="M2728" s="26" t="str">
        <f aca="false">IF($A2728="","",$L2728*$U2728/100)</f>
        <v/>
      </c>
      <c r="W2728" s="26" t="str">
        <f aca="false">IF($A2728="","",U2728*AB2728/100)</f>
        <v/>
      </c>
      <c r="X2728" s="26" t="str">
        <f aca="false">IF($A2728="","",U2728-W2728)</f>
        <v/>
      </c>
      <c r="Y2728" s="26" t="str">
        <f aca="false">IF($A2728="","",U2728-W2728-M2728)</f>
        <v/>
      </c>
      <c r="AB2728" s="27" t="str">
        <f aca="false">IF($A2728="","",IF($AK2728=1,'كشف المطالبة'!$D$5,'كشف المطالبة'!$D$6)*100)</f>
        <v/>
      </c>
      <c r="AK2728" s="28" t="str">
        <f aca="false">IF($A2728="","",IF(OR($Q2728=TRUE(),$Q2728="TRUE"),1,0))</f>
        <v/>
      </c>
      <c r="AL2728" s="28" t="str">
        <f aca="false">IF($N2728="","",IF(MATCH($N2728,$N$2:$N$3001,0)=ROWS($N$2:$N2728),$N2728,""))</f>
        <v/>
      </c>
    </row>
    <row r="2729" customFormat="false" ht="15" hidden="false" customHeight="false" outlineLevel="0" collapsed="false">
      <c r="E2729" s="25"/>
      <c r="M2729" s="26" t="str">
        <f aca="false">IF($A2729="","",$L2729*$U2729/100)</f>
        <v/>
      </c>
      <c r="W2729" s="26" t="str">
        <f aca="false">IF($A2729="","",U2729*AB2729/100)</f>
        <v/>
      </c>
      <c r="X2729" s="26" t="str">
        <f aca="false">IF($A2729="","",U2729-W2729)</f>
        <v/>
      </c>
      <c r="Y2729" s="26" t="str">
        <f aca="false">IF($A2729="","",U2729-W2729-M2729)</f>
        <v/>
      </c>
      <c r="AB2729" s="27" t="str">
        <f aca="false">IF($A2729="","",IF($AK2729=1,'كشف المطالبة'!$D$5,'كشف المطالبة'!$D$6)*100)</f>
        <v/>
      </c>
      <c r="AK2729" s="28" t="str">
        <f aca="false">IF($A2729="","",IF(OR($Q2729=TRUE(),$Q2729="TRUE"),1,0))</f>
        <v/>
      </c>
      <c r="AL2729" s="28" t="str">
        <f aca="false">IF($N2729="","",IF(MATCH($N2729,$N$2:$N$3001,0)=ROWS($N$2:$N2729),$N2729,""))</f>
        <v/>
      </c>
    </row>
    <row r="2730" customFormat="false" ht="15" hidden="false" customHeight="false" outlineLevel="0" collapsed="false">
      <c r="E2730" s="25"/>
      <c r="M2730" s="26" t="str">
        <f aca="false">IF($A2730="","",$L2730*$U2730/100)</f>
        <v/>
      </c>
      <c r="W2730" s="26" t="str">
        <f aca="false">IF($A2730="","",U2730*AB2730/100)</f>
        <v/>
      </c>
      <c r="X2730" s="26" t="str">
        <f aca="false">IF($A2730="","",U2730-W2730)</f>
        <v/>
      </c>
      <c r="Y2730" s="26" t="str">
        <f aca="false">IF($A2730="","",U2730-W2730-M2730)</f>
        <v/>
      </c>
      <c r="AB2730" s="27" t="str">
        <f aca="false">IF($A2730="","",IF($AK2730=1,'كشف المطالبة'!$D$5,'كشف المطالبة'!$D$6)*100)</f>
        <v/>
      </c>
      <c r="AK2730" s="28" t="str">
        <f aca="false">IF($A2730="","",IF(OR($Q2730=TRUE(),$Q2730="TRUE"),1,0))</f>
        <v/>
      </c>
      <c r="AL2730" s="28" t="str">
        <f aca="false">IF($N2730="","",IF(MATCH($N2730,$N$2:$N$3001,0)=ROWS($N$2:$N2730),$N2730,""))</f>
        <v/>
      </c>
    </row>
    <row r="2731" customFormat="false" ht="15" hidden="false" customHeight="false" outlineLevel="0" collapsed="false">
      <c r="E2731" s="25"/>
      <c r="M2731" s="26" t="str">
        <f aca="false">IF($A2731="","",$L2731*$U2731/100)</f>
        <v/>
      </c>
      <c r="W2731" s="26" t="str">
        <f aca="false">IF($A2731="","",U2731*AB2731/100)</f>
        <v/>
      </c>
      <c r="X2731" s="26" t="str">
        <f aca="false">IF($A2731="","",U2731-W2731)</f>
        <v/>
      </c>
      <c r="Y2731" s="26" t="str">
        <f aca="false">IF($A2731="","",U2731-W2731-M2731)</f>
        <v/>
      </c>
      <c r="AB2731" s="27" t="str">
        <f aca="false">IF($A2731="","",IF($AK2731=1,'كشف المطالبة'!$D$5,'كشف المطالبة'!$D$6)*100)</f>
        <v/>
      </c>
      <c r="AK2731" s="28" t="str">
        <f aca="false">IF($A2731="","",IF(OR($Q2731=TRUE(),$Q2731="TRUE"),1,0))</f>
        <v/>
      </c>
      <c r="AL2731" s="28" t="str">
        <f aca="false">IF($N2731="","",IF(MATCH($N2731,$N$2:$N$3001,0)=ROWS($N$2:$N2731),$N2731,""))</f>
        <v/>
      </c>
    </row>
    <row r="2732" customFormat="false" ht="15" hidden="false" customHeight="false" outlineLevel="0" collapsed="false">
      <c r="E2732" s="25"/>
      <c r="M2732" s="26" t="str">
        <f aca="false">IF($A2732="","",$L2732*$U2732/100)</f>
        <v/>
      </c>
      <c r="W2732" s="26" t="str">
        <f aca="false">IF($A2732="","",U2732*AB2732/100)</f>
        <v/>
      </c>
      <c r="X2732" s="26" t="str">
        <f aca="false">IF($A2732="","",U2732-W2732)</f>
        <v/>
      </c>
      <c r="Y2732" s="26" t="str">
        <f aca="false">IF($A2732="","",U2732-W2732-M2732)</f>
        <v/>
      </c>
      <c r="AB2732" s="27" t="str">
        <f aca="false">IF($A2732="","",IF($AK2732=1,'كشف المطالبة'!$D$5,'كشف المطالبة'!$D$6)*100)</f>
        <v/>
      </c>
      <c r="AK2732" s="28" t="str">
        <f aca="false">IF($A2732="","",IF(OR($Q2732=TRUE(),$Q2732="TRUE"),1,0))</f>
        <v/>
      </c>
      <c r="AL2732" s="28" t="str">
        <f aca="false">IF($N2732="","",IF(MATCH($N2732,$N$2:$N$3001,0)=ROWS($N$2:$N2732),$N2732,""))</f>
        <v/>
      </c>
    </row>
    <row r="2733" customFormat="false" ht="15" hidden="false" customHeight="false" outlineLevel="0" collapsed="false">
      <c r="E2733" s="25"/>
      <c r="M2733" s="26" t="str">
        <f aca="false">IF($A2733="","",$L2733*$U2733/100)</f>
        <v/>
      </c>
      <c r="W2733" s="26" t="str">
        <f aca="false">IF($A2733="","",U2733*AB2733/100)</f>
        <v/>
      </c>
      <c r="X2733" s="26" t="str">
        <f aca="false">IF($A2733="","",U2733-W2733)</f>
        <v/>
      </c>
      <c r="Y2733" s="26" t="str">
        <f aca="false">IF($A2733="","",U2733-W2733-M2733)</f>
        <v/>
      </c>
      <c r="AB2733" s="27" t="str">
        <f aca="false">IF($A2733="","",IF($AK2733=1,'كشف المطالبة'!$D$5,'كشف المطالبة'!$D$6)*100)</f>
        <v/>
      </c>
      <c r="AK2733" s="28" t="str">
        <f aca="false">IF($A2733="","",IF(OR($Q2733=TRUE(),$Q2733="TRUE"),1,0))</f>
        <v/>
      </c>
      <c r="AL2733" s="28" t="str">
        <f aca="false">IF($N2733="","",IF(MATCH($N2733,$N$2:$N$3001,0)=ROWS($N$2:$N2733),$N2733,""))</f>
        <v/>
      </c>
    </row>
    <row r="2734" customFormat="false" ht="15" hidden="false" customHeight="false" outlineLevel="0" collapsed="false">
      <c r="E2734" s="25"/>
      <c r="M2734" s="26" t="str">
        <f aca="false">IF($A2734="","",$L2734*$U2734/100)</f>
        <v/>
      </c>
      <c r="W2734" s="26" t="str">
        <f aca="false">IF($A2734="","",U2734*AB2734/100)</f>
        <v/>
      </c>
      <c r="X2734" s="26" t="str">
        <f aca="false">IF($A2734="","",U2734-W2734)</f>
        <v/>
      </c>
      <c r="Y2734" s="26" t="str">
        <f aca="false">IF($A2734="","",U2734-W2734-M2734)</f>
        <v/>
      </c>
      <c r="AB2734" s="27" t="str">
        <f aca="false">IF($A2734="","",IF($AK2734=1,'كشف المطالبة'!$D$5,'كشف المطالبة'!$D$6)*100)</f>
        <v/>
      </c>
      <c r="AK2734" s="28" t="str">
        <f aca="false">IF($A2734="","",IF(OR($Q2734=TRUE(),$Q2734="TRUE"),1,0))</f>
        <v/>
      </c>
      <c r="AL2734" s="28" t="str">
        <f aca="false">IF($N2734="","",IF(MATCH($N2734,$N$2:$N$3001,0)=ROWS($N$2:$N2734),$N2734,""))</f>
        <v/>
      </c>
    </row>
    <row r="2735" customFormat="false" ht="15" hidden="false" customHeight="false" outlineLevel="0" collapsed="false">
      <c r="E2735" s="25"/>
      <c r="M2735" s="26" t="str">
        <f aca="false">IF($A2735="","",$L2735*$U2735/100)</f>
        <v/>
      </c>
      <c r="W2735" s="26" t="str">
        <f aca="false">IF($A2735="","",U2735*AB2735/100)</f>
        <v/>
      </c>
      <c r="X2735" s="26" t="str">
        <f aca="false">IF($A2735="","",U2735-W2735)</f>
        <v/>
      </c>
      <c r="Y2735" s="26" t="str">
        <f aca="false">IF($A2735="","",U2735-W2735-M2735)</f>
        <v/>
      </c>
      <c r="AB2735" s="27" t="str">
        <f aca="false">IF($A2735="","",IF($AK2735=1,'كشف المطالبة'!$D$5,'كشف المطالبة'!$D$6)*100)</f>
        <v/>
      </c>
      <c r="AK2735" s="28" t="str">
        <f aca="false">IF($A2735="","",IF(OR($Q2735=TRUE(),$Q2735="TRUE"),1,0))</f>
        <v/>
      </c>
      <c r="AL2735" s="28" t="str">
        <f aca="false">IF($N2735="","",IF(MATCH($N2735,$N$2:$N$3001,0)=ROWS($N$2:$N2735),$N2735,""))</f>
        <v/>
      </c>
    </row>
    <row r="2736" customFormat="false" ht="15" hidden="false" customHeight="false" outlineLevel="0" collapsed="false">
      <c r="E2736" s="25"/>
      <c r="M2736" s="26" t="str">
        <f aca="false">IF($A2736="","",$L2736*$U2736/100)</f>
        <v/>
      </c>
      <c r="W2736" s="26" t="str">
        <f aca="false">IF($A2736="","",U2736*AB2736/100)</f>
        <v/>
      </c>
      <c r="X2736" s="26" t="str">
        <f aca="false">IF($A2736="","",U2736-W2736)</f>
        <v/>
      </c>
      <c r="Y2736" s="26" t="str">
        <f aca="false">IF($A2736="","",U2736-W2736-M2736)</f>
        <v/>
      </c>
      <c r="AB2736" s="27" t="str">
        <f aca="false">IF($A2736="","",IF($AK2736=1,'كشف المطالبة'!$D$5,'كشف المطالبة'!$D$6)*100)</f>
        <v/>
      </c>
      <c r="AK2736" s="28" t="str">
        <f aca="false">IF($A2736="","",IF(OR($Q2736=TRUE(),$Q2736="TRUE"),1,0))</f>
        <v/>
      </c>
      <c r="AL2736" s="28" t="str">
        <f aca="false">IF($N2736="","",IF(MATCH($N2736,$N$2:$N$3001,0)=ROWS($N$2:$N2736),$N2736,""))</f>
        <v/>
      </c>
    </row>
    <row r="2737" customFormat="false" ht="15" hidden="false" customHeight="false" outlineLevel="0" collapsed="false">
      <c r="E2737" s="25"/>
      <c r="M2737" s="26" t="str">
        <f aca="false">IF($A2737="","",$L2737*$U2737/100)</f>
        <v/>
      </c>
      <c r="W2737" s="26" t="str">
        <f aca="false">IF($A2737="","",U2737*AB2737/100)</f>
        <v/>
      </c>
      <c r="X2737" s="26" t="str">
        <f aca="false">IF($A2737="","",U2737-W2737)</f>
        <v/>
      </c>
      <c r="Y2737" s="26" t="str">
        <f aca="false">IF($A2737="","",U2737-W2737-M2737)</f>
        <v/>
      </c>
      <c r="AB2737" s="27" t="str">
        <f aca="false">IF($A2737="","",IF($AK2737=1,'كشف المطالبة'!$D$5,'كشف المطالبة'!$D$6)*100)</f>
        <v/>
      </c>
      <c r="AK2737" s="28" t="str">
        <f aca="false">IF($A2737="","",IF(OR($Q2737=TRUE(),$Q2737="TRUE"),1,0))</f>
        <v/>
      </c>
      <c r="AL2737" s="28" t="str">
        <f aca="false">IF($N2737="","",IF(MATCH($N2737,$N$2:$N$3001,0)=ROWS($N$2:$N2737),$N2737,""))</f>
        <v/>
      </c>
    </row>
    <row r="2738" customFormat="false" ht="15" hidden="false" customHeight="false" outlineLevel="0" collapsed="false">
      <c r="E2738" s="25"/>
      <c r="M2738" s="26" t="str">
        <f aca="false">IF($A2738="","",$L2738*$U2738/100)</f>
        <v/>
      </c>
      <c r="W2738" s="26" t="str">
        <f aca="false">IF($A2738="","",U2738*AB2738/100)</f>
        <v/>
      </c>
      <c r="X2738" s="26" t="str">
        <f aca="false">IF($A2738="","",U2738-W2738)</f>
        <v/>
      </c>
      <c r="Y2738" s="26" t="str">
        <f aca="false">IF($A2738="","",U2738-W2738-M2738)</f>
        <v/>
      </c>
      <c r="AB2738" s="27" t="str">
        <f aca="false">IF($A2738="","",IF($AK2738=1,'كشف المطالبة'!$D$5,'كشف المطالبة'!$D$6)*100)</f>
        <v/>
      </c>
      <c r="AK2738" s="28" t="str">
        <f aca="false">IF($A2738="","",IF(OR($Q2738=TRUE(),$Q2738="TRUE"),1,0))</f>
        <v/>
      </c>
      <c r="AL2738" s="28" t="str">
        <f aca="false">IF($N2738="","",IF(MATCH($N2738,$N$2:$N$3001,0)=ROWS($N$2:$N2738),$N2738,""))</f>
        <v/>
      </c>
    </row>
    <row r="2739" customFormat="false" ht="15" hidden="false" customHeight="false" outlineLevel="0" collapsed="false">
      <c r="E2739" s="25"/>
      <c r="M2739" s="26" t="str">
        <f aca="false">IF($A2739="","",$L2739*$U2739/100)</f>
        <v/>
      </c>
      <c r="W2739" s="26" t="str">
        <f aca="false">IF($A2739="","",U2739*AB2739/100)</f>
        <v/>
      </c>
      <c r="X2739" s="26" t="str">
        <f aca="false">IF($A2739="","",U2739-W2739)</f>
        <v/>
      </c>
      <c r="Y2739" s="26" t="str">
        <f aca="false">IF($A2739="","",U2739-W2739-M2739)</f>
        <v/>
      </c>
      <c r="AB2739" s="27" t="str">
        <f aca="false">IF($A2739="","",IF($AK2739=1,'كشف المطالبة'!$D$5,'كشف المطالبة'!$D$6)*100)</f>
        <v/>
      </c>
      <c r="AK2739" s="28" t="str">
        <f aca="false">IF($A2739="","",IF(OR($Q2739=TRUE(),$Q2739="TRUE"),1,0))</f>
        <v/>
      </c>
      <c r="AL2739" s="28" t="str">
        <f aca="false">IF($N2739="","",IF(MATCH($N2739,$N$2:$N$3001,0)=ROWS($N$2:$N2739),$N2739,""))</f>
        <v/>
      </c>
    </row>
    <row r="2740" customFormat="false" ht="15" hidden="false" customHeight="false" outlineLevel="0" collapsed="false">
      <c r="E2740" s="25"/>
      <c r="M2740" s="26" t="str">
        <f aca="false">IF($A2740="","",$L2740*$U2740/100)</f>
        <v/>
      </c>
      <c r="W2740" s="26" t="str">
        <f aca="false">IF($A2740="","",U2740*AB2740/100)</f>
        <v/>
      </c>
      <c r="X2740" s="26" t="str">
        <f aca="false">IF($A2740="","",U2740-W2740)</f>
        <v/>
      </c>
      <c r="Y2740" s="26" t="str">
        <f aca="false">IF($A2740="","",U2740-W2740-M2740)</f>
        <v/>
      </c>
      <c r="AB2740" s="27" t="str">
        <f aca="false">IF($A2740="","",IF($AK2740=1,'كشف المطالبة'!$D$5,'كشف المطالبة'!$D$6)*100)</f>
        <v/>
      </c>
      <c r="AK2740" s="28" t="str">
        <f aca="false">IF($A2740="","",IF(OR($Q2740=TRUE(),$Q2740="TRUE"),1,0))</f>
        <v/>
      </c>
      <c r="AL2740" s="28" t="str">
        <f aca="false">IF($N2740="","",IF(MATCH($N2740,$N$2:$N$3001,0)=ROWS($N$2:$N2740),$N2740,""))</f>
        <v/>
      </c>
    </row>
    <row r="2741" customFormat="false" ht="15" hidden="false" customHeight="false" outlineLevel="0" collapsed="false">
      <c r="E2741" s="25"/>
      <c r="M2741" s="26" t="str">
        <f aca="false">IF($A2741="","",$L2741*$U2741/100)</f>
        <v/>
      </c>
      <c r="W2741" s="26" t="str">
        <f aca="false">IF($A2741="","",U2741*AB2741/100)</f>
        <v/>
      </c>
      <c r="X2741" s="26" t="str">
        <f aca="false">IF($A2741="","",U2741-W2741)</f>
        <v/>
      </c>
      <c r="Y2741" s="26" t="str">
        <f aca="false">IF($A2741="","",U2741-W2741-M2741)</f>
        <v/>
      </c>
      <c r="AB2741" s="27" t="str">
        <f aca="false">IF($A2741="","",IF($AK2741=1,'كشف المطالبة'!$D$5,'كشف المطالبة'!$D$6)*100)</f>
        <v/>
      </c>
      <c r="AK2741" s="28" t="str">
        <f aca="false">IF($A2741="","",IF(OR($Q2741=TRUE(),$Q2741="TRUE"),1,0))</f>
        <v/>
      </c>
      <c r="AL2741" s="28" t="str">
        <f aca="false">IF($N2741="","",IF(MATCH($N2741,$N$2:$N$3001,0)=ROWS($N$2:$N2741),$N2741,""))</f>
        <v/>
      </c>
    </row>
    <row r="2742" customFormat="false" ht="15" hidden="false" customHeight="false" outlineLevel="0" collapsed="false">
      <c r="E2742" s="25"/>
      <c r="M2742" s="26" t="str">
        <f aca="false">IF($A2742="","",$L2742*$U2742/100)</f>
        <v/>
      </c>
      <c r="W2742" s="26" t="str">
        <f aca="false">IF($A2742="","",U2742*AB2742/100)</f>
        <v/>
      </c>
      <c r="X2742" s="26" t="str">
        <f aca="false">IF($A2742="","",U2742-W2742)</f>
        <v/>
      </c>
      <c r="Y2742" s="26" t="str">
        <f aca="false">IF($A2742="","",U2742-W2742-M2742)</f>
        <v/>
      </c>
      <c r="AB2742" s="27" t="str">
        <f aca="false">IF($A2742="","",IF($AK2742=1,'كشف المطالبة'!$D$5,'كشف المطالبة'!$D$6)*100)</f>
        <v/>
      </c>
      <c r="AK2742" s="28" t="str">
        <f aca="false">IF($A2742="","",IF(OR($Q2742=TRUE(),$Q2742="TRUE"),1,0))</f>
        <v/>
      </c>
      <c r="AL2742" s="28" t="str">
        <f aca="false">IF($N2742="","",IF(MATCH($N2742,$N$2:$N$3001,0)=ROWS($N$2:$N2742),$N2742,""))</f>
        <v/>
      </c>
    </row>
    <row r="2743" customFormat="false" ht="15" hidden="false" customHeight="false" outlineLevel="0" collapsed="false">
      <c r="E2743" s="25"/>
      <c r="M2743" s="26" t="str">
        <f aca="false">IF($A2743="","",$L2743*$U2743/100)</f>
        <v/>
      </c>
      <c r="W2743" s="26" t="str">
        <f aca="false">IF($A2743="","",U2743*AB2743/100)</f>
        <v/>
      </c>
      <c r="X2743" s="26" t="str">
        <f aca="false">IF($A2743="","",U2743-W2743)</f>
        <v/>
      </c>
      <c r="Y2743" s="26" t="str">
        <f aca="false">IF($A2743="","",U2743-W2743-M2743)</f>
        <v/>
      </c>
      <c r="AB2743" s="27" t="str">
        <f aca="false">IF($A2743="","",IF($AK2743=1,'كشف المطالبة'!$D$5,'كشف المطالبة'!$D$6)*100)</f>
        <v/>
      </c>
      <c r="AK2743" s="28" t="str">
        <f aca="false">IF($A2743="","",IF(OR($Q2743=TRUE(),$Q2743="TRUE"),1,0))</f>
        <v/>
      </c>
      <c r="AL2743" s="28" t="str">
        <f aca="false">IF($N2743="","",IF(MATCH($N2743,$N$2:$N$3001,0)=ROWS($N$2:$N2743),$N2743,""))</f>
        <v/>
      </c>
    </row>
    <row r="2744" customFormat="false" ht="15" hidden="false" customHeight="false" outlineLevel="0" collapsed="false">
      <c r="E2744" s="25"/>
      <c r="M2744" s="26" t="str">
        <f aca="false">IF($A2744="","",$L2744*$U2744/100)</f>
        <v/>
      </c>
      <c r="W2744" s="26" t="str">
        <f aca="false">IF($A2744="","",U2744*AB2744/100)</f>
        <v/>
      </c>
      <c r="X2744" s="26" t="str">
        <f aca="false">IF($A2744="","",U2744-W2744)</f>
        <v/>
      </c>
      <c r="Y2744" s="26" t="str">
        <f aca="false">IF($A2744="","",U2744-W2744-M2744)</f>
        <v/>
      </c>
      <c r="AB2744" s="27" t="str">
        <f aca="false">IF($A2744="","",IF($AK2744=1,'كشف المطالبة'!$D$5,'كشف المطالبة'!$D$6)*100)</f>
        <v/>
      </c>
      <c r="AK2744" s="28" t="str">
        <f aca="false">IF($A2744="","",IF(OR($Q2744=TRUE(),$Q2744="TRUE"),1,0))</f>
        <v/>
      </c>
      <c r="AL2744" s="28" t="str">
        <f aca="false">IF($N2744="","",IF(MATCH($N2744,$N$2:$N$3001,0)=ROWS($N$2:$N2744),$N2744,""))</f>
        <v/>
      </c>
    </row>
    <row r="2745" customFormat="false" ht="15" hidden="false" customHeight="false" outlineLevel="0" collapsed="false">
      <c r="E2745" s="25"/>
      <c r="M2745" s="26" t="str">
        <f aca="false">IF($A2745="","",$L2745*$U2745/100)</f>
        <v/>
      </c>
      <c r="W2745" s="26" t="str">
        <f aca="false">IF($A2745="","",U2745*AB2745/100)</f>
        <v/>
      </c>
      <c r="X2745" s="26" t="str">
        <f aca="false">IF($A2745="","",U2745-W2745)</f>
        <v/>
      </c>
      <c r="Y2745" s="26" t="str">
        <f aca="false">IF($A2745="","",U2745-W2745-M2745)</f>
        <v/>
      </c>
      <c r="AB2745" s="27" t="str">
        <f aca="false">IF($A2745="","",IF($AK2745=1,'كشف المطالبة'!$D$5,'كشف المطالبة'!$D$6)*100)</f>
        <v/>
      </c>
      <c r="AK2745" s="28" t="str">
        <f aca="false">IF($A2745="","",IF(OR($Q2745=TRUE(),$Q2745="TRUE"),1,0))</f>
        <v/>
      </c>
      <c r="AL2745" s="28" t="str">
        <f aca="false">IF($N2745="","",IF(MATCH($N2745,$N$2:$N$3001,0)=ROWS($N$2:$N2745),$N2745,""))</f>
        <v/>
      </c>
    </row>
    <row r="2746" customFormat="false" ht="15" hidden="false" customHeight="false" outlineLevel="0" collapsed="false">
      <c r="E2746" s="25"/>
      <c r="M2746" s="26" t="str">
        <f aca="false">IF($A2746="","",$L2746*$U2746/100)</f>
        <v/>
      </c>
      <c r="W2746" s="26" t="str">
        <f aca="false">IF($A2746="","",U2746*AB2746/100)</f>
        <v/>
      </c>
      <c r="X2746" s="26" t="str">
        <f aca="false">IF($A2746="","",U2746-W2746)</f>
        <v/>
      </c>
      <c r="Y2746" s="26" t="str">
        <f aca="false">IF($A2746="","",U2746-W2746-M2746)</f>
        <v/>
      </c>
      <c r="AB2746" s="27" t="str">
        <f aca="false">IF($A2746="","",IF($AK2746=1,'كشف المطالبة'!$D$5,'كشف المطالبة'!$D$6)*100)</f>
        <v/>
      </c>
      <c r="AK2746" s="28" t="str">
        <f aca="false">IF($A2746="","",IF(OR($Q2746=TRUE(),$Q2746="TRUE"),1,0))</f>
        <v/>
      </c>
      <c r="AL2746" s="28" t="str">
        <f aca="false">IF($N2746="","",IF(MATCH($N2746,$N$2:$N$3001,0)=ROWS($N$2:$N2746),$N2746,""))</f>
        <v/>
      </c>
    </row>
    <row r="2747" customFormat="false" ht="15" hidden="false" customHeight="false" outlineLevel="0" collapsed="false">
      <c r="E2747" s="25"/>
      <c r="M2747" s="26" t="str">
        <f aca="false">IF($A2747="","",$L2747*$U2747/100)</f>
        <v/>
      </c>
      <c r="W2747" s="26" t="str">
        <f aca="false">IF($A2747="","",U2747*AB2747/100)</f>
        <v/>
      </c>
      <c r="X2747" s="26" t="str">
        <f aca="false">IF($A2747="","",U2747-W2747)</f>
        <v/>
      </c>
      <c r="Y2747" s="26" t="str">
        <f aca="false">IF($A2747="","",U2747-W2747-M2747)</f>
        <v/>
      </c>
      <c r="AB2747" s="27" t="str">
        <f aca="false">IF($A2747="","",IF($AK2747=1,'كشف المطالبة'!$D$5,'كشف المطالبة'!$D$6)*100)</f>
        <v/>
      </c>
      <c r="AK2747" s="28" t="str">
        <f aca="false">IF($A2747="","",IF(OR($Q2747=TRUE(),$Q2747="TRUE"),1,0))</f>
        <v/>
      </c>
      <c r="AL2747" s="28" t="str">
        <f aca="false">IF($N2747="","",IF(MATCH($N2747,$N$2:$N$3001,0)=ROWS($N$2:$N2747),$N2747,""))</f>
        <v/>
      </c>
    </row>
    <row r="2748" customFormat="false" ht="15" hidden="false" customHeight="false" outlineLevel="0" collapsed="false">
      <c r="E2748" s="25"/>
      <c r="M2748" s="26" t="str">
        <f aca="false">IF($A2748="","",$L2748*$U2748/100)</f>
        <v/>
      </c>
      <c r="W2748" s="26" t="str">
        <f aca="false">IF($A2748="","",U2748*AB2748/100)</f>
        <v/>
      </c>
      <c r="X2748" s="26" t="str">
        <f aca="false">IF($A2748="","",U2748-W2748)</f>
        <v/>
      </c>
      <c r="Y2748" s="26" t="str">
        <f aca="false">IF($A2748="","",U2748-W2748-M2748)</f>
        <v/>
      </c>
      <c r="AB2748" s="27" t="str">
        <f aca="false">IF($A2748="","",IF($AK2748=1,'كشف المطالبة'!$D$5,'كشف المطالبة'!$D$6)*100)</f>
        <v/>
      </c>
      <c r="AK2748" s="28" t="str">
        <f aca="false">IF($A2748="","",IF(OR($Q2748=TRUE(),$Q2748="TRUE"),1,0))</f>
        <v/>
      </c>
      <c r="AL2748" s="28" t="str">
        <f aca="false">IF($N2748="","",IF(MATCH($N2748,$N$2:$N$3001,0)=ROWS($N$2:$N2748),$N2748,""))</f>
        <v/>
      </c>
    </row>
    <row r="2749" customFormat="false" ht="15" hidden="false" customHeight="false" outlineLevel="0" collapsed="false">
      <c r="E2749" s="25"/>
      <c r="M2749" s="26" t="str">
        <f aca="false">IF($A2749="","",$L2749*$U2749/100)</f>
        <v/>
      </c>
      <c r="W2749" s="26" t="str">
        <f aca="false">IF($A2749="","",U2749*AB2749/100)</f>
        <v/>
      </c>
      <c r="X2749" s="26" t="str">
        <f aca="false">IF($A2749="","",U2749-W2749)</f>
        <v/>
      </c>
      <c r="Y2749" s="26" t="str">
        <f aca="false">IF($A2749="","",U2749-W2749-M2749)</f>
        <v/>
      </c>
      <c r="AB2749" s="27" t="str">
        <f aca="false">IF($A2749="","",IF($AK2749=1,'كشف المطالبة'!$D$5,'كشف المطالبة'!$D$6)*100)</f>
        <v/>
      </c>
      <c r="AK2749" s="28" t="str">
        <f aca="false">IF($A2749="","",IF(OR($Q2749=TRUE(),$Q2749="TRUE"),1,0))</f>
        <v/>
      </c>
      <c r="AL2749" s="28" t="str">
        <f aca="false">IF($N2749="","",IF(MATCH($N2749,$N$2:$N$3001,0)=ROWS($N$2:$N2749),$N2749,""))</f>
        <v/>
      </c>
    </row>
    <row r="2750" customFormat="false" ht="15" hidden="false" customHeight="false" outlineLevel="0" collapsed="false">
      <c r="E2750" s="25"/>
      <c r="M2750" s="26" t="str">
        <f aca="false">IF($A2750="","",$L2750*$U2750/100)</f>
        <v/>
      </c>
      <c r="W2750" s="26" t="str">
        <f aca="false">IF($A2750="","",U2750*AB2750/100)</f>
        <v/>
      </c>
      <c r="X2750" s="26" t="str">
        <f aca="false">IF($A2750="","",U2750-W2750)</f>
        <v/>
      </c>
      <c r="Y2750" s="26" t="str">
        <f aca="false">IF($A2750="","",U2750-W2750-M2750)</f>
        <v/>
      </c>
      <c r="AB2750" s="27" t="str">
        <f aca="false">IF($A2750="","",IF($AK2750=1,'كشف المطالبة'!$D$5,'كشف المطالبة'!$D$6)*100)</f>
        <v/>
      </c>
      <c r="AK2750" s="28" t="str">
        <f aca="false">IF($A2750="","",IF(OR($Q2750=TRUE(),$Q2750="TRUE"),1,0))</f>
        <v/>
      </c>
      <c r="AL2750" s="28" t="str">
        <f aca="false">IF($N2750="","",IF(MATCH($N2750,$N$2:$N$3001,0)=ROWS($N$2:$N2750),$N2750,""))</f>
        <v/>
      </c>
    </row>
    <row r="2751" customFormat="false" ht="15" hidden="false" customHeight="false" outlineLevel="0" collapsed="false">
      <c r="E2751" s="25"/>
      <c r="M2751" s="26" t="str">
        <f aca="false">IF($A2751="","",$L2751*$U2751/100)</f>
        <v/>
      </c>
      <c r="W2751" s="26" t="str">
        <f aca="false">IF($A2751="","",U2751*AB2751/100)</f>
        <v/>
      </c>
      <c r="X2751" s="26" t="str">
        <f aca="false">IF($A2751="","",U2751-W2751)</f>
        <v/>
      </c>
      <c r="Y2751" s="26" t="str">
        <f aca="false">IF($A2751="","",U2751-W2751-M2751)</f>
        <v/>
      </c>
      <c r="AB2751" s="27" t="str">
        <f aca="false">IF($A2751="","",IF($AK2751=1,'كشف المطالبة'!$D$5,'كشف المطالبة'!$D$6)*100)</f>
        <v/>
      </c>
      <c r="AK2751" s="28" t="str">
        <f aca="false">IF($A2751="","",IF(OR($Q2751=TRUE(),$Q2751="TRUE"),1,0))</f>
        <v/>
      </c>
      <c r="AL2751" s="28" t="str">
        <f aca="false">IF($N2751="","",IF(MATCH($N2751,$N$2:$N$3001,0)=ROWS($N$2:$N2751),$N2751,""))</f>
        <v/>
      </c>
    </row>
    <row r="2752" customFormat="false" ht="15" hidden="false" customHeight="false" outlineLevel="0" collapsed="false">
      <c r="E2752" s="25"/>
      <c r="M2752" s="26" t="str">
        <f aca="false">IF($A2752="","",$L2752*$U2752/100)</f>
        <v/>
      </c>
      <c r="W2752" s="26" t="str">
        <f aca="false">IF($A2752="","",U2752*AB2752/100)</f>
        <v/>
      </c>
      <c r="X2752" s="26" t="str">
        <f aca="false">IF($A2752="","",U2752-W2752)</f>
        <v/>
      </c>
      <c r="Y2752" s="26" t="str">
        <f aca="false">IF($A2752="","",U2752-W2752-M2752)</f>
        <v/>
      </c>
      <c r="AB2752" s="27" t="str">
        <f aca="false">IF($A2752="","",IF($AK2752=1,'كشف المطالبة'!$D$5,'كشف المطالبة'!$D$6)*100)</f>
        <v/>
      </c>
      <c r="AK2752" s="28" t="str">
        <f aca="false">IF($A2752="","",IF(OR($Q2752=TRUE(),$Q2752="TRUE"),1,0))</f>
        <v/>
      </c>
      <c r="AL2752" s="28" t="str">
        <f aca="false">IF($N2752="","",IF(MATCH($N2752,$N$2:$N$3001,0)=ROWS($N$2:$N2752),$N2752,""))</f>
        <v/>
      </c>
    </row>
    <row r="2753" customFormat="false" ht="15" hidden="false" customHeight="false" outlineLevel="0" collapsed="false">
      <c r="E2753" s="25"/>
      <c r="M2753" s="26" t="str">
        <f aca="false">IF($A2753="","",$L2753*$U2753/100)</f>
        <v/>
      </c>
      <c r="W2753" s="26" t="str">
        <f aca="false">IF($A2753="","",U2753*AB2753/100)</f>
        <v/>
      </c>
      <c r="X2753" s="26" t="str">
        <f aca="false">IF($A2753="","",U2753-W2753)</f>
        <v/>
      </c>
      <c r="Y2753" s="26" t="str">
        <f aca="false">IF($A2753="","",U2753-W2753-M2753)</f>
        <v/>
      </c>
      <c r="AB2753" s="27" t="str">
        <f aca="false">IF($A2753="","",IF($AK2753=1,'كشف المطالبة'!$D$5,'كشف المطالبة'!$D$6)*100)</f>
        <v/>
      </c>
      <c r="AK2753" s="28" t="str">
        <f aca="false">IF($A2753="","",IF(OR($Q2753=TRUE(),$Q2753="TRUE"),1,0))</f>
        <v/>
      </c>
      <c r="AL2753" s="28" t="str">
        <f aca="false">IF($N2753="","",IF(MATCH($N2753,$N$2:$N$3001,0)=ROWS($N$2:$N2753),$N2753,""))</f>
        <v/>
      </c>
    </row>
    <row r="2754" customFormat="false" ht="15" hidden="false" customHeight="false" outlineLevel="0" collapsed="false">
      <c r="E2754" s="25"/>
      <c r="M2754" s="26" t="str">
        <f aca="false">IF($A2754="","",$L2754*$U2754/100)</f>
        <v/>
      </c>
      <c r="W2754" s="26" t="str">
        <f aca="false">IF($A2754="","",U2754*AB2754/100)</f>
        <v/>
      </c>
      <c r="X2754" s="26" t="str">
        <f aca="false">IF($A2754="","",U2754-W2754)</f>
        <v/>
      </c>
      <c r="Y2754" s="26" t="str">
        <f aca="false">IF($A2754="","",U2754-W2754-M2754)</f>
        <v/>
      </c>
      <c r="AB2754" s="27" t="str">
        <f aca="false">IF($A2754="","",IF($AK2754=1,'كشف المطالبة'!$D$5,'كشف المطالبة'!$D$6)*100)</f>
        <v/>
      </c>
      <c r="AK2754" s="28" t="str">
        <f aca="false">IF($A2754="","",IF(OR($Q2754=TRUE(),$Q2754="TRUE"),1,0))</f>
        <v/>
      </c>
      <c r="AL2754" s="28" t="str">
        <f aca="false">IF($N2754="","",IF(MATCH($N2754,$N$2:$N$3001,0)=ROWS($N$2:$N2754),$N2754,""))</f>
        <v/>
      </c>
    </row>
    <row r="2755" customFormat="false" ht="15" hidden="false" customHeight="false" outlineLevel="0" collapsed="false">
      <c r="E2755" s="25"/>
      <c r="M2755" s="26" t="str">
        <f aca="false">IF($A2755="","",$L2755*$U2755/100)</f>
        <v/>
      </c>
      <c r="W2755" s="26" t="str">
        <f aca="false">IF($A2755="","",U2755*AB2755/100)</f>
        <v/>
      </c>
      <c r="X2755" s="26" t="str">
        <f aca="false">IF($A2755="","",U2755-W2755)</f>
        <v/>
      </c>
      <c r="Y2755" s="26" t="str">
        <f aca="false">IF($A2755="","",U2755-W2755-M2755)</f>
        <v/>
      </c>
      <c r="AB2755" s="27" t="str">
        <f aca="false">IF($A2755="","",IF($AK2755=1,'كشف المطالبة'!$D$5,'كشف المطالبة'!$D$6)*100)</f>
        <v/>
      </c>
      <c r="AK2755" s="28" t="str">
        <f aca="false">IF($A2755="","",IF(OR($Q2755=TRUE(),$Q2755="TRUE"),1,0))</f>
        <v/>
      </c>
      <c r="AL2755" s="28" t="str">
        <f aca="false">IF($N2755="","",IF(MATCH($N2755,$N$2:$N$3001,0)=ROWS($N$2:$N2755),$N2755,""))</f>
        <v/>
      </c>
    </row>
    <row r="2756" customFormat="false" ht="15" hidden="false" customHeight="false" outlineLevel="0" collapsed="false">
      <c r="E2756" s="25"/>
      <c r="M2756" s="26" t="str">
        <f aca="false">IF($A2756="","",$L2756*$U2756/100)</f>
        <v/>
      </c>
      <c r="W2756" s="26" t="str">
        <f aca="false">IF($A2756="","",U2756*AB2756/100)</f>
        <v/>
      </c>
      <c r="X2756" s="26" t="str">
        <f aca="false">IF($A2756="","",U2756-W2756)</f>
        <v/>
      </c>
      <c r="Y2756" s="26" t="str">
        <f aca="false">IF($A2756="","",U2756-W2756-M2756)</f>
        <v/>
      </c>
      <c r="AB2756" s="27" t="str">
        <f aca="false">IF($A2756="","",IF($AK2756=1,'كشف المطالبة'!$D$5,'كشف المطالبة'!$D$6)*100)</f>
        <v/>
      </c>
      <c r="AK2756" s="28" t="str">
        <f aca="false">IF($A2756="","",IF(OR($Q2756=TRUE(),$Q2756="TRUE"),1,0))</f>
        <v/>
      </c>
      <c r="AL2756" s="28" t="str">
        <f aca="false">IF($N2756="","",IF(MATCH($N2756,$N$2:$N$3001,0)=ROWS($N$2:$N2756),$N2756,""))</f>
        <v/>
      </c>
    </row>
    <row r="2757" customFormat="false" ht="15" hidden="false" customHeight="false" outlineLevel="0" collapsed="false">
      <c r="E2757" s="25"/>
      <c r="M2757" s="26" t="str">
        <f aca="false">IF($A2757="","",$L2757*$U2757/100)</f>
        <v/>
      </c>
      <c r="W2757" s="26" t="str">
        <f aca="false">IF($A2757="","",U2757*AB2757/100)</f>
        <v/>
      </c>
      <c r="X2757" s="26" t="str">
        <f aca="false">IF($A2757="","",U2757-W2757)</f>
        <v/>
      </c>
      <c r="Y2757" s="26" t="str">
        <f aca="false">IF($A2757="","",U2757-W2757-M2757)</f>
        <v/>
      </c>
      <c r="AB2757" s="27" t="str">
        <f aca="false">IF($A2757="","",IF($AK2757=1,'كشف المطالبة'!$D$5,'كشف المطالبة'!$D$6)*100)</f>
        <v/>
      </c>
      <c r="AK2757" s="28" t="str">
        <f aca="false">IF($A2757="","",IF(OR($Q2757=TRUE(),$Q2757="TRUE"),1,0))</f>
        <v/>
      </c>
      <c r="AL2757" s="28" t="str">
        <f aca="false">IF($N2757="","",IF(MATCH($N2757,$N$2:$N$3001,0)=ROWS($N$2:$N2757),$N2757,""))</f>
        <v/>
      </c>
    </row>
    <row r="2758" customFormat="false" ht="15" hidden="false" customHeight="false" outlineLevel="0" collapsed="false">
      <c r="E2758" s="25"/>
      <c r="M2758" s="26" t="str">
        <f aca="false">IF($A2758="","",$L2758*$U2758/100)</f>
        <v/>
      </c>
      <c r="W2758" s="26" t="str">
        <f aca="false">IF($A2758="","",U2758*AB2758/100)</f>
        <v/>
      </c>
      <c r="X2758" s="26" t="str">
        <f aca="false">IF($A2758="","",U2758-W2758)</f>
        <v/>
      </c>
      <c r="Y2758" s="26" t="str">
        <f aca="false">IF($A2758="","",U2758-W2758-M2758)</f>
        <v/>
      </c>
      <c r="AB2758" s="27" t="str">
        <f aca="false">IF($A2758="","",IF($AK2758=1,'كشف المطالبة'!$D$5,'كشف المطالبة'!$D$6)*100)</f>
        <v/>
      </c>
      <c r="AK2758" s="28" t="str">
        <f aca="false">IF($A2758="","",IF(OR($Q2758=TRUE(),$Q2758="TRUE"),1,0))</f>
        <v/>
      </c>
      <c r="AL2758" s="28" t="str">
        <f aca="false">IF($N2758="","",IF(MATCH($N2758,$N$2:$N$3001,0)=ROWS($N$2:$N2758),$N2758,""))</f>
        <v/>
      </c>
    </row>
    <row r="2759" customFormat="false" ht="15" hidden="false" customHeight="false" outlineLevel="0" collapsed="false">
      <c r="E2759" s="25"/>
      <c r="M2759" s="26" t="str">
        <f aca="false">IF($A2759="","",$L2759*$U2759/100)</f>
        <v/>
      </c>
      <c r="W2759" s="26" t="str">
        <f aca="false">IF($A2759="","",U2759*AB2759/100)</f>
        <v/>
      </c>
      <c r="X2759" s="26" t="str">
        <f aca="false">IF($A2759="","",U2759-W2759)</f>
        <v/>
      </c>
      <c r="Y2759" s="26" t="str">
        <f aca="false">IF($A2759="","",U2759-W2759-M2759)</f>
        <v/>
      </c>
      <c r="AB2759" s="27" t="str">
        <f aca="false">IF($A2759="","",IF($AK2759=1,'كشف المطالبة'!$D$5,'كشف المطالبة'!$D$6)*100)</f>
        <v/>
      </c>
      <c r="AK2759" s="28" t="str">
        <f aca="false">IF($A2759="","",IF(OR($Q2759=TRUE(),$Q2759="TRUE"),1,0))</f>
        <v/>
      </c>
      <c r="AL2759" s="28" t="str">
        <f aca="false">IF($N2759="","",IF(MATCH($N2759,$N$2:$N$3001,0)=ROWS($N$2:$N2759),$N2759,""))</f>
        <v/>
      </c>
    </row>
    <row r="2760" customFormat="false" ht="15" hidden="false" customHeight="false" outlineLevel="0" collapsed="false">
      <c r="E2760" s="25"/>
      <c r="M2760" s="26" t="str">
        <f aca="false">IF($A2760="","",$L2760*$U2760/100)</f>
        <v/>
      </c>
      <c r="W2760" s="26" t="str">
        <f aca="false">IF($A2760="","",U2760*AB2760/100)</f>
        <v/>
      </c>
      <c r="X2760" s="26" t="str">
        <f aca="false">IF($A2760="","",U2760-W2760)</f>
        <v/>
      </c>
      <c r="Y2760" s="26" t="str">
        <f aca="false">IF($A2760="","",U2760-W2760-M2760)</f>
        <v/>
      </c>
      <c r="AB2760" s="27" t="str">
        <f aca="false">IF($A2760="","",IF($AK2760=1,'كشف المطالبة'!$D$5,'كشف المطالبة'!$D$6)*100)</f>
        <v/>
      </c>
      <c r="AK2760" s="28" t="str">
        <f aca="false">IF($A2760="","",IF(OR($Q2760=TRUE(),$Q2760="TRUE"),1,0))</f>
        <v/>
      </c>
      <c r="AL2760" s="28" t="str">
        <f aca="false">IF($N2760="","",IF(MATCH($N2760,$N$2:$N$3001,0)=ROWS($N$2:$N2760),$N2760,""))</f>
        <v/>
      </c>
    </row>
    <row r="2761" customFormat="false" ht="15" hidden="false" customHeight="false" outlineLevel="0" collapsed="false">
      <c r="E2761" s="25"/>
      <c r="M2761" s="26" t="str">
        <f aca="false">IF($A2761="","",$L2761*$U2761/100)</f>
        <v/>
      </c>
      <c r="W2761" s="26" t="str">
        <f aca="false">IF($A2761="","",U2761*AB2761/100)</f>
        <v/>
      </c>
      <c r="X2761" s="26" t="str">
        <f aca="false">IF($A2761="","",U2761-W2761)</f>
        <v/>
      </c>
      <c r="Y2761" s="26" t="str">
        <f aca="false">IF($A2761="","",U2761-W2761-M2761)</f>
        <v/>
      </c>
      <c r="AB2761" s="27" t="str">
        <f aca="false">IF($A2761="","",IF($AK2761=1,'كشف المطالبة'!$D$5,'كشف المطالبة'!$D$6)*100)</f>
        <v/>
      </c>
      <c r="AK2761" s="28" t="str">
        <f aca="false">IF($A2761="","",IF(OR($Q2761=TRUE(),$Q2761="TRUE"),1,0))</f>
        <v/>
      </c>
      <c r="AL2761" s="28" t="str">
        <f aca="false">IF($N2761="","",IF(MATCH($N2761,$N$2:$N$3001,0)=ROWS($N$2:$N2761),$N2761,""))</f>
        <v/>
      </c>
    </row>
    <row r="2762" customFormat="false" ht="15" hidden="false" customHeight="false" outlineLevel="0" collapsed="false">
      <c r="E2762" s="25"/>
      <c r="M2762" s="26" t="str">
        <f aca="false">IF($A2762="","",$L2762*$U2762/100)</f>
        <v/>
      </c>
      <c r="W2762" s="26" t="str">
        <f aca="false">IF($A2762="","",U2762*AB2762/100)</f>
        <v/>
      </c>
      <c r="X2762" s="26" t="str">
        <f aca="false">IF($A2762="","",U2762-W2762)</f>
        <v/>
      </c>
      <c r="Y2762" s="26" t="str">
        <f aca="false">IF($A2762="","",U2762-W2762-M2762)</f>
        <v/>
      </c>
      <c r="AB2762" s="27" t="str">
        <f aca="false">IF($A2762="","",IF($AK2762=1,'كشف المطالبة'!$D$5,'كشف المطالبة'!$D$6)*100)</f>
        <v/>
      </c>
      <c r="AK2762" s="28" t="str">
        <f aca="false">IF($A2762="","",IF(OR($Q2762=TRUE(),$Q2762="TRUE"),1,0))</f>
        <v/>
      </c>
      <c r="AL2762" s="28" t="str">
        <f aca="false">IF($N2762="","",IF(MATCH($N2762,$N$2:$N$3001,0)=ROWS($N$2:$N2762),$N2762,""))</f>
        <v/>
      </c>
    </row>
    <row r="2763" customFormat="false" ht="15" hidden="false" customHeight="false" outlineLevel="0" collapsed="false">
      <c r="E2763" s="25"/>
      <c r="M2763" s="26" t="str">
        <f aca="false">IF($A2763="","",$L2763*$U2763/100)</f>
        <v/>
      </c>
      <c r="W2763" s="26" t="str">
        <f aca="false">IF($A2763="","",U2763*AB2763/100)</f>
        <v/>
      </c>
      <c r="X2763" s="26" t="str">
        <f aca="false">IF($A2763="","",U2763-W2763)</f>
        <v/>
      </c>
      <c r="Y2763" s="26" t="str">
        <f aca="false">IF($A2763="","",U2763-W2763-M2763)</f>
        <v/>
      </c>
      <c r="AB2763" s="27" t="str">
        <f aca="false">IF($A2763="","",IF($AK2763=1,'كشف المطالبة'!$D$5,'كشف المطالبة'!$D$6)*100)</f>
        <v/>
      </c>
      <c r="AK2763" s="28" t="str">
        <f aca="false">IF($A2763="","",IF(OR($Q2763=TRUE(),$Q2763="TRUE"),1,0))</f>
        <v/>
      </c>
      <c r="AL2763" s="28" t="str">
        <f aca="false">IF($N2763="","",IF(MATCH($N2763,$N$2:$N$3001,0)=ROWS($N$2:$N2763),$N2763,""))</f>
        <v/>
      </c>
    </row>
    <row r="2764" customFormat="false" ht="15" hidden="false" customHeight="false" outlineLevel="0" collapsed="false">
      <c r="E2764" s="25"/>
      <c r="M2764" s="26" t="str">
        <f aca="false">IF($A2764="","",$L2764*$U2764/100)</f>
        <v/>
      </c>
      <c r="W2764" s="26" t="str">
        <f aca="false">IF($A2764="","",U2764*AB2764/100)</f>
        <v/>
      </c>
      <c r="X2764" s="26" t="str">
        <f aca="false">IF($A2764="","",U2764-W2764)</f>
        <v/>
      </c>
      <c r="Y2764" s="26" t="str">
        <f aca="false">IF($A2764="","",U2764-W2764-M2764)</f>
        <v/>
      </c>
      <c r="AB2764" s="27" t="str">
        <f aca="false">IF($A2764="","",IF($AK2764=1,'كشف المطالبة'!$D$5,'كشف المطالبة'!$D$6)*100)</f>
        <v/>
      </c>
      <c r="AK2764" s="28" t="str">
        <f aca="false">IF($A2764="","",IF(OR($Q2764=TRUE(),$Q2764="TRUE"),1,0))</f>
        <v/>
      </c>
      <c r="AL2764" s="28" t="str">
        <f aca="false">IF($N2764="","",IF(MATCH($N2764,$N$2:$N$3001,0)=ROWS($N$2:$N2764),$N2764,""))</f>
        <v/>
      </c>
    </row>
    <row r="2765" customFormat="false" ht="15" hidden="false" customHeight="false" outlineLevel="0" collapsed="false">
      <c r="E2765" s="25"/>
      <c r="M2765" s="26" t="str">
        <f aca="false">IF($A2765="","",$L2765*$U2765/100)</f>
        <v/>
      </c>
      <c r="W2765" s="26" t="str">
        <f aca="false">IF($A2765="","",U2765*AB2765/100)</f>
        <v/>
      </c>
      <c r="X2765" s="26" t="str">
        <f aca="false">IF($A2765="","",U2765-W2765)</f>
        <v/>
      </c>
      <c r="Y2765" s="26" t="str">
        <f aca="false">IF($A2765="","",U2765-W2765-M2765)</f>
        <v/>
      </c>
      <c r="AB2765" s="27" t="str">
        <f aca="false">IF($A2765="","",IF($AK2765=1,'كشف المطالبة'!$D$5,'كشف المطالبة'!$D$6)*100)</f>
        <v/>
      </c>
      <c r="AK2765" s="28" t="str">
        <f aca="false">IF($A2765="","",IF(OR($Q2765=TRUE(),$Q2765="TRUE"),1,0))</f>
        <v/>
      </c>
      <c r="AL2765" s="28" t="str">
        <f aca="false">IF($N2765="","",IF(MATCH($N2765,$N$2:$N$3001,0)=ROWS($N$2:$N2765),$N2765,""))</f>
        <v/>
      </c>
    </row>
    <row r="2766" customFormat="false" ht="15" hidden="false" customHeight="false" outlineLevel="0" collapsed="false">
      <c r="E2766" s="25"/>
      <c r="M2766" s="26" t="str">
        <f aca="false">IF($A2766="","",$L2766*$U2766/100)</f>
        <v/>
      </c>
      <c r="W2766" s="26" t="str">
        <f aca="false">IF($A2766="","",U2766*AB2766/100)</f>
        <v/>
      </c>
      <c r="X2766" s="26" t="str">
        <f aca="false">IF($A2766="","",U2766-W2766)</f>
        <v/>
      </c>
      <c r="Y2766" s="26" t="str">
        <f aca="false">IF($A2766="","",U2766-W2766-M2766)</f>
        <v/>
      </c>
      <c r="AB2766" s="27" t="str">
        <f aca="false">IF($A2766="","",IF($AK2766=1,'كشف المطالبة'!$D$5,'كشف المطالبة'!$D$6)*100)</f>
        <v/>
      </c>
      <c r="AK2766" s="28" t="str">
        <f aca="false">IF($A2766="","",IF(OR($Q2766=TRUE(),$Q2766="TRUE"),1,0))</f>
        <v/>
      </c>
      <c r="AL2766" s="28" t="str">
        <f aca="false">IF($N2766="","",IF(MATCH($N2766,$N$2:$N$3001,0)=ROWS($N$2:$N2766),$N2766,""))</f>
        <v/>
      </c>
    </row>
    <row r="2767" customFormat="false" ht="15" hidden="false" customHeight="false" outlineLevel="0" collapsed="false">
      <c r="E2767" s="25"/>
      <c r="M2767" s="26" t="str">
        <f aca="false">IF($A2767="","",$L2767*$U2767/100)</f>
        <v/>
      </c>
      <c r="W2767" s="26" t="str">
        <f aca="false">IF($A2767="","",U2767*AB2767/100)</f>
        <v/>
      </c>
      <c r="X2767" s="26" t="str">
        <f aca="false">IF($A2767="","",U2767-W2767)</f>
        <v/>
      </c>
      <c r="Y2767" s="26" t="str">
        <f aca="false">IF($A2767="","",U2767-W2767-M2767)</f>
        <v/>
      </c>
      <c r="AB2767" s="27" t="str">
        <f aca="false">IF($A2767="","",IF($AK2767=1,'كشف المطالبة'!$D$5,'كشف المطالبة'!$D$6)*100)</f>
        <v/>
      </c>
      <c r="AK2767" s="28" t="str">
        <f aca="false">IF($A2767="","",IF(OR($Q2767=TRUE(),$Q2767="TRUE"),1,0))</f>
        <v/>
      </c>
      <c r="AL2767" s="28" t="str">
        <f aca="false">IF($N2767="","",IF(MATCH($N2767,$N$2:$N$3001,0)=ROWS($N$2:$N2767),$N2767,""))</f>
        <v/>
      </c>
    </row>
    <row r="2768" customFormat="false" ht="15" hidden="false" customHeight="false" outlineLevel="0" collapsed="false">
      <c r="E2768" s="25"/>
      <c r="M2768" s="26" t="str">
        <f aca="false">IF($A2768="","",$L2768*$U2768/100)</f>
        <v/>
      </c>
      <c r="W2768" s="26" t="str">
        <f aca="false">IF($A2768="","",U2768*AB2768/100)</f>
        <v/>
      </c>
      <c r="X2768" s="26" t="str">
        <f aca="false">IF($A2768="","",U2768-W2768)</f>
        <v/>
      </c>
      <c r="Y2768" s="26" t="str">
        <f aca="false">IF($A2768="","",U2768-W2768-M2768)</f>
        <v/>
      </c>
      <c r="AB2768" s="27" t="str">
        <f aca="false">IF($A2768="","",IF($AK2768=1,'كشف المطالبة'!$D$5,'كشف المطالبة'!$D$6)*100)</f>
        <v/>
      </c>
      <c r="AK2768" s="28" t="str">
        <f aca="false">IF($A2768="","",IF(OR($Q2768=TRUE(),$Q2768="TRUE"),1,0))</f>
        <v/>
      </c>
      <c r="AL2768" s="28" t="str">
        <f aca="false">IF($N2768="","",IF(MATCH($N2768,$N$2:$N$3001,0)=ROWS($N$2:$N2768),$N2768,""))</f>
        <v/>
      </c>
    </row>
    <row r="2769" customFormat="false" ht="15" hidden="false" customHeight="false" outlineLevel="0" collapsed="false">
      <c r="E2769" s="25"/>
      <c r="M2769" s="26" t="str">
        <f aca="false">IF($A2769="","",$L2769*$U2769/100)</f>
        <v/>
      </c>
      <c r="W2769" s="26" t="str">
        <f aca="false">IF($A2769="","",U2769*AB2769/100)</f>
        <v/>
      </c>
      <c r="X2769" s="26" t="str">
        <f aca="false">IF($A2769="","",U2769-W2769)</f>
        <v/>
      </c>
      <c r="Y2769" s="26" t="str">
        <f aca="false">IF($A2769="","",U2769-W2769-M2769)</f>
        <v/>
      </c>
      <c r="AB2769" s="27" t="str">
        <f aca="false">IF($A2769="","",IF($AK2769=1,'كشف المطالبة'!$D$5,'كشف المطالبة'!$D$6)*100)</f>
        <v/>
      </c>
      <c r="AK2769" s="28" t="str">
        <f aca="false">IF($A2769="","",IF(OR($Q2769=TRUE(),$Q2769="TRUE"),1,0))</f>
        <v/>
      </c>
      <c r="AL2769" s="28" t="str">
        <f aca="false">IF($N2769="","",IF(MATCH($N2769,$N$2:$N$3001,0)=ROWS($N$2:$N2769),$N2769,""))</f>
        <v/>
      </c>
    </row>
    <row r="2770" customFormat="false" ht="15" hidden="false" customHeight="false" outlineLevel="0" collapsed="false">
      <c r="E2770" s="25"/>
      <c r="M2770" s="26" t="str">
        <f aca="false">IF($A2770="","",$L2770*$U2770/100)</f>
        <v/>
      </c>
      <c r="W2770" s="26" t="str">
        <f aca="false">IF($A2770="","",U2770*AB2770/100)</f>
        <v/>
      </c>
      <c r="X2770" s="26" t="str">
        <f aca="false">IF($A2770="","",U2770-W2770)</f>
        <v/>
      </c>
      <c r="Y2770" s="26" t="str">
        <f aca="false">IF($A2770="","",U2770-W2770-M2770)</f>
        <v/>
      </c>
      <c r="AB2770" s="27" t="str">
        <f aca="false">IF($A2770="","",IF($AK2770=1,'كشف المطالبة'!$D$5,'كشف المطالبة'!$D$6)*100)</f>
        <v/>
      </c>
      <c r="AK2770" s="28" t="str">
        <f aca="false">IF($A2770="","",IF(OR($Q2770=TRUE(),$Q2770="TRUE"),1,0))</f>
        <v/>
      </c>
      <c r="AL2770" s="28" t="str">
        <f aca="false">IF($N2770="","",IF(MATCH($N2770,$N$2:$N$3001,0)=ROWS($N$2:$N2770),$N2770,""))</f>
        <v/>
      </c>
    </row>
    <row r="2771" customFormat="false" ht="15" hidden="false" customHeight="false" outlineLevel="0" collapsed="false">
      <c r="E2771" s="25"/>
      <c r="M2771" s="26" t="str">
        <f aca="false">IF($A2771="","",$L2771*$U2771/100)</f>
        <v/>
      </c>
      <c r="W2771" s="26" t="str">
        <f aca="false">IF($A2771="","",U2771*AB2771/100)</f>
        <v/>
      </c>
      <c r="X2771" s="26" t="str">
        <f aca="false">IF($A2771="","",U2771-W2771)</f>
        <v/>
      </c>
      <c r="Y2771" s="26" t="str">
        <f aca="false">IF($A2771="","",U2771-W2771-M2771)</f>
        <v/>
      </c>
      <c r="AB2771" s="27" t="str">
        <f aca="false">IF($A2771="","",IF($AK2771=1,'كشف المطالبة'!$D$5,'كشف المطالبة'!$D$6)*100)</f>
        <v/>
      </c>
      <c r="AK2771" s="28" t="str">
        <f aca="false">IF($A2771="","",IF(OR($Q2771=TRUE(),$Q2771="TRUE"),1,0))</f>
        <v/>
      </c>
      <c r="AL2771" s="28" t="str">
        <f aca="false">IF($N2771="","",IF(MATCH($N2771,$N$2:$N$3001,0)=ROWS($N$2:$N2771),$N2771,""))</f>
        <v/>
      </c>
    </row>
    <row r="2772" customFormat="false" ht="15" hidden="false" customHeight="false" outlineLevel="0" collapsed="false">
      <c r="E2772" s="25"/>
      <c r="M2772" s="26" t="str">
        <f aca="false">IF($A2772="","",$L2772*$U2772/100)</f>
        <v/>
      </c>
      <c r="W2772" s="26" t="str">
        <f aca="false">IF($A2772="","",U2772*AB2772/100)</f>
        <v/>
      </c>
      <c r="X2772" s="26" t="str">
        <f aca="false">IF($A2772="","",U2772-W2772)</f>
        <v/>
      </c>
      <c r="Y2772" s="26" t="str">
        <f aca="false">IF($A2772="","",U2772-W2772-M2772)</f>
        <v/>
      </c>
      <c r="AB2772" s="27" t="str">
        <f aca="false">IF($A2772="","",IF($AK2772=1,'كشف المطالبة'!$D$5,'كشف المطالبة'!$D$6)*100)</f>
        <v/>
      </c>
      <c r="AK2772" s="28" t="str">
        <f aca="false">IF($A2772="","",IF(OR($Q2772=TRUE(),$Q2772="TRUE"),1,0))</f>
        <v/>
      </c>
      <c r="AL2772" s="28" t="str">
        <f aca="false">IF($N2772="","",IF(MATCH($N2772,$N$2:$N$3001,0)=ROWS($N$2:$N2772),$N2772,""))</f>
        <v/>
      </c>
    </row>
    <row r="2773" customFormat="false" ht="15" hidden="false" customHeight="false" outlineLevel="0" collapsed="false">
      <c r="E2773" s="25"/>
      <c r="M2773" s="26" t="str">
        <f aca="false">IF($A2773="","",$L2773*$U2773/100)</f>
        <v/>
      </c>
      <c r="W2773" s="26" t="str">
        <f aca="false">IF($A2773="","",U2773*AB2773/100)</f>
        <v/>
      </c>
      <c r="X2773" s="26" t="str">
        <f aca="false">IF($A2773="","",U2773-W2773)</f>
        <v/>
      </c>
      <c r="Y2773" s="26" t="str">
        <f aca="false">IF($A2773="","",U2773-W2773-M2773)</f>
        <v/>
      </c>
      <c r="AB2773" s="27" t="str">
        <f aca="false">IF($A2773="","",IF($AK2773=1,'كشف المطالبة'!$D$5,'كشف المطالبة'!$D$6)*100)</f>
        <v/>
      </c>
      <c r="AK2773" s="28" t="str">
        <f aca="false">IF($A2773="","",IF(OR($Q2773=TRUE(),$Q2773="TRUE"),1,0))</f>
        <v/>
      </c>
      <c r="AL2773" s="28" t="str">
        <f aca="false">IF($N2773="","",IF(MATCH($N2773,$N$2:$N$3001,0)=ROWS($N$2:$N2773),$N2773,""))</f>
        <v/>
      </c>
    </row>
    <row r="2774" customFormat="false" ht="15" hidden="false" customHeight="false" outlineLevel="0" collapsed="false">
      <c r="E2774" s="25"/>
      <c r="M2774" s="26" t="str">
        <f aca="false">IF($A2774="","",$L2774*$U2774/100)</f>
        <v/>
      </c>
      <c r="W2774" s="26" t="str">
        <f aca="false">IF($A2774="","",U2774*AB2774/100)</f>
        <v/>
      </c>
      <c r="X2774" s="26" t="str">
        <f aca="false">IF($A2774="","",U2774-W2774)</f>
        <v/>
      </c>
      <c r="Y2774" s="26" t="str">
        <f aca="false">IF($A2774="","",U2774-W2774-M2774)</f>
        <v/>
      </c>
      <c r="AB2774" s="27" t="str">
        <f aca="false">IF($A2774="","",IF($AK2774=1,'كشف المطالبة'!$D$5,'كشف المطالبة'!$D$6)*100)</f>
        <v/>
      </c>
      <c r="AK2774" s="28" t="str">
        <f aca="false">IF($A2774="","",IF(OR($Q2774=TRUE(),$Q2774="TRUE"),1,0))</f>
        <v/>
      </c>
      <c r="AL2774" s="28" t="str">
        <f aca="false">IF($N2774="","",IF(MATCH($N2774,$N$2:$N$3001,0)=ROWS($N$2:$N2774),$N2774,""))</f>
        <v/>
      </c>
    </row>
    <row r="2775" customFormat="false" ht="15" hidden="false" customHeight="false" outlineLevel="0" collapsed="false">
      <c r="E2775" s="25"/>
      <c r="M2775" s="26" t="str">
        <f aca="false">IF($A2775="","",$L2775*$U2775/100)</f>
        <v/>
      </c>
      <c r="W2775" s="26" t="str">
        <f aca="false">IF($A2775="","",U2775*AB2775/100)</f>
        <v/>
      </c>
      <c r="X2775" s="26" t="str">
        <f aca="false">IF($A2775="","",U2775-W2775)</f>
        <v/>
      </c>
      <c r="Y2775" s="26" t="str">
        <f aca="false">IF($A2775="","",U2775-W2775-M2775)</f>
        <v/>
      </c>
      <c r="AB2775" s="27" t="str">
        <f aca="false">IF($A2775="","",IF($AK2775=1,'كشف المطالبة'!$D$5,'كشف المطالبة'!$D$6)*100)</f>
        <v/>
      </c>
      <c r="AK2775" s="28" t="str">
        <f aca="false">IF($A2775="","",IF(OR($Q2775=TRUE(),$Q2775="TRUE"),1,0))</f>
        <v/>
      </c>
      <c r="AL2775" s="28" t="str">
        <f aca="false">IF($N2775="","",IF(MATCH($N2775,$N$2:$N$3001,0)=ROWS($N$2:$N2775),$N2775,""))</f>
        <v/>
      </c>
    </row>
    <row r="2776" customFormat="false" ht="15" hidden="false" customHeight="false" outlineLevel="0" collapsed="false">
      <c r="E2776" s="25"/>
      <c r="M2776" s="26" t="str">
        <f aca="false">IF($A2776="","",$L2776*$U2776/100)</f>
        <v/>
      </c>
      <c r="W2776" s="26" t="str">
        <f aca="false">IF($A2776="","",U2776*AB2776/100)</f>
        <v/>
      </c>
      <c r="X2776" s="26" t="str">
        <f aca="false">IF($A2776="","",U2776-W2776)</f>
        <v/>
      </c>
      <c r="Y2776" s="26" t="str">
        <f aca="false">IF($A2776="","",U2776-W2776-M2776)</f>
        <v/>
      </c>
      <c r="AB2776" s="27" t="str">
        <f aca="false">IF($A2776="","",IF($AK2776=1,'كشف المطالبة'!$D$5,'كشف المطالبة'!$D$6)*100)</f>
        <v/>
      </c>
      <c r="AK2776" s="28" t="str">
        <f aca="false">IF($A2776="","",IF(OR($Q2776=TRUE(),$Q2776="TRUE"),1,0))</f>
        <v/>
      </c>
      <c r="AL2776" s="28" t="str">
        <f aca="false">IF($N2776="","",IF(MATCH($N2776,$N$2:$N$3001,0)=ROWS($N$2:$N2776),$N2776,""))</f>
        <v/>
      </c>
    </row>
    <row r="2777" customFormat="false" ht="15" hidden="false" customHeight="false" outlineLevel="0" collapsed="false">
      <c r="E2777" s="25"/>
      <c r="M2777" s="26" t="str">
        <f aca="false">IF($A2777="","",$L2777*$U2777/100)</f>
        <v/>
      </c>
      <c r="W2777" s="26" t="str">
        <f aca="false">IF($A2777="","",U2777*AB2777/100)</f>
        <v/>
      </c>
      <c r="X2777" s="26" t="str">
        <f aca="false">IF($A2777="","",U2777-W2777)</f>
        <v/>
      </c>
      <c r="Y2777" s="26" t="str">
        <f aca="false">IF($A2777="","",U2777-W2777-M2777)</f>
        <v/>
      </c>
      <c r="AB2777" s="27" t="str">
        <f aca="false">IF($A2777="","",IF($AK2777=1,'كشف المطالبة'!$D$5,'كشف المطالبة'!$D$6)*100)</f>
        <v/>
      </c>
      <c r="AK2777" s="28" t="str">
        <f aca="false">IF($A2777="","",IF(OR($Q2777=TRUE(),$Q2777="TRUE"),1,0))</f>
        <v/>
      </c>
      <c r="AL2777" s="28" t="str">
        <f aca="false">IF($N2777="","",IF(MATCH($N2777,$N$2:$N$3001,0)=ROWS($N$2:$N2777),$N2777,""))</f>
        <v/>
      </c>
    </row>
    <row r="2778" customFormat="false" ht="15" hidden="false" customHeight="false" outlineLevel="0" collapsed="false">
      <c r="E2778" s="25"/>
      <c r="M2778" s="26" t="str">
        <f aca="false">IF($A2778="","",$L2778*$U2778/100)</f>
        <v/>
      </c>
      <c r="W2778" s="26" t="str">
        <f aca="false">IF($A2778="","",U2778*AB2778/100)</f>
        <v/>
      </c>
      <c r="X2778" s="26" t="str">
        <f aca="false">IF($A2778="","",U2778-W2778)</f>
        <v/>
      </c>
      <c r="Y2778" s="26" t="str">
        <f aca="false">IF($A2778="","",U2778-W2778-M2778)</f>
        <v/>
      </c>
      <c r="AB2778" s="27" t="str">
        <f aca="false">IF($A2778="","",IF($AK2778=1,'كشف المطالبة'!$D$5,'كشف المطالبة'!$D$6)*100)</f>
        <v/>
      </c>
      <c r="AK2778" s="28" t="str">
        <f aca="false">IF($A2778="","",IF(OR($Q2778=TRUE(),$Q2778="TRUE"),1,0))</f>
        <v/>
      </c>
      <c r="AL2778" s="28" t="str">
        <f aca="false">IF($N2778="","",IF(MATCH($N2778,$N$2:$N$3001,0)=ROWS($N$2:$N2778),$N2778,""))</f>
        <v/>
      </c>
    </row>
    <row r="2779" customFormat="false" ht="15" hidden="false" customHeight="false" outlineLevel="0" collapsed="false">
      <c r="E2779" s="25"/>
      <c r="M2779" s="26" t="str">
        <f aca="false">IF($A2779="","",$L2779*$U2779/100)</f>
        <v/>
      </c>
      <c r="W2779" s="26" t="str">
        <f aca="false">IF($A2779="","",U2779*AB2779/100)</f>
        <v/>
      </c>
      <c r="X2779" s="26" t="str">
        <f aca="false">IF($A2779="","",U2779-W2779)</f>
        <v/>
      </c>
      <c r="Y2779" s="26" t="str">
        <f aca="false">IF($A2779="","",U2779-W2779-M2779)</f>
        <v/>
      </c>
      <c r="AB2779" s="27" t="str">
        <f aca="false">IF($A2779="","",IF($AK2779=1,'كشف المطالبة'!$D$5,'كشف المطالبة'!$D$6)*100)</f>
        <v/>
      </c>
      <c r="AK2779" s="28" t="str">
        <f aca="false">IF($A2779="","",IF(OR($Q2779=TRUE(),$Q2779="TRUE"),1,0))</f>
        <v/>
      </c>
      <c r="AL2779" s="28" t="str">
        <f aca="false">IF($N2779="","",IF(MATCH($N2779,$N$2:$N$3001,0)=ROWS($N$2:$N2779),$N2779,""))</f>
        <v/>
      </c>
    </row>
    <row r="2780" customFormat="false" ht="15" hidden="false" customHeight="false" outlineLevel="0" collapsed="false">
      <c r="E2780" s="25"/>
      <c r="M2780" s="26" t="str">
        <f aca="false">IF($A2780="","",$L2780*$U2780/100)</f>
        <v/>
      </c>
      <c r="W2780" s="26" t="str">
        <f aca="false">IF($A2780="","",U2780*AB2780/100)</f>
        <v/>
      </c>
      <c r="X2780" s="26" t="str">
        <f aca="false">IF($A2780="","",U2780-W2780)</f>
        <v/>
      </c>
      <c r="Y2780" s="26" t="str">
        <f aca="false">IF($A2780="","",U2780-W2780-M2780)</f>
        <v/>
      </c>
      <c r="AB2780" s="27" t="str">
        <f aca="false">IF($A2780="","",IF($AK2780=1,'كشف المطالبة'!$D$5,'كشف المطالبة'!$D$6)*100)</f>
        <v/>
      </c>
      <c r="AK2780" s="28" t="str">
        <f aca="false">IF($A2780="","",IF(OR($Q2780=TRUE(),$Q2780="TRUE"),1,0))</f>
        <v/>
      </c>
      <c r="AL2780" s="28" t="str">
        <f aca="false">IF($N2780="","",IF(MATCH($N2780,$N$2:$N$3001,0)=ROWS($N$2:$N2780),$N2780,""))</f>
        <v/>
      </c>
    </row>
    <row r="2781" customFormat="false" ht="15" hidden="false" customHeight="false" outlineLevel="0" collapsed="false">
      <c r="E2781" s="25"/>
      <c r="M2781" s="26" t="str">
        <f aca="false">IF($A2781="","",$L2781*$U2781/100)</f>
        <v/>
      </c>
      <c r="W2781" s="26" t="str">
        <f aca="false">IF($A2781="","",U2781*AB2781/100)</f>
        <v/>
      </c>
      <c r="X2781" s="26" t="str">
        <f aca="false">IF($A2781="","",U2781-W2781)</f>
        <v/>
      </c>
      <c r="Y2781" s="26" t="str">
        <f aca="false">IF($A2781="","",U2781-W2781-M2781)</f>
        <v/>
      </c>
      <c r="AB2781" s="27" t="str">
        <f aca="false">IF($A2781="","",IF($AK2781=1,'كشف المطالبة'!$D$5,'كشف المطالبة'!$D$6)*100)</f>
        <v/>
      </c>
      <c r="AK2781" s="28" t="str">
        <f aca="false">IF($A2781="","",IF(OR($Q2781=TRUE(),$Q2781="TRUE"),1,0))</f>
        <v/>
      </c>
      <c r="AL2781" s="28" t="str">
        <f aca="false">IF($N2781="","",IF(MATCH($N2781,$N$2:$N$3001,0)=ROWS($N$2:$N2781),$N2781,""))</f>
        <v/>
      </c>
    </row>
    <row r="2782" customFormat="false" ht="15" hidden="false" customHeight="false" outlineLevel="0" collapsed="false">
      <c r="E2782" s="25"/>
      <c r="M2782" s="26" t="str">
        <f aca="false">IF($A2782="","",$L2782*$U2782/100)</f>
        <v/>
      </c>
      <c r="W2782" s="26" t="str">
        <f aca="false">IF($A2782="","",U2782*AB2782/100)</f>
        <v/>
      </c>
      <c r="X2782" s="26" t="str">
        <f aca="false">IF($A2782="","",U2782-W2782)</f>
        <v/>
      </c>
      <c r="Y2782" s="26" t="str">
        <f aca="false">IF($A2782="","",U2782-W2782-M2782)</f>
        <v/>
      </c>
      <c r="AB2782" s="27" t="str">
        <f aca="false">IF($A2782="","",IF($AK2782=1,'كشف المطالبة'!$D$5,'كشف المطالبة'!$D$6)*100)</f>
        <v/>
      </c>
      <c r="AK2782" s="28" t="str">
        <f aca="false">IF($A2782="","",IF(OR($Q2782=TRUE(),$Q2782="TRUE"),1,0))</f>
        <v/>
      </c>
      <c r="AL2782" s="28" t="str">
        <f aca="false">IF($N2782="","",IF(MATCH($N2782,$N$2:$N$3001,0)=ROWS($N$2:$N2782),$N2782,""))</f>
        <v/>
      </c>
    </row>
    <row r="2783" customFormat="false" ht="15" hidden="false" customHeight="false" outlineLevel="0" collapsed="false">
      <c r="E2783" s="25"/>
      <c r="M2783" s="26" t="str">
        <f aca="false">IF($A2783="","",$L2783*$U2783/100)</f>
        <v/>
      </c>
      <c r="W2783" s="26" t="str">
        <f aca="false">IF($A2783="","",U2783*AB2783/100)</f>
        <v/>
      </c>
      <c r="X2783" s="26" t="str">
        <f aca="false">IF($A2783="","",U2783-W2783)</f>
        <v/>
      </c>
      <c r="Y2783" s="26" t="str">
        <f aca="false">IF($A2783="","",U2783-W2783-M2783)</f>
        <v/>
      </c>
      <c r="AB2783" s="27" t="str">
        <f aca="false">IF($A2783="","",IF($AK2783=1,'كشف المطالبة'!$D$5,'كشف المطالبة'!$D$6)*100)</f>
        <v/>
      </c>
      <c r="AK2783" s="28" t="str">
        <f aca="false">IF($A2783="","",IF(OR($Q2783=TRUE(),$Q2783="TRUE"),1,0))</f>
        <v/>
      </c>
      <c r="AL2783" s="28" t="str">
        <f aca="false">IF($N2783="","",IF(MATCH($N2783,$N$2:$N$3001,0)=ROWS($N$2:$N2783),$N2783,""))</f>
        <v/>
      </c>
    </row>
    <row r="2784" customFormat="false" ht="15" hidden="false" customHeight="false" outlineLevel="0" collapsed="false">
      <c r="E2784" s="25"/>
      <c r="M2784" s="26" t="str">
        <f aca="false">IF($A2784="","",$L2784*$U2784/100)</f>
        <v/>
      </c>
      <c r="W2784" s="26" t="str">
        <f aca="false">IF($A2784="","",U2784*AB2784/100)</f>
        <v/>
      </c>
      <c r="X2784" s="26" t="str">
        <f aca="false">IF($A2784="","",U2784-W2784)</f>
        <v/>
      </c>
      <c r="Y2784" s="26" t="str">
        <f aca="false">IF($A2784="","",U2784-W2784-M2784)</f>
        <v/>
      </c>
      <c r="AB2784" s="27" t="str">
        <f aca="false">IF($A2784="","",IF($AK2784=1,'كشف المطالبة'!$D$5,'كشف المطالبة'!$D$6)*100)</f>
        <v/>
      </c>
      <c r="AK2784" s="28" t="str">
        <f aca="false">IF($A2784="","",IF(OR($Q2784=TRUE(),$Q2784="TRUE"),1,0))</f>
        <v/>
      </c>
      <c r="AL2784" s="28" t="str">
        <f aca="false">IF($N2784="","",IF(MATCH($N2784,$N$2:$N$3001,0)=ROWS($N$2:$N2784),$N2784,""))</f>
        <v/>
      </c>
    </row>
    <row r="2785" customFormat="false" ht="15" hidden="false" customHeight="false" outlineLevel="0" collapsed="false">
      <c r="E2785" s="25"/>
      <c r="M2785" s="26" t="str">
        <f aca="false">IF($A2785="","",$L2785*$U2785/100)</f>
        <v/>
      </c>
      <c r="W2785" s="26" t="str">
        <f aca="false">IF($A2785="","",U2785*AB2785/100)</f>
        <v/>
      </c>
      <c r="X2785" s="26" t="str">
        <f aca="false">IF($A2785="","",U2785-W2785)</f>
        <v/>
      </c>
      <c r="Y2785" s="26" t="str">
        <f aca="false">IF($A2785="","",U2785-W2785-M2785)</f>
        <v/>
      </c>
      <c r="AB2785" s="27" t="str">
        <f aca="false">IF($A2785="","",IF($AK2785=1,'كشف المطالبة'!$D$5,'كشف المطالبة'!$D$6)*100)</f>
        <v/>
      </c>
      <c r="AK2785" s="28" t="str">
        <f aca="false">IF($A2785="","",IF(OR($Q2785=TRUE(),$Q2785="TRUE"),1,0))</f>
        <v/>
      </c>
      <c r="AL2785" s="28" t="str">
        <f aca="false">IF($N2785="","",IF(MATCH($N2785,$N$2:$N$3001,0)=ROWS($N$2:$N2785),$N2785,""))</f>
        <v/>
      </c>
    </row>
    <row r="2786" customFormat="false" ht="15" hidden="false" customHeight="false" outlineLevel="0" collapsed="false">
      <c r="E2786" s="25"/>
      <c r="M2786" s="26" t="str">
        <f aca="false">IF($A2786="","",$L2786*$U2786/100)</f>
        <v/>
      </c>
      <c r="W2786" s="26" t="str">
        <f aca="false">IF($A2786="","",U2786*AB2786/100)</f>
        <v/>
      </c>
      <c r="X2786" s="26" t="str">
        <f aca="false">IF($A2786="","",U2786-W2786)</f>
        <v/>
      </c>
      <c r="Y2786" s="26" t="str">
        <f aca="false">IF($A2786="","",U2786-W2786-M2786)</f>
        <v/>
      </c>
      <c r="AB2786" s="27" t="str">
        <f aca="false">IF($A2786="","",IF($AK2786=1,'كشف المطالبة'!$D$5,'كشف المطالبة'!$D$6)*100)</f>
        <v/>
      </c>
      <c r="AK2786" s="28" t="str">
        <f aca="false">IF($A2786="","",IF(OR($Q2786=TRUE(),$Q2786="TRUE"),1,0))</f>
        <v/>
      </c>
      <c r="AL2786" s="28" t="str">
        <f aca="false">IF($N2786="","",IF(MATCH($N2786,$N$2:$N$3001,0)=ROWS($N$2:$N2786),$N2786,""))</f>
        <v/>
      </c>
    </row>
    <row r="2787" customFormat="false" ht="15" hidden="false" customHeight="false" outlineLevel="0" collapsed="false">
      <c r="E2787" s="25"/>
      <c r="M2787" s="26" t="str">
        <f aca="false">IF($A2787="","",$L2787*$U2787/100)</f>
        <v/>
      </c>
      <c r="W2787" s="26" t="str">
        <f aca="false">IF($A2787="","",U2787*AB2787/100)</f>
        <v/>
      </c>
      <c r="X2787" s="26" t="str">
        <f aca="false">IF($A2787="","",U2787-W2787)</f>
        <v/>
      </c>
      <c r="Y2787" s="26" t="str">
        <f aca="false">IF($A2787="","",U2787-W2787-M2787)</f>
        <v/>
      </c>
      <c r="AB2787" s="27" t="str">
        <f aca="false">IF($A2787="","",IF($AK2787=1,'كشف المطالبة'!$D$5,'كشف المطالبة'!$D$6)*100)</f>
        <v/>
      </c>
      <c r="AK2787" s="28" t="str">
        <f aca="false">IF($A2787="","",IF(OR($Q2787=TRUE(),$Q2787="TRUE"),1,0))</f>
        <v/>
      </c>
      <c r="AL2787" s="28" t="str">
        <f aca="false">IF($N2787="","",IF(MATCH($N2787,$N$2:$N$3001,0)=ROWS($N$2:$N2787),$N2787,""))</f>
        <v/>
      </c>
    </row>
    <row r="2788" customFormat="false" ht="15" hidden="false" customHeight="false" outlineLevel="0" collapsed="false">
      <c r="E2788" s="25"/>
      <c r="M2788" s="26" t="str">
        <f aca="false">IF($A2788="","",$L2788*$U2788/100)</f>
        <v/>
      </c>
      <c r="W2788" s="26" t="str">
        <f aca="false">IF($A2788="","",U2788*AB2788/100)</f>
        <v/>
      </c>
      <c r="X2788" s="26" t="str">
        <f aca="false">IF($A2788="","",U2788-W2788)</f>
        <v/>
      </c>
      <c r="Y2788" s="26" t="str">
        <f aca="false">IF($A2788="","",U2788-W2788-M2788)</f>
        <v/>
      </c>
      <c r="AB2788" s="27" t="str">
        <f aca="false">IF($A2788="","",IF($AK2788=1,'كشف المطالبة'!$D$5,'كشف المطالبة'!$D$6)*100)</f>
        <v/>
      </c>
      <c r="AK2788" s="28" t="str">
        <f aca="false">IF($A2788="","",IF(OR($Q2788=TRUE(),$Q2788="TRUE"),1,0))</f>
        <v/>
      </c>
      <c r="AL2788" s="28" t="str">
        <f aca="false">IF($N2788="","",IF(MATCH($N2788,$N$2:$N$3001,0)=ROWS($N$2:$N2788),$N2788,""))</f>
        <v/>
      </c>
    </row>
    <row r="2789" customFormat="false" ht="15" hidden="false" customHeight="false" outlineLevel="0" collapsed="false">
      <c r="E2789" s="25"/>
      <c r="M2789" s="26" t="str">
        <f aca="false">IF($A2789="","",$L2789*$U2789/100)</f>
        <v/>
      </c>
      <c r="W2789" s="26" t="str">
        <f aca="false">IF($A2789="","",U2789*AB2789/100)</f>
        <v/>
      </c>
      <c r="X2789" s="26" t="str">
        <f aca="false">IF($A2789="","",U2789-W2789)</f>
        <v/>
      </c>
      <c r="Y2789" s="26" t="str">
        <f aca="false">IF($A2789="","",U2789-W2789-M2789)</f>
        <v/>
      </c>
      <c r="AB2789" s="27" t="str">
        <f aca="false">IF($A2789="","",IF($AK2789=1,'كشف المطالبة'!$D$5,'كشف المطالبة'!$D$6)*100)</f>
        <v/>
      </c>
      <c r="AK2789" s="28" t="str">
        <f aca="false">IF($A2789="","",IF(OR($Q2789=TRUE(),$Q2789="TRUE"),1,0))</f>
        <v/>
      </c>
      <c r="AL2789" s="28" t="str">
        <f aca="false">IF($N2789="","",IF(MATCH($N2789,$N$2:$N$3001,0)=ROWS($N$2:$N2789),$N2789,""))</f>
        <v/>
      </c>
    </row>
    <row r="2790" customFormat="false" ht="15" hidden="false" customHeight="false" outlineLevel="0" collapsed="false">
      <c r="E2790" s="25"/>
      <c r="M2790" s="26" t="str">
        <f aca="false">IF($A2790="","",$L2790*$U2790/100)</f>
        <v/>
      </c>
      <c r="W2790" s="26" t="str">
        <f aca="false">IF($A2790="","",U2790*AB2790/100)</f>
        <v/>
      </c>
      <c r="X2790" s="26" t="str">
        <f aca="false">IF($A2790="","",U2790-W2790)</f>
        <v/>
      </c>
      <c r="Y2790" s="26" t="str">
        <f aca="false">IF($A2790="","",U2790-W2790-M2790)</f>
        <v/>
      </c>
      <c r="AB2790" s="27" t="str">
        <f aca="false">IF($A2790="","",IF($AK2790=1,'كشف المطالبة'!$D$5,'كشف المطالبة'!$D$6)*100)</f>
        <v/>
      </c>
      <c r="AK2790" s="28" t="str">
        <f aca="false">IF($A2790="","",IF(OR($Q2790=TRUE(),$Q2790="TRUE"),1,0))</f>
        <v/>
      </c>
      <c r="AL2790" s="28" t="str">
        <f aca="false">IF($N2790="","",IF(MATCH($N2790,$N$2:$N$3001,0)=ROWS($N$2:$N2790),$N2790,""))</f>
        <v/>
      </c>
    </row>
    <row r="2791" customFormat="false" ht="15" hidden="false" customHeight="false" outlineLevel="0" collapsed="false">
      <c r="E2791" s="25"/>
      <c r="M2791" s="26" t="str">
        <f aca="false">IF($A2791="","",$L2791*$U2791/100)</f>
        <v/>
      </c>
      <c r="W2791" s="26" t="str">
        <f aca="false">IF($A2791="","",U2791*AB2791/100)</f>
        <v/>
      </c>
      <c r="X2791" s="26" t="str">
        <f aca="false">IF($A2791="","",U2791-W2791)</f>
        <v/>
      </c>
      <c r="Y2791" s="26" t="str">
        <f aca="false">IF($A2791="","",U2791-W2791-M2791)</f>
        <v/>
      </c>
      <c r="AB2791" s="27" t="str">
        <f aca="false">IF($A2791="","",IF($AK2791=1,'كشف المطالبة'!$D$5,'كشف المطالبة'!$D$6)*100)</f>
        <v/>
      </c>
      <c r="AK2791" s="28" t="str">
        <f aca="false">IF($A2791="","",IF(OR($Q2791=TRUE(),$Q2791="TRUE"),1,0))</f>
        <v/>
      </c>
      <c r="AL2791" s="28" t="str">
        <f aca="false">IF($N2791="","",IF(MATCH($N2791,$N$2:$N$3001,0)=ROWS($N$2:$N2791),$N2791,""))</f>
        <v/>
      </c>
    </row>
    <row r="2792" customFormat="false" ht="15" hidden="false" customHeight="false" outlineLevel="0" collapsed="false">
      <c r="E2792" s="25"/>
      <c r="M2792" s="26" t="str">
        <f aca="false">IF($A2792="","",$L2792*$U2792/100)</f>
        <v/>
      </c>
      <c r="W2792" s="26" t="str">
        <f aca="false">IF($A2792="","",U2792*AB2792/100)</f>
        <v/>
      </c>
      <c r="X2792" s="26" t="str">
        <f aca="false">IF($A2792="","",U2792-W2792)</f>
        <v/>
      </c>
      <c r="Y2792" s="26" t="str">
        <f aca="false">IF($A2792="","",U2792-W2792-M2792)</f>
        <v/>
      </c>
      <c r="AB2792" s="27" t="str">
        <f aca="false">IF($A2792="","",IF($AK2792=1,'كشف المطالبة'!$D$5,'كشف المطالبة'!$D$6)*100)</f>
        <v/>
      </c>
      <c r="AK2792" s="28" t="str">
        <f aca="false">IF($A2792="","",IF(OR($Q2792=TRUE(),$Q2792="TRUE"),1,0))</f>
        <v/>
      </c>
      <c r="AL2792" s="28" t="str">
        <f aca="false">IF($N2792="","",IF(MATCH($N2792,$N$2:$N$3001,0)=ROWS($N$2:$N2792),$N2792,""))</f>
        <v/>
      </c>
    </row>
    <row r="2793" customFormat="false" ht="15" hidden="false" customHeight="false" outlineLevel="0" collapsed="false">
      <c r="E2793" s="25"/>
      <c r="M2793" s="26" t="str">
        <f aca="false">IF($A2793="","",$L2793*$U2793/100)</f>
        <v/>
      </c>
      <c r="W2793" s="26" t="str">
        <f aca="false">IF($A2793="","",U2793*AB2793/100)</f>
        <v/>
      </c>
      <c r="X2793" s="26" t="str">
        <f aca="false">IF($A2793="","",U2793-W2793)</f>
        <v/>
      </c>
      <c r="Y2793" s="26" t="str">
        <f aca="false">IF($A2793="","",U2793-W2793-M2793)</f>
        <v/>
      </c>
      <c r="AB2793" s="27" t="str">
        <f aca="false">IF($A2793="","",IF($AK2793=1,'كشف المطالبة'!$D$5,'كشف المطالبة'!$D$6)*100)</f>
        <v/>
      </c>
      <c r="AK2793" s="28" t="str">
        <f aca="false">IF($A2793="","",IF(OR($Q2793=TRUE(),$Q2793="TRUE"),1,0))</f>
        <v/>
      </c>
      <c r="AL2793" s="28" t="str">
        <f aca="false">IF($N2793="","",IF(MATCH($N2793,$N$2:$N$3001,0)=ROWS($N$2:$N2793),$N2793,""))</f>
        <v/>
      </c>
    </row>
    <row r="2794" customFormat="false" ht="15" hidden="false" customHeight="false" outlineLevel="0" collapsed="false">
      <c r="E2794" s="25"/>
      <c r="M2794" s="26" t="str">
        <f aca="false">IF($A2794="","",$L2794*$U2794/100)</f>
        <v/>
      </c>
      <c r="W2794" s="26" t="str">
        <f aca="false">IF($A2794="","",U2794*AB2794/100)</f>
        <v/>
      </c>
      <c r="X2794" s="26" t="str">
        <f aca="false">IF($A2794="","",U2794-W2794)</f>
        <v/>
      </c>
      <c r="Y2794" s="26" t="str">
        <f aca="false">IF($A2794="","",U2794-W2794-M2794)</f>
        <v/>
      </c>
      <c r="AB2794" s="27" t="str">
        <f aca="false">IF($A2794="","",IF($AK2794=1,'كشف المطالبة'!$D$5,'كشف المطالبة'!$D$6)*100)</f>
        <v/>
      </c>
      <c r="AK2794" s="28" t="str">
        <f aca="false">IF($A2794="","",IF(OR($Q2794=TRUE(),$Q2794="TRUE"),1,0))</f>
        <v/>
      </c>
      <c r="AL2794" s="28" t="str">
        <f aca="false">IF($N2794="","",IF(MATCH($N2794,$N$2:$N$3001,0)=ROWS($N$2:$N2794),$N2794,""))</f>
        <v/>
      </c>
    </row>
    <row r="2795" customFormat="false" ht="15" hidden="false" customHeight="false" outlineLevel="0" collapsed="false">
      <c r="E2795" s="25"/>
      <c r="M2795" s="26" t="str">
        <f aca="false">IF($A2795="","",$L2795*$U2795/100)</f>
        <v/>
      </c>
      <c r="W2795" s="26" t="str">
        <f aca="false">IF($A2795="","",U2795*AB2795/100)</f>
        <v/>
      </c>
      <c r="X2795" s="26" t="str">
        <f aca="false">IF($A2795="","",U2795-W2795)</f>
        <v/>
      </c>
      <c r="Y2795" s="26" t="str">
        <f aca="false">IF($A2795="","",U2795-W2795-M2795)</f>
        <v/>
      </c>
      <c r="AB2795" s="27" t="str">
        <f aca="false">IF($A2795="","",IF($AK2795=1,'كشف المطالبة'!$D$5,'كشف المطالبة'!$D$6)*100)</f>
        <v/>
      </c>
      <c r="AK2795" s="28" t="str">
        <f aca="false">IF($A2795="","",IF(OR($Q2795=TRUE(),$Q2795="TRUE"),1,0))</f>
        <v/>
      </c>
      <c r="AL2795" s="28" t="str">
        <f aca="false">IF($N2795="","",IF(MATCH($N2795,$N$2:$N$3001,0)=ROWS($N$2:$N2795),$N2795,""))</f>
        <v/>
      </c>
    </row>
    <row r="2796" customFormat="false" ht="15" hidden="false" customHeight="false" outlineLevel="0" collapsed="false">
      <c r="E2796" s="25"/>
      <c r="M2796" s="26" t="str">
        <f aca="false">IF($A2796="","",$L2796*$U2796/100)</f>
        <v/>
      </c>
      <c r="W2796" s="26" t="str">
        <f aca="false">IF($A2796="","",U2796*AB2796/100)</f>
        <v/>
      </c>
      <c r="X2796" s="26" t="str">
        <f aca="false">IF($A2796="","",U2796-W2796)</f>
        <v/>
      </c>
      <c r="Y2796" s="26" t="str">
        <f aca="false">IF($A2796="","",U2796-W2796-M2796)</f>
        <v/>
      </c>
      <c r="AB2796" s="27" t="str">
        <f aca="false">IF($A2796="","",IF($AK2796=1,'كشف المطالبة'!$D$5,'كشف المطالبة'!$D$6)*100)</f>
        <v/>
      </c>
      <c r="AK2796" s="28" t="str">
        <f aca="false">IF($A2796="","",IF(OR($Q2796=TRUE(),$Q2796="TRUE"),1,0))</f>
        <v/>
      </c>
      <c r="AL2796" s="28" t="str">
        <f aca="false">IF($N2796="","",IF(MATCH($N2796,$N$2:$N$3001,0)=ROWS($N$2:$N2796),$N2796,""))</f>
        <v/>
      </c>
    </row>
    <row r="2797" customFormat="false" ht="15" hidden="false" customHeight="false" outlineLevel="0" collapsed="false">
      <c r="E2797" s="25"/>
      <c r="M2797" s="26" t="str">
        <f aca="false">IF($A2797="","",$L2797*$U2797/100)</f>
        <v/>
      </c>
      <c r="W2797" s="26" t="str">
        <f aca="false">IF($A2797="","",U2797*AB2797/100)</f>
        <v/>
      </c>
      <c r="X2797" s="26" t="str">
        <f aca="false">IF($A2797="","",U2797-W2797)</f>
        <v/>
      </c>
      <c r="Y2797" s="26" t="str">
        <f aca="false">IF($A2797="","",U2797-W2797-M2797)</f>
        <v/>
      </c>
      <c r="AB2797" s="27" t="str">
        <f aca="false">IF($A2797="","",IF($AK2797=1,'كشف المطالبة'!$D$5,'كشف المطالبة'!$D$6)*100)</f>
        <v/>
      </c>
      <c r="AK2797" s="28" t="str">
        <f aca="false">IF($A2797="","",IF(OR($Q2797=TRUE(),$Q2797="TRUE"),1,0))</f>
        <v/>
      </c>
      <c r="AL2797" s="28" t="str">
        <f aca="false">IF($N2797="","",IF(MATCH($N2797,$N$2:$N$3001,0)=ROWS($N$2:$N2797),$N2797,""))</f>
        <v/>
      </c>
    </row>
    <row r="2798" customFormat="false" ht="15" hidden="false" customHeight="false" outlineLevel="0" collapsed="false">
      <c r="E2798" s="25"/>
      <c r="M2798" s="26" t="str">
        <f aca="false">IF($A2798="","",$L2798*$U2798/100)</f>
        <v/>
      </c>
      <c r="W2798" s="26" t="str">
        <f aca="false">IF($A2798="","",U2798*AB2798/100)</f>
        <v/>
      </c>
      <c r="X2798" s="26" t="str">
        <f aca="false">IF($A2798="","",U2798-W2798)</f>
        <v/>
      </c>
      <c r="Y2798" s="26" t="str">
        <f aca="false">IF($A2798="","",U2798-W2798-M2798)</f>
        <v/>
      </c>
      <c r="AB2798" s="27" t="str">
        <f aca="false">IF($A2798="","",IF($AK2798=1,'كشف المطالبة'!$D$5,'كشف المطالبة'!$D$6)*100)</f>
        <v/>
      </c>
      <c r="AK2798" s="28" t="str">
        <f aca="false">IF($A2798="","",IF(OR($Q2798=TRUE(),$Q2798="TRUE"),1,0))</f>
        <v/>
      </c>
      <c r="AL2798" s="28" t="str">
        <f aca="false">IF($N2798="","",IF(MATCH($N2798,$N$2:$N$3001,0)=ROWS($N$2:$N2798),$N2798,""))</f>
        <v/>
      </c>
    </row>
    <row r="2799" customFormat="false" ht="15" hidden="false" customHeight="false" outlineLevel="0" collapsed="false">
      <c r="E2799" s="25"/>
      <c r="M2799" s="26" t="str">
        <f aca="false">IF($A2799="","",$L2799*$U2799/100)</f>
        <v/>
      </c>
      <c r="W2799" s="26" t="str">
        <f aca="false">IF($A2799="","",U2799*AB2799/100)</f>
        <v/>
      </c>
      <c r="X2799" s="26" t="str">
        <f aca="false">IF($A2799="","",U2799-W2799)</f>
        <v/>
      </c>
      <c r="Y2799" s="26" t="str">
        <f aca="false">IF($A2799="","",U2799-W2799-M2799)</f>
        <v/>
      </c>
      <c r="AB2799" s="27" t="str">
        <f aca="false">IF($A2799="","",IF($AK2799=1,'كشف المطالبة'!$D$5,'كشف المطالبة'!$D$6)*100)</f>
        <v/>
      </c>
      <c r="AK2799" s="28" t="str">
        <f aca="false">IF($A2799="","",IF(OR($Q2799=TRUE(),$Q2799="TRUE"),1,0))</f>
        <v/>
      </c>
      <c r="AL2799" s="28" t="str">
        <f aca="false">IF($N2799="","",IF(MATCH($N2799,$N$2:$N$3001,0)=ROWS($N$2:$N2799),$N2799,""))</f>
        <v/>
      </c>
    </row>
    <row r="2800" customFormat="false" ht="15" hidden="false" customHeight="false" outlineLevel="0" collapsed="false">
      <c r="E2800" s="25"/>
      <c r="M2800" s="26" t="str">
        <f aca="false">IF($A2800="","",$L2800*$U2800/100)</f>
        <v/>
      </c>
      <c r="W2800" s="26" t="str">
        <f aca="false">IF($A2800="","",U2800*AB2800/100)</f>
        <v/>
      </c>
      <c r="X2800" s="26" t="str">
        <f aca="false">IF($A2800="","",U2800-W2800)</f>
        <v/>
      </c>
      <c r="Y2800" s="26" t="str">
        <f aca="false">IF($A2800="","",U2800-W2800-M2800)</f>
        <v/>
      </c>
      <c r="AB2800" s="27" t="str">
        <f aca="false">IF($A2800="","",IF($AK2800=1,'كشف المطالبة'!$D$5,'كشف المطالبة'!$D$6)*100)</f>
        <v/>
      </c>
      <c r="AK2800" s="28" t="str">
        <f aca="false">IF($A2800="","",IF(OR($Q2800=TRUE(),$Q2800="TRUE"),1,0))</f>
        <v/>
      </c>
      <c r="AL2800" s="28" t="str">
        <f aca="false">IF($N2800="","",IF(MATCH($N2800,$N$2:$N$3001,0)=ROWS($N$2:$N2800),$N2800,""))</f>
        <v/>
      </c>
    </row>
    <row r="2801" customFormat="false" ht="15" hidden="false" customHeight="false" outlineLevel="0" collapsed="false">
      <c r="E2801" s="25"/>
      <c r="M2801" s="26" t="str">
        <f aca="false">IF($A2801="","",$L2801*$U2801/100)</f>
        <v/>
      </c>
      <c r="W2801" s="26" t="str">
        <f aca="false">IF($A2801="","",U2801*AB2801/100)</f>
        <v/>
      </c>
      <c r="X2801" s="26" t="str">
        <f aca="false">IF($A2801="","",U2801-W2801)</f>
        <v/>
      </c>
      <c r="Y2801" s="26" t="str">
        <f aca="false">IF($A2801="","",U2801-W2801-M2801)</f>
        <v/>
      </c>
      <c r="AB2801" s="27" t="str">
        <f aca="false">IF($A2801="","",IF($AK2801=1,'كشف المطالبة'!$D$5,'كشف المطالبة'!$D$6)*100)</f>
        <v/>
      </c>
      <c r="AK2801" s="28" t="str">
        <f aca="false">IF($A2801="","",IF(OR($Q2801=TRUE(),$Q2801="TRUE"),1,0))</f>
        <v/>
      </c>
      <c r="AL2801" s="28" t="str">
        <f aca="false">IF($N2801="","",IF(MATCH($N2801,$N$2:$N$3001,0)=ROWS($N$2:$N2801),$N2801,""))</f>
        <v/>
      </c>
    </row>
    <row r="2802" customFormat="false" ht="15" hidden="false" customHeight="false" outlineLevel="0" collapsed="false">
      <c r="E2802" s="25"/>
      <c r="M2802" s="26" t="str">
        <f aca="false">IF($A2802="","",$L2802*$U2802/100)</f>
        <v/>
      </c>
      <c r="W2802" s="26" t="str">
        <f aca="false">IF($A2802="","",U2802*AB2802/100)</f>
        <v/>
      </c>
      <c r="X2802" s="26" t="str">
        <f aca="false">IF($A2802="","",U2802-W2802)</f>
        <v/>
      </c>
      <c r="Y2802" s="26" t="str">
        <f aca="false">IF($A2802="","",U2802-W2802-M2802)</f>
        <v/>
      </c>
      <c r="AB2802" s="27" t="str">
        <f aca="false">IF($A2802="","",IF($AK2802=1,'كشف المطالبة'!$D$5,'كشف المطالبة'!$D$6)*100)</f>
        <v/>
      </c>
      <c r="AK2802" s="28" t="str">
        <f aca="false">IF($A2802="","",IF(OR($Q2802=TRUE(),$Q2802="TRUE"),1,0))</f>
        <v/>
      </c>
      <c r="AL2802" s="28" t="str">
        <f aca="false">IF($N2802="","",IF(MATCH($N2802,$N$2:$N$3001,0)=ROWS($N$2:$N2802),$N2802,""))</f>
        <v/>
      </c>
    </row>
    <row r="2803" customFormat="false" ht="15" hidden="false" customHeight="false" outlineLevel="0" collapsed="false">
      <c r="E2803" s="25"/>
      <c r="M2803" s="26" t="str">
        <f aca="false">IF($A2803="","",$L2803*$U2803/100)</f>
        <v/>
      </c>
      <c r="W2803" s="26" t="str">
        <f aca="false">IF($A2803="","",U2803*AB2803/100)</f>
        <v/>
      </c>
      <c r="X2803" s="26" t="str">
        <f aca="false">IF($A2803="","",U2803-W2803)</f>
        <v/>
      </c>
      <c r="Y2803" s="26" t="str">
        <f aca="false">IF($A2803="","",U2803-W2803-M2803)</f>
        <v/>
      </c>
      <c r="AB2803" s="27" t="str">
        <f aca="false">IF($A2803="","",IF($AK2803=1,'كشف المطالبة'!$D$5,'كشف المطالبة'!$D$6)*100)</f>
        <v/>
      </c>
      <c r="AK2803" s="28" t="str">
        <f aca="false">IF($A2803="","",IF(OR($Q2803=TRUE(),$Q2803="TRUE"),1,0))</f>
        <v/>
      </c>
      <c r="AL2803" s="28" t="str">
        <f aca="false">IF($N2803="","",IF(MATCH($N2803,$N$2:$N$3001,0)=ROWS($N$2:$N2803),$N2803,""))</f>
        <v/>
      </c>
    </row>
    <row r="2804" customFormat="false" ht="15" hidden="false" customHeight="false" outlineLevel="0" collapsed="false">
      <c r="E2804" s="25"/>
      <c r="M2804" s="26" t="str">
        <f aca="false">IF($A2804="","",$L2804*$U2804/100)</f>
        <v/>
      </c>
      <c r="W2804" s="26" t="str">
        <f aca="false">IF($A2804="","",U2804*AB2804/100)</f>
        <v/>
      </c>
      <c r="X2804" s="26" t="str">
        <f aca="false">IF($A2804="","",U2804-W2804)</f>
        <v/>
      </c>
      <c r="Y2804" s="26" t="str">
        <f aca="false">IF($A2804="","",U2804-W2804-M2804)</f>
        <v/>
      </c>
      <c r="AB2804" s="27" t="str">
        <f aca="false">IF($A2804="","",IF($AK2804=1,'كشف المطالبة'!$D$5,'كشف المطالبة'!$D$6)*100)</f>
        <v/>
      </c>
      <c r="AK2804" s="28" t="str">
        <f aca="false">IF($A2804="","",IF(OR($Q2804=TRUE(),$Q2804="TRUE"),1,0))</f>
        <v/>
      </c>
      <c r="AL2804" s="28" t="str">
        <f aca="false">IF($N2804="","",IF(MATCH($N2804,$N$2:$N$3001,0)=ROWS($N$2:$N2804),$N2804,""))</f>
        <v/>
      </c>
    </row>
    <row r="2805" customFormat="false" ht="15" hidden="false" customHeight="false" outlineLevel="0" collapsed="false">
      <c r="E2805" s="25"/>
      <c r="M2805" s="26" t="str">
        <f aca="false">IF($A2805="","",$L2805*$U2805/100)</f>
        <v/>
      </c>
      <c r="W2805" s="26" t="str">
        <f aca="false">IF($A2805="","",U2805*AB2805/100)</f>
        <v/>
      </c>
      <c r="X2805" s="26" t="str">
        <f aca="false">IF($A2805="","",U2805-W2805)</f>
        <v/>
      </c>
      <c r="Y2805" s="26" t="str">
        <f aca="false">IF($A2805="","",U2805-W2805-M2805)</f>
        <v/>
      </c>
      <c r="AB2805" s="27" t="str">
        <f aca="false">IF($A2805="","",IF($AK2805=1,'كشف المطالبة'!$D$5,'كشف المطالبة'!$D$6)*100)</f>
        <v/>
      </c>
      <c r="AK2805" s="28" t="str">
        <f aca="false">IF($A2805="","",IF(OR($Q2805=TRUE(),$Q2805="TRUE"),1,0))</f>
        <v/>
      </c>
      <c r="AL2805" s="28" t="str">
        <f aca="false">IF($N2805="","",IF(MATCH($N2805,$N$2:$N$3001,0)=ROWS($N$2:$N2805),$N2805,""))</f>
        <v/>
      </c>
    </row>
    <row r="2806" customFormat="false" ht="15" hidden="false" customHeight="false" outlineLevel="0" collapsed="false">
      <c r="E2806" s="25"/>
      <c r="M2806" s="26" t="str">
        <f aca="false">IF($A2806="","",$L2806*$U2806/100)</f>
        <v/>
      </c>
      <c r="W2806" s="26" t="str">
        <f aca="false">IF($A2806="","",U2806*AB2806/100)</f>
        <v/>
      </c>
      <c r="X2806" s="26" t="str">
        <f aca="false">IF($A2806="","",U2806-W2806)</f>
        <v/>
      </c>
      <c r="Y2806" s="26" t="str">
        <f aca="false">IF($A2806="","",U2806-W2806-M2806)</f>
        <v/>
      </c>
      <c r="AB2806" s="27" t="str">
        <f aca="false">IF($A2806="","",IF($AK2806=1,'كشف المطالبة'!$D$5,'كشف المطالبة'!$D$6)*100)</f>
        <v/>
      </c>
      <c r="AK2806" s="28" t="str">
        <f aca="false">IF($A2806="","",IF(OR($Q2806=TRUE(),$Q2806="TRUE"),1,0))</f>
        <v/>
      </c>
      <c r="AL2806" s="28" t="str">
        <f aca="false">IF($N2806="","",IF(MATCH($N2806,$N$2:$N$3001,0)=ROWS($N$2:$N2806),$N2806,""))</f>
        <v/>
      </c>
    </row>
    <row r="2807" customFormat="false" ht="15" hidden="false" customHeight="false" outlineLevel="0" collapsed="false">
      <c r="E2807" s="25"/>
      <c r="M2807" s="26" t="str">
        <f aca="false">IF($A2807="","",$L2807*$U2807/100)</f>
        <v/>
      </c>
      <c r="W2807" s="26" t="str">
        <f aca="false">IF($A2807="","",U2807*AB2807/100)</f>
        <v/>
      </c>
      <c r="X2807" s="26" t="str">
        <f aca="false">IF($A2807="","",U2807-W2807)</f>
        <v/>
      </c>
      <c r="Y2807" s="26" t="str">
        <f aca="false">IF($A2807="","",U2807-W2807-M2807)</f>
        <v/>
      </c>
      <c r="AB2807" s="27" t="str">
        <f aca="false">IF($A2807="","",IF($AK2807=1,'كشف المطالبة'!$D$5,'كشف المطالبة'!$D$6)*100)</f>
        <v/>
      </c>
      <c r="AK2807" s="28" t="str">
        <f aca="false">IF($A2807="","",IF(OR($Q2807=TRUE(),$Q2807="TRUE"),1,0))</f>
        <v/>
      </c>
      <c r="AL2807" s="28" t="str">
        <f aca="false">IF($N2807="","",IF(MATCH($N2807,$N$2:$N$3001,0)=ROWS($N$2:$N2807),$N2807,""))</f>
        <v/>
      </c>
    </row>
    <row r="2808" customFormat="false" ht="15" hidden="false" customHeight="false" outlineLevel="0" collapsed="false">
      <c r="E2808" s="25"/>
      <c r="M2808" s="26" t="str">
        <f aca="false">IF($A2808="","",$L2808*$U2808/100)</f>
        <v/>
      </c>
      <c r="W2808" s="26" t="str">
        <f aca="false">IF($A2808="","",U2808*AB2808/100)</f>
        <v/>
      </c>
      <c r="X2808" s="26" t="str">
        <f aca="false">IF($A2808="","",U2808-W2808)</f>
        <v/>
      </c>
      <c r="Y2808" s="26" t="str">
        <f aca="false">IF($A2808="","",U2808-W2808-M2808)</f>
        <v/>
      </c>
      <c r="AB2808" s="27" t="str">
        <f aca="false">IF($A2808="","",IF($AK2808=1,'كشف المطالبة'!$D$5,'كشف المطالبة'!$D$6)*100)</f>
        <v/>
      </c>
      <c r="AK2808" s="28" t="str">
        <f aca="false">IF($A2808="","",IF(OR($Q2808=TRUE(),$Q2808="TRUE"),1,0))</f>
        <v/>
      </c>
      <c r="AL2808" s="28" t="str">
        <f aca="false">IF($N2808="","",IF(MATCH($N2808,$N$2:$N$3001,0)=ROWS($N$2:$N2808),$N2808,""))</f>
        <v/>
      </c>
    </row>
    <row r="2809" customFormat="false" ht="15" hidden="false" customHeight="false" outlineLevel="0" collapsed="false">
      <c r="E2809" s="25"/>
      <c r="M2809" s="26" t="str">
        <f aca="false">IF($A2809="","",$L2809*$U2809/100)</f>
        <v/>
      </c>
      <c r="W2809" s="26" t="str">
        <f aca="false">IF($A2809="","",U2809*AB2809/100)</f>
        <v/>
      </c>
      <c r="X2809" s="26" t="str">
        <f aca="false">IF($A2809="","",U2809-W2809)</f>
        <v/>
      </c>
      <c r="Y2809" s="26" t="str">
        <f aca="false">IF($A2809="","",U2809-W2809-M2809)</f>
        <v/>
      </c>
      <c r="AB2809" s="27" t="str">
        <f aca="false">IF($A2809="","",IF($AK2809=1,'كشف المطالبة'!$D$5,'كشف المطالبة'!$D$6)*100)</f>
        <v/>
      </c>
      <c r="AK2809" s="28" t="str">
        <f aca="false">IF($A2809="","",IF(OR($Q2809=TRUE(),$Q2809="TRUE"),1,0))</f>
        <v/>
      </c>
      <c r="AL2809" s="28" t="str">
        <f aca="false">IF($N2809="","",IF(MATCH($N2809,$N$2:$N$3001,0)=ROWS($N$2:$N2809),$N2809,""))</f>
        <v/>
      </c>
    </row>
    <row r="2810" customFormat="false" ht="15" hidden="false" customHeight="false" outlineLevel="0" collapsed="false">
      <c r="E2810" s="25"/>
      <c r="M2810" s="26" t="str">
        <f aca="false">IF($A2810="","",$L2810*$U2810/100)</f>
        <v/>
      </c>
      <c r="W2810" s="26" t="str">
        <f aca="false">IF($A2810="","",U2810*AB2810/100)</f>
        <v/>
      </c>
      <c r="X2810" s="26" t="str">
        <f aca="false">IF($A2810="","",U2810-W2810)</f>
        <v/>
      </c>
      <c r="Y2810" s="26" t="str">
        <f aca="false">IF($A2810="","",U2810-W2810-M2810)</f>
        <v/>
      </c>
      <c r="AB2810" s="27" t="str">
        <f aca="false">IF($A2810="","",IF($AK2810=1,'كشف المطالبة'!$D$5,'كشف المطالبة'!$D$6)*100)</f>
        <v/>
      </c>
      <c r="AK2810" s="28" t="str">
        <f aca="false">IF($A2810="","",IF(OR($Q2810=TRUE(),$Q2810="TRUE"),1,0))</f>
        <v/>
      </c>
      <c r="AL2810" s="28" t="str">
        <f aca="false">IF($N2810="","",IF(MATCH($N2810,$N$2:$N$3001,0)=ROWS($N$2:$N2810),$N2810,""))</f>
        <v/>
      </c>
    </row>
    <row r="2811" customFormat="false" ht="15" hidden="false" customHeight="false" outlineLevel="0" collapsed="false">
      <c r="E2811" s="25"/>
      <c r="M2811" s="26" t="str">
        <f aca="false">IF($A2811="","",$L2811*$U2811/100)</f>
        <v/>
      </c>
      <c r="W2811" s="26" t="str">
        <f aca="false">IF($A2811="","",U2811*AB2811/100)</f>
        <v/>
      </c>
      <c r="X2811" s="26" t="str">
        <f aca="false">IF($A2811="","",U2811-W2811)</f>
        <v/>
      </c>
      <c r="Y2811" s="26" t="str">
        <f aca="false">IF($A2811="","",U2811-W2811-M2811)</f>
        <v/>
      </c>
      <c r="AB2811" s="27" t="str">
        <f aca="false">IF($A2811="","",IF($AK2811=1,'كشف المطالبة'!$D$5,'كشف المطالبة'!$D$6)*100)</f>
        <v/>
      </c>
      <c r="AK2811" s="28" t="str">
        <f aca="false">IF($A2811="","",IF(OR($Q2811=TRUE(),$Q2811="TRUE"),1,0))</f>
        <v/>
      </c>
      <c r="AL2811" s="28" t="str">
        <f aca="false">IF($N2811="","",IF(MATCH($N2811,$N$2:$N$3001,0)=ROWS($N$2:$N2811),$N2811,""))</f>
        <v/>
      </c>
    </row>
    <row r="2812" customFormat="false" ht="15" hidden="false" customHeight="false" outlineLevel="0" collapsed="false">
      <c r="E2812" s="25"/>
      <c r="M2812" s="26" t="str">
        <f aca="false">IF($A2812="","",$L2812*$U2812/100)</f>
        <v/>
      </c>
      <c r="W2812" s="26" t="str">
        <f aca="false">IF($A2812="","",U2812*AB2812/100)</f>
        <v/>
      </c>
      <c r="X2812" s="26" t="str">
        <f aca="false">IF($A2812="","",U2812-W2812)</f>
        <v/>
      </c>
      <c r="Y2812" s="26" t="str">
        <f aca="false">IF($A2812="","",U2812-W2812-M2812)</f>
        <v/>
      </c>
      <c r="AB2812" s="27" t="str">
        <f aca="false">IF($A2812="","",IF($AK2812=1,'كشف المطالبة'!$D$5,'كشف المطالبة'!$D$6)*100)</f>
        <v/>
      </c>
      <c r="AK2812" s="28" t="str">
        <f aca="false">IF($A2812="","",IF(OR($Q2812=TRUE(),$Q2812="TRUE"),1,0))</f>
        <v/>
      </c>
      <c r="AL2812" s="28" t="str">
        <f aca="false">IF($N2812="","",IF(MATCH($N2812,$N$2:$N$3001,0)=ROWS($N$2:$N2812),$N2812,""))</f>
        <v/>
      </c>
    </row>
    <row r="2813" customFormat="false" ht="15" hidden="false" customHeight="false" outlineLevel="0" collapsed="false">
      <c r="E2813" s="25"/>
      <c r="M2813" s="26" t="str">
        <f aca="false">IF($A2813="","",$L2813*$U2813/100)</f>
        <v/>
      </c>
      <c r="W2813" s="26" t="str">
        <f aca="false">IF($A2813="","",U2813*AB2813/100)</f>
        <v/>
      </c>
      <c r="X2813" s="26" t="str">
        <f aca="false">IF($A2813="","",U2813-W2813)</f>
        <v/>
      </c>
      <c r="Y2813" s="26" t="str">
        <f aca="false">IF($A2813="","",U2813-W2813-M2813)</f>
        <v/>
      </c>
      <c r="AB2813" s="27" t="str">
        <f aca="false">IF($A2813="","",IF($AK2813=1,'كشف المطالبة'!$D$5,'كشف المطالبة'!$D$6)*100)</f>
        <v/>
      </c>
      <c r="AK2813" s="28" t="str">
        <f aca="false">IF($A2813="","",IF(OR($Q2813=TRUE(),$Q2813="TRUE"),1,0))</f>
        <v/>
      </c>
      <c r="AL2813" s="28" t="str">
        <f aca="false">IF($N2813="","",IF(MATCH($N2813,$N$2:$N$3001,0)=ROWS($N$2:$N2813),$N2813,""))</f>
        <v/>
      </c>
    </row>
    <row r="2814" customFormat="false" ht="15" hidden="false" customHeight="false" outlineLevel="0" collapsed="false">
      <c r="E2814" s="25"/>
      <c r="M2814" s="26" t="str">
        <f aca="false">IF($A2814="","",$L2814*$U2814/100)</f>
        <v/>
      </c>
      <c r="W2814" s="26" t="str">
        <f aca="false">IF($A2814="","",U2814*AB2814/100)</f>
        <v/>
      </c>
      <c r="X2814" s="26" t="str">
        <f aca="false">IF($A2814="","",U2814-W2814)</f>
        <v/>
      </c>
      <c r="Y2814" s="26" t="str">
        <f aca="false">IF($A2814="","",U2814-W2814-M2814)</f>
        <v/>
      </c>
      <c r="AB2814" s="27" t="str">
        <f aca="false">IF($A2814="","",IF($AK2814=1,'كشف المطالبة'!$D$5,'كشف المطالبة'!$D$6)*100)</f>
        <v/>
      </c>
      <c r="AK2814" s="28" t="str">
        <f aca="false">IF($A2814="","",IF(OR($Q2814=TRUE(),$Q2814="TRUE"),1,0))</f>
        <v/>
      </c>
      <c r="AL2814" s="28" t="str">
        <f aca="false">IF($N2814="","",IF(MATCH($N2814,$N$2:$N$3001,0)=ROWS($N$2:$N2814),$N2814,""))</f>
        <v/>
      </c>
    </row>
    <row r="2815" customFormat="false" ht="15" hidden="false" customHeight="false" outlineLevel="0" collapsed="false">
      <c r="E2815" s="25"/>
      <c r="M2815" s="26" t="str">
        <f aca="false">IF($A2815="","",$L2815*$U2815/100)</f>
        <v/>
      </c>
      <c r="W2815" s="26" t="str">
        <f aca="false">IF($A2815="","",U2815*AB2815/100)</f>
        <v/>
      </c>
      <c r="X2815" s="26" t="str">
        <f aca="false">IF($A2815="","",U2815-W2815)</f>
        <v/>
      </c>
      <c r="Y2815" s="26" t="str">
        <f aca="false">IF($A2815="","",U2815-W2815-M2815)</f>
        <v/>
      </c>
      <c r="AB2815" s="27" t="str">
        <f aca="false">IF($A2815="","",IF($AK2815=1,'كشف المطالبة'!$D$5,'كشف المطالبة'!$D$6)*100)</f>
        <v/>
      </c>
      <c r="AK2815" s="28" t="str">
        <f aca="false">IF($A2815="","",IF(OR($Q2815=TRUE(),$Q2815="TRUE"),1,0))</f>
        <v/>
      </c>
      <c r="AL2815" s="28" t="str">
        <f aca="false">IF($N2815="","",IF(MATCH($N2815,$N$2:$N$3001,0)=ROWS($N$2:$N2815),$N2815,""))</f>
        <v/>
      </c>
    </row>
    <row r="2816" customFormat="false" ht="15" hidden="false" customHeight="false" outlineLevel="0" collapsed="false">
      <c r="E2816" s="25"/>
      <c r="M2816" s="26" t="str">
        <f aca="false">IF($A2816="","",$L2816*$U2816/100)</f>
        <v/>
      </c>
      <c r="W2816" s="26" t="str">
        <f aca="false">IF($A2816="","",U2816*AB2816/100)</f>
        <v/>
      </c>
      <c r="X2816" s="26" t="str">
        <f aca="false">IF($A2816="","",U2816-W2816)</f>
        <v/>
      </c>
      <c r="Y2816" s="26" t="str">
        <f aca="false">IF($A2816="","",U2816-W2816-M2816)</f>
        <v/>
      </c>
      <c r="AB2816" s="27" t="str">
        <f aca="false">IF($A2816="","",IF($AK2816=1,'كشف المطالبة'!$D$5,'كشف المطالبة'!$D$6)*100)</f>
        <v/>
      </c>
      <c r="AK2816" s="28" t="str">
        <f aca="false">IF($A2816="","",IF(OR($Q2816=TRUE(),$Q2816="TRUE"),1,0))</f>
        <v/>
      </c>
      <c r="AL2816" s="28" t="str">
        <f aca="false">IF($N2816="","",IF(MATCH($N2816,$N$2:$N$3001,0)=ROWS($N$2:$N2816),$N2816,""))</f>
        <v/>
      </c>
    </row>
    <row r="2817" customFormat="false" ht="15" hidden="false" customHeight="false" outlineLevel="0" collapsed="false">
      <c r="E2817" s="25"/>
      <c r="M2817" s="26" t="str">
        <f aca="false">IF($A2817="","",$L2817*$U2817/100)</f>
        <v/>
      </c>
      <c r="W2817" s="26" t="str">
        <f aca="false">IF($A2817="","",U2817*AB2817/100)</f>
        <v/>
      </c>
      <c r="X2817" s="26" t="str">
        <f aca="false">IF($A2817="","",U2817-W2817)</f>
        <v/>
      </c>
      <c r="Y2817" s="26" t="str">
        <f aca="false">IF($A2817="","",U2817-W2817-M2817)</f>
        <v/>
      </c>
      <c r="AB2817" s="27" t="str">
        <f aca="false">IF($A2817="","",IF($AK2817=1,'كشف المطالبة'!$D$5,'كشف المطالبة'!$D$6)*100)</f>
        <v/>
      </c>
      <c r="AK2817" s="28" t="str">
        <f aca="false">IF($A2817="","",IF(OR($Q2817=TRUE(),$Q2817="TRUE"),1,0))</f>
        <v/>
      </c>
      <c r="AL2817" s="28" t="str">
        <f aca="false">IF($N2817="","",IF(MATCH($N2817,$N$2:$N$3001,0)=ROWS($N$2:$N2817),$N2817,""))</f>
        <v/>
      </c>
    </row>
    <row r="2818" customFormat="false" ht="15" hidden="false" customHeight="false" outlineLevel="0" collapsed="false">
      <c r="E2818" s="25"/>
      <c r="M2818" s="26" t="str">
        <f aca="false">IF($A2818="","",$L2818*$U2818/100)</f>
        <v/>
      </c>
      <c r="W2818" s="26" t="str">
        <f aca="false">IF($A2818="","",U2818*AB2818/100)</f>
        <v/>
      </c>
      <c r="X2818" s="26" t="str">
        <f aca="false">IF($A2818="","",U2818-W2818)</f>
        <v/>
      </c>
      <c r="Y2818" s="26" t="str">
        <f aca="false">IF($A2818="","",U2818-W2818-M2818)</f>
        <v/>
      </c>
      <c r="AB2818" s="27" t="str">
        <f aca="false">IF($A2818="","",IF($AK2818=1,'كشف المطالبة'!$D$5,'كشف المطالبة'!$D$6)*100)</f>
        <v/>
      </c>
      <c r="AK2818" s="28" t="str">
        <f aca="false">IF($A2818="","",IF(OR($Q2818=TRUE(),$Q2818="TRUE"),1,0))</f>
        <v/>
      </c>
      <c r="AL2818" s="28" t="str">
        <f aca="false">IF($N2818="","",IF(MATCH($N2818,$N$2:$N$3001,0)=ROWS($N$2:$N2818),$N2818,""))</f>
        <v/>
      </c>
    </row>
    <row r="2819" customFormat="false" ht="15" hidden="false" customHeight="false" outlineLevel="0" collapsed="false">
      <c r="E2819" s="25"/>
      <c r="M2819" s="26" t="str">
        <f aca="false">IF($A2819="","",$L2819*$U2819/100)</f>
        <v/>
      </c>
      <c r="W2819" s="26" t="str">
        <f aca="false">IF($A2819="","",U2819*AB2819/100)</f>
        <v/>
      </c>
      <c r="X2819" s="26" t="str">
        <f aca="false">IF($A2819="","",U2819-W2819)</f>
        <v/>
      </c>
      <c r="Y2819" s="26" t="str">
        <f aca="false">IF($A2819="","",U2819-W2819-M2819)</f>
        <v/>
      </c>
      <c r="AB2819" s="27" t="str">
        <f aca="false">IF($A2819="","",IF($AK2819=1,'كشف المطالبة'!$D$5,'كشف المطالبة'!$D$6)*100)</f>
        <v/>
      </c>
      <c r="AK2819" s="28" t="str">
        <f aca="false">IF($A2819="","",IF(OR($Q2819=TRUE(),$Q2819="TRUE"),1,0))</f>
        <v/>
      </c>
      <c r="AL2819" s="28" t="str">
        <f aca="false">IF($N2819="","",IF(MATCH($N2819,$N$2:$N$3001,0)=ROWS($N$2:$N2819),$N2819,""))</f>
        <v/>
      </c>
    </row>
    <row r="2820" customFormat="false" ht="15" hidden="false" customHeight="false" outlineLevel="0" collapsed="false">
      <c r="E2820" s="25"/>
      <c r="M2820" s="26" t="str">
        <f aca="false">IF($A2820="","",$L2820*$U2820/100)</f>
        <v/>
      </c>
      <c r="W2820" s="26" t="str">
        <f aca="false">IF($A2820="","",U2820*AB2820/100)</f>
        <v/>
      </c>
      <c r="X2820" s="26" t="str">
        <f aca="false">IF($A2820="","",U2820-W2820)</f>
        <v/>
      </c>
      <c r="Y2820" s="26" t="str">
        <f aca="false">IF($A2820="","",U2820-W2820-M2820)</f>
        <v/>
      </c>
      <c r="AB2820" s="27" t="str">
        <f aca="false">IF($A2820="","",IF($AK2820=1,'كشف المطالبة'!$D$5,'كشف المطالبة'!$D$6)*100)</f>
        <v/>
      </c>
      <c r="AK2820" s="28" t="str">
        <f aca="false">IF($A2820="","",IF(OR($Q2820=TRUE(),$Q2820="TRUE"),1,0))</f>
        <v/>
      </c>
      <c r="AL2820" s="28" t="str">
        <f aca="false">IF($N2820="","",IF(MATCH($N2820,$N$2:$N$3001,0)=ROWS($N$2:$N2820),$N2820,""))</f>
        <v/>
      </c>
    </row>
    <row r="2821" customFormat="false" ht="15" hidden="false" customHeight="false" outlineLevel="0" collapsed="false">
      <c r="E2821" s="25"/>
      <c r="M2821" s="26" t="str">
        <f aca="false">IF($A2821="","",$L2821*$U2821/100)</f>
        <v/>
      </c>
      <c r="W2821" s="26" t="str">
        <f aca="false">IF($A2821="","",U2821*AB2821/100)</f>
        <v/>
      </c>
      <c r="X2821" s="26" t="str">
        <f aca="false">IF($A2821="","",U2821-W2821)</f>
        <v/>
      </c>
      <c r="Y2821" s="26" t="str">
        <f aca="false">IF($A2821="","",U2821-W2821-M2821)</f>
        <v/>
      </c>
      <c r="AB2821" s="27" t="str">
        <f aca="false">IF($A2821="","",IF($AK2821=1,'كشف المطالبة'!$D$5,'كشف المطالبة'!$D$6)*100)</f>
        <v/>
      </c>
      <c r="AK2821" s="28" t="str">
        <f aca="false">IF($A2821="","",IF(OR($Q2821=TRUE(),$Q2821="TRUE"),1,0))</f>
        <v/>
      </c>
      <c r="AL2821" s="28" t="str">
        <f aca="false">IF($N2821="","",IF(MATCH($N2821,$N$2:$N$3001,0)=ROWS($N$2:$N2821),$N2821,""))</f>
        <v/>
      </c>
    </row>
    <row r="2822" customFormat="false" ht="15" hidden="false" customHeight="false" outlineLevel="0" collapsed="false">
      <c r="E2822" s="25"/>
      <c r="M2822" s="26" t="str">
        <f aca="false">IF($A2822="","",$L2822*$U2822/100)</f>
        <v/>
      </c>
      <c r="W2822" s="26" t="str">
        <f aca="false">IF($A2822="","",U2822*AB2822/100)</f>
        <v/>
      </c>
      <c r="X2822" s="26" t="str">
        <f aca="false">IF($A2822="","",U2822-W2822)</f>
        <v/>
      </c>
      <c r="Y2822" s="26" t="str">
        <f aca="false">IF($A2822="","",U2822-W2822-M2822)</f>
        <v/>
      </c>
      <c r="AB2822" s="27" t="str">
        <f aca="false">IF($A2822="","",IF($AK2822=1,'كشف المطالبة'!$D$5,'كشف المطالبة'!$D$6)*100)</f>
        <v/>
      </c>
      <c r="AK2822" s="28" t="str">
        <f aca="false">IF($A2822="","",IF(OR($Q2822=TRUE(),$Q2822="TRUE"),1,0))</f>
        <v/>
      </c>
      <c r="AL2822" s="28" t="str">
        <f aca="false">IF($N2822="","",IF(MATCH($N2822,$N$2:$N$3001,0)=ROWS($N$2:$N2822),$N2822,""))</f>
        <v/>
      </c>
    </row>
    <row r="2823" customFormat="false" ht="15" hidden="false" customHeight="false" outlineLevel="0" collapsed="false">
      <c r="E2823" s="25"/>
      <c r="M2823" s="26" t="str">
        <f aca="false">IF($A2823="","",$L2823*$U2823/100)</f>
        <v/>
      </c>
      <c r="W2823" s="26" t="str">
        <f aca="false">IF($A2823="","",U2823*AB2823/100)</f>
        <v/>
      </c>
      <c r="X2823" s="26" t="str">
        <f aca="false">IF($A2823="","",U2823-W2823)</f>
        <v/>
      </c>
      <c r="Y2823" s="26" t="str">
        <f aca="false">IF($A2823="","",U2823-W2823-M2823)</f>
        <v/>
      </c>
      <c r="AB2823" s="27" t="str">
        <f aca="false">IF($A2823="","",IF($AK2823=1,'كشف المطالبة'!$D$5,'كشف المطالبة'!$D$6)*100)</f>
        <v/>
      </c>
      <c r="AK2823" s="28" t="str">
        <f aca="false">IF($A2823="","",IF(OR($Q2823=TRUE(),$Q2823="TRUE"),1,0))</f>
        <v/>
      </c>
      <c r="AL2823" s="28" t="str">
        <f aca="false">IF($N2823="","",IF(MATCH($N2823,$N$2:$N$3001,0)=ROWS($N$2:$N2823),$N2823,""))</f>
        <v/>
      </c>
    </row>
    <row r="2824" customFormat="false" ht="15" hidden="false" customHeight="false" outlineLevel="0" collapsed="false">
      <c r="E2824" s="25"/>
      <c r="M2824" s="26" t="str">
        <f aca="false">IF($A2824="","",$L2824*$U2824/100)</f>
        <v/>
      </c>
      <c r="W2824" s="26" t="str">
        <f aca="false">IF($A2824="","",U2824*AB2824/100)</f>
        <v/>
      </c>
      <c r="X2824" s="26" t="str">
        <f aca="false">IF($A2824="","",U2824-W2824)</f>
        <v/>
      </c>
      <c r="Y2824" s="26" t="str">
        <f aca="false">IF($A2824="","",U2824-W2824-M2824)</f>
        <v/>
      </c>
      <c r="AB2824" s="27" t="str">
        <f aca="false">IF($A2824="","",IF($AK2824=1,'كشف المطالبة'!$D$5,'كشف المطالبة'!$D$6)*100)</f>
        <v/>
      </c>
      <c r="AK2824" s="28" t="str">
        <f aca="false">IF($A2824="","",IF(OR($Q2824=TRUE(),$Q2824="TRUE"),1,0))</f>
        <v/>
      </c>
      <c r="AL2824" s="28" t="str">
        <f aca="false">IF($N2824="","",IF(MATCH($N2824,$N$2:$N$3001,0)=ROWS($N$2:$N2824),$N2824,""))</f>
        <v/>
      </c>
    </row>
    <row r="2825" customFormat="false" ht="15" hidden="false" customHeight="false" outlineLevel="0" collapsed="false">
      <c r="E2825" s="25"/>
      <c r="M2825" s="26" t="str">
        <f aca="false">IF($A2825="","",$L2825*$U2825/100)</f>
        <v/>
      </c>
      <c r="W2825" s="26" t="str">
        <f aca="false">IF($A2825="","",U2825*AB2825/100)</f>
        <v/>
      </c>
      <c r="X2825" s="26" t="str">
        <f aca="false">IF($A2825="","",U2825-W2825)</f>
        <v/>
      </c>
      <c r="Y2825" s="26" t="str">
        <f aca="false">IF($A2825="","",U2825-W2825-M2825)</f>
        <v/>
      </c>
      <c r="AB2825" s="27" t="str">
        <f aca="false">IF($A2825="","",IF($AK2825=1,'كشف المطالبة'!$D$5,'كشف المطالبة'!$D$6)*100)</f>
        <v/>
      </c>
      <c r="AK2825" s="28" t="str">
        <f aca="false">IF($A2825="","",IF(OR($Q2825=TRUE(),$Q2825="TRUE"),1,0))</f>
        <v/>
      </c>
      <c r="AL2825" s="28" t="str">
        <f aca="false">IF($N2825="","",IF(MATCH($N2825,$N$2:$N$3001,0)=ROWS($N$2:$N2825),$N2825,""))</f>
        <v/>
      </c>
    </row>
    <row r="2826" customFormat="false" ht="15" hidden="false" customHeight="false" outlineLevel="0" collapsed="false">
      <c r="E2826" s="25"/>
      <c r="M2826" s="26" t="str">
        <f aca="false">IF($A2826="","",$L2826*$U2826/100)</f>
        <v/>
      </c>
      <c r="W2826" s="26" t="str">
        <f aca="false">IF($A2826="","",U2826*AB2826/100)</f>
        <v/>
      </c>
      <c r="X2826" s="26" t="str">
        <f aca="false">IF($A2826="","",U2826-W2826)</f>
        <v/>
      </c>
      <c r="Y2826" s="26" t="str">
        <f aca="false">IF($A2826="","",U2826-W2826-M2826)</f>
        <v/>
      </c>
      <c r="AB2826" s="27" t="str">
        <f aca="false">IF($A2826="","",IF($AK2826=1,'كشف المطالبة'!$D$5,'كشف المطالبة'!$D$6)*100)</f>
        <v/>
      </c>
      <c r="AK2826" s="28" t="str">
        <f aca="false">IF($A2826="","",IF(OR($Q2826=TRUE(),$Q2826="TRUE"),1,0))</f>
        <v/>
      </c>
      <c r="AL2826" s="28" t="str">
        <f aca="false">IF($N2826="","",IF(MATCH($N2826,$N$2:$N$3001,0)=ROWS($N$2:$N2826),$N2826,""))</f>
        <v/>
      </c>
    </row>
    <row r="2827" customFormat="false" ht="15" hidden="false" customHeight="false" outlineLevel="0" collapsed="false">
      <c r="E2827" s="25"/>
      <c r="M2827" s="26" t="str">
        <f aca="false">IF($A2827="","",$L2827*$U2827/100)</f>
        <v/>
      </c>
      <c r="W2827" s="26" t="str">
        <f aca="false">IF($A2827="","",U2827*AB2827/100)</f>
        <v/>
      </c>
      <c r="X2827" s="26" t="str">
        <f aca="false">IF($A2827="","",U2827-W2827)</f>
        <v/>
      </c>
      <c r="Y2827" s="26" t="str">
        <f aca="false">IF($A2827="","",U2827-W2827-M2827)</f>
        <v/>
      </c>
      <c r="AB2827" s="27" t="str">
        <f aca="false">IF($A2827="","",IF($AK2827=1,'كشف المطالبة'!$D$5,'كشف المطالبة'!$D$6)*100)</f>
        <v/>
      </c>
      <c r="AK2827" s="28" t="str">
        <f aca="false">IF($A2827="","",IF(OR($Q2827=TRUE(),$Q2827="TRUE"),1,0))</f>
        <v/>
      </c>
      <c r="AL2827" s="28" t="str">
        <f aca="false">IF($N2827="","",IF(MATCH($N2827,$N$2:$N$3001,0)=ROWS($N$2:$N2827),$N2827,""))</f>
        <v/>
      </c>
    </row>
    <row r="2828" customFormat="false" ht="15" hidden="false" customHeight="false" outlineLevel="0" collapsed="false">
      <c r="E2828" s="25"/>
      <c r="M2828" s="26" t="str">
        <f aca="false">IF($A2828="","",$L2828*$U2828/100)</f>
        <v/>
      </c>
      <c r="W2828" s="26" t="str">
        <f aca="false">IF($A2828="","",U2828*AB2828/100)</f>
        <v/>
      </c>
      <c r="X2828" s="26" t="str">
        <f aca="false">IF($A2828="","",U2828-W2828)</f>
        <v/>
      </c>
      <c r="Y2828" s="26" t="str">
        <f aca="false">IF($A2828="","",U2828-W2828-M2828)</f>
        <v/>
      </c>
      <c r="AB2828" s="27" t="str">
        <f aca="false">IF($A2828="","",IF($AK2828=1,'كشف المطالبة'!$D$5,'كشف المطالبة'!$D$6)*100)</f>
        <v/>
      </c>
      <c r="AK2828" s="28" t="str">
        <f aca="false">IF($A2828="","",IF(OR($Q2828=TRUE(),$Q2828="TRUE"),1,0))</f>
        <v/>
      </c>
      <c r="AL2828" s="28" t="str">
        <f aca="false">IF($N2828="","",IF(MATCH($N2828,$N$2:$N$3001,0)=ROWS($N$2:$N2828),$N2828,""))</f>
        <v/>
      </c>
    </row>
    <row r="2829" customFormat="false" ht="15" hidden="false" customHeight="false" outlineLevel="0" collapsed="false">
      <c r="E2829" s="25"/>
      <c r="M2829" s="26" t="str">
        <f aca="false">IF($A2829="","",$L2829*$U2829/100)</f>
        <v/>
      </c>
      <c r="W2829" s="26" t="str">
        <f aca="false">IF($A2829="","",U2829*AB2829/100)</f>
        <v/>
      </c>
      <c r="X2829" s="26" t="str">
        <f aca="false">IF($A2829="","",U2829-W2829)</f>
        <v/>
      </c>
      <c r="Y2829" s="26" t="str">
        <f aca="false">IF($A2829="","",U2829-W2829-M2829)</f>
        <v/>
      </c>
      <c r="AB2829" s="27" t="str">
        <f aca="false">IF($A2829="","",IF($AK2829=1,'كشف المطالبة'!$D$5,'كشف المطالبة'!$D$6)*100)</f>
        <v/>
      </c>
      <c r="AK2829" s="28" t="str">
        <f aca="false">IF($A2829="","",IF(OR($Q2829=TRUE(),$Q2829="TRUE"),1,0))</f>
        <v/>
      </c>
      <c r="AL2829" s="28" t="str">
        <f aca="false">IF($N2829="","",IF(MATCH($N2829,$N$2:$N$3001,0)=ROWS($N$2:$N2829),$N2829,""))</f>
        <v/>
      </c>
    </row>
    <row r="2830" customFormat="false" ht="15" hidden="false" customHeight="false" outlineLevel="0" collapsed="false">
      <c r="E2830" s="25"/>
      <c r="M2830" s="26" t="str">
        <f aca="false">IF($A2830="","",$L2830*$U2830/100)</f>
        <v/>
      </c>
      <c r="W2830" s="26" t="str">
        <f aca="false">IF($A2830="","",U2830*AB2830/100)</f>
        <v/>
      </c>
      <c r="X2830" s="26" t="str">
        <f aca="false">IF($A2830="","",U2830-W2830)</f>
        <v/>
      </c>
      <c r="Y2830" s="26" t="str">
        <f aca="false">IF($A2830="","",U2830-W2830-M2830)</f>
        <v/>
      </c>
      <c r="AB2830" s="27" t="str">
        <f aca="false">IF($A2830="","",IF($AK2830=1,'كشف المطالبة'!$D$5,'كشف المطالبة'!$D$6)*100)</f>
        <v/>
      </c>
      <c r="AK2830" s="28" t="str">
        <f aca="false">IF($A2830="","",IF(OR($Q2830=TRUE(),$Q2830="TRUE"),1,0))</f>
        <v/>
      </c>
      <c r="AL2830" s="28" t="str">
        <f aca="false">IF($N2830="","",IF(MATCH($N2830,$N$2:$N$3001,0)=ROWS($N$2:$N2830),$N2830,""))</f>
        <v/>
      </c>
    </row>
    <row r="2831" customFormat="false" ht="15" hidden="false" customHeight="false" outlineLevel="0" collapsed="false">
      <c r="E2831" s="25"/>
      <c r="M2831" s="26" t="str">
        <f aca="false">IF($A2831="","",$L2831*$U2831/100)</f>
        <v/>
      </c>
      <c r="W2831" s="26" t="str">
        <f aca="false">IF($A2831="","",U2831*AB2831/100)</f>
        <v/>
      </c>
      <c r="X2831" s="26" t="str">
        <f aca="false">IF($A2831="","",U2831-W2831)</f>
        <v/>
      </c>
      <c r="Y2831" s="26" t="str">
        <f aca="false">IF($A2831="","",U2831-W2831-M2831)</f>
        <v/>
      </c>
      <c r="AB2831" s="27" t="str">
        <f aca="false">IF($A2831="","",IF($AK2831=1,'كشف المطالبة'!$D$5,'كشف المطالبة'!$D$6)*100)</f>
        <v/>
      </c>
      <c r="AK2831" s="28" t="str">
        <f aca="false">IF($A2831="","",IF(OR($Q2831=TRUE(),$Q2831="TRUE"),1,0))</f>
        <v/>
      </c>
      <c r="AL2831" s="28" t="str">
        <f aca="false">IF($N2831="","",IF(MATCH($N2831,$N$2:$N$3001,0)=ROWS($N$2:$N2831),$N2831,""))</f>
        <v/>
      </c>
    </row>
    <row r="2832" customFormat="false" ht="15" hidden="false" customHeight="false" outlineLevel="0" collapsed="false">
      <c r="E2832" s="25"/>
      <c r="M2832" s="26" t="str">
        <f aca="false">IF($A2832="","",$L2832*$U2832/100)</f>
        <v/>
      </c>
      <c r="W2832" s="26" t="str">
        <f aca="false">IF($A2832="","",U2832*AB2832/100)</f>
        <v/>
      </c>
      <c r="X2832" s="26" t="str">
        <f aca="false">IF($A2832="","",U2832-W2832)</f>
        <v/>
      </c>
      <c r="Y2832" s="26" t="str">
        <f aca="false">IF($A2832="","",U2832-W2832-M2832)</f>
        <v/>
      </c>
      <c r="AB2832" s="27" t="str">
        <f aca="false">IF($A2832="","",IF($AK2832=1,'كشف المطالبة'!$D$5,'كشف المطالبة'!$D$6)*100)</f>
        <v/>
      </c>
      <c r="AK2832" s="28" t="str">
        <f aca="false">IF($A2832="","",IF(OR($Q2832=TRUE(),$Q2832="TRUE"),1,0))</f>
        <v/>
      </c>
      <c r="AL2832" s="28" t="str">
        <f aca="false">IF($N2832="","",IF(MATCH($N2832,$N$2:$N$3001,0)=ROWS($N$2:$N2832),$N2832,""))</f>
        <v/>
      </c>
    </row>
    <row r="2833" customFormat="false" ht="15" hidden="false" customHeight="false" outlineLevel="0" collapsed="false">
      <c r="E2833" s="25"/>
      <c r="M2833" s="26" t="str">
        <f aca="false">IF($A2833="","",$L2833*$U2833/100)</f>
        <v/>
      </c>
      <c r="W2833" s="26" t="str">
        <f aca="false">IF($A2833="","",U2833*AB2833/100)</f>
        <v/>
      </c>
      <c r="X2833" s="26" t="str">
        <f aca="false">IF($A2833="","",U2833-W2833)</f>
        <v/>
      </c>
      <c r="Y2833" s="26" t="str">
        <f aca="false">IF($A2833="","",U2833-W2833-M2833)</f>
        <v/>
      </c>
      <c r="AB2833" s="27" t="str">
        <f aca="false">IF($A2833="","",IF($AK2833=1,'كشف المطالبة'!$D$5,'كشف المطالبة'!$D$6)*100)</f>
        <v/>
      </c>
      <c r="AK2833" s="28" t="str">
        <f aca="false">IF($A2833="","",IF(OR($Q2833=TRUE(),$Q2833="TRUE"),1,0))</f>
        <v/>
      </c>
      <c r="AL2833" s="28" t="str">
        <f aca="false">IF($N2833="","",IF(MATCH($N2833,$N$2:$N$3001,0)=ROWS($N$2:$N2833),$N2833,""))</f>
        <v/>
      </c>
    </row>
    <row r="2834" customFormat="false" ht="15" hidden="false" customHeight="false" outlineLevel="0" collapsed="false">
      <c r="E2834" s="25"/>
      <c r="M2834" s="26" t="str">
        <f aca="false">IF($A2834="","",$L2834*$U2834/100)</f>
        <v/>
      </c>
      <c r="W2834" s="26" t="str">
        <f aca="false">IF($A2834="","",U2834*AB2834/100)</f>
        <v/>
      </c>
      <c r="X2834" s="26" t="str">
        <f aca="false">IF($A2834="","",U2834-W2834)</f>
        <v/>
      </c>
      <c r="Y2834" s="26" t="str">
        <f aca="false">IF($A2834="","",U2834-W2834-M2834)</f>
        <v/>
      </c>
      <c r="AB2834" s="27" t="str">
        <f aca="false">IF($A2834="","",IF($AK2834=1,'كشف المطالبة'!$D$5,'كشف المطالبة'!$D$6)*100)</f>
        <v/>
      </c>
      <c r="AK2834" s="28" t="str">
        <f aca="false">IF($A2834="","",IF(OR($Q2834=TRUE(),$Q2834="TRUE"),1,0))</f>
        <v/>
      </c>
      <c r="AL2834" s="28" t="str">
        <f aca="false">IF($N2834="","",IF(MATCH($N2834,$N$2:$N$3001,0)=ROWS($N$2:$N2834),$N2834,""))</f>
        <v/>
      </c>
    </row>
    <row r="2835" customFormat="false" ht="15" hidden="false" customHeight="false" outlineLevel="0" collapsed="false">
      <c r="E2835" s="25"/>
      <c r="M2835" s="26" t="str">
        <f aca="false">IF($A2835="","",$L2835*$U2835/100)</f>
        <v/>
      </c>
      <c r="W2835" s="26" t="str">
        <f aca="false">IF($A2835="","",U2835*AB2835/100)</f>
        <v/>
      </c>
      <c r="X2835" s="26" t="str">
        <f aca="false">IF($A2835="","",U2835-W2835)</f>
        <v/>
      </c>
      <c r="Y2835" s="26" t="str">
        <f aca="false">IF($A2835="","",U2835-W2835-M2835)</f>
        <v/>
      </c>
      <c r="AB2835" s="27" t="str">
        <f aca="false">IF($A2835="","",IF($AK2835=1,'كشف المطالبة'!$D$5,'كشف المطالبة'!$D$6)*100)</f>
        <v/>
      </c>
      <c r="AK2835" s="28" t="str">
        <f aca="false">IF($A2835="","",IF(OR($Q2835=TRUE(),$Q2835="TRUE"),1,0))</f>
        <v/>
      </c>
      <c r="AL2835" s="28" t="str">
        <f aca="false">IF($N2835="","",IF(MATCH($N2835,$N$2:$N$3001,0)=ROWS($N$2:$N2835),$N2835,""))</f>
        <v/>
      </c>
    </row>
    <row r="2836" customFormat="false" ht="15" hidden="false" customHeight="false" outlineLevel="0" collapsed="false">
      <c r="E2836" s="25"/>
      <c r="M2836" s="26" t="str">
        <f aca="false">IF($A2836="","",$L2836*$U2836/100)</f>
        <v/>
      </c>
      <c r="W2836" s="26" t="str">
        <f aca="false">IF($A2836="","",U2836*AB2836/100)</f>
        <v/>
      </c>
      <c r="X2836" s="26" t="str">
        <f aca="false">IF($A2836="","",U2836-W2836)</f>
        <v/>
      </c>
      <c r="Y2836" s="26" t="str">
        <f aca="false">IF($A2836="","",U2836-W2836-M2836)</f>
        <v/>
      </c>
      <c r="AB2836" s="27" t="str">
        <f aca="false">IF($A2836="","",IF($AK2836=1,'كشف المطالبة'!$D$5,'كشف المطالبة'!$D$6)*100)</f>
        <v/>
      </c>
      <c r="AK2836" s="28" t="str">
        <f aca="false">IF($A2836="","",IF(OR($Q2836=TRUE(),$Q2836="TRUE"),1,0))</f>
        <v/>
      </c>
      <c r="AL2836" s="28" t="str">
        <f aca="false">IF($N2836="","",IF(MATCH($N2836,$N$2:$N$3001,0)=ROWS($N$2:$N2836),$N2836,""))</f>
        <v/>
      </c>
    </row>
    <row r="2837" customFormat="false" ht="15" hidden="false" customHeight="false" outlineLevel="0" collapsed="false">
      <c r="E2837" s="25"/>
      <c r="M2837" s="26" t="str">
        <f aca="false">IF($A2837="","",$L2837*$U2837/100)</f>
        <v/>
      </c>
      <c r="W2837" s="26" t="str">
        <f aca="false">IF($A2837="","",U2837*AB2837/100)</f>
        <v/>
      </c>
      <c r="X2837" s="26" t="str">
        <f aca="false">IF($A2837="","",U2837-W2837)</f>
        <v/>
      </c>
      <c r="Y2837" s="26" t="str">
        <f aca="false">IF($A2837="","",U2837-W2837-M2837)</f>
        <v/>
      </c>
      <c r="AB2837" s="27" t="str">
        <f aca="false">IF($A2837="","",IF($AK2837=1,'كشف المطالبة'!$D$5,'كشف المطالبة'!$D$6)*100)</f>
        <v/>
      </c>
      <c r="AK2837" s="28" t="str">
        <f aca="false">IF($A2837="","",IF(OR($Q2837=TRUE(),$Q2837="TRUE"),1,0))</f>
        <v/>
      </c>
      <c r="AL2837" s="28" t="str">
        <f aca="false">IF($N2837="","",IF(MATCH($N2837,$N$2:$N$3001,0)=ROWS($N$2:$N2837),$N2837,""))</f>
        <v/>
      </c>
    </row>
    <row r="2838" customFormat="false" ht="15" hidden="false" customHeight="false" outlineLevel="0" collapsed="false">
      <c r="E2838" s="25"/>
      <c r="M2838" s="26" t="str">
        <f aca="false">IF($A2838="","",$L2838*$U2838/100)</f>
        <v/>
      </c>
      <c r="W2838" s="26" t="str">
        <f aca="false">IF($A2838="","",U2838*AB2838/100)</f>
        <v/>
      </c>
      <c r="X2838" s="26" t="str">
        <f aca="false">IF($A2838="","",U2838-W2838)</f>
        <v/>
      </c>
      <c r="Y2838" s="26" t="str">
        <f aca="false">IF($A2838="","",U2838-W2838-M2838)</f>
        <v/>
      </c>
      <c r="AB2838" s="27" t="str">
        <f aca="false">IF($A2838="","",IF($AK2838=1,'كشف المطالبة'!$D$5,'كشف المطالبة'!$D$6)*100)</f>
        <v/>
      </c>
      <c r="AK2838" s="28" t="str">
        <f aca="false">IF($A2838="","",IF(OR($Q2838=TRUE(),$Q2838="TRUE"),1,0))</f>
        <v/>
      </c>
      <c r="AL2838" s="28" t="str">
        <f aca="false">IF($N2838="","",IF(MATCH($N2838,$N$2:$N$3001,0)=ROWS($N$2:$N2838),$N2838,""))</f>
        <v/>
      </c>
    </row>
    <row r="2839" customFormat="false" ht="15" hidden="false" customHeight="false" outlineLevel="0" collapsed="false">
      <c r="E2839" s="25"/>
      <c r="M2839" s="26" t="str">
        <f aca="false">IF($A2839="","",$L2839*$U2839/100)</f>
        <v/>
      </c>
      <c r="W2839" s="26" t="str">
        <f aca="false">IF($A2839="","",U2839*AB2839/100)</f>
        <v/>
      </c>
      <c r="X2839" s="26" t="str">
        <f aca="false">IF($A2839="","",U2839-W2839)</f>
        <v/>
      </c>
      <c r="Y2839" s="26" t="str">
        <f aca="false">IF($A2839="","",U2839-W2839-M2839)</f>
        <v/>
      </c>
      <c r="AB2839" s="27" t="str">
        <f aca="false">IF($A2839="","",IF($AK2839=1,'كشف المطالبة'!$D$5,'كشف المطالبة'!$D$6)*100)</f>
        <v/>
      </c>
      <c r="AK2839" s="28" t="str">
        <f aca="false">IF($A2839="","",IF(OR($Q2839=TRUE(),$Q2839="TRUE"),1,0))</f>
        <v/>
      </c>
      <c r="AL2839" s="28" t="str">
        <f aca="false">IF($N2839="","",IF(MATCH($N2839,$N$2:$N$3001,0)=ROWS($N$2:$N2839),$N2839,""))</f>
        <v/>
      </c>
    </row>
    <row r="2840" customFormat="false" ht="15" hidden="false" customHeight="false" outlineLevel="0" collapsed="false">
      <c r="E2840" s="25"/>
      <c r="M2840" s="26" t="str">
        <f aca="false">IF($A2840="","",$L2840*$U2840/100)</f>
        <v/>
      </c>
      <c r="W2840" s="26" t="str">
        <f aca="false">IF($A2840="","",U2840*AB2840/100)</f>
        <v/>
      </c>
      <c r="X2840" s="26" t="str">
        <f aca="false">IF($A2840="","",U2840-W2840)</f>
        <v/>
      </c>
      <c r="Y2840" s="26" t="str">
        <f aca="false">IF($A2840="","",U2840-W2840-M2840)</f>
        <v/>
      </c>
      <c r="AB2840" s="27" t="str">
        <f aca="false">IF($A2840="","",IF($AK2840=1,'كشف المطالبة'!$D$5,'كشف المطالبة'!$D$6)*100)</f>
        <v/>
      </c>
      <c r="AK2840" s="28" t="str">
        <f aca="false">IF($A2840="","",IF(OR($Q2840=TRUE(),$Q2840="TRUE"),1,0))</f>
        <v/>
      </c>
      <c r="AL2840" s="28" t="str">
        <f aca="false">IF($N2840="","",IF(MATCH($N2840,$N$2:$N$3001,0)=ROWS($N$2:$N2840),$N2840,""))</f>
        <v/>
      </c>
    </row>
    <row r="2841" customFormat="false" ht="15" hidden="false" customHeight="false" outlineLevel="0" collapsed="false">
      <c r="E2841" s="25"/>
      <c r="M2841" s="26" t="str">
        <f aca="false">IF($A2841="","",$L2841*$U2841/100)</f>
        <v/>
      </c>
      <c r="W2841" s="26" t="str">
        <f aca="false">IF($A2841="","",U2841*AB2841/100)</f>
        <v/>
      </c>
      <c r="X2841" s="26" t="str">
        <f aca="false">IF($A2841="","",U2841-W2841)</f>
        <v/>
      </c>
      <c r="Y2841" s="26" t="str">
        <f aca="false">IF($A2841="","",U2841-W2841-M2841)</f>
        <v/>
      </c>
      <c r="AB2841" s="27" t="str">
        <f aca="false">IF($A2841="","",IF($AK2841=1,'كشف المطالبة'!$D$5,'كشف المطالبة'!$D$6)*100)</f>
        <v/>
      </c>
      <c r="AK2841" s="28" t="str">
        <f aca="false">IF($A2841="","",IF(OR($Q2841=TRUE(),$Q2841="TRUE"),1,0))</f>
        <v/>
      </c>
      <c r="AL2841" s="28" t="str">
        <f aca="false">IF($N2841="","",IF(MATCH($N2841,$N$2:$N$3001,0)=ROWS($N$2:$N2841),$N2841,""))</f>
        <v/>
      </c>
    </row>
    <row r="2842" customFormat="false" ht="15" hidden="false" customHeight="false" outlineLevel="0" collapsed="false">
      <c r="E2842" s="25"/>
      <c r="M2842" s="26" t="str">
        <f aca="false">IF($A2842="","",$L2842*$U2842/100)</f>
        <v/>
      </c>
      <c r="W2842" s="26" t="str">
        <f aca="false">IF($A2842="","",U2842*AB2842/100)</f>
        <v/>
      </c>
      <c r="X2842" s="26" t="str">
        <f aca="false">IF($A2842="","",U2842-W2842)</f>
        <v/>
      </c>
      <c r="Y2842" s="26" t="str">
        <f aca="false">IF($A2842="","",U2842-W2842-M2842)</f>
        <v/>
      </c>
      <c r="AB2842" s="27" t="str">
        <f aca="false">IF($A2842="","",IF($AK2842=1,'كشف المطالبة'!$D$5,'كشف المطالبة'!$D$6)*100)</f>
        <v/>
      </c>
      <c r="AK2842" s="28" t="str">
        <f aca="false">IF($A2842="","",IF(OR($Q2842=TRUE(),$Q2842="TRUE"),1,0))</f>
        <v/>
      </c>
      <c r="AL2842" s="28" t="str">
        <f aca="false">IF($N2842="","",IF(MATCH($N2842,$N$2:$N$3001,0)=ROWS($N$2:$N2842),$N2842,""))</f>
        <v/>
      </c>
    </row>
    <row r="2843" customFormat="false" ht="15" hidden="false" customHeight="false" outlineLevel="0" collapsed="false">
      <c r="E2843" s="25"/>
      <c r="M2843" s="26" t="str">
        <f aca="false">IF($A2843="","",$L2843*$U2843/100)</f>
        <v/>
      </c>
      <c r="W2843" s="26" t="str">
        <f aca="false">IF($A2843="","",U2843*AB2843/100)</f>
        <v/>
      </c>
      <c r="X2843" s="26" t="str">
        <f aca="false">IF($A2843="","",U2843-W2843)</f>
        <v/>
      </c>
      <c r="Y2843" s="26" t="str">
        <f aca="false">IF($A2843="","",U2843-W2843-M2843)</f>
        <v/>
      </c>
      <c r="AB2843" s="27" t="str">
        <f aca="false">IF($A2843="","",IF($AK2843=1,'كشف المطالبة'!$D$5,'كشف المطالبة'!$D$6)*100)</f>
        <v/>
      </c>
      <c r="AK2843" s="28" t="str">
        <f aca="false">IF($A2843="","",IF(OR($Q2843=TRUE(),$Q2843="TRUE"),1,0))</f>
        <v/>
      </c>
      <c r="AL2843" s="28" t="str">
        <f aca="false">IF($N2843="","",IF(MATCH($N2843,$N$2:$N$3001,0)=ROWS($N$2:$N2843),$N2843,""))</f>
        <v/>
      </c>
    </row>
    <row r="2844" customFormat="false" ht="15" hidden="false" customHeight="false" outlineLevel="0" collapsed="false">
      <c r="E2844" s="25"/>
      <c r="M2844" s="26" t="str">
        <f aca="false">IF($A2844="","",$L2844*$U2844/100)</f>
        <v/>
      </c>
      <c r="W2844" s="26" t="str">
        <f aca="false">IF($A2844="","",U2844*AB2844/100)</f>
        <v/>
      </c>
      <c r="X2844" s="26" t="str">
        <f aca="false">IF($A2844="","",U2844-W2844)</f>
        <v/>
      </c>
      <c r="Y2844" s="26" t="str">
        <f aca="false">IF($A2844="","",U2844-W2844-M2844)</f>
        <v/>
      </c>
      <c r="AB2844" s="27" t="str">
        <f aca="false">IF($A2844="","",IF($AK2844=1,'كشف المطالبة'!$D$5,'كشف المطالبة'!$D$6)*100)</f>
        <v/>
      </c>
      <c r="AK2844" s="28" t="str">
        <f aca="false">IF($A2844="","",IF(OR($Q2844=TRUE(),$Q2844="TRUE"),1,0))</f>
        <v/>
      </c>
      <c r="AL2844" s="28" t="str">
        <f aca="false">IF($N2844="","",IF(MATCH($N2844,$N$2:$N$3001,0)=ROWS($N$2:$N2844),$N2844,""))</f>
        <v/>
      </c>
    </row>
    <row r="2845" customFormat="false" ht="15" hidden="false" customHeight="false" outlineLevel="0" collapsed="false">
      <c r="E2845" s="25"/>
      <c r="M2845" s="26" t="str">
        <f aca="false">IF($A2845="","",$L2845*$U2845/100)</f>
        <v/>
      </c>
      <c r="W2845" s="26" t="str">
        <f aca="false">IF($A2845="","",U2845*AB2845/100)</f>
        <v/>
      </c>
      <c r="X2845" s="26" t="str">
        <f aca="false">IF($A2845="","",U2845-W2845)</f>
        <v/>
      </c>
      <c r="Y2845" s="26" t="str">
        <f aca="false">IF($A2845="","",U2845-W2845-M2845)</f>
        <v/>
      </c>
      <c r="AB2845" s="27" t="str">
        <f aca="false">IF($A2845="","",IF($AK2845=1,'كشف المطالبة'!$D$5,'كشف المطالبة'!$D$6)*100)</f>
        <v/>
      </c>
      <c r="AK2845" s="28" t="str">
        <f aca="false">IF($A2845="","",IF(OR($Q2845=TRUE(),$Q2845="TRUE"),1,0))</f>
        <v/>
      </c>
      <c r="AL2845" s="28" t="str">
        <f aca="false">IF($N2845="","",IF(MATCH($N2845,$N$2:$N$3001,0)=ROWS($N$2:$N2845),$N2845,""))</f>
        <v/>
      </c>
    </row>
    <row r="2846" customFormat="false" ht="15" hidden="false" customHeight="false" outlineLevel="0" collapsed="false">
      <c r="E2846" s="25"/>
      <c r="M2846" s="26" t="str">
        <f aca="false">IF($A2846="","",$L2846*$U2846/100)</f>
        <v/>
      </c>
      <c r="W2846" s="26" t="str">
        <f aca="false">IF($A2846="","",U2846*AB2846/100)</f>
        <v/>
      </c>
      <c r="X2846" s="26" t="str">
        <f aca="false">IF($A2846="","",U2846-W2846)</f>
        <v/>
      </c>
      <c r="Y2846" s="26" t="str">
        <f aca="false">IF($A2846="","",U2846-W2846-M2846)</f>
        <v/>
      </c>
      <c r="AB2846" s="27" t="str">
        <f aca="false">IF($A2846="","",IF($AK2846=1,'كشف المطالبة'!$D$5,'كشف المطالبة'!$D$6)*100)</f>
        <v/>
      </c>
      <c r="AK2846" s="28" t="str">
        <f aca="false">IF($A2846="","",IF(OR($Q2846=TRUE(),$Q2846="TRUE"),1,0))</f>
        <v/>
      </c>
      <c r="AL2846" s="28" t="str">
        <f aca="false">IF($N2846="","",IF(MATCH($N2846,$N$2:$N$3001,0)=ROWS($N$2:$N2846),$N2846,""))</f>
        <v/>
      </c>
    </row>
    <row r="2847" customFormat="false" ht="15" hidden="false" customHeight="false" outlineLevel="0" collapsed="false">
      <c r="E2847" s="25"/>
      <c r="M2847" s="26" t="str">
        <f aca="false">IF($A2847="","",$L2847*$U2847/100)</f>
        <v/>
      </c>
      <c r="W2847" s="26" t="str">
        <f aca="false">IF($A2847="","",U2847*AB2847/100)</f>
        <v/>
      </c>
      <c r="X2847" s="26" t="str">
        <f aca="false">IF($A2847="","",U2847-W2847)</f>
        <v/>
      </c>
      <c r="Y2847" s="26" t="str">
        <f aca="false">IF($A2847="","",U2847-W2847-M2847)</f>
        <v/>
      </c>
      <c r="AB2847" s="27" t="str">
        <f aca="false">IF($A2847="","",IF($AK2847=1,'كشف المطالبة'!$D$5,'كشف المطالبة'!$D$6)*100)</f>
        <v/>
      </c>
      <c r="AK2847" s="28" t="str">
        <f aca="false">IF($A2847="","",IF(OR($Q2847=TRUE(),$Q2847="TRUE"),1,0))</f>
        <v/>
      </c>
      <c r="AL2847" s="28" t="str">
        <f aca="false">IF($N2847="","",IF(MATCH($N2847,$N$2:$N$3001,0)=ROWS($N$2:$N2847),$N2847,""))</f>
        <v/>
      </c>
    </row>
    <row r="2848" customFormat="false" ht="15" hidden="false" customHeight="false" outlineLevel="0" collapsed="false">
      <c r="E2848" s="25"/>
      <c r="M2848" s="26" t="str">
        <f aca="false">IF($A2848="","",$L2848*$U2848/100)</f>
        <v/>
      </c>
      <c r="W2848" s="26" t="str">
        <f aca="false">IF($A2848="","",U2848*AB2848/100)</f>
        <v/>
      </c>
      <c r="X2848" s="26" t="str">
        <f aca="false">IF($A2848="","",U2848-W2848)</f>
        <v/>
      </c>
      <c r="Y2848" s="26" t="str">
        <f aca="false">IF($A2848="","",U2848-W2848-M2848)</f>
        <v/>
      </c>
      <c r="AB2848" s="27" t="str">
        <f aca="false">IF($A2848="","",IF($AK2848=1,'كشف المطالبة'!$D$5,'كشف المطالبة'!$D$6)*100)</f>
        <v/>
      </c>
      <c r="AK2848" s="28" t="str">
        <f aca="false">IF($A2848="","",IF(OR($Q2848=TRUE(),$Q2848="TRUE"),1,0))</f>
        <v/>
      </c>
      <c r="AL2848" s="28" t="str">
        <f aca="false">IF($N2848="","",IF(MATCH($N2848,$N$2:$N$3001,0)=ROWS($N$2:$N2848),$N2848,""))</f>
        <v/>
      </c>
    </row>
    <row r="2849" customFormat="false" ht="15" hidden="false" customHeight="false" outlineLevel="0" collapsed="false">
      <c r="E2849" s="25"/>
      <c r="M2849" s="26" t="str">
        <f aca="false">IF($A2849="","",$L2849*$U2849/100)</f>
        <v/>
      </c>
      <c r="W2849" s="26" t="str">
        <f aca="false">IF($A2849="","",U2849*AB2849/100)</f>
        <v/>
      </c>
      <c r="X2849" s="26" t="str">
        <f aca="false">IF($A2849="","",U2849-W2849)</f>
        <v/>
      </c>
      <c r="Y2849" s="26" t="str">
        <f aca="false">IF($A2849="","",U2849-W2849-M2849)</f>
        <v/>
      </c>
      <c r="AB2849" s="27" t="str">
        <f aca="false">IF($A2849="","",IF($AK2849=1,'كشف المطالبة'!$D$5,'كشف المطالبة'!$D$6)*100)</f>
        <v/>
      </c>
      <c r="AK2849" s="28" t="str">
        <f aca="false">IF($A2849="","",IF(OR($Q2849=TRUE(),$Q2849="TRUE"),1,0))</f>
        <v/>
      </c>
      <c r="AL2849" s="28" t="str">
        <f aca="false">IF($N2849="","",IF(MATCH($N2849,$N$2:$N$3001,0)=ROWS($N$2:$N2849),$N2849,""))</f>
        <v/>
      </c>
    </row>
    <row r="2850" customFormat="false" ht="15" hidden="false" customHeight="false" outlineLevel="0" collapsed="false">
      <c r="E2850" s="25"/>
      <c r="M2850" s="26" t="str">
        <f aca="false">IF($A2850="","",$L2850*$U2850/100)</f>
        <v/>
      </c>
      <c r="W2850" s="26" t="str">
        <f aca="false">IF($A2850="","",U2850*AB2850/100)</f>
        <v/>
      </c>
      <c r="X2850" s="26" t="str">
        <f aca="false">IF($A2850="","",U2850-W2850)</f>
        <v/>
      </c>
      <c r="Y2850" s="26" t="str">
        <f aca="false">IF($A2850="","",U2850-W2850-M2850)</f>
        <v/>
      </c>
      <c r="AB2850" s="27" t="str">
        <f aca="false">IF($A2850="","",IF($AK2850=1,'كشف المطالبة'!$D$5,'كشف المطالبة'!$D$6)*100)</f>
        <v/>
      </c>
      <c r="AK2850" s="28" t="str">
        <f aca="false">IF($A2850="","",IF(OR($Q2850=TRUE(),$Q2850="TRUE"),1,0))</f>
        <v/>
      </c>
      <c r="AL2850" s="28" t="str">
        <f aca="false">IF($N2850="","",IF(MATCH($N2850,$N$2:$N$3001,0)=ROWS($N$2:$N2850),$N2850,""))</f>
        <v/>
      </c>
    </row>
    <row r="2851" customFormat="false" ht="15" hidden="false" customHeight="false" outlineLevel="0" collapsed="false">
      <c r="E2851" s="25"/>
      <c r="M2851" s="26" t="str">
        <f aca="false">IF($A2851="","",$L2851*$U2851/100)</f>
        <v/>
      </c>
      <c r="W2851" s="26" t="str">
        <f aca="false">IF($A2851="","",U2851*AB2851/100)</f>
        <v/>
      </c>
      <c r="X2851" s="26" t="str">
        <f aca="false">IF($A2851="","",U2851-W2851)</f>
        <v/>
      </c>
      <c r="Y2851" s="26" t="str">
        <f aca="false">IF($A2851="","",U2851-W2851-M2851)</f>
        <v/>
      </c>
      <c r="AB2851" s="27" t="str">
        <f aca="false">IF($A2851="","",IF($AK2851=1,'كشف المطالبة'!$D$5,'كشف المطالبة'!$D$6)*100)</f>
        <v/>
      </c>
      <c r="AK2851" s="28" t="str">
        <f aca="false">IF($A2851="","",IF(OR($Q2851=TRUE(),$Q2851="TRUE"),1,0))</f>
        <v/>
      </c>
      <c r="AL2851" s="28" t="str">
        <f aca="false">IF($N2851="","",IF(MATCH($N2851,$N$2:$N$3001,0)=ROWS($N$2:$N2851),$N2851,""))</f>
        <v/>
      </c>
    </row>
    <row r="2852" customFormat="false" ht="15" hidden="false" customHeight="false" outlineLevel="0" collapsed="false">
      <c r="E2852" s="25"/>
      <c r="M2852" s="26" t="str">
        <f aca="false">IF($A2852="","",$L2852*$U2852/100)</f>
        <v/>
      </c>
      <c r="W2852" s="26" t="str">
        <f aca="false">IF($A2852="","",U2852*AB2852/100)</f>
        <v/>
      </c>
      <c r="X2852" s="26" t="str">
        <f aca="false">IF($A2852="","",U2852-W2852)</f>
        <v/>
      </c>
      <c r="Y2852" s="26" t="str">
        <f aca="false">IF($A2852="","",U2852-W2852-M2852)</f>
        <v/>
      </c>
      <c r="AB2852" s="27" t="str">
        <f aca="false">IF($A2852="","",IF($AK2852=1,'كشف المطالبة'!$D$5,'كشف المطالبة'!$D$6)*100)</f>
        <v/>
      </c>
      <c r="AK2852" s="28" t="str">
        <f aca="false">IF($A2852="","",IF(OR($Q2852=TRUE(),$Q2852="TRUE"),1,0))</f>
        <v/>
      </c>
      <c r="AL2852" s="28" t="str">
        <f aca="false">IF($N2852="","",IF(MATCH($N2852,$N$2:$N$3001,0)=ROWS($N$2:$N2852),$N2852,""))</f>
        <v/>
      </c>
    </row>
    <row r="2853" customFormat="false" ht="15" hidden="false" customHeight="false" outlineLevel="0" collapsed="false">
      <c r="E2853" s="25"/>
      <c r="M2853" s="26" t="str">
        <f aca="false">IF($A2853="","",$L2853*$U2853/100)</f>
        <v/>
      </c>
      <c r="W2853" s="26" t="str">
        <f aca="false">IF($A2853="","",U2853*AB2853/100)</f>
        <v/>
      </c>
      <c r="X2853" s="26" t="str">
        <f aca="false">IF($A2853="","",U2853-W2853)</f>
        <v/>
      </c>
      <c r="Y2853" s="26" t="str">
        <f aca="false">IF($A2853="","",U2853-W2853-M2853)</f>
        <v/>
      </c>
      <c r="AB2853" s="27" t="str">
        <f aca="false">IF($A2853="","",IF($AK2853=1,'كشف المطالبة'!$D$5,'كشف المطالبة'!$D$6)*100)</f>
        <v/>
      </c>
      <c r="AK2853" s="28" t="str">
        <f aca="false">IF($A2853="","",IF(OR($Q2853=TRUE(),$Q2853="TRUE"),1,0))</f>
        <v/>
      </c>
      <c r="AL2853" s="28" t="str">
        <f aca="false">IF($N2853="","",IF(MATCH($N2853,$N$2:$N$3001,0)=ROWS($N$2:$N2853),$N2853,""))</f>
        <v/>
      </c>
    </row>
    <row r="2854" customFormat="false" ht="15" hidden="false" customHeight="false" outlineLevel="0" collapsed="false">
      <c r="E2854" s="25"/>
      <c r="M2854" s="26" t="str">
        <f aca="false">IF($A2854="","",$L2854*$U2854/100)</f>
        <v/>
      </c>
      <c r="W2854" s="26" t="str">
        <f aca="false">IF($A2854="","",U2854*AB2854/100)</f>
        <v/>
      </c>
      <c r="X2854" s="26" t="str">
        <f aca="false">IF($A2854="","",U2854-W2854)</f>
        <v/>
      </c>
      <c r="Y2854" s="26" t="str">
        <f aca="false">IF($A2854="","",U2854-W2854-M2854)</f>
        <v/>
      </c>
      <c r="AB2854" s="27" t="str">
        <f aca="false">IF($A2854="","",IF($AK2854=1,'كشف المطالبة'!$D$5,'كشف المطالبة'!$D$6)*100)</f>
        <v/>
      </c>
      <c r="AK2854" s="28" t="str">
        <f aca="false">IF($A2854="","",IF(OR($Q2854=TRUE(),$Q2854="TRUE"),1,0))</f>
        <v/>
      </c>
      <c r="AL2854" s="28" t="str">
        <f aca="false">IF($N2854="","",IF(MATCH($N2854,$N$2:$N$3001,0)=ROWS($N$2:$N2854),$N2854,""))</f>
        <v/>
      </c>
    </row>
    <row r="2855" customFormat="false" ht="15" hidden="false" customHeight="false" outlineLevel="0" collapsed="false">
      <c r="E2855" s="25"/>
      <c r="M2855" s="26" t="str">
        <f aca="false">IF($A2855="","",$L2855*$U2855/100)</f>
        <v/>
      </c>
      <c r="W2855" s="26" t="str">
        <f aca="false">IF($A2855="","",U2855*AB2855/100)</f>
        <v/>
      </c>
      <c r="X2855" s="26" t="str">
        <f aca="false">IF($A2855="","",U2855-W2855)</f>
        <v/>
      </c>
      <c r="Y2855" s="26" t="str">
        <f aca="false">IF($A2855="","",U2855-W2855-M2855)</f>
        <v/>
      </c>
      <c r="AB2855" s="27" t="str">
        <f aca="false">IF($A2855="","",IF($AK2855=1,'كشف المطالبة'!$D$5,'كشف المطالبة'!$D$6)*100)</f>
        <v/>
      </c>
      <c r="AK2855" s="28" t="str">
        <f aca="false">IF($A2855="","",IF(OR($Q2855=TRUE(),$Q2855="TRUE"),1,0))</f>
        <v/>
      </c>
      <c r="AL2855" s="28" t="str">
        <f aca="false">IF($N2855="","",IF(MATCH($N2855,$N$2:$N$3001,0)=ROWS($N$2:$N2855),$N2855,""))</f>
        <v/>
      </c>
    </row>
    <row r="2856" customFormat="false" ht="15" hidden="false" customHeight="false" outlineLevel="0" collapsed="false">
      <c r="E2856" s="25"/>
      <c r="M2856" s="26" t="str">
        <f aca="false">IF($A2856="","",$L2856*$U2856/100)</f>
        <v/>
      </c>
      <c r="W2856" s="26" t="str">
        <f aca="false">IF($A2856="","",U2856*AB2856/100)</f>
        <v/>
      </c>
      <c r="X2856" s="26" t="str">
        <f aca="false">IF($A2856="","",U2856-W2856)</f>
        <v/>
      </c>
      <c r="Y2856" s="26" t="str">
        <f aca="false">IF($A2856="","",U2856-W2856-M2856)</f>
        <v/>
      </c>
      <c r="AB2856" s="27" t="str">
        <f aca="false">IF($A2856="","",IF($AK2856=1,'كشف المطالبة'!$D$5,'كشف المطالبة'!$D$6)*100)</f>
        <v/>
      </c>
      <c r="AK2856" s="28" t="str">
        <f aca="false">IF($A2856="","",IF(OR($Q2856=TRUE(),$Q2856="TRUE"),1,0))</f>
        <v/>
      </c>
      <c r="AL2856" s="28" t="str">
        <f aca="false">IF($N2856="","",IF(MATCH($N2856,$N$2:$N$3001,0)=ROWS($N$2:$N2856),$N2856,""))</f>
        <v/>
      </c>
    </row>
    <row r="2857" customFormat="false" ht="15" hidden="false" customHeight="false" outlineLevel="0" collapsed="false">
      <c r="E2857" s="25"/>
      <c r="M2857" s="26" t="str">
        <f aca="false">IF($A2857="","",$L2857*$U2857/100)</f>
        <v/>
      </c>
      <c r="W2857" s="26" t="str">
        <f aca="false">IF($A2857="","",U2857*AB2857/100)</f>
        <v/>
      </c>
      <c r="X2857" s="26" t="str">
        <f aca="false">IF($A2857="","",U2857-W2857)</f>
        <v/>
      </c>
      <c r="Y2857" s="26" t="str">
        <f aca="false">IF($A2857="","",U2857-W2857-M2857)</f>
        <v/>
      </c>
      <c r="AB2857" s="27" t="str">
        <f aca="false">IF($A2857="","",IF($AK2857=1,'كشف المطالبة'!$D$5,'كشف المطالبة'!$D$6)*100)</f>
        <v/>
      </c>
      <c r="AK2857" s="28" t="str">
        <f aca="false">IF($A2857="","",IF(OR($Q2857=TRUE(),$Q2857="TRUE"),1,0))</f>
        <v/>
      </c>
      <c r="AL2857" s="28" t="str">
        <f aca="false">IF($N2857="","",IF(MATCH($N2857,$N$2:$N$3001,0)=ROWS($N$2:$N2857),$N2857,""))</f>
        <v/>
      </c>
    </row>
    <row r="2858" customFormat="false" ht="15" hidden="false" customHeight="false" outlineLevel="0" collapsed="false">
      <c r="E2858" s="25"/>
      <c r="M2858" s="26" t="str">
        <f aca="false">IF($A2858="","",$L2858*$U2858/100)</f>
        <v/>
      </c>
      <c r="W2858" s="26" t="str">
        <f aca="false">IF($A2858="","",U2858*AB2858/100)</f>
        <v/>
      </c>
      <c r="X2858" s="26" t="str">
        <f aca="false">IF($A2858="","",U2858-W2858)</f>
        <v/>
      </c>
      <c r="Y2858" s="26" t="str">
        <f aca="false">IF($A2858="","",U2858-W2858-M2858)</f>
        <v/>
      </c>
      <c r="AB2858" s="27" t="str">
        <f aca="false">IF($A2858="","",IF($AK2858=1,'كشف المطالبة'!$D$5,'كشف المطالبة'!$D$6)*100)</f>
        <v/>
      </c>
      <c r="AK2858" s="28" t="str">
        <f aca="false">IF($A2858="","",IF(OR($Q2858=TRUE(),$Q2858="TRUE"),1,0))</f>
        <v/>
      </c>
      <c r="AL2858" s="28" t="str">
        <f aca="false">IF($N2858="","",IF(MATCH($N2858,$N$2:$N$3001,0)=ROWS($N$2:$N2858),$N2858,""))</f>
        <v/>
      </c>
    </row>
    <row r="2859" customFormat="false" ht="15" hidden="false" customHeight="false" outlineLevel="0" collapsed="false">
      <c r="E2859" s="25"/>
      <c r="M2859" s="26" t="str">
        <f aca="false">IF($A2859="","",$L2859*$U2859/100)</f>
        <v/>
      </c>
      <c r="W2859" s="26" t="str">
        <f aca="false">IF($A2859="","",U2859*AB2859/100)</f>
        <v/>
      </c>
      <c r="X2859" s="26" t="str">
        <f aca="false">IF($A2859="","",U2859-W2859)</f>
        <v/>
      </c>
      <c r="Y2859" s="26" t="str">
        <f aca="false">IF($A2859="","",U2859-W2859-M2859)</f>
        <v/>
      </c>
      <c r="AB2859" s="27" t="str">
        <f aca="false">IF($A2859="","",IF($AK2859=1,'كشف المطالبة'!$D$5,'كشف المطالبة'!$D$6)*100)</f>
        <v/>
      </c>
      <c r="AK2859" s="28" t="str">
        <f aca="false">IF($A2859="","",IF(OR($Q2859=TRUE(),$Q2859="TRUE"),1,0))</f>
        <v/>
      </c>
      <c r="AL2859" s="28" t="str">
        <f aca="false">IF($N2859="","",IF(MATCH($N2859,$N$2:$N$3001,0)=ROWS($N$2:$N2859),$N2859,""))</f>
        <v/>
      </c>
    </row>
    <row r="2860" customFormat="false" ht="15" hidden="false" customHeight="false" outlineLevel="0" collapsed="false">
      <c r="E2860" s="25"/>
      <c r="M2860" s="26" t="str">
        <f aca="false">IF($A2860="","",$L2860*$U2860/100)</f>
        <v/>
      </c>
      <c r="W2860" s="26" t="str">
        <f aca="false">IF($A2860="","",U2860*AB2860/100)</f>
        <v/>
      </c>
      <c r="X2860" s="26" t="str">
        <f aca="false">IF($A2860="","",U2860-W2860)</f>
        <v/>
      </c>
      <c r="Y2860" s="26" t="str">
        <f aca="false">IF($A2860="","",U2860-W2860-M2860)</f>
        <v/>
      </c>
      <c r="AB2860" s="27" t="str">
        <f aca="false">IF($A2860="","",IF($AK2860=1,'كشف المطالبة'!$D$5,'كشف المطالبة'!$D$6)*100)</f>
        <v/>
      </c>
      <c r="AK2860" s="28" t="str">
        <f aca="false">IF($A2860="","",IF(OR($Q2860=TRUE(),$Q2860="TRUE"),1,0))</f>
        <v/>
      </c>
      <c r="AL2860" s="28" t="str">
        <f aca="false">IF($N2860="","",IF(MATCH($N2860,$N$2:$N$3001,0)=ROWS($N$2:$N2860),$N2860,""))</f>
        <v/>
      </c>
    </row>
    <row r="2861" customFormat="false" ht="15" hidden="false" customHeight="false" outlineLevel="0" collapsed="false">
      <c r="E2861" s="25"/>
      <c r="M2861" s="26" t="str">
        <f aca="false">IF($A2861="","",$L2861*$U2861/100)</f>
        <v/>
      </c>
      <c r="W2861" s="26" t="str">
        <f aca="false">IF($A2861="","",U2861*AB2861/100)</f>
        <v/>
      </c>
      <c r="X2861" s="26" t="str">
        <f aca="false">IF($A2861="","",U2861-W2861)</f>
        <v/>
      </c>
      <c r="Y2861" s="26" t="str">
        <f aca="false">IF($A2861="","",U2861-W2861-M2861)</f>
        <v/>
      </c>
      <c r="AB2861" s="27" t="str">
        <f aca="false">IF($A2861="","",IF($AK2861=1,'كشف المطالبة'!$D$5,'كشف المطالبة'!$D$6)*100)</f>
        <v/>
      </c>
      <c r="AK2861" s="28" t="str">
        <f aca="false">IF($A2861="","",IF(OR($Q2861=TRUE(),$Q2861="TRUE"),1,0))</f>
        <v/>
      </c>
      <c r="AL2861" s="28" t="str">
        <f aca="false">IF($N2861="","",IF(MATCH($N2861,$N$2:$N$3001,0)=ROWS($N$2:$N2861),$N2861,""))</f>
        <v/>
      </c>
    </row>
    <row r="2862" customFormat="false" ht="15" hidden="false" customHeight="false" outlineLevel="0" collapsed="false">
      <c r="E2862" s="25"/>
      <c r="M2862" s="26" t="str">
        <f aca="false">IF($A2862="","",$L2862*$U2862/100)</f>
        <v/>
      </c>
      <c r="W2862" s="26" t="str">
        <f aca="false">IF($A2862="","",U2862*AB2862/100)</f>
        <v/>
      </c>
      <c r="X2862" s="26" t="str">
        <f aca="false">IF($A2862="","",U2862-W2862)</f>
        <v/>
      </c>
      <c r="Y2862" s="26" t="str">
        <f aca="false">IF($A2862="","",U2862-W2862-M2862)</f>
        <v/>
      </c>
      <c r="AB2862" s="27" t="str">
        <f aca="false">IF($A2862="","",IF($AK2862=1,'كشف المطالبة'!$D$5,'كشف المطالبة'!$D$6)*100)</f>
        <v/>
      </c>
      <c r="AK2862" s="28" t="str">
        <f aca="false">IF($A2862="","",IF(OR($Q2862=TRUE(),$Q2862="TRUE"),1,0))</f>
        <v/>
      </c>
      <c r="AL2862" s="28" t="str">
        <f aca="false">IF($N2862="","",IF(MATCH($N2862,$N$2:$N$3001,0)=ROWS($N$2:$N2862),$N2862,""))</f>
        <v/>
      </c>
    </row>
    <row r="2863" customFormat="false" ht="15" hidden="false" customHeight="false" outlineLevel="0" collapsed="false">
      <c r="E2863" s="25"/>
      <c r="M2863" s="26" t="str">
        <f aca="false">IF($A2863="","",$L2863*$U2863/100)</f>
        <v/>
      </c>
      <c r="W2863" s="26" t="str">
        <f aca="false">IF($A2863="","",U2863*AB2863/100)</f>
        <v/>
      </c>
      <c r="X2863" s="26" t="str">
        <f aca="false">IF($A2863="","",U2863-W2863)</f>
        <v/>
      </c>
      <c r="Y2863" s="26" t="str">
        <f aca="false">IF($A2863="","",U2863-W2863-M2863)</f>
        <v/>
      </c>
      <c r="AB2863" s="27" t="str">
        <f aca="false">IF($A2863="","",IF($AK2863=1,'كشف المطالبة'!$D$5,'كشف المطالبة'!$D$6)*100)</f>
        <v/>
      </c>
      <c r="AK2863" s="28" t="str">
        <f aca="false">IF($A2863="","",IF(OR($Q2863=TRUE(),$Q2863="TRUE"),1,0))</f>
        <v/>
      </c>
      <c r="AL2863" s="28" t="str">
        <f aca="false">IF($N2863="","",IF(MATCH($N2863,$N$2:$N$3001,0)=ROWS($N$2:$N2863),$N2863,""))</f>
        <v/>
      </c>
    </row>
    <row r="2864" customFormat="false" ht="15" hidden="false" customHeight="false" outlineLevel="0" collapsed="false">
      <c r="E2864" s="25"/>
      <c r="M2864" s="26" t="str">
        <f aca="false">IF($A2864="","",$L2864*$U2864/100)</f>
        <v/>
      </c>
      <c r="W2864" s="26" t="str">
        <f aca="false">IF($A2864="","",U2864*AB2864/100)</f>
        <v/>
      </c>
      <c r="X2864" s="26" t="str">
        <f aca="false">IF($A2864="","",U2864-W2864)</f>
        <v/>
      </c>
      <c r="Y2864" s="26" t="str">
        <f aca="false">IF($A2864="","",U2864-W2864-M2864)</f>
        <v/>
      </c>
      <c r="AB2864" s="27" t="str">
        <f aca="false">IF($A2864="","",IF($AK2864=1,'كشف المطالبة'!$D$5,'كشف المطالبة'!$D$6)*100)</f>
        <v/>
      </c>
      <c r="AK2864" s="28" t="str">
        <f aca="false">IF($A2864="","",IF(OR($Q2864=TRUE(),$Q2864="TRUE"),1,0))</f>
        <v/>
      </c>
      <c r="AL2864" s="28" t="str">
        <f aca="false">IF($N2864="","",IF(MATCH($N2864,$N$2:$N$3001,0)=ROWS($N$2:$N2864),$N2864,""))</f>
        <v/>
      </c>
    </row>
    <row r="2865" customFormat="false" ht="15" hidden="false" customHeight="false" outlineLevel="0" collapsed="false">
      <c r="E2865" s="25"/>
      <c r="M2865" s="26" t="str">
        <f aca="false">IF($A2865="","",$L2865*$U2865/100)</f>
        <v/>
      </c>
      <c r="W2865" s="26" t="str">
        <f aca="false">IF($A2865="","",U2865*AB2865/100)</f>
        <v/>
      </c>
      <c r="X2865" s="26" t="str">
        <f aca="false">IF($A2865="","",U2865-W2865)</f>
        <v/>
      </c>
      <c r="Y2865" s="26" t="str">
        <f aca="false">IF($A2865="","",U2865-W2865-M2865)</f>
        <v/>
      </c>
      <c r="AB2865" s="27" t="str">
        <f aca="false">IF($A2865="","",IF($AK2865=1,'كشف المطالبة'!$D$5,'كشف المطالبة'!$D$6)*100)</f>
        <v/>
      </c>
      <c r="AK2865" s="28" t="str">
        <f aca="false">IF($A2865="","",IF(OR($Q2865=TRUE(),$Q2865="TRUE"),1,0))</f>
        <v/>
      </c>
      <c r="AL2865" s="28" t="str">
        <f aca="false">IF($N2865="","",IF(MATCH($N2865,$N$2:$N$3001,0)=ROWS($N$2:$N2865),$N2865,""))</f>
        <v/>
      </c>
    </row>
    <row r="2866" customFormat="false" ht="15" hidden="false" customHeight="false" outlineLevel="0" collapsed="false">
      <c r="E2866" s="25"/>
      <c r="M2866" s="26" t="str">
        <f aca="false">IF($A2866="","",$L2866*$U2866/100)</f>
        <v/>
      </c>
      <c r="W2866" s="26" t="str">
        <f aca="false">IF($A2866="","",U2866*AB2866/100)</f>
        <v/>
      </c>
      <c r="X2866" s="26" t="str">
        <f aca="false">IF($A2866="","",U2866-W2866)</f>
        <v/>
      </c>
      <c r="Y2866" s="26" t="str">
        <f aca="false">IF($A2866="","",U2866-W2866-M2866)</f>
        <v/>
      </c>
      <c r="AB2866" s="27" t="str">
        <f aca="false">IF($A2866="","",IF($AK2866=1,'كشف المطالبة'!$D$5,'كشف المطالبة'!$D$6)*100)</f>
        <v/>
      </c>
      <c r="AK2866" s="28" t="str">
        <f aca="false">IF($A2866="","",IF(OR($Q2866=TRUE(),$Q2866="TRUE"),1,0))</f>
        <v/>
      </c>
      <c r="AL2866" s="28" t="str">
        <f aca="false">IF($N2866="","",IF(MATCH($N2866,$N$2:$N$3001,0)=ROWS($N$2:$N2866),$N2866,""))</f>
        <v/>
      </c>
    </row>
    <row r="2867" customFormat="false" ht="15" hidden="false" customHeight="false" outlineLevel="0" collapsed="false">
      <c r="E2867" s="25"/>
      <c r="M2867" s="26" t="str">
        <f aca="false">IF($A2867="","",$L2867*$U2867/100)</f>
        <v/>
      </c>
      <c r="W2867" s="26" t="str">
        <f aca="false">IF($A2867="","",U2867*AB2867/100)</f>
        <v/>
      </c>
      <c r="X2867" s="26" t="str">
        <f aca="false">IF($A2867="","",U2867-W2867)</f>
        <v/>
      </c>
      <c r="Y2867" s="26" t="str">
        <f aca="false">IF($A2867="","",U2867-W2867-M2867)</f>
        <v/>
      </c>
      <c r="AB2867" s="27" t="str">
        <f aca="false">IF($A2867="","",IF($AK2867=1,'كشف المطالبة'!$D$5,'كشف المطالبة'!$D$6)*100)</f>
        <v/>
      </c>
      <c r="AK2867" s="28" t="str">
        <f aca="false">IF($A2867="","",IF(OR($Q2867=TRUE(),$Q2867="TRUE"),1,0))</f>
        <v/>
      </c>
      <c r="AL2867" s="28" t="str">
        <f aca="false">IF($N2867="","",IF(MATCH($N2867,$N$2:$N$3001,0)=ROWS($N$2:$N2867),$N2867,""))</f>
        <v/>
      </c>
    </row>
    <row r="2868" customFormat="false" ht="15" hidden="false" customHeight="false" outlineLevel="0" collapsed="false">
      <c r="E2868" s="25"/>
      <c r="M2868" s="26" t="str">
        <f aca="false">IF($A2868="","",$L2868*$U2868/100)</f>
        <v/>
      </c>
      <c r="W2868" s="26" t="str">
        <f aca="false">IF($A2868="","",U2868*AB2868/100)</f>
        <v/>
      </c>
      <c r="X2868" s="26" t="str">
        <f aca="false">IF($A2868="","",U2868-W2868)</f>
        <v/>
      </c>
      <c r="Y2868" s="26" t="str">
        <f aca="false">IF($A2868="","",U2868-W2868-M2868)</f>
        <v/>
      </c>
      <c r="AB2868" s="27" t="str">
        <f aca="false">IF($A2868="","",IF($AK2868=1,'كشف المطالبة'!$D$5,'كشف المطالبة'!$D$6)*100)</f>
        <v/>
      </c>
      <c r="AK2868" s="28" t="str">
        <f aca="false">IF($A2868="","",IF(OR($Q2868=TRUE(),$Q2868="TRUE"),1,0))</f>
        <v/>
      </c>
      <c r="AL2868" s="28" t="str">
        <f aca="false">IF($N2868="","",IF(MATCH($N2868,$N$2:$N$3001,0)=ROWS($N$2:$N2868),$N2868,""))</f>
        <v/>
      </c>
    </row>
    <row r="2869" customFormat="false" ht="15" hidden="false" customHeight="false" outlineLevel="0" collapsed="false">
      <c r="E2869" s="25"/>
      <c r="M2869" s="26" t="str">
        <f aca="false">IF($A2869="","",$L2869*$U2869/100)</f>
        <v/>
      </c>
      <c r="W2869" s="26" t="str">
        <f aca="false">IF($A2869="","",U2869*AB2869/100)</f>
        <v/>
      </c>
      <c r="X2869" s="26" t="str">
        <f aca="false">IF($A2869="","",U2869-W2869)</f>
        <v/>
      </c>
      <c r="Y2869" s="26" t="str">
        <f aca="false">IF($A2869="","",U2869-W2869-M2869)</f>
        <v/>
      </c>
      <c r="AB2869" s="27" t="str">
        <f aca="false">IF($A2869="","",IF($AK2869=1,'كشف المطالبة'!$D$5,'كشف المطالبة'!$D$6)*100)</f>
        <v/>
      </c>
      <c r="AK2869" s="28" t="str">
        <f aca="false">IF($A2869="","",IF(OR($Q2869=TRUE(),$Q2869="TRUE"),1,0))</f>
        <v/>
      </c>
      <c r="AL2869" s="28" t="str">
        <f aca="false">IF($N2869="","",IF(MATCH($N2869,$N$2:$N$3001,0)=ROWS($N$2:$N2869),$N2869,""))</f>
        <v/>
      </c>
    </row>
    <row r="2870" customFormat="false" ht="15" hidden="false" customHeight="false" outlineLevel="0" collapsed="false">
      <c r="E2870" s="25"/>
      <c r="M2870" s="26" t="str">
        <f aca="false">IF($A2870="","",$L2870*$U2870/100)</f>
        <v/>
      </c>
      <c r="W2870" s="26" t="str">
        <f aca="false">IF($A2870="","",U2870*AB2870/100)</f>
        <v/>
      </c>
      <c r="X2870" s="26" t="str">
        <f aca="false">IF($A2870="","",U2870-W2870)</f>
        <v/>
      </c>
      <c r="Y2870" s="26" t="str">
        <f aca="false">IF($A2870="","",U2870-W2870-M2870)</f>
        <v/>
      </c>
      <c r="AB2870" s="27" t="str">
        <f aca="false">IF($A2870="","",IF($AK2870=1,'كشف المطالبة'!$D$5,'كشف المطالبة'!$D$6)*100)</f>
        <v/>
      </c>
      <c r="AK2870" s="28" t="str">
        <f aca="false">IF($A2870="","",IF(OR($Q2870=TRUE(),$Q2870="TRUE"),1,0))</f>
        <v/>
      </c>
      <c r="AL2870" s="28" t="str">
        <f aca="false">IF($N2870="","",IF(MATCH($N2870,$N$2:$N$3001,0)=ROWS($N$2:$N2870),$N2870,""))</f>
        <v/>
      </c>
    </row>
    <row r="2871" customFormat="false" ht="15" hidden="false" customHeight="false" outlineLevel="0" collapsed="false">
      <c r="E2871" s="25"/>
      <c r="M2871" s="26" t="str">
        <f aca="false">IF($A2871="","",$L2871*$U2871/100)</f>
        <v/>
      </c>
      <c r="W2871" s="26" t="str">
        <f aca="false">IF($A2871="","",U2871*AB2871/100)</f>
        <v/>
      </c>
      <c r="X2871" s="26" t="str">
        <f aca="false">IF($A2871="","",U2871-W2871)</f>
        <v/>
      </c>
      <c r="Y2871" s="26" t="str">
        <f aca="false">IF($A2871="","",U2871-W2871-M2871)</f>
        <v/>
      </c>
      <c r="AB2871" s="27" t="str">
        <f aca="false">IF($A2871="","",IF($AK2871=1,'كشف المطالبة'!$D$5,'كشف المطالبة'!$D$6)*100)</f>
        <v/>
      </c>
      <c r="AK2871" s="28" t="str">
        <f aca="false">IF($A2871="","",IF(OR($Q2871=TRUE(),$Q2871="TRUE"),1,0))</f>
        <v/>
      </c>
      <c r="AL2871" s="28" t="str">
        <f aca="false">IF($N2871="","",IF(MATCH($N2871,$N$2:$N$3001,0)=ROWS($N$2:$N2871),$N2871,""))</f>
        <v/>
      </c>
    </row>
    <row r="2872" customFormat="false" ht="15" hidden="false" customHeight="false" outlineLevel="0" collapsed="false">
      <c r="E2872" s="25"/>
      <c r="M2872" s="26" t="str">
        <f aca="false">IF($A2872="","",$L2872*$U2872/100)</f>
        <v/>
      </c>
      <c r="W2872" s="26" t="str">
        <f aca="false">IF($A2872="","",U2872*AB2872/100)</f>
        <v/>
      </c>
      <c r="X2872" s="26" t="str">
        <f aca="false">IF($A2872="","",U2872-W2872)</f>
        <v/>
      </c>
      <c r="Y2872" s="26" t="str">
        <f aca="false">IF($A2872="","",U2872-W2872-M2872)</f>
        <v/>
      </c>
      <c r="AB2872" s="27" t="str">
        <f aca="false">IF($A2872="","",IF($AK2872=1,'كشف المطالبة'!$D$5,'كشف المطالبة'!$D$6)*100)</f>
        <v/>
      </c>
      <c r="AK2872" s="28" t="str">
        <f aca="false">IF($A2872="","",IF(OR($Q2872=TRUE(),$Q2872="TRUE"),1,0))</f>
        <v/>
      </c>
      <c r="AL2872" s="28" t="str">
        <f aca="false">IF($N2872="","",IF(MATCH($N2872,$N$2:$N$3001,0)=ROWS($N$2:$N2872),$N2872,""))</f>
        <v/>
      </c>
    </row>
    <row r="2873" customFormat="false" ht="15" hidden="false" customHeight="false" outlineLevel="0" collapsed="false">
      <c r="E2873" s="25"/>
      <c r="M2873" s="26" t="str">
        <f aca="false">IF($A2873="","",$L2873*$U2873/100)</f>
        <v/>
      </c>
      <c r="W2873" s="26" t="str">
        <f aca="false">IF($A2873="","",U2873*AB2873/100)</f>
        <v/>
      </c>
      <c r="X2873" s="26" t="str">
        <f aca="false">IF($A2873="","",U2873-W2873)</f>
        <v/>
      </c>
      <c r="Y2873" s="26" t="str">
        <f aca="false">IF($A2873="","",U2873-W2873-M2873)</f>
        <v/>
      </c>
      <c r="AB2873" s="27" t="str">
        <f aca="false">IF($A2873="","",IF($AK2873=1,'كشف المطالبة'!$D$5,'كشف المطالبة'!$D$6)*100)</f>
        <v/>
      </c>
      <c r="AK2873" s="28" t="str">
        <f aca="false">IF($A2873="","",IF(OR($Q2873=TRUE(),$Q2873="TRUE"),1,0))</f>
        <v/>
      </c>
      <c r="AL2873" s="28" t="str">
        <f aca="false">IF($N2873="","",IF(MATCH($N2873,$N$2:$N$3001,0)=ROWS($N$2:$N2873),$N2873,""))</f>
        <v/>
      </c>
    </row>
    <row r="2874" customFormat="false" ht="15" hidden="false" customHeight="false" outlineLevel="0" collapsed="false">
      <c r="E2874" s="25"/>
      <c r="M2874" s="26" t="str">
        <f aca="false">IF($A2874="","",$L2874*$U2874/100)</f>
        <v/>
      </c>
      <c r="W2874" s="26" t="str">
        <f aca="false">IF($A2874="","",U2874*AB2874/100)</f>
        <v/>
      </c>
      <c r="X2874" s="26" t="str">
        <f aca="false">IF($A2874="","",U2874-W2874)</f>
        <v/>
      </c>
      <c r="Y2874" s="26" t="str">
        <f aca="false">IF($A2874="","",U2874-W2874-M2874)</f>
        <v/>
      </c>
      <c r="AB2874" s="27" t="str">
        <f aca="false">IF($A2874="","",IF($AK2874=1,'كشف المطالبة'!$D$5,'كشف المطالبة'!$D$6)*100)</f>
        <v/>
      </c>
      <c r="AK2874" s="28" t="str">
        <f aca="false">IF($A2874="","",IF(OR($Q2874=TRUE(),$Q2874="TRUE"),1,0))</f>
        <v/>
      </c>
      <c r="AL2874" s="28" t="str">
        <f aca="false">IF($N2874="","",IF(MATCH($N2874,$N$2:$N$3001,0)=ROWS($N$2:$N2874),$N2874,""))</f>
        <v/>
      </c>
    </row>
    <row r="2875" customFormat="false" ht="15" hidden="false" customHeight="false" outlineLevel="0" collapsed="false">
      <c r="E2875" s="25"/>
      <c r="M2875" s="26" t="str">
        <f aca="false">IF($A2875="","",$L2875*$U2875/100)</f>
        <v/>
      </c>
      <c r="W2875" s="26" t="str">
        <f aca="false">IF($A2875="","",U2875*AB2875/100)</f>
        <v/>
      </c>
      <c r="X2875" s="26" t="str">
        <f aca="false">IF($A2875="","",U2875-W2875)</f>
        <v/>
      </c>
      <c r="Y2875" s="26" t="str">
        <f aca="false">IF($A2875="","",U2875-W2875-M2875)</f>
        <v/>
      </c>
      <c r="AB2875" s="27" t="str">
        <f aca="false">IF($A2875="","",IF($AK2875=1,'كشف المطالبة'!$D$5,'كشف المطالبة'!$D$6)*100)</f>
        <v/>
      </c>
      <c r="AK2875" s="28" t="str">
        <f aca="false">IF($A2875="","",IF(OR($Q2875=TRUE(),$Q2875="TRUE"),1,0))</f>
        <v/>
      </c>
      <c r="AL2875" s="28" t="str">
        <f aca="false">IF($N2875="","",IF(MATCH($N2875,$N$2:$N$3001,0)=ROWS($N$2:$N2875),$N2875,""))</f>
        <v/>
      </c>
    </row>
    <row r="2876" customFormat="false" ht="15" hidden="false" customHeight="false" outlineLevel="0" collapsed="false">
      <c r="E2876" s="25"/>
      <c r="M2876" s="26" t="str">
        <f aca="false">IF($A2876="","",$L2876*$U2876/100)</f>
        <v/>
      </c>
      <c r="W2876" s="26" t="str">
        <f aca="false">IF($A2876="","",U2876*AB2876/100)</f>
        <v/>
      </c>
      <c r="X2876" s="26" t="str">
        <f aca="false">IF($A2876="","",U2876-W2876)</f>
        <v/>
      </c>
      <c r="Y2876" s="26" t="str">
        <f aca="false">IF($A2876="","",U2876-W2876-M2876)</f>
        <v/>
      </c>
      <c r="AB2876" s="27" t="str">
        <f aca="false">IF($A2876="","",IF($AK2876=1,'كشف المطالبة'!$D$5,'كشف المطالبة'!$D$6)*100)</f>
        <v/>
      </c>
      <c r="AK2876" s="28" t="str">
        <f aca="false">IF($A2876="","",IF(OR($Q2876=TRUE(),$Q2876="TRUE"),1,0))</f>
        <v/>
      </c>
      <c r="AL2876" s="28" t="str">
        <f aca="false">IF($N2876="","",IF(MATCH($N2876,$N$2:$N$3001,0)=ROWS($N$2:$N2876),$N2876,""))</f>
        <v/>
      </c>
    </row>
    <row r="2877" customFormat="false" ht="15" hidden="false" customHeight="false" outlineLevel="0" collapsed="false">
      <c r="E2877" s="25"/>
      <c r="M2877" s="26" t="str">
        <f aca="false">IF($A2877="","",$L2877*$U2877/100)</f>
        <v/>
      </c>
      <c r="W2877" s="26" t="str">
        <f aca="false">IF($A2877="","",U2877*AB2877/100)</f>
        <v/>
      </c>
      <c r="X2877" s="26" t="str">
        <f aca="false">IF($A2877="","",U2877-W2877)</f>
        <v/>
      </c>
      <c r="Y2877" s="26" t="str">
        <f aca="false">IF($A2877="","",U2877-W2877-M2877)</f>
        <v/>
      </c>
      <c r="AB2877" s="27" t="str">
        <f aca="false">IF($A2877="","",IF($AK2877=1,'كشف المطالبة'!$D$5,'كشف المطالبة'!$D$6)*100)</f>
        <v/>
      </c>
      <c r="AK2877" s="28" t="str">
        <f aca="false">IF($A2877="","",IF(OR($Q2877=TRUE(),$Q2877="TRUE"),1,0))</f>
        <v/>
      </c>
      <c r="AL2877" s="28" t="str">
        <f aca="false">IF($N2877="","",IF(MATCH($N2877,$N$2:$N$3001,0)=ROWS($N$2:$N2877),$N2877,""))</f>
        <v/>
      </c>
    </row>
    <row r="2878" customFormat="false" ht="15" hidden="false" customHeight="false" outlineLevel="0" collapsed="false">
      <c r="E2878" s="25"/>
      <c r="M2878" s="26" t="str">
        <f aca="false">IF($A2878="","",$L2878*$U2878/100)</f>
        <v/>
      </c>
      <c r="W2878" s="26" t="str">
        <f aca="false">IF($A2878="","",U2878*AB2878/100)</f>
        <v/>
      </c>
      <c r="X2878" s="26" t="str">
        <f aca="false">IF($A2878="","",U2878-W2878)</f>
        <v/>
      </c>
      <c r="Y2878" s="26" t="str">
        <f aca="false">IF($A2878="","",U2878-W2878-M2878)</f>
        <v/>
      </c>
      <c r="AB2878" s="27" t="str">
        <f aca="false">IF($A2878="","",IF($AK2878=1,'كشف المطالبة'!$D$5,'كشف المطالبة'!$D$6)*100)</f>
        <v/>
      </c>
      <c r="AK2878" s="28" t="str">
        <f aca="false">IF($A2878="","",IF(OR($Q2878=TRUE(),$Q2878="TRUE"),1,0))</f>
        <v/>
      </c>
      <c r="AL2878" s="28" t="str">
        <f aca="false">IF($N2878="","",IF(MATCH($N2878,$N$2:$N$3001,0)=ROWS($N$2:$N2878),$N2878,""))</f>
        <v/>
      </c>
    </row>
    <row r="2879" customFormat="false" ht="15" hidden="false" customHeight="false" outlineLevel="0" collapsed="false">
      <c r="E2879" s="25"/>
      <c r="M2879" s="26" t="str">
        <f aca="false">IF($A2879="","",$L2879*$U2879/100)</f>
        <v/>
      </c>
      <c r="W2879" s="26" t="str">
        <f aca="false">IF($A2879="","",U2879*AB2879/100)</f>
        <v/>
      </c>
      <c r="X2879" s="26" t="str">
        <f aca="false">IF($A2879="","",U2879-W2879)</f>
        <v/>
      </c>
      <c r="Y2879" s="26" t="str">
        <f aca="false">IF($A2879="","",U2879-W2879-M2879)</f>
        <v/>
      </c>
      <c r="AB2879" s="27" t="str">
        <f aca="false">IF($A2879="","",IF($AK2879=1,'كشف المطالبة'!$D$5,'كشف المطالبة'!$D$6)*100)</f>
        <v/>
      </c>
      <c r="AK2879" s="28" t="str">
        <f aca="false">IF($A2879="","",IF(OR($Q2879=TRUE(),$Q2879="TRUE"),1,0))</f>
        <v/>
      </c>
      <c r="AL2879" s="28" t="str">
        <f aca="false">IF($N2879="","",IF(MATCH($N2879,$N$2:$N$3001,0)=ROWS($N$2:$N2879),$N2879,""))</f>
        <v/>
      </c>
    </row>
    <row r="2880" customFormat="false" ht="15" hidden="false" customHeight="false" outlineLevel="0" collapsed="false">
      <c r="E2880" s="25"/>
      <c r="M2880" s="26" t="str">
        <f aca="false">IF($A2880="","",$L2880*$U2880/100)</f>
        <v/>
      </c>
      <c r="W2880" s="26" t="str">
        <f aca="false">IF($A2880="","",U2880*AB2880/100)</f>
        <v/>
      </c>
      <c r="X2880" s="26" t="str">
        <f aca="false">IF($A2880="","",U2880-W2880)</f>
        <v/>
      </c>
      <c r="Y2880" s="26" t="str">
        <f aca="false">IF($A2880="","",U2880-W2880-M2880)</f>
        <v/>
      </c>
      <c r="AB2880" s="27" t="str">
        <f aca="false">IF($A2880="","",IF($AK2880=1,'كشف المطالبة'!$D$5,'كشف المطالبة'!$D$6)*100)</f>
        <v/>
      </c>
      <c r="AK2880" s="28" t="str">
        <f aca="false">IF($A2880="","",IF(OR($Q2880=TRUE(),$Q2880="TRUE"),1,0))</f>
        <v/>
      </c>
      <c r="AL2880" s="28" t="str">
        <f aca="false">IF($N2880="","",IF(MATCH($N2880,$N$2:$N$3001,0)=ROWS($N$2:$N2880),$N2880,""))</f>
        <v/>
      </c>
    </row>
    <row r="2881" customFormat="false" ht="15" hidden="false" customHeight="false" outlineLevel="0" collapsed="false">
      <c r="E2881" s="25"/>
      <c r="M2881" s="26" t="str">
        <f aca="false">IF($A2881="","",$L2881*$U2881/100)</f>
        <v/>
      </c>
      <c r="W2881" s="26" t="str">
        <f aca="false">IF($A2881="","",U2881*AB2881/100)</f>
        <v/>
      </c>
      <c r="X2881" s="26" t="str">
        <f aca="false">IF($A2881="","",U2881-W2881)</f>
        <v/>
      </c>
      <c r="Y2881" s="26" t="str">
        <f aca="false">IF($A2881="","",U2881-W2881-M2881)</f>
        <v/>
      </c>
      <c r="AB2881" s="27" t="str">
        <f aca="false">IF($A2881="","",IF($AK2881=1,'كشف المطالبة'!$D$5,'كشف المطالبة'!$D$6)*100)</f>
        <v/>
      </c>
      <c r="AK2881" s="28" t="str">
        <f aca="false">IF($A2881="","",IF(OR($Q2881=TRUE(),$Q2881="TRUE"),1,0))</f>
        <v/>
      </c>
      <c r="AL2881" s="28" t="str">
        <f aca="false">IF($N2881="","",IF(MATCH($N2881,$N$2:$N$3001,0)=ROWS($N$2:$N2881),$N2881,""))</f>
        <v/>
      </c>
    </row>
    <row r="2882" customFormat="false" ht="15" hidden="false" customHeight="false" outlineLevel="0" collapsed="false">
      <c r="E2882" s="25"/>
      <c r="M2882" s="26" t="str">
        <f aca="false">IF($A2882="","",$L2882*$U2882/100)</f>
        <v/>
      </c>
      <c r="W2882" s="26" t="str">
        <f aca="false">IF($A2882="","",U2882*AB2882/100)</f>
        <v/>
      </c>
      <c r="X2882" s="26" t="str">
        <f aca="false">IF($A2882="","",U2882-W2882)</f>
        <v/>
      </c>
      <c r="Y2882" s="26" t="str">
        <f aca="false">IF($A2882="","",U2882-W2882-M2882)</f>
        <v/>
      </c>
      <c r="AB2882" s="27" t="str">
        <f aca="false">IF($A2882="","",IF($AK2882=1,'كشف المطالبة'!$D$5,'كشف المطالبة'!$D$6)*100)</f>
        <v/>
      </c>
      <c r="AK2882" s="28" t="str">
        <f aca="false">IF($A2882="","",IF(OR($Q2882=TRUE(),$Q2882="TRUE"),1,0))</f>
        <v/>
      </c>
      <c r="AL2882" s="28" t="str">
        <f aca="false">IF($N2882="","",IF(MATCH($N2882,$N$2:$N$3001,0)=ROWS($N$2:$N2882),$N2882,""))</f>
        <v/>
      </c>
    </row>
    <row r="2883" customFormat="false" ht="15" hidden="false" customHeight="false" outlineLevel="0" collapsed="false">
      <c r="E2883" s="25"/>
      <c r="M2883" s="26" t="str">
        <f aca="false">IF($A2883="","",$L2883*$U2883/100)</f>
        <v/>
      </c>
      <c r="W2883" s="26" t="str">
        <f aca="false">IF($A2883="","",U2883*AB2883/100)</f>
        <v/>
      </c>
      <c r="X2883" s="26" t="str">
        <f aca="false">IF($A2883="","",U2883-W2883)</f>
        <v/>
      </c>
      <c r="Y2883" s="26" t="str">
        <f aca="false">IF($A2883="","",U2883-W2883-M2883)</f>
        <v/>
      </c>
      <c r="AB2883" s="27" t="str">
        <f aca="false">IF($A2883="","",IF($AK2883=1,'كشف المطالبة'!$D$5,'كشف المطالبة'!$D$6)*100)</f>
        <v/>
      </c>
      <c r="AK2883" s="28" t="str">
        <f aca="false">IF($A2883="","",IF(OR($Q2883=TRUE(),$Q2883="TRUE"),1,0))</f>
        <v/>
      </c>
      <c r="AL2883" s="28" t="str">
        <f aca="false">IF($N2883="","",IF(MATCH($N2883,$N$2:$N$3001,0)=ROWS($N$2:$N2883),$N2883,""))</f>
        <v/>
      </c>
    </row>
    <row r="2884" customFormat="false" ht="15" hidden="false" customHeight="false" outlineLevel="0" collapsed="false">
      <c r="E2884" s="25"/>
      <c r="M2884" s="26" t="str">
        <f aca="false">IF($A2884="","",$L2884*$U2884/100)</f>
        <v/>
      </c>
      <c r="W2884" s="26" t="str">
        <f aca="false">IF($A2884="","",U2884*AB2884/100)</f>
        <v/>
      </c>
      <c r="X2884" s="26" t="str">
        <f aca="false">IF($A2884="","",U2884-W2884)</f>
        <v/>
      </c>
      <c r="Y2884" s="26" t="str">
        <f aca="false">IF($A2884="","",U2884-W2884-M2884)</f>
        <v/>
      </c>
      <c r="AB2884" s="27" t="str">
        <f aca="false">IF($A2884="","",IF($AK2884=1,'كشف المطالبة'!$D$5,'كشف المطالبة'!$D$6)*100)</f>
        <v/>
      </c>
      <c r="AK2884" s="28" t="str">
        <f aca="false">IF($A2884="","",IF(OR($Q2884=TRUE(),$Q2884="TRUE"),1,0))</f>
        <v/>
      </c>
      <c r="AL2884" s="28" t="str">
        <f aca="false">IF($N2884="","",IF(MATCH($N2884,$N$2:$N$3001,0)=ROWS($N$2:$N2884),$N2884,""))</f>
        <v/>
      </c>
    </row>
    <row r="2885" customFormat="false" ht="15" hidden="false" customHeight="false" outlineLevel="0" collapsed="false">
      <c r="E2885" s="25"/>
      <c r="M2885" s="26" t="str">
        <f aca="false">IF($A2885="","",$L2885*$U2885/100)</f>
        <v/>
      </c>
      <c r="W2885" s="26" t="str">
        <f aca="false">IF($A2885="","",U2885*AB2885/100)</f>
        <v/>
      </c>
      <c r="X2885" s="26" t="str">
        <f aca="false">IF($A2885="","",U2885-W2885)</f>
        <v/>
      </c>
      <c r="Y2885" s="26" t="str">
        <f aca="false">IF($A2885="","",U2885-W2885-M2885)</f>
        <v/>
      </c>
      <c r="AB2885" s="27" t="str">
        <f aca="false">IF($A2885="","",IF($AK2885=1,'كشف المطالبة'!$D$5,'كشف المطالبة'!$D$6)*100)</f>
        <v/>
      </c>
      <c r="AK2885" s="28" t="str">
        <f aca="false">IF($A2885="","",IF(OR($Q2885=TRUE(),$Q2885="TRUE"),1,0))</f>
        <v/>
      </c>
      <c r="AL2885" s="28" t="str">
        <f aca="false">IF($N2885="","",IF(MATCH($N2885,$N$2:$N$3001,0)=ROWS($N$2:$N2885),$N2885,""))</f>
        <v/>
      </c>
    </row>
    <row r="2886" customFormat="false" ht="15" hidden="false" customHeight="false" outlineLevel="0" collapsed="false">
      <c r="E2886" s="25"/>
      <c r="M2886" s="26" t="str">
        <f aca="false">IF($A2886="","",$L2886*$U2886/100)</f>
        <v/>
      </c>
      <c r="W2886" s="26" t="str">
        <f aca="false">IF($A2886="","",U2886*AB2886/100)</f>
        <v/>
      </c>
      <c r="X2886" s="26" t="str">
        <f aca="false">IF($A2886="","",U2886-W2886)</f>
        <v/>
      </c>
      <c r="Y2886" s="26" t="str">
        <f aca="false">IF($A2886="","",U2886-W2886-M2886)</f>
        <v/>
      </c>
      <c r="AB2886" s="27" t="str">
        <f aca="false">IF($A2886="","",IF($AK2886=1,'كشف المطالبة'!$D$5,'كشف المطالبة'!$D$6)*100)</f>
        <v/>
      </c>
      <c r="AK2886" s="28" t="str">
        <f aca="false">IF($A2886="","",IF(OR($Q2886=TRUE(),$Q2886="TRUE"),1,0))</f>
        <v/>
      </c>
      <c r="AL2886" s="28" t="str">
        <f aca="false">IF($N2886="","",IF(MATCH($N2886,$N$2:$N$3001,0)=ROWS($N$2:$N2886),$N2886,""))</f>
        <v/>
      </c>
    </row>
    <row r="2887" customFormat="false" ht="15" hidden="false" customHeight="false" outlineLevel="0" collapsed="false">
      <c r="E2887" s="25"/>
      <c r="M2887" s="26" t="str">
        <f aca="false">IF($A2887="","",$L2887*$U2887/100)</f>
        <v/>
      </c>
      <c r="W2887" s="26" t="str">
        <f aca="false">IF($A2887="","",U2887*AB2887/100)</f>
        <v/>
      </c>
      <c r="X2887" s="26" t="str">
        <f aca="false">IF($A2887="","",U2887-W2887)</f>
        <v/>
      </c>
      <c r="Y2887" s="26" t="str">
        <f aca="false">IF($A2887="","",U2887-W2887-M2887)</f>
        <v/>
      </c>
      <c r="AB2887" s="27" t="str">
        <f aca="false">IF($A2887="","",IF($AK2887=1,'كشف المطالبة'!$D$5,'كشف المطالبة'!$D$6)*100)</f>
        <v/>
      </c>
      <c r="AK2887" s="28" t="str">
        <f aca="false">IF($A2887="","",IF(OR($Q2887=TRUE(),$Q2887="TRUE"),1,0))</f>
        <v/>
      </c>
      <c r="AL2887" s="28" t="str">
        <f aca="false">IF($N2887="","",IF(MATCH($N2887,$N$2:$N$3001,0)=ROWS($N$2:$N2887),$N2887,""))</f>
        <v/>
      </c>
    </row>
    <row r="2888" customFormat="false" ht="15" hidden="false" customHeight="false" outlineLevel="0" collapsed="false">
      <c r="E2888" s="25"/>
      <c r="M2888" s="26" t="str">
        <f aca="false">IF($A2888="","",$L2888*$U2888/100)</f>
        <v/>
      </c>
      <c r="W2888" s="26" t="str">
        <f aca="false">IF($A2888="","",U2888*AB2888/100)</f>
        <v/>
      </c>
      <c r="X2888" s="26" t="str">
        <f aca="false">IF($A2888="","",U2888-W2888)</f>
        <v/>
      </c>
      <c r="Y2888" s="26" t="str">
        <f aca="false">IF($A2888="","",U2888-W2888-M2888)</f>
        <v/>
      </c>
      <c r="AB2888" s="27" t="str">
        <f aca="false">IF($A2888="","",IF($AK2888=1,'كشف المطالبة'!$D$5,'كشف المطالبة'!$D$6)*100)</f>
        <v/>
      </c>
      <c r="AK2888" s="28" t="str">
        <f aca="false">IF($A2888="","",IF(OR($Q2888=TRUE(),$Q2888="TRUE"),1,0))</f>
        <v/>
      </c>
      <c r="AL2888" s="28" t="str">
        <f aca="false">IF($N2888="","",IF(MATCH($N2888,$N$2:$N$3001,0)=ROWS($N$2:$N2888),$N2888,""))</f>
        <v/>
      </c>
    </row>
    <row r="2889" customFormat="false" ht="15" hidden="false" customHeight="false" outlineLevel="0" collapsed="false">
      <c r="E2889" s="25"/>
      <c r="M2889" s="26" t="str">
        <f aca="false">IF($A2889="","",$L2889*$U2889/100)</f>
        <v/>
      </c>
      <c r="W2889" s="26" t="str">
        <f aca="false">IF($A2889="","",U2889*AB2889/100)</f>
        <v/>
      </c>
      <c r="X2889" s="26" t="str">
        <f aca="false">IF($A2889="","",U2889-W2889)</f>
        <v/>
      </c>
      <c r="Y2889" s="26" t="str">
        <f aca="false">IF($A2889="","",U2889-W2889-M2889)</f>
        <v/>
      </c>
      <c r="AB2889" s="27" t="str">
        <f aca="false">IF($A2889="","",IF($AK2889=1,'كشف المطالبة'!$D$5,'كشف المطالبة'!$D$6)*100)</f>
        <v/>
      </c>
      <c r="AK2889" s="28" t="str">
        <f aca="false">IF($A2889="","",IF(OR($Q2889=TRUE(),$Q2889="TRUE"),1,0))</f>
        <v/>
      </c>
      <c r="AL2889" s="28" t="str">
        <f aca="false">IF($N2889="","",IF(MATCH($N2889,$N$2:$N$3001,0)=ROWS($N$2:$N2889),$N2889,""))</f>
        <v/>
      </c>
    </row>
    <row r="2890" customFormat="false" ht="15" hidden="false" customHeight="false" outlineLevel="0" collapsed="false">
      <c r="E2890" s="25"/>
      <c r="M2890" s="26" t="str">
        <f aca="false">IF($A2890="","",$L2890*$U2890/100)</f>
        <v/>
      </c>
      <c r="W2890" s="26" t="str">
        <f aca="false">IF($A2890="","",U2890*AB2890/100)</f>
        <v/>
      </c>
      <c r="X2890" s="26" t="str">
        <f aca="false">IF($A2890="","",U2890-W2890)</f>
        <v/>
      </c>
      <c r="Y2890" s="26" t="str">
        <f aca="false">IF($A2890="","",U2890-W2890-M2890)</f>
        <v/>
      </c>
      <c r="AB2890" s="27" t="str">
        <f aca="false">IF($A2890="","",IF($AK2890=1,'كشف المطالبة'!$D$5,'كشف المطالبة'!$D$6)*100)</f>
        <v/>
      </c>
      <c r="AK2890" s="28" t="str">
        <f aca="false">IF($A2890="","",IF(OR($Q2890=TRUE(),$Q2890="TRUE"),1,0))</f>
        <v/>
      </c>
      <c r="AL2890" s="28" t="str">
        <f aca="false">IF($N2890="","",IF(MATCH($N2890,$N$2:$N$3001,0)=ROWS($N$2:$N2890),$N2890,""))</f>
        <v/>
      </c>
    </row>
    <row r="2891" customFormat="false" ht="15" hidden="false" customHeight="false" outlineLevel="0" collapsed="false">
      <c r="E2891" s="25"/>
      <c r="M2891" s="26" t="str">
        <f aca="false">IF($A2891="","",$L2891*$U2891/100)</f>
        <v/>
      </c>
      <c r="W2891" s="26" t="str">
        <f aca="false">IF($A2891="","",U2891*AB2891/100)</f>
        <v/>
      </c>
      <c r="X2891" s="26" t="str">
        <f aca="false">IF($A2891="","",U2891-W2891)</f>
        <v/>
      </c>
      <c r="Y2891" s="26" t="str">
        <f aca="false">IF($A2891="","",U2891-W2891-M2891)</f>
        <v/>
      </c>
      <c r="AB2891" s="27" t="str">
        <f aca="false">IF($A2891="","",IF($AK2891=1,'كشف المطالبة'!$D$5,'كشف المطالبة'!$D$6)*100)</f>
        <v/>
      </c>
      <c r="AK2891" s="28" t="str">
        <f aca="false">IF($A2891="","",IF(OR($Q2891=TRUE(),$Q2891="TRUE"),1,0))</f>
        <v/>
      </c>
      <c r="AL2891" s="28" t="str">
        <f aca="false">IF($N2891="","",IF(MATCH($N2891,$N$2:$N$3001,0)=ROWS($N$2:$N2891),$N2891,""))</f>
        <v/>
      </c>
    </row>
    <row r="2892" customFormat="false" ht="15" hidden="false" customHeight="false" outlineLevel="0" collapsed="false">
      <c r="E2892" s="25"/>
      <c r="M2892" s="26" t="str">
        <f aca="false">IF($A2892="","",$L2892*$U2892/100)</f>
        <v/>
      </c>
      <c r="W2892" s="26" t="str">
        <f aca="false">IF($A2892="","",U2892*AB2892/100)</f>
        <v/>
      </c>
      <c r="X2892" s="26" t="str">
        <f aca="false">IF($A2892="","",U2892-W2892)</f>
        <v/>
      </c>
      <c r="Y2892" s="26" t="str">
        <f aca="false">IF($A2892="","",U2892-W2892-M2892)</f>
        <v/>
      </c>
      <c r="AB2892" s="27" t="str">
        <f aca="false">IF($A2892="","",IF($AK2892=1,'كشف المطالبة'!$D$5,'كشف المطالبة'!$D$6)*100)</f>
        <v/>
      </c>
      <c r="AK2892" s="28" t="str">
        <f aca="false">IF($A2892="","",IF(OR($Q2892=TRUE(),$Q2892="TRUE"),1,0))</f>
        <v/>
      </c>
      <c r="AL2892" s="28" t="str">
        <f aca="false">IF($N2892="","",IF(MATCH($N2892,$N$2:$N$3001,0)=ROWS($N$2:$N2892),$N2892,""))</f>
        <v/>
      </c>
    </row>
    <row r="2893" customFormat="false" ht="15" hidden="false" customHeight="false" outlineLevel="0" collapsed="false">
      <c r="E2893" s="25"/>
      <c r="M2893" s="26" t="str">
        <f aca="false">IF($A2893="","",$L2893*$U2893/100)</f>
        <v/>
      </c>
      <c r="W2893" s="26" t="str">
        <f aca="false">IF($A2893="","",U2893*AB2893/100)</f>
        <v/>
      </c>
      <c r="X2893" s="26" t="str">
        <f aca="false">IF($A2893="","",U2893-W2893)</f>
        <v/>
      </c>
      <c r="Y2893" s="26" t="str">
        <f aca="false">IF($A2893="","",U2893-W2893-M2893)</f>
        <v/>
      </c>
      <c r="AB2893" s="27" t="str">
        <f aca="false">IF($A2893="","",IF($AK2893=1,'كشف المطالبة'!$D$5,'كشف المطالبة'!$D$6)*100)</f>
        <v/>
      </c>
      <c r="AK2893" s="28" t="str">
        <f aca="false">IF($A2893="","",IF(OR($Q2893=TRUE(),$Q2893="TRUE"),1,0))</f>
        <v/>
      </c>
      <c r="AL2893" s="28" t="str">
        <f aca="false">IF($N2893="","",IF(MATCH($N2893,$N$2:$N$3001,0)=ROWS($N$2:$N2893),$N2893,""))</f>
        <v/>
      </c>
    </row>
    <row r="2894" customFormat="false" ht="15" hidden="false" customHeight="false" outlineLevel="0" collapsed="false">
      <c r="E2894" s="25"/>
      <c r="M2894" s="26" t="str">
        <f aca="false">IF($A2894="","",$L2894*$U2894/100)</f>
        <v/>
      </c>
      <c r="W2894" s="26" t="str">
        <f aca="false">IF($A2894="","",U2894*AB2894/100)</f>
        <v/>
      </c>
      <c r="X2894" s="26" t="str">
        <f aca="false">IF($A2894="","",U2894-W2894)</f>
        <v/>
      </c>
      <c r="Y2894" s="26" t="str">
        <f aca="false">IF($A2894="","",U2894-W2894-M2894)</f>
        <v/>
      </c>
      <c r="AB2894" s="27" t="str">
        <f aca="false">IF($A2894="","",IF($AK2894=1,'كشف المطالبة'!$D$5,'كشف المطالبة'!$D$6)*100)</f>
        <v/>
      </c>
      <c r="AK2894" s="28" t="str">
        <f aca="false">IF($A2894="","",IF(OR($Q2894=TRUE(),$Q2894="TRUE"),1,0))</f>
        <v/>
      </c>
      <c r="AL2894" s="28" t="str">
        <f aca="false">IF($N2894="","",IF(MATCH($N2894,$N$2:$N$3001,0)=ROWS($N$2:$N2894),$N2894,""))</f>
        <v/>
      </c>
    </row>
    <row r="2895" customFormat="false" ht="15" hidden="false" customHeight="false" outlineLevel="0" collapsed="false">
      <c r="E2895" s="25"/>
      <c r="M2895" s="26" t="str">
        <f aca="false">IF($A2895="","",$L2895*$U2895/100)</f>
        <v/>
      </c>
      <c r="W2895" s="26" t="str">
        <f aca="false">IF($A2895="","",U2895*AB2895/100)</f>
        <v/>
      </c>
      <c r="X2895" s="26" t="str">
        <f aca="false">IF($A2895="","",U2895-W2895)</f>
        <v/>
      </c>
      <c r="Y2895" s="26" t="str">
        <f aca="false">IF($A2895="","",U2895-W2895-M2895)</f>
        <v/>
      </c>
      <c r="AB2895" s="27" t="str">
        <f aca="false">IF($A2895="","",IF($AK2895=1,'كشف المطالبة'!$D$5,'كشف المطالبة'!$D$6)*100)</f>
        <v/>
      </c>
      <c r="AK2895" s="28" t="str">
        <f aca="false">IF($A2895="","",IF(OR($Q2895=TRUE(),$Q2895="TRUE"),1,0))</f>
        <v/>
      </c>
      <c r="AL2895" s="28" t="str">
        <f aca="false">IF($N2895="","",IF(MATCH($N2895,$N$2:$N$3001,0)=ROWS($N$2:$N2895),$N2895,""))</f>
        <v/>
      </c>
    </row>
    <row r="2896" customFormat="false" ht="15" hidden="false" customHeight="false" outlineLevel="0" collapsed="false">
      <c r="E2896" s="25"/>
      <c r="M2896" s="26" t="str">
        <f aca="false">IF($A2896="","",$L2896*$U2896/100)</f>
        <v/>
      </c>
      <c r="W2896" s="26" t="str">
        <f aca="false">IF($A2896="","",U2896*AB2896/100)</f>
        <v/>
      </c>
      <c r="X2896" s="26" t="str">
        <f aca="false">IF($A2896="","",U2896-W2896)</f>
        <v/>
      </c>
      <c r="Y2896" s="26" t="str">
        <f aca="false">IF($A2896="","",U2896-W2896-M2896)</f>
        <v/>
      </c>
      <c r="AB2896" s="27" t="str">
        <f aca="false">IF($A2896="","",IF($AK2896=1,'كشف المطالبة'!$D$5,'كشف المطالبة'!$D$6)*100)</f>
        <v/>
      </c>
      <c r="AK2896" s="28" t="str">
        <f aca="false">IF($A2896="","",IF(OR($Q2896=TRUE(),$Q2896="TRUE"),1,0))</f>
        <v/>
      </c>
      <c r="AL2896" s="28" t="str">
        <f aca="false">IF($N2896="","",IF(MATCH($N2896,$N$2:$N$3001,0)=ROWS($N$2:$N2896),$N2896,""))</f>
        <v/>
      </c>
    </row>
    <row r="2897" customFormat="false" ht="15" hidden="false" customHeight="false" outlineLevel="0" collapsed="false">
      <c r="E2897" s="25"/>
      <c r="M2897" s="26" t="str">
        <f aca="false">IF($A2897="","",$L2897*$U2897/100)</f>
        <v/>
      </c>
      <c r="W2897" s="26" t="str">
        <f aca="false">IF($A2897="","",U2897*AB2897/100)</f>
        <v/>
      </c>
      <c r="X2897" s="26" t="str">
        <f aca="false">IF($A2897="","",U2897-W2897)</f>
        <v/>
      </c>
      <c r="Y2897" s="26" t="str">
        <f aca="false">IF($A2897="","",U2897-W2897-M2897)</f>
        <v/>
      </c>
      <c r="AB2897" s="27" t="str">
        <f aca="false">IF($A2897="","",IF($AK2897=1,'كشف المطالبة'!$D$5,'كشف المطالبة'!$D$6)*100)</f>
        <v/>
      </c>
      <c r="AK2897" s="28" t="str">
        <f aca="false">IF($A2897="","",IF(OR($Q2897=TRUE(),$Q2897="TRUE"),1,0))</f>
        <v/>
      </c>
      <c r="AL2897" s="28" t="str">
        <f aca="false">IF($N2897="","",IF(MATCH($N2897,$N$2:$N$3001,0)=ROWS($N$2:$N2897),$N2897,""))</f>
        <v/>
      </c>
    </row>
    <row r="2898" customFormat="false" ht="15" hidden="false" customHeight="false" outlineLevel="0" collapsed="false">
      <c r="E2898" s="25"/>
      <c r="M2898" s="26" t="str">
        <f aca="false">IF($A2898="","",$L2898*$U2898/100)</f>
        <v/>
      </c>
      <c r="W2898" s="26" t="str">
        <f aca="false">IF($A2898="","",U2898*AB2898/100)</f>
        <v/>
      </c>
      <c r="X2898" s="26" t="str">
        <f aca="false">IF($A2898="","",U2898-W2898)</f>
        <v/>
      </c>
      <c r="Y2898" s="26" t="str">
        <f aca="false">IF($A2898="","",U2898-W2898-M2898)</f>
        <v/>
      </c>
      <c r="AB2898" s="27" t="str">
        <f aca="false">IF($A2898="","",IF($AK2898=1,'كشف المطالبة'!$D$5,'كشف المطالبة'!$D$6)*100)</f>
        <v/>
      </c>
      <c r="AK2898" s="28" t="str">
        <f aca="false">IF($A2898="","",IF(OR($Q2898=TRUE(),$Q2898="TRUE"),1,0))</f>
        <v/>
      </c>
      <c r="AL2898" s="28" t="str">
        <f aca="false">IF($N2898="","",IF(MATCH($N2898,$N$2:$N$3001,0)=ROWS($N$2:$N2898),$N2898,""))</f>
        <v/>
      </c>
    </row>
    <row r="2899" customFormat="false" ht="15" hidden="false" customHeight="false" outlineLevel="0" collapsed="false">
      <c r="E2899" s="25"/>
      <c r="M2899" s="26" t="str">
        <f aca="false">IF($A2899="","",$L2899*$U2899/100)</f>
        <v/>
      </c>
      <c r="W2899" s="26" t="str">
        <f aca="false">IF($A2899="","",U2899*AB2899/100)</f>
        <v/>
      </c>
      <c r="X2899" s="26" t="str">
        <f aca="false">IF($A2899="","",U2899-W2899)</f>
        <v/>
      </c>
      <c r="Y2899" s="26" t="str">
        <f aca="false">IF($A2899="","",U2899-W2899-M2899)</f>
        <v/>
      </c>
      <c r="AB2899" s="27" t="str">
        <f aca="false">IF($A2899="","",IF($AK2899=1,'كشف المطالبة'!$D$5,'كشف المطالبة'!$D$6)*100)</f>
        <v/>
      </c>
      <c r="AK2899" s="28" t="str">
        <f aca="false">IF($A2899="","",IF(OR($Q2899=TRUE(),$Q2899="TRUE"),1,0))</f>
        <v/>
      </c>
      <c r="AL2899" s="28" t="str">
        <f aca="false">IF($N2899="","",IF(MATCH($N2899,$N$2:$N$3001,0)=ROWS($N$2:$N2899),$N2899,""))</f>
        <v/>
      </c>
    </row>
    <row r="2900" customFormat="false" ht="15" hidden="false" customHeight="false" outlineLevel="0" collapsed="false">
      <c r="E2900" s="25"/>
      <c r="M2900" s="26" t="str">
        <f aca="false">IF($A2900="","",$L2900*$U2900/100)</f>
        <v/>
      </c>
      <c r="W2900" s="26" t="str">
        <f aca="false">IF($A2900="","",U2900*AB2900/100)</f>
        <v/>
      </c>
      <c r="X2900" s="26" t="str">
        <f aca="false">IF($A2900="","",U2900-W2900)</f>
        <v/>
      </c>
      <c r="Y2900" s="26" t="str">
        <f aca="false">IF($A2900="","",U2900-W2900-M2900)</f>
        <v/>
      </c>
      <c r="AB2900" s="27" t="str">
        <f aca="false">IF($A2900="","",IF($AK2900=1,'كشف المطالبة'!$D$5,'كشف المطالبة'!$D$6)*100)</f>
        <v/>
      </c>
      <c r="AK2900" s="28" t="str">
        <f aca="false">IF($A2900="","",IF(OR($Q2900=TRUE(),$Q2900="TRUE"),1,0))</f>
        <v/>
      </c>
      <c r="AL2900" s="28" t="str">
        <f aca="false">IF($N2900="","",IF(MATCH($N2900,$N$2:$N$3001,0)=ROWS($N$2:$N2900),$N2900,""))</f>
        <v/>
      </c>
    </row>
    <row r="2901" customFormat="false" ht="15" hidden="false" customHeight="false" outlineLevel="0" collapsed="false">
      <c r="E2901" s="25"/>
      <c r="M2901" s="26" t="str">
        <f aca="false">IF($A2901="","",$L2901*$U2901/100)</f>
        <v/>
      </c>
      <c r="W2901" s="26" t="str">
        <f aca="false">IF($A2901="","",U2901*AB2901/100)</f>
        <v/>
      </c>
      <c r="X2901" s="26" t="str">
        <f aca="false">IF($A2901="","",U2901-W2901)</f>
        <v/>
      </c>
      <c r="Y2901" s="26" t="str">
        <f aca="false">IF($A2901="","",U2901-W2901-M2901)</f>
        <v/>
      </c>
      <c r="AB2901" s="27" t="str">
        <f aca="false">IF($A2901="","",IF($AK2901=1,'كشف المطالبة'!$D$5,'كشف المطالبة'!$D$6)*100)</f>
        <v/>
      </c>
      <c r="AK2901" s="28" t="str">
        <f aca="false">IF($A2901="","",IF(OR($Q2901=TRUE(),$Q2901="TRUE"),1,0))</f>
        <v/>
      </c>
      <c r="AL2901" s="28" t="str">
        <f aca="false">IF($N2901="","",IF(MATCH($N2901,$N$2:$N$3001,0)=ROWS($N$2:$N2901),$N2901,""))</f>
        <v/>
      </c>
    </row>
    <row r="2902" customFormat="false" ht="15" hidden="false" customHeight="false" outlineLevel="0" collapsed="false">
      <c r="E2902" s="25"/>
      <c r="M2902" s="26" t="str">
        <f aca="false">IF($A2902="","",$L2902*$U2902/100)</f>
        <v/>
      </c>
      <c r="W2902" s="26" t="str">
        <f aca="false">IF($A2902="","",U2902*AB2902/100)</f>
        <v/>
      </c>
      <c r="X2902" s="26" t="str">
        <f aca="false">IF($A2902="","",U2902-W2902)</f>
        <v/>
      </c>
      <c r="Y2902" s="26" t="str">
        <f aca="false">IF($A2902="","",U2902-W2902-M2902)</f>
        <v/>
      </c>
      <c r="AB2902" s="27" t="str">
        <f aca="false">IF($A2902="","",IF($AK2902=1,'كشف المطالبة'!$D$5,'كشف المطالبة'!$D$6)*100)</f>
        <v/>
      </c>
      <c r="AK2902" s="28" t="str">
        <f aca="false">IF($A2902="","",IF(OR($Q2902=TRUE(),$Q2902="TRUE"),1,0))</f>
        <v/>
      </c>
      <c r="AL2902" s="28" t="str">
        <f aca="false">IF($N2902="","",IF(MATCH($N2902,$N$2:$N$3001,0)=ROWS($N$2:$N2902),$N2902,""))</f>
        <v/>
      </c>
    </row>
    <row r="2903" customFormat="false" ht="15" hidden="false" customHeight="false" outlineLevel="0" collapsed="false">
      <c r="E2903" s="25"/>
      <c r="M2903" s="26" t="str">
        <f aca="false">IF($A2903="","",$L2903*$U2903/100)</f>
        <v/>
      </c>
      <c r="W2903" s="26" t="str">
        <f aca="false">IF($A2903="","",U2903*AB2903/100)</f>
        <v/>
      </c>
      <c r="X2903" s="26" t="str">
        <f aca="false">IF($A2903="","",U2903-W2903)</f>
        <v/>
      </c>
      <c r="Y2903" s="26" t="str">
        <f aca="false">IF($A2903="","",U2903-W2903-M2903)</f>
        <v/>
      </c>
      <c r="AB2903" s="27" t="str">
        <f aca="false">IF($A2903="","",IF($AK2903=1,'كشف المطالبة'!$D$5,'كشف المطالبة'!$D$6)*100)</f>
        <v/>
      </c>
      <c r="AK2903" s="28" t="str">
        <f aca="false">IF($A2903="","",IF(OR($Q2903=TRUE(),$Q2903="TRUE"),1,0))</f>
        <v/>
      </c>
      <c r="AL2903" s="28" t="str">
        <f aca="false">IF($N2903="","",IF(MATCH($N2903,$N$2:$N$3001,0)=ROWS($N$2:$N2903),$N2903,""))</f>
        <v/>
      </c>
    </row>
    <row r="2904" customFormat="false" ht="15" hidden="false" customHeight="false" outlineLevel="0" collapsed="false">
      <c r="E2904" s="25"/>
      <c r="M2904" s="26" t="str">
        <f aca="false">IF($A2904="","",$L2904*$U2904/100)</f>
        <v/>
      </c>
      <c r="W2904" s="26" t="str">
        <f aca="false">IF($A2904="","",U2904*AB2904/100)</f>
        <v/>
      </c>
      <c r="X2904" s="26" t="str">
        <f aca="false">IF($A2904="","",U2904-W2904)</f>
        <v/>
      </c>
      <c r="Y2904" s="26" t="str">
        <f aca="false">IF($A2904="","",U2904-W2904-M2904)</f>
        <v/>
      </c>
      <c r="AB2904" s="27" t="str">
        <f aca="false">IF($A2904="","",IF($AK2904=1,'كشف المطالبة'!$D$5,'كشف المطالبة'!$D$6)*100)</f>
        <v/>
      </c>
      <c r="AK2904" s="28" t="str">
        <f aca="false">IF($A2904="","",IF(OR($Q2904=TRUE(),$Q2904="TRUE"),1,0))</f>
        <v/>
      </c>
      <c r="AL2904" s="28" t="str">
        <f aca="false">IF($N2904="","",IF(MATCH($N2904,$N$2:$N$3001,0)=ROWS($N$2:$N2904),$N2904,""))</f>
        <v/>
      </c>
    </row>
    <row r="2905" customFormat="false" ht="15" hidden="false" customHeight="false" outlineLevel="0" collapsed="false">
      <c r="E2905" s="25"/>
      <c r="M2905" s="26" t="str">
        <f aca="false">IF($A2905="","",$L2905*$U2905/100)</f>
        <v/>
      </c>
      <c r="W2905" s="26" t="str">
        <f aca="false">IF($A2905="","",U2905*AB2905/100)</f>
        <v/>
      </c>
      <c r="X2905" s="26" t="str">
        <f aca="false">IF($A2905="","",U2905-W2905)</f>
        <v/>
      </c>
      <c r="Y2905" s="26" t="str">
        <f aca="false">IF($A2905="","",U2905-W2905-M2905)</f>
        <v/>
      </c>
      <c r="AB2905" s="27" t="str">
        <f aca="false">IF($A2905="","",IF($AK2905=1,'كشف المطالبة'!$D$5,'كشف المطالبة'!$D$6)*100)</f>
        <v/>
      </c>
      <c r="AK2905" s="28" t="str">
        <f aca="false">IF($A2905="","",IF(OR($Q2905=TRUE(),$Q2905="TRUE"),1,0))</f>
        <v/>
      </c>
      <c r="AL2905" s="28" t="str">
        <f aca="false">IF($N2905="","",IF(MATCH($N2905,$N$2:$N$3001,0)=ROWS($N$2:$N2905),$N2905,""))</f>
        <v/>
      </c>
    </row>
    <row r="2906" customFormat="false" ht="15" hidden="false" customHeight="false" outlineLevel="0" collapsed="false">
      <c r="E2906" s="25"/>
      <c r="M2906" s="26" t="str">
        <f aca="false">IF($A2906="","",$L2906*$U2906/100)</f>
        <v/>
      </c>
      <c r="W2906" s="26" t="str">
        <f aca="false">IF($A2906="","",U2906*AB2906/100)</f>
        <v/>
      </c>
      <c r="X2906" s="26" t="str">
        <f aca="false">IF($A2906="","",U2906-W2906)</f>
        <v/>
      </c>
      <c r="Y2906" s="26" t="str">
        <f aca="false">IF($A2906="","",U2906-W2906-M2906)</f>
        <v/>
      </c>
      <c r="AB2906" s="27" t="str">
        <f aca="false">IF($A2906="","",IF($AK2906=1,'كشف المطالبة'!$D$5,'كشف المطالبة'!$D$6)*100)</f>
        <v/>
      </c>
      <c r="AK2906" s="28" t="str">
        <f aca="false">IF($A2906="","",IF(OR($Q2906=TRUE(),$Q2906="TRUE"),1,0))</f>
        <v/>
      </c>
      <c r="AL2906" s="28" t="str">
        <f aca="false">IF($N2906="","",IF(MATCH($N2906,$N$2:$N$3001,0)=ROWS($N$2:$N2906),$N2906,""))</f>
        <v/>
      </c>
    </row>
    <row r="2907" customFormat="false" ht="15" hidden="false" customHeight="false" outlineLevel="0" collapsed="false">
      <c r="E2907" s="25"/>
      <c r="M2907" s="26" t="str">
        <f aca="false">IF($A2907="","",$L2907*$U2907/100)</f>
        <v/>
      </c>
      <c r="W2907" s="26" t="str">
        <f aca="false">IF($A2907="","",U2907*AB2907/100)</f>
        <v/>
      </c>
      <c r="X2907" s="26" t="str">
        <f aca="false">IF($A2907="","",U2907-W2907)</f>
        <v/>
      </c>
      <c r="Y2907" s="26" t="str">
        <f aca="false">IF($A2907="","",U2907-W2907-M2907)</f>
        <v/>
      </c>
      <c r="AB2907" s="27" t="str">
        <f aca="false">IF($A2907="","",IF($AK2907=1,'كشف المطالبة'!$D$5,'كشف المطالبة'!$D$6)*100)</f>
        <v/>
      </c>
      <c r="AK2907" s="28" t="str">
        <f aca="false">IF($A2907="","",IF(OR($Q2907=TRUE(),$Q2907="TRUE"),1,0))</f>
        <v/>
      </c>
      <c r="AL2907" s="28" t="str">
        <f aca="false">IF($N2907="","",IF(MATCH($N2907,$N$2:$N$3001,0)=ROWS($N$2:$N2907),$N2907,""))</f>
        <v/>
      </c>
    </row>
    <row r="2908" customFormat="false" ht="15" hidden="false" customHeight="false" outlineLevel="0" collapsed="false">
      <c r="E2908" s="25"/>
      <c r="M2908" s="26" t="str">
        <f aca="false">IF($A2908="","",$L2908*$U2908/100)</f>
        <v/>
      </c>
      <c r="W2908" s="26" t="str">
        <f aca="false">IF($A2908="","",U2908*AB2908/100)</f>
        <v/>
      </c>
      <c r="X2908" s="26" t="str">
        <f aca="false">IF($A2908="","",U2908-W2908)</f>
        <v/>
      </c>
      <c r="Y2908" s="26" t="str">
        <f aca="false">IF($A2908="","",U2908-W2908-M2908)</f>
        <v/>
      </c>
      <c r="AB2908" s="27" t="str">
        <f aca="false">IF($A2908="","",IF($AK2908=1,'كشف المطالبة'!$D$5,'كشف المطالبة'!$D$6)*100)</f>
        <v/>
      </c>
      <c r="AK2908" s="28" t="str">
        <f aca="false">IF($A2908="","",IF(OR($Q2908=TRUE(),$Q2908="TRUE"),1,0))</f>
        <v/>
      </c>
      <c r="AL2908" s="28" t="str">
        <f aca="false">IF($N2908="","",IF(MATCH($N2908,$N$2:$N$3001,0)=ROWS($N$2:$N2908),$N2908,""))</f>
        <v/>
      </c>
    </row>
    <row r="2909" customFormat="false" ht="15" hidden="false" customHeight="false" outlineLevel="0" collapsed="false">
      <c r="E2909" s="25"/>
      <c r="M2909" s="26" t="str">
        <f aca="false">IF($A2909="","",$L2909*$U2909/100)</f>
        <v/>
      </c>
      <c r="W2909" s="26" t="str">
        <f aca="false">IF($A2909="","",U2909*AB2909/100)</f>
        <v/>
      </c>
      <c r="X2909" s="26" t="str">
        <f aca="false">IF($A2909="","",U2909-W2909)</f>
        <v/>
      </c>
      <c r="Y2909" s="26" t="str">
        <f aca="false">IF($A2909="","",U2909-W2909-M2909)</f>
        <v/>
      </c>
      <c r="AB2909" s="27" t="str">
        <f aca="false">IF($A2909="","",IF($AK2909=1,'كشف المطالبة'!$D$5,'كشف المطالبة'!$D$6)*100)</f>
        <v/>
      </c>
      <c r="AK2909" s="28" t="str">
        <f aca="false">IF($A2909="","",IF(OR($Q2909=TRUE(),$Q2909="TRUE"),1,0))</f>
        <v/>
      </c>
      <c r="AL2909" s="28" t="str">
        <f aca="false">IF($N2909="","",IF(MATCH($N2909,$N$2:$N$3001,0)=ROWS($N$2:$N2909),$N2909,""))</f>
        <v/>
      </c>
    </row>
    <row r="2910" customFormat="false" ht="15" hidden="false" customHeight="false" outlineLevel="0" collapsed="false">
      <c r="E2910" s="25"/>
      <c r="M2910" s="26" t="str">
        <f aca="false">IF($A2910="","",$L2910*$U2910/100)</f>
        <v/>
      </c>
      <c r="W2910" s="26" t="str">
        <f aca="false">IF($A2910="","",U2910*AB2910/100)</f>
        <v/>
      </c>
      <c r="X2910" s="26" t="str">
        <f aca="false">IF($A2910="","",U2910-W2910)</f>
        <v/>
      </c>
      <c r="Y2910" s="26" t="str">
        <f aca="false">IF($A2910="","",U2910-W2910-M2910)</f>
        <v/>
      </c>
      <c r="AB2910" s="27" t="str">
        <f aca="false">IF($A2910="","",IF($AK2910=1,'كشف المطالبة'!$D$5,'كشف المطالبة'!$D$6)*100)</f>
        <v/>
      </c>
      <c r="AK2910" s="28" t="str">
        <f aca="false">IF($A2910="","",IF(OR($Q2910=TRUE(),$Q2910="TRUE"),1,0))</f>
        <v/>
      </c>
      <c r="AL2910" s="28" t="str">
        <f aca="false">IF($N2910="","",IF(MATCH($N2910,$N$2:$N$3001,0)=ROWS($N$2:$N2910),$N2910,""))</f>
        <v/>
      </c>
    </row>
    <row r="2911" customFormat="false" ht="15" hidden="false" customHeight="false" outlineLevel="0" collapsed="false">
      <c r="E2911" s="25"/>
      <c r="M2911" s="26" t="str">
        <f aca="false">IF($A2911="","",$L2911*$U2911/100)</f>
        <v/>
      </c>
      <c r="W2911" s="26" t="str">
        <f aca="false">IF($A2911="","",U2911*AB2911/100)</f>
        <v/>
      </c>
      <c r="X2911" s="26" t="str">
        <f aca="false">IF($A2911="","",U2911-W2911)</f>
        <v/>
      </c>
      <c r="Y2911" s="26" t="str">
        <f aca="false">IF($A2911="","",U2911-W2911-M2911)</f>
        <v/>
      </c>
      <c r="AB2911" s="27" t="str">
        <f aca="false">IF($A2911="","",IF($AK2911=1,'كشف المطالبة'!$D$5,'كشف المطالبة'!$D$6)*100)</f>
        <v/>
      </c>
      <c r="AK2911" s="28" t="str">
        <f aca="false">IF($A2911="","",IF(OR($Q2911=TRUE(),$Q2911="TRUE"),1,0))</f>
        <v/>
      </c>
      <c r="AL2911" s="28" t="str">
        <f aca="false">IF($N2911="","",IF(MATCH($N2911,$N$2:$N$3001,0)=ROWS($N$2:$N2911),$N2911,""))</f>
        <v/>
      </c>
    </row>
    <row r="2912" customFormat="false" ht="15" hidden="false" customHeight="false" outlineLevel="0" collapsed="false">
      <c r="E2912" s="25"/>
      <c r="M2912" s="26" t="str">
        <f aca="false">IF($A2912="","",$L2912*$U2912/100)</f>
        <v/>
      </c>
      <c r="W2912" s="26" t="str">
        <f aca="false">IF($A2912="","",U2912*AB2912/100)</f>
        <v/>
      </c>
      <c r="X2912" s="26" t="str">
        <f aca="false">IF($A2912="","",U2912-W2912)</f>
        <v/>
      </c>
      <c r="Y2912" s="26" t="str">
        <f aca="false">IF($A2912="","",U2912-W2912-M2912)</f>
        <v/>
      </c>
      <c r="AB2912" s="27" t="str">
        <f aca="false">IF($A2912="","",IF($AK2912=1,'كشف المطالبة'!$D$5,'كشف المطالبة'!$D$6)*100)</f>
        <v/>
      </c>
      <c r="AK2912" s="28" t="str">
        <f aca="false">IF($A2912="","",IF(OR($Q2912=TRUE(),$Q2912="TRUE"),1,0))</f>
        <v/>
      </c>
      <c r="AL2912" s="28" t="str">
        <f aca="false">IF($N2912="","",IF(MATCH($N2912,$N$2:$N$3001,0)=ROWS($N$2:$N2912),$N2912,""))</f>
        <v/>
      </c>
    </row>
    <row r="2913" customFormat="false" ht="15" hidden="false" customHeight="false" outlineLevel="0" collapsed="false">
      <c r="E2913" s="25"/>
      <c r="M2913" s="26" t="str">
        <f aca="false">IF($A2913="","",$L2913*$U2913/100)</f>
        <v/>
      </c>
      <c r="W2913" s="26" t="str">
        <f aca="false">IF($A2913="","",U2913*AB2913/100)</f>
        <v/>
      </c>
      <c r="X2913" s="26" t="str">
        <f aca="false">IF($A2913="","",U2913-W2913)</f>
        <v/>
      </c>
      <c r="Y2913" s="26" t="str">
        <f aca="false">IF($A2913="","",U2913-W2913-M2913)</f>
        <v/>
      </c>
      <c r="AB2913" s="27" t="str">
        <f aca="false">IF($A2913="","",IF($AK2913=1,'كشف المطالبة'!$D$5,'كشف المطالبة'!$D$6)*100)</f>
        <v/>
      </c>
      <c r="AK2913" s="28" t="str">
        <f aca="false">IF($A2913="","",IF(OR($Q2913=TRUE(),$Q2913="TRUE"),1,0))</f>
        <v/>
      </c>
      <c r="AL2913" s="28" t="str">
        <f aca="false">IF($N2913="","",IF(MATCH($N2913,$N$2:$N$3001,0)=ROWS($N$2:$N2913),$N2913,""))</f>
        <v/>
      </c>
    </row>
    <row r="2914" customFormat="false" ht="15" hidden="false" customHeight="false" outlineLevel="0" collapsed="false">
      <c r="E2914" s="25"/>
      <c r="M2914" s="26" t="str">
        <f aca="false">IF($A2914="","",$L2914*$U2914/100)</f>
        <v/>
      </c>
      <c r="W2914" s="26" t="str">
        <f aca="false">IF($A2914="","",U2914*AB2914/100)</f>
        <v/>
      </c>
      <c r="X2914" s="26" t="str">
        <f aca="false">IF($A2914="","",U2914-W2914)</f>
        <v/>
      </c>
      <c r="Y2914" s="26" t="str">
        <f aca="false">IF($A2914="","",U2914-W2914-M2914)</f>
        <v/>
      </c>
      <c r="AB2914" s="27" t="str">
        <f aca="false">IF($A2914="","",IF($AK2914=1,'كشف المطالبة'!$D$5,'كشف المطالبة'!$D$6)*100)</f>
        <v/>
      </c>
      <c r="AK2914" s="28" t="str">
        <f aca="false">IF($A2914="","",IF(OR($Q2914=TRUE(),$Q2914="TRUE"),1,0))</f>
        <v/>
      </c>
      <c r="AL2914" s="28" t="str">
        <f aca="false">IF($N2914="","",IF(MATCH($N2914,$N$2:$N$3001,0)=ROWS($N$2:$N2914),$N2914,""))</f>
        <v/>
      </c>
    </row>
    <row r="2915" customFormat="false" ht="15" hidden="false" customHeight="false" outlineLevel="0" collapsed="false">
      <c r="E2915" s="25"/>
      <c r="M2915" s="26" t="str">
        <f aca="false">IF($A2915="","",$L2915*$U2915/100)</f>
        <v/>
      </c>
      <c r="W2915" s="26" t="str">
        <f aca="false">IF($A2915="","",U2915*AB2915/100)</f>
        <v/>
      </c>
      <c r="X2915" s="26" t="str">
        <f aca="false">IF($A2915="","",U2915-W2915)</f>
        <v/>
      </c>
      <c r="Y2915" s="26" t="str">
        <f aca="false">IF($A2915="","",U2915-W2915-M2915)</f>
        <v/>
      </c>
      <c r="AB2915" s="27" t="str">
        <f aca="false">IF($A2915="","",IF($AK2915=1,'كشف المطالبة'!$D$5,'كشف المطالبة'!$D$6)*100)</f>
        <v/>
      </c>
      <c r="AK2915" s="28" t="str">
        <f aca="false">IF($A2915="","",IF(OR($Q2915=TRUE(),$Q2915="TRUE"),1,0))</f>
        <v/>
      </c>
      <c r="AL2915" s="28" t="str">
        <f aca="false">IF($N2915="","",IF(MATCH($N2915,$N$2:$N$3001,0)=ROWS($N$2:$N2915),$N2915,""))</f>
        <v/>
      </c>
    </row>
    <row r="2916" customFormat="false" ht="15" hidden="false" customHeight="false" outlineLevel="0" collapsed="false">
      <c r="E2916" s="25"/>
      <c r="M2916" s="26" t="str">
        <f aca="false">IF($A2916="","",$L2916*$U2916/100)</f>
        <v/>
      </c>
      <c r="W2916" s="26" t="str">
        <f aca="false">IF($A2916="","",U2916*AB2916/100)</f>
        <v/>
      </c>
      <c r="X2916" s="26" t="str">
        <f aca="false">IF($A2916="","",U2916-W2916)</f>
        <v/>
      </c>
      <c r="Y2916" s="26" t="str">
        <f aca="false">IF($A2916="","",U2916-W2916-M2916)</f>
        <v/>
      </c>
      <c r="AB2916" s="27" t="str">
        <f aca="false">IF($A2916="","",IF($AK2916=1,'كشف المطالبة'!$D$5,'كشف المطالبة'!$D$6)*100)</f>
        <v/>
      </c>
      <c r="AK2916" s="28" t="str">
        <f aca="false">IF($A2916="","",IF(OR($Q2916=TRUE(),$Q2916="TRUE"),1,0))</f>
        <v/>
      </c>
      <c r="AL2916" s="28" t="str">
        <f aca="false">IF($N2916="","",IF(MATCH($N2916,$N$2:$N$3001,0)=ROWS($N$2:$N2916),$N2916,""))</f>
        <v/>
      </c>
    </row>
    <row r="2917" customFormat="false" ht="15" hidden="false" customHeight="false" outlineLevel="0" collapsed="false">
      <c r="E2917" s="25"/>
      <c r="M2917" s="26" t="str">
        <f aca="false">IF($A2917="","",$L2917*$U2917/100)</f>
        <v/>
      </c>
      <c r="W2917" s="26" t="str">
        <f aca="false">IF($A2917="","",U2917*AB2917/100)</f>
        <v/>
      </c>
      <c r="X2917" s="26" t="str">
        <f aca="false">IF($A2917="","",U2917-W2917)</f>
        <v/>
      </c>
      <c r="Y2917" s="26" t="str">
        <f aca="false">IF($A2917="","",U2917-W2917-M2917)</f>
        <v/>
      </c>
      <c r="AB2917" s="27" t="str">
        <f aca="false">IF($A2917="","",IF($AK2917=1,'كشف المطالبة'!$D$5,'كشف المطالبة'!$D$6)*100)</f>
        <v/>
      </c>
      <c r="AK2917" s="28" t="str">
        <f aca="false">IF($A2917="","",IF(OR($Q2917=TRUE(),$Q2917="TRUE"),1,0))</f>
        <v/>
      </c>
      <c r="AL2917" s="28" t="str">
        <f aca="false">IF($N2917="","",IF(MATCH($N2917,$N$2:$N$3001,0)=ROWS($N$2:$N2917),$N2917,""))</f>
        <v/>
      </c>
    </row>
    <row r="2918" customFormat="false" ht="15" hidden="false" customHeight="false" outlineLevel="0" collapsed="false">
      <c r="E2918" s="25"/>
      <c r="M2918" s="26" t="str">
        <f aca="false">IF($A2918="","",$L2918*$U2918/100)</f>
        <v/>
      </c>
      <c r="W2918" s="26" t="str">
        <f aca="false">IF($A2918="","",U2918*AB2918/100)</f>
        <v/>
      </c>
      <c r="X2918" s="26" t="str">
        <f aca="false">IF($A2918="","",U2918-W2918)</f>
        <v/>
      </c>
      <c r="Y2918" s="26" t="str">
        <f aca="false">IF($A2918="","",U2918-W2918-M2918)</f>
        <v/>
      </c>
      <c r="AB2918" s="27" t="str">
        <f aca="false">IF($A2918="","",IF($AK2918=1,'كشف المطالبة'!$D$5,'كشف المطالبة'!$D$6)*100)</f>
        <v/>
      </c>
      <c r="AK2918" s="28" t="str">
        <f aca="false">IF($A2918="","",IF(OR($Q2918=TRUE(),$Q2918="TRUE"),1,0))</f>
        <v/>
      </c>
      <c r="AL2918" s="28" t="str">
        <f aca="false">IF($N2918="","",IF(MATCH($N2918,$N$2:$N$3001,0)=ROWS($N$2:$N2918),$N2918,""))</f>
        <v/>
      </c>
    </row>
    <row r="2919" customFormat="false" ht="15" hidden="false" customHeight="false" outlineLevel="0" collapsed="false">
      <c r="E2919" s="25"/>
      <c r="M2919" s="26" t="str">
        <f aca="false">IF($A2919="","",$L2919*$U2919/100)</f>
        <v/>
      </c>
      <c r="W2919" s="26" t="str">
        <f aca="false">IF($A2919="","",U2919*AB2919/100)</f>
        <v/>
      </c>
      <c r="X2919" s="26" t="str">
        <f aca="false">IF($A2919="","",U2919-W2919)</f>
        <v/>
      </c>
      <c r="Y2919" s="26" t="str">
        <f aca="false">IF($A2919="","",U2919-W2919-M2919)</f>
        <v/>
      </c>
      <c r="AB2919" s="27" t="str">
        <f aca="false">IF($A2919="","",IF($AK2919=1,'كشف المطالبة'!$D$5,'كشف المطالبة'!$D$6)*100)</f>
        <v/>
      </c>
      <c r="AK2919" s="28" t="str">
        <f aca="false">IF($A2919="","",IF(OR($Q2919=TRUE(),$Q2919="TRUE"),1,0))</f>
        <v/>
      </c>
      <c r="AL2919" s="28" t="str">
        <f aca="false">IF($N2919="","",IF(MATCH($N2919,$N$2:$N$3001,0)=ROWS($N$2:$N2919),$N2919,""))</f>
        <v/>
      </c>
    </row>
    <row r="2920" customFormat="false" ht="15" hidden="false" customHeight="false" outlineLevel="0" collapsed="false">
      <c r="E2920" s="25"/>
      <c r="M2920" s="26" t="str">
        <f aca="false">IF($A2920="","",$L2920*$U2920/100)</f>
        <v/>
      </c>
      <c r="W2920" s="26" t="str">
        <f aca="false">IF($A2920="","",U2920*AB2920/100)</f>
        <v/>
      </c>
      <c r="X2920" s="26" t="str">
        <f aca="false">IF($A2920="","",U2920-W2920)</f>
        <v/>
      </c>
      <c r="Y2920" s="26" t="str">
        <f aca="false">IF($A2920="","",U2920-W2920-M2920)</f>
        <v/>
      </c>
      <c r="AB2920" s="27" t="str">
        <f aca="false">IF($A2920="","",IF($AK2920=1,'كشف المطالبة'!$D$5,'كشف المطالبة'!$D$6)*100)</f>
        <v/>
      </c>
      <c r="AK2920" s="28" t="str">
        <f aca="false">IF($A2920="","",IF(OR($Q2920=TRUE(),$Q2920="TRUE"),1,0))</f>
        <v/>
      </c>
      <c r="AL2920" s="28" t="str">
        <f aca="false">IF($N2920="","",IF(MATCH($N2920,$N$2:$N$3001,0)=ROWS($N$2:$N2920),$N2920,""))</f>
        <v/>
      </c>
    </row>
    <row r="2921" customFormat="false" ht="15" hidden="false" customHeight="false" outlineLevel="0" collapsed="false">
      <c r="E2921" s="25"/>
      <c r="M2921" s="26" t="str">
        <f aca="false">IF($A2921="","",$L2921*$U2921/100)</f>
        <v/>
      </c>
      <c r="W2921" s="26" t="str">
        <f aca="false">IF($A2921="","",U2921*AB2921/100)</f>
        <v/>
      </c>
      <c r="X2921" s="26" t="str">
        <f aca="false">IF($A2921="","",U2921-W2921)</f>
        <v/>
      </c>
      <c r="Y2921" s="26" t="str">
        <f aca="false">IF($A2921="","",U2921-W2921-M2921)</f>
        <v/>
      </c>
      <c r="AB2921" s="27" t="str">
        <f aca="false">IF($A2921="","",IF($AK2921=1,'كشف المطالبة'!$D$5,'كشف المطالبة'!$D$6)*100)</f>
        <v/>
      </c>
      <c r="AK2921" s="28" t="str">
        <f aca="false">IF($A2921="","",IF(OR($Q2921=TRUE(),$Q2921="TRUE"),1,0))</f>
        <v/>
      </c>
      <c r="AL2921" s="28" t="str">
        <f aca="false">IF($N2921="","",IF(MATCH($N2921,$N$2:$N$3001,0)=ROWS($N$2:$N2921),$N2921,""))</f>
        <v/>
      </c>
    </row>
    <row r="2922" customFormat="false" ht="15" hidden="false" customHeight="false" outlineLevel="0" collapsed="false">
      <c r="E2922" s="25"/>
      <c r="M2922" s="26" t="str">
        <f aca="false">IF($A2922="","",$L2922*$U2922/100)</f>
        <v/>
      </c>
      <c r="W2922" s="26" t="str">
        <f aca="false">IF($A2922="","",U2922*AB2922/100)</f>
        <v/>
      </c>
      <c r="X2922" s="26" t="str">
        <f aca="false">IF($A2922="","",U2922-W2922)</f>
        <v/>
      </c>
      <c r="Y2922" s="26" t="str">
        <f aca="false">IF($A2922="","",U2922-W2922-M2922)</f>
        <v/>
      </c>
      <c r="AB2922" s="27" t="str">
        <f aca="false">IF($A2922="","",IF($AK2922=1,'كشف المطالبة'!$D$5,'كشف المطالبة'!$D$6)*100)</f>
        <v/>
      </c>
      <c r="AK2922" s="28" t="str">
        <f aca="false">IF($A2922="","",IF(OR($Q2922=TRUE(),$Q2922="TRUE"),1,0))</f>
        <v/>
      </c>
      <c r="AL2922" s="28" t="str">
        <f aca="false">IF($N2922="","",IF(MATCH($N2922,$N$2:$N$3001,0)=ROWS($N$2:$N2922),$N2922,""))</f>
        <v/>
      </c>
    </row>
    <row r="2923" customFormat="false" ht="15" hidden="false" customHeight="false" outlineLevel="0" collapsed="false">
      <c r="E2923" s="25"/>
      <c r="M2923" s="26" t="str">
        <f aca="false">IF($A2923="","",$L2923*$U2923/100)</f>
        <v/>
      </c>
      <c r="W2923" s="26" t="str">
        <f aca="false">IF($A2923="","",U2923*AB2923/100)</f>
        <v/>
      </c>
      <c r="X2923" s="26" t="str">
        <f aca="false">IF($A2923="","",U2923-W2923)</f>
        <v/>
      </c>
      <c r="Y2923" s="26" t="str">
        <f aca="false">IF($A2923="","",U2923-W2923-M2923)</f>
        <v/>
      </c>
      <c r="AB2923" s="27" t="str">
        <f aca="false">IF($A2923="","",IF($AK2923=1,'كشف المطالبة'!$D$5,'كشف المطالبة'!$D$6)*100)</f>
        <v/>
      </c>
      <c r="AK2923" s="28" t="str">
        <f aca="false">IF($A2923="","",IF(OR($Q2923=TRUE(),$Q2923="TRUE"),1,0))</f>
        <v/>
      </c>
      <c r="AL2923" s="28" t="str">
        <f aca="false">IF($N2923="","",IF(MATCH($N2923,$N$2:$N$3001,0)=ROWS($N$2:$N2923),$N2923,""))</f>
        <v/>
      </c>
    </row>
    <row r="2924" customFormat="false" ht="15" hidden="false" customHeight="false" outlineLevel="0" collapsed="false">
      <c r="E2924" s="25"/>
      <c r="M2924" s="26" t="str">
        <f aca="false">IF($A2924="","",$L2924*$U2924/100)</f>
        <v/>
      </c>
      <c r="W2924" s="26" t="str">
        <f aca="false">IF($A2924="","",U2924*AB2924/100)</f>
        <v/>
      </c>
      <c r="X2924" s="26" t="str">
        <f aca="false">IF($A2924="","",U2924-W2924)</f>
        <v/>
      </c>
      <c r="Y2924" s="26" t="str">
        <f aca="false">IF($A2924="","",U2924-W2924-M2924)</f>
        <v/>
      </c>
      <c r="AB2924" s="27" t="str">
        <f aca="false">IF($A2924="","",IF($AK2924=1,'كشف المطالبة'!$D$5,'كشف المطالبة'!$D$6)*100)</f>
        <v/>
      </c>
      <c r="AK2924" s="28" t="str">
        <f aca="false">IF($A2924="","",IF(OR($Q2924=TRUE(),$Q2924="TRUE"),1,0))</f>
        <v/>
      </c>
      <c r="AL2924" s="28" t="str">
        <f aca="false">IF($N2924="","",IF(MATCH($N2924,$N$2:$N$3001,0)=ROWS($N$2:$N2924),$N2924,""))</f>
        <v/>
      </c>
    </row>
    <row r="2925" customFormat="false" ht="15" hidden="false" customHeight="false" outlineLevel="0" collapsed="false">
      <c r="E2925" s="25"/>
      <c r="M2925" s="26" t="str">
        <f aca="false">IF($A2925="","",$L2925*$U2925/100)</f>
        <v/>
      </c>
      <c r="W2925" s="26" t="str">
        <f aca="false">IF($A2925="","",U2925*AB2925/100)</f>
        <v/>
      </c>
      <c r="X2925" s="26" t="str">
        <f aca="false">IF($A2925="","",U2925-W2925)</f>
        <v/>
      </c>
      <c r="Y2925" s="26" t="str">
        <f aca="false">IF($A2925="","",U2925-W2925-M2925)</f>
        <v/>
      </c>
      <c r="AB2925" s="27" t="str">
        <f aca="false">IF($A2925="","",IF($AK2925=1,'كشف المطالبة'!$D$5,'كشف المطالبة'!$D$6)*100)</f>
        <v/>
      </c>
      <c r="AK2925" s="28" t="str">
        <f aca="false">IF($A2925="","",IF(OR($Q2925=TRUE(),$Q2925="TRUE"),1,0))</f>
        <v/>
      </c>
      <c r="AL2925" s="28" t="str">
        <f aca="false">IF($N2925="","",IF(MATCH($N2925,$N$2:$N$3001,0)=ROWS($N$2:$N2925),$N2925,""))</f>
        <v/>
      </c>
    </row>
    <row r="2926" customFormat="false" ht="15" hidden="false" customHeight="false" outlineLevel="0" collapsed="false">
      <c r="E2926" s="25"/>
      <c r="M2926" s="26" t="str">
        <f aca="false">IF($A2926="","",$L2926*$U2926/100)</f>
        <v/>
      </c>
      <c r="W2926" s="26" t="str">
        <f aca="false">IF($A2926="","",U2926*AB2926/100)</f>
        <v/>
      </c>
      <c r="X2926" s="26" t="str">
        <f aca="false">IF($A2926="","",U2926-W2926)</f>
        <v/>
      </c>
      <c r="Y2926" s="26" t="str">
        <f aca="false">IF($A2926="","",U2926-W2926-M2926)</f>
        <v/>
      </c>
      <c r="AB2926" s="27" t="str">
        <f aca="false">IF($A2926="","",IF($AK2926=1,'كشف المطالبة'!$D$5,'كشف المطالبة'!$D$6)*100)</f>
        <v/>
      </c>
      <c r="AK2926" s="28" t="str">
        <f aca="false">IF($A2926="","",IF(OR($Q2926=TRUE(),$Q2926="TRUE"),1,0))</f>
        <v/>
      </c>
      <c r="AL2926" s="28" t="str">
        <f aca="false">IF($N2926="","",IF(MATCH($N2926,$N$2:$N$3001,0)=ROWS($N$2:$N2926),$N2926,""))</f>
        <v/>
      </c>
    </row>
    <row r="2927" customFormat="false" ht="15" hidden="false" customHeight="false" outlineLevel="0" collapsed="false">
      <c r="E2927" s="25"/>
      <c r="M2927" s="26" t="str">
        <f aca="false">IF($A2927="","",$L2927*$U2927/100)</f>
        <v/>
      </c>
      <c r="W2927" s="26" t="str">
        <f aca="false">IF($A2927="","",U2927*AB2927/100)</f>
        <v/>
      </c>
      <c r="X2927" s="26" t="str">
        <f aca="false">IF($A2927="","",U2927-W2927)</f>
        <v/>
      </c>
      <c r="Y2927" s="26" t="str">
        <f aca="false">IF($A2927="","",U2927-W2927-M2927)</f>
        <v/>
      </c>
      <c r="AB2927" s="27" t="str">
        <f aca="false">IF($A2927="","",IF($AK2927=1,'كشف المطالبة'!$D$5,'كشف المطالبة'!$D$6)*100)</f>
        <v/>
      </c>
      <c r="AK2927" s="28" t="str">
        <f aca="false">IF($A2927="","",IF(OR($Q2927=TRUE(),$Q2927="TRUE"),1,0))</f>
        <v/>
      </c>
      <c r="AL2927" s="28" t="str">
        <f aca="false">IF($N2927="","",IF(MATCH($N2927,$N$2:$N$3001,0)=ROWS($N$2:$N2927),$N2927,""))</f>
        <v/>
      </c>
    </row>
    <row r="2928" customFormat="false" ht="15" hidden="false" customHeight="false" outlineLevel="0" collapsed="false">
      <c r="E2928" s="25"/>
      <c r="M2928" s="26" t="str">
        <f aca="false">IF($A2928="","",$L2928*$U2928/100)</f>
        <v/>
      </c>
      <c r="W2928" s="26" t="str">
        <f aca="false">IF($A2928="","",U2928*AB2928/100)</f>
        <v/>
      </c>
      <c r="X2928" s="26" t="str">
        <f aca="false">IF($A2928="","",U2928-W2928)</f>
        <v/>
      </c>
      <c r="Y2928" s="26" t="str">
        <f aca="false">IF($A2928="","",U2928-W2928-M2928)</f>
        <v/>
      </c>
      <c r="AB2928" s="27" t="str">
        <f aca="false">IF($A2928="","",IF($AK2928=1,'كشف المطالبة'!$D$5,'كشف المطالبة'!$D$6)*100)</f>
        <v/>
      </c>
      <c r="AK2928" s="28" t="str">
        <f aca="false">IF($A2928="","",IF(OR($Q2928=TRUE(),$Q2928="TRUE"),1,0))</f>
        <v/>
      </c>
      <c r="AL2928" s="28" t="str">
        <f aca="false">IF($N2928="","",IF(MATCH($N2928,$N$2:$N$3001,0)=ROWS($N$2:$N2928),$N2928,""))</f>
        <v/>
      </c>
    </row>
    <row r="2929" customFormat="false" ht="15" hidden="false" customHeight="false" outlineLevel="0" collapsed="false">
      <c r="E2929" s="25"/>
      <c r="M2929" s="26" t="str">
        <f aca="false">IF($A2929="","",$L2929*$U2929/100)</f>
        <v/>
      </c>
      <c r="W2929" s="26" t="str">
        <f aca="false">IF($A2929="","",U2929*AB2929/100)</f>
        <v/>
      </c>
      <c r="X2929" s="26" t="str">
        <f aca="false">IF($A2929="","",U2929-W2929)</f>
        <v/>
      </c>
      <c r="Y2929" s="26" t="str">
        <f aca="false">IF($A2929="","",U2929-W2929-M2929)</f>
        <v/>
      </c>
      <c r="AB2929" s="27" t="str">
        <f aca="false">IF($A2929="","",IF($AK2929=1,'كشف المطالبة'!$D$5,'كشف المطالبة'!$D$6)*100)</f>
        <v/>
      </c>
      <c r="AK2929" s="28" t="str">
        <f aca="false">IF($A2929="","",IF(OR($Q2929=TRUE(),$Q2929="TRUE"),1,0))</f>
        <v/>
      </c>
      <c r="AL2929" s="28" t="str">
        <f aca="false">IF($N2929="","",IF(MATCH($N2929,$N$2:$N$3001,0)=ROWS($N$2:$N2929),$N2929,""))</f>
        <v/>
      </c>
    </row>
    <row r="2930" customFormat="false" ht="15" hidden="false" customHeight="false" outlineLevel="0" collapsed="false">
      <c r="E2930" s="25"/>
      <c r="M2930" s="26" t="str">
        <f aca="false">IF($A2930="","",$L2930*$U2930/100)</f>
        <v/>
      </c>
      <c r="W2930" s="26" t="str">
        <f aca="false">IF($A2930="","",U2930*AB2930/100)</f>
        <v/>
      </c>
      <c r="X2930" s="26" t="str">
        <f aca="false">IF($A2930="","",U2930-W2930)</f>
        <v/>
      </c>
      <c r="Y2930" s="26" t="str">
        <f aca="false">IF($A2930="","",U2930-W2930-M2930)</f>
        <v/>
      </c>
      <c r="AB2930" s="27" t="str">
        <f aca="false">IF($A2930="","",IF($AK2930=1,'كشف المطالبة'!$D$5,'كشف المطالبة'!$D$6)*100)</f>
        <v/>
      </c>
      <c r="AK2930" s="28" t="str">
        <f aca="false">IF($A2930="","",IF(OR($Q2930=TRUE(),$Q2930="TRUE"),1,0))</f>
        <v/>
      </c>
      <c r="AL2930" s="28" t="str">
        <f aca="false">IF($N2930="","",IF(MATCH($N2930,$N$2:$N$3001,0)=ROWS($N$2:$N2930),$N2930,""))</f>
        <v/>
      </c>
    </row>
    <row r="2931" customFormat="false" ht="15" hidden="false" customHeight="false" outlineLevel="0" collapsed="false">
      <c r="E2931" s="25"/>
      <c r="M2931" s="26" t="str">
        <f aca="false">IF($A2931="","",$L2931*$U2931/100)</f>
        <v/>
      </c>
      <c r="W2931" s="26" t="str">
        <f aca="false">IF($A2931="","",U2931*AB2931/100)</f>
        <v/>
      </c>
      <c r="X2931" s="26" t="str">
        <f aca="false">IF($A2931="","",U2931-W2931)</f>
        <v/>
      </c>
      <c r="Y2931" s="26" t="str">
        <f aca="false">IF($A2931="","",U2931-W2931-M2931)</f>
        <v/>
      </c>
      <c r="AB2931" s="27" t="str">
        <f aca="false">IF($A2931="","",IF($AK2931=1,'كشف المطالبة'!$D$5,'كشف المطالبة'!$D$6)*100)</f>
        <v/>
      </c>
      <c r="AK2931" s="28" t="str">
        <f aca="false">IF($A2931="","",IF(OR($Q2931=TRUE(),$Q2931="TRUE"),1,0))</f>
        <v/>
      </c>
      <c r="AL2931" s="28" t="str">
        <f aca="false">IF($N2931="","",IF(MATCH($N2931,$N$2:$N$3001,0)=ROWS($N$2:$N2931),$N2931,""))</f>
        <v/>
      </c>
    </row>
    <row r="2932" customFormat="false" ht="15" hidden="false" customHeight="false" outlineLevel="0" collapsed="false">
      <c r="E2932" s="25"/>
      <c r="M2932" s="26" t="str">
        <f aca="false">IF($A2932="","",$L2932*$U2932/100)</f>
        <v/>
      </c>
      <c r="W2932" s="26" t="str">
        <f aca="false">IF($A2932="","",U2932*AB2932/100)</f>
        <v/>
      </c>
      <c r="X2932" s="26" t="str">
        <f aca="false">IF($A2932="","",U2932-W2932)</f>
        <v/>
      </c>
      <c r="Y2932" s="26" t="str">
        <f aca="false">IF($A2932="","",U2932-W2932-M2932)</f>
        <v/>
      </c>
      <c r="AB2932" s="27" t="str">
        <f aca="false">IF($A2932="","",IF($AK2932=1,'كشف المطالبة'!$D$5,'كشف المطالبة'!$D$6)*100)</f>
        <v/>
      </c>
      <c r="AK2932" s="28" t="str">
        <f aca="false">IF($A2932="","",IF(OR($Q2932=TRUE(),$Q2932="TRUE"),1,0))</f>
        <v/>
      </c>
      <c r="AL2932" s="28" t="str">
        <f aca="false">IF($N2932="","",IF(MATCH($N2932,$N$2:$N$3001,0)=ROWS($N$2:$N2932),$N2932,""))</f>
        <v/>
      </c>
    </row>
    <row r="2933" customFormat="false" ht="15" hidden="false" customHeight="false" outlineLevel="0" collapsed="false">
      <c r="E2933" s="25"/>
      <c r="M2933" s="26" t="str">
        <f aca="false">IF($A2933="","",$L2933*$U2933/100)</f>
        <v/>
      </c>
      <c r="W2933" s="26" t="str">
        <f aca="false">IF($A2933="","",U2933*AB2933/100)</f>
        <v/>
      </c>
      <c r="X2933" s="26" t="str">
        <f aca="false">IF($A2933="","",U2933-W2933)</f>
        <v/>
      </c>
      <c r="Y2933" s="26" t="str">
        <f aca="false">IF($A2933="","",U2933-W2933-M2933)</f>
        <v/>
      </c>
      <c r="AB2933" s="27" t="str">
        <f aca="false">IF($A2933="","",IF($AK2933=1,'كشف المطالبة'!$D$5,'كشف المطالبة'!$D$6)*100)</f>
        <v/>
      </c>
      <c r="AK2933" s="28" t="str">
        <f aca="false">IF($A2933="","",IF(OR($Q2933=TRUE(),$Q2933="TRUE"),1,0))</f>
        <v/>
      </c>
      <c r="AL2933" s="28" t="str">
        <f aca="false">IF($N2933="","",IF(MATCH($N2933,$N$2:$N$3001,0)=ROWS($N$2:$N2933),$N2933,""))</f>
        <v/>
      </c>
    </row>
    <row r="2934" customFormat="false" ht="15" hidden="false" customHeight="false" outlineLevel="0" collapsed="false">
      <c r="E2934" s="25"/>
      <c r="M2934" s="26" t="str">
        <f aca="false">IF($A2934="","",$L2934*$U2934/100)</f>
        <v/>
      </c>
      <c r="W2934" s="26" t="str">
        <f aca="false">IF($A2934="","",U2934*AB2934/100)</f>
        <v/>
      </c>
      <c r="X2934" s="26" t="str">
        <f aca="false">IF($A2934="","",U2934-W2934)</f>
        <v/>
      </c>
      <c r="Y2934" s="26" t="str">
        <f aca="false">IF($A2934="","",U2934-W2934-M2934)</f>
        <v/>
      </c>
      <c r="AB2934" s="27" t="str">
        <f aca="false">IF($A2934="","",IF($AK2934=1,'كشف المطالبة'!$D$5,'كشف المطالبة'!$D$6)*100)</f>
        <v/>
      </c>
      <c r="AK2934" s="28" t="str">
        <f aca="false">IF($A2934="","",IF(OR($Q2934=TRUE(),$Q2934="TRUE"),1,0))</f>
        <v/>
      </c>
      <c r="AL2934" s="28" t="str">
        <f aca="false">IF($N2934="","",IF(MATCH($N2934,$N$2:$N$3001,0)=ROWS($N$2:$N2934),$N2934,""))</f>
        <v/>
      </c>
    </row>
    <row r="2935" customFormat="false" ht="15" hidden="false" customHeight="false" outlineLevel="0" collapsed="false">
      <c r="E2935" s="25"/>
      <c r="M2935" s="26" t="str">
        <f aca="false">IF($A2935="","",$L2935*$U2935/100)</f>
        <v/>
      </c>
      <c r="W2935" s="26" t="str">
        <f aca="false">IF($A2935="","",U2935*AB2935/100)</f>
        <v/>
      </c>
      <c r="X2935" s="26" t="str">
        <f aca="false">IF($A2935="","",U2935-W2935)</f>
        <v/>
      </c>
      <c r="Y2935" s="26" t="str">
        <f aca="false">IF($A2935="","",U2935-W2935-M2935)</f>
        <v/>
      </c>
      <c r="AB2935" s="27" t="str">
        <f aca="false">IF($A2935="","",IF($AK2935=1,'كشف المطالبة'!$D$5,'كشف المطالبة'!$D$6)*100)</f>
        <v/>
      </c>
      <c r="AK2935" s="28" t="str">
        <f aca="false">IF($A2935="","",IF(OR($Q2935=TRUE(),$Q2935="TRUE"),1,0))</f>
        <v/>
      </c>
      <c r="AL2935" s="28" t="str">
        <f aca="false">IF($N2935="","",IF(MATCH($N2935,$N$2:$N$3001,0)=ROWS($N$2:$N2935),$N2935,""))</f>
        <v/>
      </c>
    </row>
    <row r="2936" customFormat="false" ht="15" hidden="false" customHeight="false" outlineLevel="0" collapsed="false">
      <c r="E2936" s="25"/>
      <c r="M2936" s="26" t="str">
        <f aca="false">IF($A2936="","",$L2936*$U2936/100)</f>
        <v/>
      </c>
      <c r="W2936" s="26" t="str">
        <f aca="false">IF($A2936="","",U2936*AB2936/100)</f>
        <v/>
      </c>
      <c r="X2936" s="26" t="str">
        <f aca="false">IF($A2936="","",U2936-W2936)</f>
        <v/>
      </c>
      <c r="Y2936" s="26" t="str">
        <f aca="false">IF($A2936="","",U2936-W2936-M2936)</f>
        <v/>
      </c>
      <c r="AB2936" s="27" t="str">
        <f aca="false">IF($A2936="","",IF($AK2936=1,'كشف المطالبة'!$D$5,'كشف المطالبة'!$D$6)*100)</f>
        <v/>
      </c>
      <c r="AK2936" s="28" t="str">
        <f aca="false">IF($A2936="","",IF(OR($Q2936=TRUE(),$Q2936="TRUE"),1,0))</f>
        <v/>
      </c>
      <c r="AL2936" s="28" t="str">
        <f aca="false">IF($N2936="","",IF(MATCH($N2936,$N$2:$N$3001,0)=ROWS($N$2:$N2936),$N2936,""))</f>
        <v/>
      </c>
    </row>
    <row r="2937" customFormat="false" ht="15" hidden="false" customHeight="false" outlineLevel="0" collapsed="false">
      <c r="E2937" s="25"/>
      <c r="M2937" s="26" t="str">
        <f aca="false">IF($A2937="","",$L2937*$U2937/100)</f>
        <v/>
      </c>
      <c r="W2937" s="26" t="str">
        <f aca="false">IF($A2937="","",U2937*AB2937/100)</f>
        <v/>
      </c>
      <c r="X2937" s="26" t="str">
        <f aca="false">IF($A2937="","",U2937-W2937)</f>
        <v/>
      </c>
      <c r="Y2937" s="26" t="str">
        <f aca="false">IF($A2937="","",U2937-W2937-M2937)</f>
        <v/>
      </c>
      <c r="AB2937" s="27" t="str">
        <f aca="false">IF($A2937="","",IF($AK2937=1,'كشف المطالبة'!$D$5,'كشف المطالبة'!$D$6)*100)</f>
        <v/>
      </c>
      <c r="AK2937" s="28" t="str">
        <f aca="false">IF($A2937="","",IF(OR($Q2937=TRUE(),$Q2937="TRUE"),1,0))</f>
        <v/>
      </c>
      <c r="AL2937" s="28" t="str">
        <f aca="false">IF($N2937="","",IF(MATCH($N2937,$N$2:$N$3001,0)=ROWS($N$2:$N2937),$N2937,""))</f>
        <v/>
      </c>
    </row>
    <row r="2938" customFormat="false" ht="15" hidden="false" customHeight="false" outlineLevel="0" collapsed="false">
      <c r="E2938" s="25"/>
      <c r="M2938" s="26" t="str">
        <f aca="false">IF($A2938="","",$L2938*$U2938/100)</f>
        <v/>
      </c>
      <c r="W2938" s="26" t="str">
        <f aca="false">IF($A2938="","",U2938*AB2938/100)</f>
        <v/>
      </c>
      <c r="X2938" s="26" t="str">
        <f aca="false">IF($A2938="","",U2938-W2938)</f>
        <v/>
      </c>
      <c r="Y2938" s="26" t="str">
        <f aca="false">IF($A2938="","",U2938-W2938-M2938)</f>
        <v/>
      </c>
      <c r="AB2938" s="27" t="str">
        <f aca="false">IF($A2938="","",IF($AK2938=1,'كشف المطالبة'!$D$5,'كشف المطالبة'!$D$6)*100)</f>
        <v/>
      </c>
      <c r="AK2938" s="28" t="str">
        <f aca="false">IF($A2938="","",IF(OR($Q2938=TRUE(),$Q2938="TRUE"),1,0))</f>
        <v/>
      </c>
      <c r="AL2938" s="28" t="str">
        <f aca="false">IF($N2938="","",IF(MATCH($N2938,$N$2:$N$3001,0)=ROWS($N$2:$N2938),$N2938,""))</f>
        <v/>
      </c>
    </row>
    <row r="2939" customFormat="false" ht="15" hidden="false" customHeight="false" outlineLevel="0" collapsed="false">
      <c r="E2939" s="25"/>
      <c r="M2939" s="26" t="str">
        <f aca="false">IF($A2939="","",$L2939*$U2939/100)</f>
        <v/>
      </c>
      <c r="W2939" s="26" t="str">
        <f aca="false">IF($A2939="","",U2939*AB2939/100)</f>
        <v/>
      </c>
      <c r="X2939" s="26" t="str">
        <f aca="false">IF($A2939="","",U2939-W2939)</f>
        <v/>
      </c>
      <c r="Y2939" s="26" t="str">
        <f aca="false">IF($A2939="","",U2939-W2939-M2939)</f>
        <v/>
      </c>
      <c r="AB2939" s="27" t="str">
        <f aca="false">IF($A2939="","",IF($AK2939=1,'كشف المطالبة'!$D$5,'كشف المطالبة'!$D$6)*100)</f>
        <v/>
      </c>
      <c r="AK2939" s="28" t="str">
        <f aca="false">IF($A2939="","",IF(OR($Q2939=TRUE(),$Q2939="TRUE"),1,0))</f>
        <v/>
      </c>
      <c r="AL2939" s="28" t="str">
        <f aca="false">IF($N2939="","",IF(MATCH($N2939,$N$2:$N$3001,0)=ROWS($N$2:$N2939),$N2939,""))</f>
        <v/>
      </c>
    </row>
    <row r="2940" customFormat="false" ht="15" hidden="false" customHeight="false" outlineLevel="0" collapsed="false">
      <c r="E2940" s="25"/>
      <c r="M2940" s="26" t="str">
        <f aca="false">IF($A2940="","",$L2940*$U2940/100)</f>
        <v/>
      </c>
      <c r="W2940" s="26" t="str">
        <f aca="false">IF($A2940="","",U2940*AB2940/100)</f>
        <v/>
      </c>
      <c r="X2940" s="26" t="str">
        <f aca="false">IF($A2940="","",U2940-W2940)</f>
        <v/>
      </c>
      <c r="Y2940" s="26" t="str">
        <f aca="false">IF($A2940="","",U2940-W2940-M2940)</f>
        <v/>
      </c>
      <c r="AB2940" s="27" t="str">
        <f aca="false">IF($A2940="","",IF($AK2940=1,'كشف المطالبة'!$D$5,'كشف المطالبة'!$D$6)*100)</f>
        <v/>
      </c>
      <c r="AK2940" s="28" t="str">
        <f aca="false">IF($A2940="","",IF(OR($Q2940=TRUE(),$Q2940="TRUE"),1,0))</f>
        <v/>
      </c>
      <c r="AL2940" s="28" t="str">
        <f aca="false">IF($N2940="","",IF(MATCH($N2940,$N$2:$N$3001,0)=ROWS($N$2:$N2940),$N2940,""))</f>
        <v/>
      </c>
    </row>
    <row r="2941" customFormat="false" ht="15" hidden="false" customHeight="false" outlineLevel="0" collapsed="false">
      <c r="E2941" s="25"/>
      <c r="M2941" s="26" t="str">
        <f aca="false">IF($A2941="","",$L2941*$U2941/100)</f>
        <v/>
      </c>
      <c r="W2941" s="26" t="str">
        <f aca="false">IF($A2941="","",U2941*AB2941/100)</f>
        <v/>
      </c>
      <c r="X2941" s="26" t="str">
        <f aca="false">IF($A2941="","",U2941-W2941)</f>
        <v/>
      </c>
      <c r="Y2941" s="26" t="str">
        <f aca="false">IF($A2941="","",U2941-W2941-M2941)</f>
        <v/>
      </c>
      <c r="AB2941" s="27" t="str">
        <f aca="false">IF($A2941="","",IF($AK2941=1,'كشف المطالبة'!$D$5,'كشف المطالبة'!$D$6)*100)</f>
        <v/>
      </c>
      <c r="AK2941" s="28" t="str">
        <f aca="false">IF($A2941="","",IF(OR($Q2941=TRUE(),$Q2941="TRUE"),1,0))</f>
        <v/>
      </c>
      <c r="AL2941" s="28" t="str">
        <f aca="false">IF($N2941="","",IF(MATCH($N2941,$N$2:$N$3001,0)=ROWS($N$2:$N2941),$N2941,""))</f>
        <v/>
      </c>
    </row>
    <row r="2942" customFormat="false" ht="15" hidden="false" customHeight="false" outlineLevel="0" collapsed="false">
      <c r="E2942" s="25"/>
      <c r="M2942" s="26" t="str">
        <f aca="false">IF($A2942="","",$L2942*$U2942/100)</f>
        <v/>
      </c>
      <c r="W2942" s="26" t="str">
        <f aca="false">IF($A2942="","",U2942*AB2942/100)</f>
        <v/>
      </c>
      <c r="X2942" s="26" t="str">
        <f aca="false">IF($A2942="","",U2942-W2942)</f>
        <v/>
      </c>
      <c r="Y2942" s="26" t="str">
        <f aca="false">IF($A2942="","",U2942-W2942-M2942)</f>
        <v/>
      </c>
      <c r="AB2942" s="27" t="str">
        <f aca="false">IF($A2942="","",IF($AK2942=1,'كشف المطالبة'!$D$5,'كشف المطالبة'!$D$6)*100)</f>
        <v/>
      </c>
      <c r="AK2942" s="28" t="str">
        <f aca="false">IF($A2942="","",IF(OR($Q2942=TRUE(),$Q2942="TRUE"),1,0))</f>
        <v/>
      </c>
      <c r="AL2942" s="28" t="str">
        <f aca="false">IF($N2942="","",IF(MATCH($N2942,$N$2:$N$3001,0)=ROWS($N$2:$N2942),$N2942,""))</f>
        <v/>
      </c>
    </row>
    <row r="2943" customFormat="false" ht="15" hidden="false" customHeight="false" outlineLevel="0" collapsed="false">
      <c r="E2943" s="25"/>
      <c r="M2943" s="26" t="str">
        <f aca="false">IF($A2943="","",$L2943*$U2943/100)</f>
        <v/>
      </c>
      <c r="W2943" s="26" t="str">
        <f aca="false">IF($A2943="","",U2943*AB2943/100)</f>
        <v/>
      </c>
      <c r="X2943" s="26" t="str">
        <f aca="false">IF($A2943="","",U2943-W2943)</f>
        <v/>
      </c>
      <c r="Y2943" s="26" t="str">
        <f aca="false">IF($A2943="","",U2943-W2943-M2943)</f>
        <v/>
      </c>
      <c r="AB2943" s="27" t="str">
        <f aca="false">IF($A2943="","",IF($AK2943=1,'كشف المطالبة'!$D$5,'كشف المطالبة'!$D$6)*100)</f>
        <v/>
      </c>
      <c r="AK2943" s="28" t="str">
        <f aca="false">IF($A2943="","",IF(OR($Q2943=TRUE(),$Q2943="TRUE"),1,0))</f>
        <v/>
      </c>
      <c r="AL2943" s="28" t="str">
        <f aca="false">IF($N2943="","",IF(MATCH($N2943,$N$2:$N$3001,0)=ROWS($N$2:$N2943),$N2943,""))</f>
        <v/>
      </c>
    </row>
    <row r="2944" customFormat="false" ht="15" hidden="false" customHeight="false" outlineLevel="0" collapsed="false">
      <c r="E2944" s="25"/>
      <c r="M2944" s="26" t="str">
        <f aca="false">IF($A2944="","",$L2944*$U2944/100)</f>
        <v/>
      </c>
      <c r="W2944" s="26" t="str">
        <f aca="false">IF($A2944="","",U2944*AB2944/100)</f>
        <v/>
      </c>
      <c r="X2944" s="26" t="str">
        <f aca="false">IF($A2944="","",U2944-W2944)</f>
        <v/>
      </c>
      <c r="Y2944" s="26" t="str">
        <f aca="false">IF($A2944="","",U2944-W2944-M2944)</f>
        <v/>
      </c>
      <c r="AB2944" s="27" t="str">
        <f aca="false">IF($A2944="","",IF($AK2944=1,'كشف المطالبة'!$D$5,'كشف المطالبة'!$D$6)*100)</f>
        <v/>
      </c>
      <c r="AK2944" s="28" t="str">
        <f aca="false">IF($A2944="","",IF(OR($Q2944=TRUE(),$Q2944="TRUE"),1,0))</f>
        <v/>
      </c>
      <c r="AL2944" s="28" t="str">
        <f aca="false">IF($N2944="","",IF(MATCH($N2944,$N$2:$N$3001,0)=ROWS($N$2:$N2944),$N2944,""))</f>
        <v/>
      </c>
    </row>
    <row r="2945" customFormat="false" ht="15" hidden="false" customHeight="false" outlineLevel="0" collapsed="false">
      <c r="E2945" s="25"/>
      <c r="M2945" s="26" t="str">
        <f aca="false">IF($A2945="","",$L2945*$U2945/100)</f>
        <v/>
      </c>
      <c r="W2945" s="26" t="str">
        <f aca="false">IF($A2945="","",U2945*AB2945/100)</f>
        <v/>
      </c>
      <c r="X2945" s="26" t="str">
        <f aca="false">IF($A2945="","",U2945-W2945)</f>
        <v/>
      </c>
      <c r="Y2945" s="26" t="str">
        <f aca="false">IF($A2945="","",U2945-W2945-M2945)</f>
        <v/>
      </c>
      <c r="AB2945" s="27" t="str">
        <f aca="false">IF($A2945="","",IF($AK2945=1,'كشف المطالبة'!$D$5,'كشف المطالبة'!$D$6)*100)</f>
        <v/>
      </c>
      <c r="AK2945" s="28" t="str">
        <f aca="false">IF($A2945="","",IF(OR($Q2945=TRUE(),$Q2945="TRUE"),1,0))</f>
        <v/>
      </c>
      <c r="AL2945" s="28" t="str">
        <f aca="false">IF($N2945="","",IF(MATCH($N2945,$N$2:$N$3001,0)=ROWS($N$2:$N2945),$N2945,""))</f>
        <v/>
      </c>
    </row>
    <row r="2946" customFormat="false" ht="15" hidden="false" customHeight="false" outlineLevel="0" collapsed="false">
      <c r="E2946" s="25"/>
      <c r="M2946" s="26" t="str">
        <f aca="false">IF($A2946="","",$L2946*$U2946/100)</f>
        <v/>
      </c>
      <c r="W2946" s="26" t="str">
        <f aca="false">IF($A2946="","",U2946*AB2946/100)</f>
        <v/>
      </c>
      <c r="X2946" s="26" t="str">
        <f aca="false">IF($A2946="","",U2946-W2946)</f>
        <v/>
      </c>
      <c r="Y2946" s="26" t="str">
        <f aca="false">IF($A2946="","",U2946-W2946-M2946)</f>
        <v/>
      </c>
      <c r="AB2946" s="27" t="str">
        <f aca="false">IF($A2946="","",IF($AK2946=1,'كشف المطالبة'!$D$5,'كشف المطالبة'!$D$6)*100)</f>
        <v/>
      </c>
      <c r="AK2946" s="28" t="str">
        <f aca="false">IF($A2946="","",IF(OR($Q2946=TRUE(),$Q2946="TRUE"),1,0))</f>
        <v/>
      </c>
      <c r="AL2946" s="28" t="str">
        <f aca="false">IF($N2946="","",IF(MATCH($N2946,$N$2:$N$3001,0)=ROWS($N$2:$N2946),$N2946,""))</f>
        <v/>
      </c>
    </row>
    <row r="2947" customFormat="false" ht="15" hidden="false" customHeight="false" outlineLevel="0" collapsed="false">
      <c r="E2947" s="25"/>
      <c r="M2947" s="26" t="str">
        <f aca="false">IF($A2947="","",$L2947*$U2947/100)</f>
        <v/>
      </c>
      <c r="W2947" s="26" t="str">
        <f aca="false">IF($A2947="","",U2947*AB2947/100)</f>
        <v/>
      </c>
      <c r="X2947" s="26" t="str">
        <f aca="false">IF($A2947="","",U2947-W2947)</f>
        <v/>
      </c>
      <c r="Y2947" s="26" t="str">
        <f aca="false">IF($A2947="","",U2947-W2947-M2947)</f>
        <v/>
      </c>
      <c r="AB2947" s="27" t="str">
        <f aca="false">IF($A2947="","",IF($AK2947=1,'كشف المطالبة'!$D$5,'كشف المطالبة'!$D$6)*100)</f>
        <v/>
      </c>
      <c r="AK2947" s="28" t="str">
        <f aca="false">IF($A2947="","",IF(OR($Q2947=TRUE(),$Q2947="TRUE"),1,0))</f>
        <v/>
      </c>
      <c r="AL2947" s="28" t="str">
        <f aca="false">IF($N2947="","",IF(MATCH($N2947,$N$2:$N$3001,0)=ROWS($N$2:$N2947),$N2947,""))</f>
        <v/>
      </c>
    </row>
    <row r="2948" customFormat="false" ht="15" hidden="false" customHeight="false" outlineLevel="0" collapsed="false">
      <c r="E2948" s="25"/>
      <c r="M2948" s="26" t="str">
        <f aca="false">IF($A2948="","",$L2948*$U2948/100)</f>
        <v/>
      </c>
      <c r="W2948" s="26" t="str">
        <f aca="false">IF($A2948="","",U2948*AB2948/100)</f>
        <v/>
      </c>
      <c r="X2948" s="26" t="str">
        <f aca="false">IF($A2948="","",U2948-W2948)</f>
        <v/>
      </c>
      <c r="Y2948" s="26" t="str">
        <f aca="false">IF($A2948="","",U2948-W2948-M2948)</f>
        <v/>
      </c>
      <c r="AB2948" s="27" t="str">
        <f aca="false">IF($A2948="","",IF($AK2948=1,'كشف المطالبة'!$D$5,'كشف المطالبة'!$D$6)*100)</f>
        <v/>
      </c>
      <c r="AK2948" s="28" t="str">
        <f aca="false">IF($A2948="","",IF(OR($Q2948=TRUE(),$Q2948="TRUE"),1,0))</f>
        <v/>
      </c>
      <c r="AL2948" s="28" t="str">
        <f aca="false">IF($N2948="","",IF(MATCH($N2948,$N$2:$N$3001,0)=ROWS($N$2:$N2948),$N2948,""))</f>
        <v/>
      </c>
    </row>
    <row r="2949" customFormat="false" ht="15" hidden="false" customHeight="false" outlineLevel="0" collapsed="false">
      <c r="E2949" s="25"/>
      <c r="M2949" s="26" t="str">
        <f aca="false">IF($A2949="","",$L2949*$U2949/100)</f>
        <v/>
      </c>
      <c r="W2949" s="26" t="str">
        <f aca="false">IF($A2949="","",U2949*AB2949/100)</f>
        <v/>
      </c>
      <c r="X2949" s="26" t="str">
        <f aca="false">IF($A2949="","",U2949-W2949)</f>
        <v/>
      </c>
      <c r="Y2949" s="26" t="str">
        <f aca="false">IF($A2949="","",U2949-W2949-M2949)</f>
        <v/>
      </c>
      <c r="AB2949" s="27" t="str">
        <f aca="false">IF($A2949="","",IF($AK2949=1,'كشف المطالبة'!$D$5,'كشف المطالبة'!$D$6)*100)</f>
        <v/>
      </c>
      <c r="AK2949" s="28" t="str">
        <f aca="false">IF($A2949="","",IF(OR($Q2949=TRUE(),$Q2949="TRUE"),1,0))</f>
        <v/>
      </c>
      <c r="AL2949" s="28" t="str">
        <f aca="false">IF($N2949="","",IF(MATCH($N2949,$N$2:$N$3001,0)=ROWS($N$2:$N2949),$N2949,""))</f>
        <v/>
      </c>
    </row>
    <row r="2950" customFormat="false" ht="15" hidden="false" customHeight="false" outlineLevel="0" collapsed="false">
      <c r="E2950" s="25"/>
      <c r="M2950" s="26" t="str">
        <f aca="false">IF($A2950="","",$L2950*$U2950/100)</f>
        <v/>
      </c>
      <c r="W2950" s="26" t="str">
        <f aca="false">IF($A2950="","",U2950*AB2950/100)</f>
        <v/>
      </c>
      <c r="X2950" s="26" t="str">
        <f aca="false">IF($A2950="","",U2950-W2950)</f>
        <v/>
      </c>
      <c r="Y2950" s="26" t="str">
        <f aca="false">IF($A2950="","",U2950-W2950-M2950)</f>
        <v/>
      </c>
      <c r="AB2950" s="27" t="str">
        <f aca="false">IF($A2950="","",IF($AK2950=1,'كشف المطالبة'!$D$5,'كشف المطالبة'!$D$6)*100)</f>
        <v/>
      </c>
      <c r="AK2950" s="28" t="str">
        <f aca="false">IF($A2950="","",IF(OR($Q2950=TRUE(),$Q2950="TRUE"),1,0))</f>
        <v/>
      </c>
      <c r="AL2950" s="28" t="str">
        <f aca="false">IF($N2950="","",IF(MATCH($N2950,$N$2:$N$3001,0)=ROWS($N$2:$N2950),$N2950,""))</f>
        <v/>
      </c>
    </row>
    <row r="2951" customFormat="false" ht="15" hidden="false" customHeight="false" outlineLevel="0" collapsed="false">
      <c r="E2951" s="25"/>
      <c r="M2951" s="26" t="str">
        <f aca="false">IF($A2951="","",$L2951*$U2951/100)</f>
        <v/>
      </c>
      <c r="W2951" s="26" t="str">
        <f aca="false">IF($A2951="","",U2951*AB2951/100)</f>
        <v/>
      </c>
      <c r="X2951" s="26" t="str">
        <f aca="false">IF($A2951="","",U2951-W2951)</f>
        <v/>
      </c>
      <c r="Y2951" s="26" t="str">
        <f aca="false">IF($A2951="","",U2951-W2951-M2951)</f>
        <v/>
      </c>
      <c r="AB2951" s="27" t="str">
        <f aca="false">IF($A2951="","",IF($AK2951=1,'كشف المطالبة'!$D$5,'كشف المطالبة'!$D$6)*100)</f>
        <v/>
      </c>
      <c r="AK2951" s="28" t="str">
        <f aca="false">IF($A2951="","",IF(OR($Q2951=TRUE(),$Q2951="TRUE"),1,0))</f>
        <v/>
      </c>
      <c r="AL2951" s="28" t="str">
        <f aca="false">IF($N2951="","",IF(MATCH($N2951,$N$2:$N$3001,0)=ROWS($N$2:$N2951),$N2951,""))</f>
        <v/>
      </c>
    </row>
    <row r="2952" customFormat="false" ht="15" hidden="false" customHeight="false" outlineLevel="0" collapsed="false">
      <c r="E2952" s="25"/>
      <c r="M2952" s="26" t="str">
        <f aca="false">IF($A2952="","",$L2952*$U2952/100)</f>
        <v/>
      </c>
      <c r="W2952" s="26" t="str">
        <f aca="false">IF($A2952="","",U2952*AB2952/100)</f>
        <v/>
      </c>
      <c r="X2952" s="26" t="str">
        <f aca="false">IF($A2952="","",U2952-W2952)</f>
        <v/>
      </c>
      <c r="Y2952" s="26" t="str">
        <f aca="false">IF($A2952="","",U2952-W2952-M2952)</f>
        <v/>
      </c>
      <c r="AB2952" s="27" t="str">
        <f aca="false">IF($A2952="","",IF($AK2952=1,'كشف المطالبة'!$D$5,'كشف المطالبة'!$D$6)*100)</f>
        <v/>
      </c>
      <c r="AK2952" s="28" t="str">
        <f aca="false">IF($A2952="","",IF(OR($Q2952=TRUE(),$Q2952="TRUE"),1,0))</f>
        <v/>
      </c>
      <c r="AL2952" s="28" t="str">
        <f aca="false">IF($N2952="","",IF(MATCH($N2952,$N$2:$N$3001,0)=ROWS($N$2:$N2952),$N2952,""))</f>
        <v/>
      </c>
    </row>
    <row r="2953" customFormat="false" ht="15" hidden="false" customHeight="false" outlineLevel="0" collapsed="false">
      <c r="E2953" s="25"/>
      <c r="M2953" s="26" t="str">
        <f aca="false">IF($A2953="","",$L2953*$U2953/100)</f>
        <v/>
      </c>
      <c r="W2953" s="26" t="str">
        <f aca="false">IF($A2953="","",U2953*AB2953/100)</f>
        <v/>
      </c>
      <c r="X2953" s="26" t="str">
        <f aca="false">IF($A2953="","",U2953-W2953)</f>
        <v/>
      </c>
      <c r="Y2953" s="26" t="str">
        <f aca="false">IF($A2953="","",U2953-W2953-M2953)</f>
        <v/>
      </c>
      <c r="AB2953" s="27" t="str">
        <f aca="false">IF($A2953="","",IF($AK2953=1,'كشف المطالبة'!$D$5,'كشف المطالبة'!$D$6)*100)</f>
        <v/>
      </c>
      <c r="AK2953" s="28" t="str">
        <f aca="false">IF($A2953="","",IF(OR($Q2953=TRUE(),$Q2953="TRUE"),1,0))</f>
        <v/>
      </c>
      <c r="AL2953" s="28" t="str">
        <f aca="false">IF($N2953="","",IF(MATCH($N2953,$N$2:$N$3001,0)=ROWS($N$2:$N2953),$N2953,""))</f>
        <v/>
      </c>
    </row>
    <row r="2954" customFormat="false" ht="15" hidden="false" customHeight="false" outlineLevel="0" collapsed="false">
      <c r="E2954" s="25"/>
      <c r="M2954" s="26" t="str">
        <f aca="false">IF($A2954="","",$L2954*$U2954/100)</f>
        <v/>
      </c>
      <c r="W2954" s="26" t="str">
        <f aca="false">IF($A2954="","",U2954*AB2954/100)</f>
        <v/>
      </c>
      <c r="X2954" s="26" t="str">
        <f aca="false">IF($A2954="","",U2954-W2954)</f>
        <v/>
      </c>
      <c r="Y2954" s="26" t="str">
        <f aca="false">IF($A2954="","",U2954-W2954-M2954)</f>
        <v/>
      </c>
      <c r="AB2954" s="27" t="str">
        <f aca="false">IF($A2954="","",IF($AK2954=1,'كشف المطالبة'!$D$5,'كشف المطالبة'!$D$6)*100)</f>
        <v/>
      </c>
      <c r="AK2954" s="28" t="str">
        <f aca="false">IF($A2954="","",IF(OR($Q2954=TRUE(),$Q2954="TRUE"),1,0))</f>
        <v/>
      </c>
      <c r="AL2954" s="28" t="str">
        <f aca="false">IF($N2954="","",IF(MATCH($N2954,$N$2:$N$3001,0)=ROWS($N$2:$N2954),$N2954,""))</f>
        <v/>
      </c>
    </row>
    <row r="2955" customFormat="false" ht="15" hidden="false" customHeight="false" outlineLevel="0" collapsed="false">
      <c r="E2955" s="25"/>
      <c r="M2955" s="26" t="str">
        <f aca="false">IF($A2955="","",$L2955*$U2955/100)</f>
        <v/>
      </c>
      <c r="W2955" s="26" t="str">
        <f aca="false">IF($A2955="","",U2955*AB2955/100)</f>
        <v/>
      </c>
      <c r="X2955" s="26" t="str">
        <f aca="false">IF($A2955="","",U2955-W2955)</f>
        <v/>
      </c>
      <c r="Y2955" s="26" t="str">
        <f aca="false">IF($A2955="","",U2955-W2955-M2955)</f>
        <v/>
      </c>
      <c r="AB2955" s="27" t="str">
        <f aca="false">IF($A2955="","",IF($AK2955=1,'كشف المطالبة'!$D$5,'كشف المطالبة'!$D$6)*100)</f>
        <v/>
      </c>
      <c r="AK2955" s="28" t="str">
        <f aca="false">IF($A2955="","",IF(OR($Q2955=TRUE(),$Q2955="TRUE"),1,0))</f>
        <v/>
      </c>
      <c r="AL2955" s="28" t="str">
        <f aca="false">IF($N2955="","",IF(MATCH($N2955,$N$2:$N$3001,0)=ROWS($N$2:$N2955),$N2955,""))</f>
        <v/>
      </c>
    </row>
    <row r="2956" customFormat="false" ht="15" hidden="false" customHeight="false" outlineLevel="0" collapsed="false">
      <c r="E2956" s="25"/>
      <c r="M2956" s="26" t="str">
        <f aca="false">IF($A2956="","",$L2956*$U2956/100)</f>
        <v/>
      </c>
      <c r="W2956" s="26" t="str">
        <f aca="false">IF($A2956="","",U2956*AB2956/100)</f>
        <v/>
      </c>
      <c r="X2956" s="26" t="str">
        <f aca="false">IF($A2956="","",U2956-W2956)</f>
        <v/>
      </c>
      <c r="Y2956" s="26" t="str">
        <f aca="false">IF($A2956="","",U2956-W2956-M2956)</f>
        <v/>
      </c>
      <c r="AB2956" s="27" t="str">
        <f aca="false">IF($A2956="","",IF($AK2956=1,'كشف المطالبة'!$D$5,'كشف المطالبة'!$D$6)*100)</f>
        <v/>
      </c>
      <c r="AK2956" s="28" t="str">
        <f aca="false">IF($A2956="","",IF(OR($Q2956=TRUE(),$Q2956="TRUE"),1,0))</f>
        <v/>
      </c>
      <c r="AL2956" s="28" t="str">
        <f aca="false">IF($N2956="","",IF(MATCH($N2956,$N$2:$N$3001,0)=ROWS($N$2:$N2956),$N2956,""))</f>
        <v/>
      </c>
    </row>
    <row r="2957" customFormat="false" ht="15" hidden="false" customHeight="false" outlineLevel="0" collapsed="false">
      <c r="E2957" s="25"/>
      <c r="M2957" s="26" t="str">
        <f aca="false">IF($A2957="","",$L2957*$U2957/100)</f>
        <v/>
      </c>
      <c r="W2957" s="26" t="str">
        <f aca="false">IF($A2957="","",U2957*AB2957/100)</f>
        <v/>
      </c>
      <c r="X2957" s="26" t="str">
        <f aca="false">IF($A2957="","",U2957-W2957)</f>
        <v/>
      </c>
      <c r="Y2957" s="26" t="str">
        <f aca="false">IF($A2957="","",U2957-W2957-M2957)</f>
        <v/>
      </c>
      <c r="AB2957" s="27" t="str">
        <f aca="false">IF($A2957="","",IF($AK2957=1,'كشف المطالبة'!$D$5,'كشف المطالبة'!$D$6)*100)</f>
        <v/>
      </c>
      <c r="AK2957" s="28" t="str">
        <f aca="false">IF($A2957="","",IF(OR($Q2957=TRUE(),$Q2957="TRUE"),1,0))</f>
        <v/>
      </c>
      <c r="AL2957" s="28" t="str">
        <f aca="false">IF($N2957="","",IF(MATCH($N2957,$N$2:$N$3001,0)=ROWS($N$2:$N2957),$N2957,""))</f>
        <v/>
      </c>
    </row>
    <row r="2958" customFormat="false" ht="15" hidden="false" customHeight="false" outlineLevel="0" collapsed="false">
      <c r="E2958" s="25"/>
      <c r="M2958" s="26" t="str">
        <f aca="false">IF($A2958="","",$L2958*$U2958/100)</f>
        <v/>
      </c>
      <c r="W2958" s="26" t="str">
        <f aca="false">IF($A2958="","",U2958*AB2958/100)</f>
        <v/>
      </c>
      <c r="X2958" s="26" t="str">
        <f aca="false">IF($A2958="","",U2958-W2958)</f>
        <v/>
      </c>
      <c r="Y2958" s="26" t="str">
        <f aca="false">IF($A2958="","",U2958-W2958-M2958)</f>
        <v/>
      </c>
      <c r="AB2958" s="27" t="str">
        <f aca="false">IF($A2958="","",IF($AK2958=1,'كشف المطالبة'!$D$5,'كشف المطالبة'!$D$6)*100)</f>
        <v/>
      </c>
      <c r="AK2958" s="28" t="str">
        <f aca="false">IF($A2958="","",IF(OR($Q2958=TRUE(),$Q2958="TRUE"),1,0))</f>
        <v/>
      </c>
      <c r="AL2958" s="28" t="str">
        <f aca="false">IF($N2958="","",IF(MATCH($N2958,$N$2:$N$3001,0)=ROWS($N$2:$N2958),$N2958,""))</f>
        <v/>
      </c>
    </row>
    <row r="2959" customFormat="false" ht="15" hidden="false" customHeight="false" outlineLevel="0" collapsed="false">
      <c r="E2959" s="25"/>
      <c r="M2959" s="26" t="str">
        <f aca="false">IF($A2959="","",$L2959*$U2959/100)</f>
        <v/>
      </c>
      <c r="W2959" s="26" t="str">
        <f aca="false">IF($A2959="","",U2959*AB2959/100)</f>
        <v/>
      </c>
      <c r="X2959" s="26" t="str">
        <f aca="false">IF($A2959="","",U2959-W2959)</f>
        <v/>
      </c>
      <c r="Y2959" s="26" t="str">
        <f aca="false">IF($A2959="","",U2959-W2959-M2959)</f>
        <v/>
      </c>
      <c r="AB2959" s="27" t="str">
        <f aca="false">IF($A2959="","",IF($AK2959=1,'كشف المطالبة'!$D$5,'كشف المطالبة'!$D$6)*100)</f>
        <v/>
      </c>
      <c r="AK2959" s="28" t="str">
        <f aca="false">IF($A2959="","",IF(OR($Q2959=TRUE(),$Q2959="TRUE"),1,0))</f>
        <v/>
      </c>
      <c r="AL2959" s="28" t="str">
        <f aca="false">IF($N2959="","",IF(MATCH($N2959,$N$2:$N$3001,0)=ROWS($N$2:$N2959),$N2959,""))</f>
        <v/>
      </c>
    </row>
    <row r="2960" customFormat="false" ht="15" hidden="false" customHeight="false" outlineLevel="0" collapsed="false">
      <c r="E2960" s="25"/>
      <c r="M2960" s="26" t="str">
        <f aca="false">IF($A2960="","",$L2960*$U2960/100)</f>
        <v/>
      </c>
      <c r="W2960" s="26" t="str">
        <f aca="false">IF($A2960="","",U2960*AB2960/100)</f>
        <v/>
      </c>
      <c r="X2960" s="26" t="str">
        <f aca="false">IF($A2960="","",U2960-W2960)</f>
        <v/>
      </c>
      <c r="Y2960" s="26" t="str">
        <f aca="false">IF($A2960="","",U2960-W2960-M2960)</f>
        <v/>
      </c>
      <c r="AB2960" s="27" t="str">
        <f aca="false">IF($A2960="","",IF($AK2960=1,'كشف المطالبة'!$D$5,'كشف المطالبة'!$D$6)*100)</f>
        <v/>
      </c>
      <c r="AK2960" s="28" t="str">
        <f aca="false">IF($A2960="","",IF(OR($Q2960=TRUE(),$Q2960="TRUE"),1,0))</f>
        <v/>
      </c>
      <c r="AL2960" s="28" t="str">
        <f aca="false">IF($N2960="","",IF(MATCH($N2960,$N$2:$N$3001,0)=ROWS($N$2:$N2960),$N2960,""))</f>
        <v/>
      </c>
    </row>
    <row r="2961" customFormat="false" ht="15" hidden="false" customHeight="false" outlineLevel="0" collapsed="false">
      <c r="E2961" s="25"/>
      <c r="M2961" s="26" t="str">
        <f aca="false">IF($A2961="","",$L2961*$U2961/100)</f>
        <v/>
      </c>
      <c r="W2961" s="26" t="str">
        <f aca="false">IF($A2961="","",U2961*AB2961/100)</f>
        <v/>
      </c>
      <c r="X2961" s="26" t="str">
        <f aca="false">IF($A2961="","",U2961-W2961)</f>
        <v/>
      </c>
      <c r="Y2961" s="26" t="str">
        <f aca="false">IF($A2961="","",U2961-W2961-M2961)</f>
        <v/>
      </c>
      <c r="AB2961" s="27" t="str">
        <f aca="false">IF($A2961="","",IF($AK2961=1,'كشف المطالبة'!$D$5,'كشف المطالبة'!$D$6)*100)</f>
        <v/>
      </c>
      <c r="AK2961" s="28" t="str">
        <f aca="false">IF($A2961="","",IF(OR($Q2961=TRUE(),$Q2961="TRUE"),1,0))</f>
        <v/>
      </c>
      <c r="AL2961" s="28" t="str">
        <f aca="false">IF($N2961="","",IF(MATCH($N2961,$N$2:$N$3001,0)=ROWS($N$2:$N2961),$N2961,""))</f>
        <v/>
      </c>
    </row>
    <row r="2962" customFormat="false" ht="15" hidden="false" customHeight="false" outlineLevel="0" collapsed="false">
      <c r="E2962" s="25"/>
      <c r="M2962" s="26" t="str">
        <f aca="false">IF($A2962="","",$L2962*$U2962/100)</f>
        <v/>
      </c>
      <c r="W2962" s="26" t="str">
        <f aca="false">IF($A2962="","",U2962*AB2962/100)</f>
        <v/>
      </c>
      <c r="X2962" s="26" t="str">
        <f aca="false">IF($A2962="","",U2962-W2962)</f>
        <v/>
      </c>
      <c r="Y2962" s="26" t="str">
        <f aca="false">IF($A2962="","",U2962-W2962-M2962)</f>
        <v/>
      </c>
      <c r="AB2962" s="27" t="str">
        <f aca="false">IF($A2962="","",IF($AK2962=1,'كشف المطالبة'!$D$5,'كشف المطالبة'!$D$6)*100)</f>
        <v/>
      </c>
      <c r="AK2962" s="28" t="str">
        <f aca="false">IF($A2962="","",IF(OR($Q2962=TRUE(),$Q2962="TRUE"),1,0))</f>
        <v/>
      </c>
      <c r="AL2962" s="28" t="str">
        <f aca="false">IF($N2962="","",IF(MATCH($N2962,$N$2:$N$3001,0)=ROWS($N$2:$N2962),$N2962,""))</f>
        <v/>
      </c>
    </row>
    <row r="2963" customFormat="false" ht="15" hidden="false" customHeight="false" outlineLevel="0" collapsed="false">
      <c r="E2963" s="25"/>
      <c r="M2963" s="26" t="str">
        <f aca="false">IF($A2963="","",$L2963*$U2963/100)</f>
        <v/>
      </c>
      <c r="W2963" s="26" t="str">
        <f aca="false">IF($A2963="","",U2963*AB2963/100)</f>
        <v/>
      </c>
      <c r="X2963" s="26" t="str">
        <f aca="false">IF($A2963="","",U2963-W2963)</f>
        <v/>
      </c>
      <c r="Y2963" s="26" t="str">
        <f aca="false">IF($A2963="","",U2963-W2963-M2963)</f>
        <v/>
      </c>
      <c r="AB2963" s="27" t="str">
        <f aca="false">IF($A2963="","",IF($AK2963=1,'كشف المطالبة'!$D$5,'كشف المطالبة'!$D$6)*100)</f>
        <v/>
      </c>
      <c r="AK2963" s="28" t="str">
        <f aca="false">IF($A2963="","",IF(OR($Q2963=TRUE(),$Q2963="TRUE"),1,0))</f>
        <v/>
      </c>
      <c r="AL2963" s="28" t="str">
        <f aca="false">IF($N2963="","",IF(MATCH($N2963,$N$2:$N$3001,0)=ROWS($N$2:$N2963),$N2963,""))</f>
        <v/>
      </c>
    </row>
    <row r="2964" customFormat="false" ht="15" hidden="false" customHeight="false" outlineLevel="0" collapsed="false">
      <c r="E2964" s="25"/>
      <c r="M2964" s="26" t="str">
        <f aca="false">IF($A2964="","",$L2964*$U2964/100)</f>
        <v/>
      </c>
      <c r="W2964" s="26" t="str">
        <f aca="false">IF($A2964="","",U2964*AB2964/100)</f>
        <v/>
      </c>
      <c r="X2964" s="26" t="str">
        <f aca="false">IF($A2964="","",U2964-W2964)</f>
        <v/>
      </c>
      <c r="Y2964" s="26" t="str">
        <f aca="false">IF($A2964="","",U2964-W2964-M2964)</f>
        <v/>
      </c>
      <c r="AB2964" s="27" t="str">
        <f aca="false">IF($A2964="","",IF($AK2964=1,'كشف المطالبة'!$D$5,'كشف المطالبة'!$D$6)*100)</f>
        <v/>
      </c>
      <c r="AK2964" s="28" t="str">
        <f aca="false">IF($A2964="","",IF(OR($Q2964=TRUE(),$Q2964="TRUE"),1,0))</f>
        <v/>
      </c>
      <c r="AL2964" s="28" t="str">
        <f aca="false">IF($N2964="","",IF(MATCH($N2964,$N$2:$N$3001,0)=ROWS($N$2:$N2964),$N2964,""))</f>
        <v/>
      </c>
    </row>
    <row r="2965" customFormat="false" ht="15" hidden="false" customHeight="false" outlineLevel="0" collapsed="false">
      <c r="E2965" s="25"/>
      <c r="M2965" s="26" t="str">
        <f aca="false">IF($A2965="","",$L2965*$U2965/100)</f>
        <v/>
      </c>
      <c r="W2965" s="26" t="str">
        <f aca="false">IF($A2965="","",U2965*AB2965/100)</f>
        <v/>
      </c>
      <c r="X2965" s="26" t="str">
        <f aca="false">IF($A2965="","",U2965-W2965)</f>
        <v/>
      </c>
      <c r="Y2965" s="26" t="str">
        <f aca="false">IF($A2965="","",U2965-W2965-M2965)</f>
        <v/>
      </c>
      <c r="AB2965" s="27" t="str">
        <f aca="false">IF($A2965="","",IF($AK2965=1,'كشف المطالبة'!$D$5,'كشف المطالبة'!$D$6)*100)</f>
        <v/>
      </c>
      <c r="AK2965" s="28" t="str">
        <f aca="false">IF($A2965="","",IF(OR($Q2965=TRUE(),$Q2965="TRUE"),1,0))</f>
        <v/>
      </c>
      <c r="AL2965" s="28" t="str">
        <f aca="false">IF($N2965="","",IF(MATCH($N2965,$N$2:$N$3001,0)=ROWS($N$2:$N2965),$N2965,""))</f>
        <v/>
      </c>
    </row>
    <row r="2966" customFormat="false" ht="15" hidden="false" customHeight="false" outlineLevel="0" collapsed="false">
      <c r="E2966" s="25"/>
      <c r="M2966" s="26" t="str">
        <f aca="false">IF($A2966="","",$L2966*$U2966/100)</f>
        <v/>
      </c>
      <c r="W2966" s="26" t="str">
        <f aca="false">IF($A2966="","",U2966*AB2966/100)</f>
        <v/>
      </c>
      <c r="X2966" s="26" t="str">
        <f aca="false">IF($A2966="","",U2966-W2966)</f>
        <v/>
      </c>
      <c r="Y2966" s="26" t="str">
        <f aca="false">IF($A2966="","",U2966-W2966-M2966)</f>
        <v/>
      </c>
      <c r="AB2966" s="27" t="str">
        <f aca="false">IF($A2966="","",IF($AK2966=1,'كشف المطالبة'!$D$5,'كشف المطالبة'!$D$6)*100)</f>
        <v/>
      </c>
      <c r="AK2966" s="28" t="str">
        <f aca="false">IF($A2966="","",IF(OR($Q2966=TRUE(),$Q2966="TRUE"),1,0))</f>
        <v/>
      </c>
      <c r="AL2966" s="28" t="str">
        <f aca="false">IF($N2966="","",IF(MATCH($N2966,$N$2:$N$3001,0)=ROWS($N$2:$N2966),$N2966,""))</f>
        <v/>
      </c>
    </row>
    <row r="2967" customFormat="false" ht="15" hidden="false" customHeight="false" outlineLevel="0" collapsed="false">
      <c r="E2967" s="25"/>
      <c r="M2967" s="26" t="str">
        <f aca="false">IF($A2967="","",$L2967*$U2967/100)</f>
        <v/>
      </c>
      <c r="W2967" s="26" t="str">
        <f aca="false">IF($A2967="","",U2967*AB2967/100)</f>
        <v/>
      </c>
      <c r="X2967" s="26" t="str">
        <f aca="false">IF($A2967="","",U2967-W2967)</f>
        <v/>
      </c>
      <c r="Y2967" s="26" t="str">
        <f aca="false">IF($A2967="","",U2967-W2967-M2967)</f>
        <v/>
      </c>
      <c r="AB2967" s="27" t="str">
        <f aca="false">IF($A2967="","",IF($AK2967=1,'كشف المطالبة'!$D$5,'كشف المطالبة'!$D$6)*100)</f>
        <v/>
      </c>
      <c r="AK2967" s="28" t="str">
        <f aca="false">IF($A2967="","",IF(OR($Q2967=TRUE(),$Q2967="TRUE"),1,0))</f>
        <v/>
      </c>
      <c r="AL2967" s="28" t="str">
        <f aca="false">IF($N2967="","",IF(MATCH($N2967,$N$2:$N$3001,0)=ROWS($N$2:$N2967),$N2967,""))</f>
        <v/>
      </c>
    </row>
    <row r="2968" customFormat="false" ht="15" hidden="false" customHeight="false" outlineLevel="0" collapsed="false">
      <c r="E2968" s="25"/>
      <c r="M2968" s="26" t="str">
        <f aca="false">IF($A2968="","",$L2968*$U2968/100)</f>
        <v/>
      </c>
      <c r="W2968" s="26" t="str">
        <f aca="false">IF($A2968="","",U2968*AB2968/100)</f>
        <v/>
      </c>
      <c r="X2968" s="26" t="str">
        <f aca="false">IF($A2968="","",U2968-W2968)</f>
        <v/>
      </c>
      <c r="Y2968" s="26" t="str">
        <f aca="false">IF($A2968="","",U2968-W2968-M2968)</f>
        <v/>
      </c>
      <c r="AB2968" s="27" t="str">
        <f aca="false">IF($A2968="","",IF($AK2968=1,'كشف المطالبة'!$D$5,'كشف المطالبة'!$D$6)*100)</f>
        <v/>
      </c>
      <c r="AK2968" s="28" t="str">
        <f aca="false">IF($A2968="","",IF(OR($Q2968=TRUE(),$Q2968="TRUE"),1,0))</f>
        <v/>
      </c>
      <c r="AL2968" s="28" t="str">
        <f aca="false">IF($N2968="","",IF(MATCH($N2968,$N$2:$N$3001,0)=ROWS($N$2:$N2968),$N2968,""))</f>
        <v/>
      </c>
    </row>
    <row r="2969" customFormat="false" ht="15" hidden="false" customHeight="false" outlineLevel="0" collapsed="false">
      <c r="E2969" s="25"/>
      <c r="M2969" s="26" t="str">
        <f aca="false">IF($A2969="","",$L2969*$U2969/100)</f>
        <v/>
      </c>
      <c r="W2969" s="26" t="str">
        <f aca="false">IF($A2969="","",U2969*AB2969/100)</f>
        <v/>
      </c>
      <c r="X2969" s="26" t="str">
        <f aca="false">IF($A2969="","",U2969-W2969)</f>
        <v/>
      </c>
      <c r="Y2969" s="26" t="str">
        <f aca="false">IF($A2969="","",U2969-W2969-M2969)</f>
        <v/>
      </c>
      <c r="AB2969" s="27" t="str">
        <f aca="false">IF($A2969="","",IF($AK2969=1,'كشف المطالبة'!$D$5,'كشف المطالبة'!$D$6)*100)</f>
        <v/>
      </c>
      <c r="AK2969" s="28" t="str">
        <f aca="false">IF($A2969="","",IF(OR($Q2969=TRUE(),$Q2969="TRUE"),1,0))</f>
        <v/>
      </c>
      <c r="AL2969" s="28" t="str">
        <f aca="false">IF($N2969="","",IF(MATCH($N2969,$N$2:$N$3001,0)=ROWS($N$2:$N2969),$N2969,""))</f>
        <v/>
      </c>
    </row>
    <row r="2970" customFormat="false" ht="15" hidden="false" customHeight="false" outlineLevel="0" collapsed="false">
      <c r="E2970" s="25"/>
      <c r="M2970" s="26" t="str">
        <f aca="false">IF($A2970="","",$L2970*$U2970/100)</f>
        <v/>
      </c>
      <c r="W2970" s="26" t="str">
        <f aca="false">IF($A2970="","",U2970*AB2970/100)</f>
        <v/>
      </c>
      <c r="X2970" s="26" t="str">
        <f aca="false">IF($A2970="","",U2970-W2970)</f>
        <v/>
      </c>
      <c r="Y2970" s="26" t="str">
        <f aca="false">IF($A2970="","",U2970-W2970-M2970)</f>
        <v/>
      </c>
      <c r="AB2970" s="27" t="str">
        <f aca="false">IF($A2970="","",IF($AK2970=1,'كشف المطالبة'!$D$5,'كشف المطالبة'!$D$6)*100)</f>
        <v/>
      </c>
      <c r="AK2970" s="28" t="str">
        <f aca="false">IF($A2970="","",IF(OR($Q2970=TRUE(),$Q2970="TRUE"),1,0))</f>
        <v/>
      </c>
      <c r="AL2970" s="28" t="str">
        <f aca="false">IF($N2970="","",IF(MATCH($N2970,$N$2:$N$3001,0)=ROWS($N$2:$N2970),$N2970,""))</f>
        <v/>
      </c>
    </row>
    <row r="2971" customFormat="false" ht="15" hidden="false" customHeight="false" outlineLevel="0" collapsed="false">
      <c r="E2971" s="25"/>
      <c r="M2971" s="26" t="str">
        <f aca="false">IF($A2971="","",$L2971*$U2971/100)</f>
        <v/>
      </c>
      <c r="W2971" s="26" t="str">
        <f aca="false">IF($A2971="","",U2971*AB2971/100)</f>
        <v/>
      </c>
      <c r="X2971" s="26" t="str">
        <f aca="false">IF($A2971="","",U2971-W2971)</f>
        <v/>
      </c>
      <c r="Y2971" s="26" t="str">
        <f aca="false">IF($A2971="","",U2971-W2971-M2971)</f>
        <v/>
      </c>
      <c r="AB2971" s="27" t="str">
        <f aca="false">IF($A2971="","",IF($AK2971=1,'كشف المطالبة'!$D$5,'كشف المطالبة'!$D$6)*100)</f>
        <v/>
      </c>
      <c r="AK2971" s="28" t="str">
        <f aca="false">IF($A2971="","",IF(OR($Q2971=TRUE(),$Q2971="TRUE"),1,0))</f>
        <v/>
      </c>
      <c r="AL2971" s="28" t="str">
        <f aca="false">IF($N2971="","",IF(MATCH($N2971,$N$2:$N$3001,0)=ROWS($N$2:$N2971),$N2971,""))</f>
        <v/>
      </c>
    </row>
    <row r="2972" customFormat="false" ht="15" hidden="false" customHeight="false" outlineLevel="0" collapsed="false">
      <c r="E2972" s="25"/>
      <c r="M2972" s="26" t="str">
        <f aca="false">IF($A2972="","",$L2972*$U2972/100)</f>
        <v/>
      </c>
      <c r="W2972" s="26" t="str">
        <f aca="false">IF($A2972="","",U2972*AB2972/100)</f>
        <v/>
      </c>
      <c r="X2972" s="26" t="str">
        <f aca="false">IF($A2972="","",U2972-W2972)</f>
        <v/>
      </c>
      <c r="Y2972" s="26" t="str">
        <f aca="false">IF($A2972="","",U2972-W2972-M2972)</f>
        <v/>
      </c>
      <c r="AB2972" s="27" t="str">
        <f aca="false">IF($A2972="","",IF($AK2972=1,'كشف المطالبة'!$D$5,'كشف المطالبة'!$D$6)*100)</f>
        <v/>
      </c>
      <c r="AK2972" s="28" t="str">
        <f aca="false">IF($A2972="","",IF(OR($Q2972=TRUE(),$Q2972="TRUE"),1,0))</f>
        <v/>
      </c>
      <c r="AL2972" s="28" t="str">
        <f aca="false">IF($N2972="","",IF(MATCH($N2972,$N$2:$N$3001,0)=ROWS($N$2:$N2972),$N2972,""))</f>
        <v/>
      </c>
    </row>
    <row r="2973" customFormat="false" ht="15" hidden="false" customHeight="false" outlineLevel="0" collapsed="false">
      <c r="E2973" s="25"/>
      <c r="M2973" s="26" t="str">
        <f aca="false">IF($A2973="","",$L2973*$U2973/100)</f>
        <v/>
      </c>
      <c r="W2973" s="26" t="str">
        <f aca="false">IF($A2973="","",U2973*AB2973/100)</f>
        <v/>
      </c>
      <c r="X2973" s="26" t="str">
        <f aca="false">IF($A2973="","",U2973-W2973)</f>
        <v/>
      </c>
      <c r="Y2973" s="26" t="str">
        <f aca="false">IF($A2973="","",U2973-W2973-M2973)</f>
        <v/>
      </c>
      <c r="AB2973" s="27" t="str">
        <f aca="false">IF($A2973="","",IF($AK2973=1,'كشف المطالبة'!$D$5,'كشف المطالبة'!$D$6)*100)</f>
        <v/>
      </c>
      <c r="AK2973" s="28" t="str">
        <f aca="false">IF($A2973="","",IF(OR($Q2973=TRUE(),$Q2973="TRUE"),1,0))</f>
        <v/>
      </c>
      <c r="AL2973" s="28" t="str">
        <f aca="false">IF($N2973="","",IF(MATCH($N2973,$N$2:$N$3001,0)=ROWS($N$2:$N2973),$N2973,""))</f>
        <v/>
      </c>
    </row>
    <row r="2974" customFormat="false" ht="15" hidden="false" customHeight="false" outlineLevel="0" collapsed="false">
      <c r="E2974" s="25"/>
      <c r="M2974" s="26" t="str">
        <f aca="false">IF($A2974="","",$L2974*$U2974/100)</f>
        <v/>
      </c>
      <c r="W2974" s="26" t="str">
        <f aca="false">IF($A2974="","",U2974*AB2974/100)</f>
        <v/>
      </c>
      <c r="X2974" s="26" t="str">
        <f aca="false">IF($A2974="","",U2974-W2974)</f>
        <v/>
      </c>
      <c r="Y2974" s="26" t="str">
        <f aca="false">IF($A2974="","",U2974-W2974-M2974)</f>
        <v/>
      </c>
      <c r="AB2974" s="27" t="str">
        <f aca="false">IF($A2974="","",IF($AK2974=1,'كشف المطالبة'!$D$5,'كشف المطالبة'!$D$6)*100)</f>
        <v/>
      </c>
      <c r="AK2974" s="28" t="str">
        <f aca="false">IF($A2974="","",IF(OR($Q2974=TRUE(),$Q2974="TRUE"),1,0))</f>
        <v/>
      </c>
      <c r="AL2974" s="28" t="str">
        <f aca="false">IF($N2974="","",IF(MATCH($N2974,$N$2:$N$3001,0)=ROWS($N$2:$N2974),$N2974,""))</f>
        <v/>
      </c>
    </row>
    <row r="2975" customFormat="false" ht="15" hidden="false" customHeight="false" outlineLevel="0" collapsed="false">
      <c r="E2975" s="25"/>
      <c r="M2975" s="26" t="str">
        <f aca="false">IF($A2975="","",$L2975*$U2975/100)</f>
        <v/>
      </c>
      <c r="W2975" s="26" t="str">
        <f aca="false">IF($A2975="","",U2975*AB2975/100)</f>
        <v/>
      </c>
      <c r="X2975" s="26" t="str">
        <f aca="false">IF($A2975="","",U2975-W2975)</f>
        <v/>
      </c>
      <c r="Y2975" s="26" t="str">
        <f aca="false">IF($A2975="","",U2975-W2975-M2975)</f>
        <v/>
      </c>
      <c r="AB2975" s="27" t="str">
        <f aca="false">IF($A2975="","",IF($AK2975=1,'كشف المطالبة'!$D$5,'كشف المطالبة'!$D$6)*100)</f>
        <v/>
      </c>
      <c r="AK2975" s="28" t="str">
        <f aca="false">IF($A2975="","",IF(OR($Q2975=TRUE(),$Q2975="TRUE"),1,0))</f>
        <v/>
      </c>
      <c r="AL2975" s="28" t="str">
        <f aca="false">IF($N2975="","",IF(MATCH($N2975,$N$2:$N$3001,0)=ROWS($N$2:$N2975),$N2975,""))</f>
        <v/>
      </c>
    </row>
    <row r="2976" customFormat="false" ht="15" hidden="false" customHeight="false" outlineLevel="0" collapsed="false">
      <c r="E2976" s="25"/>
      <c r="M2976" s="26" t="str">
        <f aca="false">IF($A2976="","",$L2976*$U2976/100)</f>
        <v/>
      </c>
      <c r="W2976" s="26" t="str">
        <f aca="false">IF($A2976="","",U2976*AB2976/100)</f>
        <v/>
      </c>
      <c r="X2976" s="26" t="str">
        <f aca="false">IF($A2976="","",U2976-W2976)</f>
        <v/>
      </c>
      <c r="Y2976" s="26" t="str">
        <f aca="false">IF($A2976="","",U2976-W2976-M2976)</f>
        <v/>
      </c>
      <c r="AB2976" s="27" t="str">
        <f aca="false">IF($A2976="","",IF($AK2976=1,'كشف المطالبة'!$D$5,'كشف المطالبة'!$D$6)*100)</f>
        <v/>
      </c>
      <c r="AK2976" s="28" t="str">
        <f aca="false">IF($A2976="","",IF(OR($Q2976=TRUE(),$Q2976="TRUE"),1,0))</f>
        <v/>
      </c>
      <c r="AL2976" s="28" t="str">
        <f aca="false">IF($N2976="","",IF(MATCH($N2976,$N$2:$N$3001,0)=ROWS($N$2:$N2976),$N2976,""))</f>
        <v/>
      </c>
    </row>
    <row r="2977" customFormat="false" ht="15" hidden="false" customHeight="false" outlineLevel="0" collapsed="false">
      <c r="E2977" s="25"/>
      <c r="M2977" s="26" t="str">
        <f aca="false">IF($A2977="","",$L2977*$U2977/100)</f>
        <v/>
      </c>
      <c r="W2977" s="26" t="str">
        <f aca="false">IF($A2977="","",U2977*AB2977/100)</f>
        <v/>
      </c>
      <c r="X2977" s="26" t="str">
        <f aca="false">IF($A2977="","",U2977-W2977)</f>
        <v/>
      </c>
      <c r="Y2977" s="26" t="str">
        <f aca="false">IF($A2977="","",U2977-W2977-M2977)</f>
        <v/>
      </c>
      <c r="AB2977" s="27" t="str">
        <f aca="false">IF($A2977="","",IF($AK2977=1,'كشف المطالبة'!$D$5,'كشف المطالبة'!$D$6)*100)</f>
        <v/>
      </c>
      <c r="AK2977" s="28" t="str">
        <f aca="false">IF($A2977="","",IF(OR($Q2977=TRUE(),$Q2977="TRUE"),1,0))</f>
        <v/>
      </c>
      <c r="AL2977" s="28" t="str">
        <f aca="false">IF($N2977="","",IF(MATCH($N2977,$N$2:$N$3001,0)=ROWS($N$2:$N2977),$N2977,""))</f>
        <v/>
      </c>
    </row>
    <row r="2978" customFormat="false" ht="15" hidden="false" customHeight="false" outlineLevel="0" collapsed="false">
      <c r="E2978" s="25"/>
      <c r="M2978" s="26" t="str">
        <f aca="false">IF($A2978="","",$L2978*$U2978/100)</f>
        <v/>
      </c>
      <c r="W2978" s="26" t="str">
        <f aca="false">IF($A2978="","",U2978*AB2978/100)</f>
        <v/>
      </c>
      <c r="X2978" s="26" t="str">
        <f aca="false">IF($A2978="","",U2978-W2978)</f>
        <v/>
      </c>
      <c r="Y2978" s="26" t="str">
        <f aca="false">IF($A2978="","",U2978-W2978-M2978)</f>
        <v/>
      </c>
      <c r="AB2978" s="27" t="str">
        <f aca="false">IF($A2978="","",IF($AK2978=1,'كشف المطالبة'!$D$5,'كشف المطالبة'!$D$6)*100)</f>
        <v/>
      </c>
      <c r="AK2978" s="28" t="str">
        <f aca="false">IF($A2978="","",IF(OR($Q2978=TRUE(),$Q2978="TRUE"),1,0))</f>
        <v/>
      </c>
      <c r="AL2978" s="28" t="str">
        <f aca="false">IF($N2978="","",IF(MATCH($N2978,$N$2:$N$3001,0)=ROWS($N$2:$N2978),$N2978,""))</f>
        <v/>
      </c>
    </row>
    <row r="2979" customFormat="false" ht="15" hidden="false" customHeight="false" outlineLevel="0" collapsed="false">
      <c r="E2979" s="25"/>
      <c r="M2979" s="26" t="str">
        <f aca="false">IF($A2979="","",$L2979*$U2979/100)</f>
        <v/>
      </c>
      <c r="W2979" s="26" t="str">
        <f aca="false">IF($A2979="","",U2979*AB2979/100)</f>
        <v/>
      </c>
      <c r="X2979" s="26" t="str">
        <f aca="false">IF($A2979="","",U2979-W2979)</f>
        <v/>
      </c>
      <c r="Y2979" s="26" t="str">
        <f aca="false">IF($A2979="","",U2979-W2979-M2979)</f>
        <v/>
      </c>
      <c r="AB2979" s="27" t="str">
        <f aca="false">IF($A2979="","",IF($AK2979=1,'كشف المطالبة'!$D$5,'كشف المطالبة'!$D$6)*100)</f>
        <v/>
      </c>
      <c r="AK2979" s="28" t="str">
        <f aca="false">IF($A2979="","",IF(OR($Q2979=TRUE(),$Q2979="TRUE"),1,0))</f>
        <v/>
      </c>
      <c r="AL2979" s="28" t="str">
        <f aca="false">IF($N2979="","",IF(MATCH($N2979,$N$2:$N$3001,0)=ROWS($N$2:$N2979),$N2979,""))</f>
        <v/>
      </c>
    </row>
    <row r="2980" customFormat="false" ht="15" hidden="false" customHeight="false" outlineLevel="0" collapsed="false">
      <c r="E2980" s="25"/>
      <c r="M2980" s="26" t="str">
        <f aca="false">IF($A2980="","",$L2980*$U2980/100)</f>
        <v/>
      </c>
      <c r="W2980" s="26" t="str">
        <f aca="false">IF($A2980="","",U2980*AB2980/100)</f>
        <v/>
      </c>
      <c r="X2980" s="26" t="str">
        <f aca="false">IF($A2980="","",U2980-W2980)</f>
        <v/>
      </c>
      <c r="Y2980" s="26" t="str">
        <f aca="false">IF($A2980="","",U2980-W2980-M2980)</f>
        <v/>
      </c>
      <c r="AB2980" s="27" t="str">
        <f aca="false">IF($A2980="","",IF($AK2980=1,'كشف المطالبة'!$D$5,'كشف المطالبة'!$D$6)*100)</f>
        <v/>
      </c>
      <c r="AK2980" s="28" t="str">
        <f aca="false">IF($A2980="","",IF(OR($Q2980=TRUE(),$Q2980="TRUE"),1,0))</f>
        <v/>
      </c>
      <c r="AL2980" s="28" t="str">
        <f aca="false">IF($N2980="","",IF(MATCH($N2980,$N$2:$N$3001,0)=ROWS($N$2:$N2980),$N2980,""))</f>
        <v/>
      </c>
    </row>
    <row r="2981" customFormat="false" ht="15" hidden="false" customHeight="false" outlineLevel="0" collapsed="false">
      <c r="E2981" s="25"/>
      <c r="M2981" s="26" t="str">
        <f aca="false">IF($A2981="","",$L2981*$U2981/100)</f>
        <v/>
      </c>
      <c r="W2981" s="26" t="str">
        <f aca="false">IF($A2981="","",U2981*AB2981/100)</f>
        <v/>
      </c>
      <c r="X2981" s="26" t="str">
        <f aca="false">IF($A2981="","",U2981-W2981)</f>
        <v/>
      </c>
      <c r="Y2981" s="26" t="str">
        <f aca="false">IF($A2981="","",U2981-W2981-M2981)</f>
        <v/>
      </c>
      <c r="AB2981" s="27" t="str">
        <f aca="false">IF($A2981="","",IF($AK2981=1,'كشف المطالبة'!$D$5,'كشف المطالبة'!$D$6)*100)</f>
        <v/>
      </c>
      <c r="AK2981" s="28" t="str">
        <f aca="false">IF($A2981="","",IF(OR($Q2981=TRUE(),$Q2981="TRUE"),1,0))</f>
        <v/>
      </c>
      <c r="AL2981" s="28" t="str">
        <f aca="false">IF($N2981="","",IF(MATCH($N2981,$N$2:$N$3001,0)=ROWS($N$2:$N2981),$N2981,""))</f>
        <v/>
      </c>
    </row>
    <row r="2982" customFormat="false" ht="15" hidden="false" customHeight="false" outlineLevel="0" collapsed="false">
      <c r="E2982" s="25"/>
      <c r="M2982" s="26" t="str">
        <f aca="false">IF($A2982="","",$L2982*$U2982/100)</f>
        <v/>
      </c>
      <c r="W2982" s="26" t="str">
        <f aca="false">IF($A2982="","",U2982*AB2982/100)</f>
        <v/>
      </c>
      <c r="X2982" s="26" t="str">
        <f aca="false">IF($A2982="","",U2982-W2982)</f>
        <v/>
      </c>
      <c r="Y2982" s="26" t="str">
        <f aca="false">IF($A2982="","",U2982-W2982-M2982)</f>
        <v/>
      </c>
      <c r="AB2982" s="27" t="str">
        <f aca="false">IF($A2982="","",IF($AK2982=1,'كشف المطالبة'!$D$5,'كشف المطالبة'!$D$6)*100)</f>
        <v/>
      </c>
      <c r="AK2982" s="28" t="str">
        <f aca="false">IF($A2982="","",IF(OR($Q2982=TRUE(),$Q2982="TRUE"),1,0))</f>
        <v/>
      </c>
      <c r="AL2982" s="28" t="str">
        <f aca="false">IF($N2982="","",IF(MATCH($N2982,$N$2:$N$3001,0)=ROWS($N$2:$N2982),$N2982,""))</f>
        <v/>
      </c>
    </row>
    <row r="2983" customFormat="false" ht="15" hidden="false" customHeight="false" outlineLevel="0" collapsed="false">
      <c r="E2983" s="25"/>
      <c r="M2983" s="26" t="str">
        <f aca="false">IF($A2983="","",$L2983*$U2983/100)</f>
        <v/>
      </c>
      <c r="W2983" s="26" t="str">
        <f aca="false">IF($A2983="","",U2983*AB2983/100)</f>
        <v/>
      </c>
      <c r="X2983" s="26" t="str">
        <f aca="false">IF($A2983="","",U2983-W2983)</f>
        <v/>
      </c>
      <c r="Y2983" s="26" t="str">
        <f aca="false">IF($A2983="","",U2983-W2983-M2983)</f>
        <v/>
      </c>
      <c r="AB2983" s="27" t="str">
        <f aca="false">IF($A2983="","",IF($AK2983=1,'كشف المطالبة'!$D$5,'كشف المطالبة'!$D$6)*100)</f>
        <v/>
      </c>
      <c r="AK2983" s="28" t="str">
        <f aca="false">IF($A2983="","",IF(OR($Q2983=TRUE(),$Q2983="TRUE"),1,0))</f>
        <v/>
      </c>
      <c r="AL2983" s="28" t="str">
        <f aca="false">IF($N2983="","",IF(MATCH($N2983,$N$2:$N$3001,0)=ROWS($N$2:$N2983),$N2983,""))</f>
        <v/>
      </c>
    </row>
    <row r="2984" customFormat="false" ht="15" hidden="false" customHeight="false" outlineLevel="0" collapsed="false">
      <c r="E2984" s="25"/>
      <c r="M2984" s="26" t="str">
        <f aca="false">IF($A2984="","",$L2984*$U2984/100)</f>
        <v/>
      </c>
      <c r="W2984" s="26" t="str">
        <f aca="false">IF($A2984="","",U2984*AB2984/100)</f>
        <v/>
      </c>
      <c r="X2984" s="26" t="str">
        <f aca="false">IF($A2984="","",U2984-W2984)</f>
        <v/>
      </c>
      <c r="Y2984" s="26" t="str">
        <f aca="false">IF($A2984="","",U2984-W2984-M2984)</f>
        <v/>
      </c>
      <c r="AB2984" s="27" t="str">
        <f aca="false">IF($A2984="","",IF($AK2984=1,'كشف المطالبة'!$D$5,'كشف المطالبة'!$D$6)*100)</f>
        <v/>
      </c>
      <c r="AK2984" s="28" t="str">
        <f aca="false">IF($A2984="","",IF(OR($Q2984=TRUE(),$Q2984="TRUE"),1,0))</f>
        <v/>
      </c>
      <c r="AL2984" s="28" t="str">
        <f aca="false">IF($N2984="","",IF(MATCH($N2984,$N$2:$N$3001,0)=ROWS($N$2:$N2984),$N2984,""))</f>
        <v/>
      </c>
    </row>
    <row r="2985" customFormat="false" ht="15" hidden="false" customHeight="false" outlineLevel="0" collapsed="false">
      <c r="E2985" s="25"/>
      <c r="M2985" s="26" t="str">
        <f aca="false">IF($A2985="","",$L2985*$U2985/100)</f>
        <v/>
      </c>
      <c r="W2985" s="26" t="str">
        <f aca="false">IF($A2985="","",U2985*AB2985/100)</f>
        <v/>
      </c>
      <c r="X2985" s="26" t="str">
        <f aca="false">IF($A2985="","",U2985-W2985)</f>
        <v/>
      </c>
      <c r="Y2985" s="26" t="str">
        <f aca="false">IF($A2985="","",U2985-W2985-M2985)</f>
        <v/>
      </c>
      <c r="AB2985" s="27" t="str">
        <f aca="false">IF($A2985="","",IF($AK2985=1,'كشف المطالبة'!$D$5,'كشف المطالبة'!$D$6)*100)</f>
        <v/>
      </c>
      <c r="AK2985" s="28" t="str">
        <f aca="false">IF($A2985="","",IF(OR($Q2985=TRUE(),$Q2985="TRUE"),1,0))</f>
        <v/>
      </c>
      <c r="AL2985" s="28" t="str">
        <f aca="false">IF($N2985="","",IF(MATCH($N2985,$N$2:$N$3001,0)=ROWS($N$2:$N2985),$N2985,""))</f>
        <v/>
      </c>
    </row>
    <row r="2986" customFormat="false" ht="15" hidden="false" customHeight="false" outlineLevel="0" collapsed="false">
      <c r="E2986" s="25"/>
      <c r="M2986" s="26" t="str">
        <f aca="false">IF($A2986="","",$L2986*$U2986/100)</f>
        <v/>
      </c>
      <c r="W2986" s="26" t="str">
        <f aca="false">IF($A2986="","",U2986*AB2986/100)</f>
        <v/>
      </c>
      <c r="X2986" s="26" t="str">
        <f aca="false">IF($A2986="","",U2986-W2986)</f>
        <v/>
      </c>
      <c r="Y2986" s="26" t="str">
        <f aca="false">IF($A2986="","",U2986-W2986-M2986)</f>
        <v/>
      </c>
      <c r="AB2986" s="27" t="str">
        <f aca="false">IF($A2986="","",IF($AK2986=1,'كشف المطالبة'!$D$5,'كشف المطالبة'!$D$6)*100)</f>
        <v/>
      </c>
      <c r="AK2986" s="28" t="str">
        <f aca="false">IF($A2986="","",IF(OR($Q2986=TRUE(),$Q2986="TRUE"),1,0))</f>
        <v/>
      </c>
      <c r="AL2986" s="28" t="str">
        <f aca="false">IF($N2986="","",IF(MATCH($N2986,$N$2:$N$3001,0)=ROWS($N$2:$N2986),$N2986,""))</f>
        <v/>
      </c>
    </row>
    <row r="2987" customFormat="false" ht="15" hidden="false" customHeight="false" outlineLevel="0" collapsed="false">
      <c r="E2987" s="25"/>
      <c r="M2987" s="26" t="str">
        <f aca="false">IF($A2987="","",$L2987*$U2987/100)</f>
        <v/>
      </c>
      <c r="W2987" s="26" t="str">
        <f aca="false">IF($A2987="","",U2987*AB2987/100)</f>
        <v/>
      </c>
      <c r="X2987" s="26" t="str">
        <f aca="false">IF($A2987="","",U2987-W2987)</f>
        <v/>
      </c>
      <c r="Y2987" s="26" t="str">
        <f aca="false">IF($A2987="","",U2987-W2987-M2987)</f>
        <v/>
      </c>
      <c r="AB2987" s="27" t="str">
        <f aca="false">IF($A2987="","",IF($AK2987=1,'كشف المطالبة'!$D$5,'كشف المطالبة'!$D$6)*100)</f>
        <v/>
      </c>
      <c r="AK2987" s="28" t="str">
        <f aca="false">IF($A2987="","",IF(OR($Q2987=TRUE(),$Q2987="TRUE"),1,0))</f>
        <v/>
      </c>
      <c r="AL2987" s="28" t="str">
        <f aca="false">IF($N2987="","",IF(MATCH($N2987,$N$2:$N$3001,0)=ROWS($N$2:$N2987),$N2987,""))</f>
        <v/>
      </c>
    </row>
    <row r="2988" customFormat="false" ht="15" hidden="false" customHeight="false" outlineLevel="0" collapsed="false">
      <c r="E2988" s="25"/>
      <c r="M2988" s="26" t="str">
        <f aca="false">IF($A2988="","",$L2988*$U2988/100)</f>
        <v/>
      </c>
      <c r="W2988" s="26" t="str">
        <f aca="false">IF($A2988="","",U2988*AB2988/100)</f>
        <v/>
      </c>
      <c r="X2988" s="26" t="str">
        <f aca="false">IF($A2988="","",U2988-W2988)</f>
        <v/>
      </c>
      <c r="Y2988" s="26" t="str">
        <f aca="false">IF($A2988="","",U2988-W2988-M2988)</f>
        <v/>
      </c>
      <c r="AB2988" s="27" t="str">
        <f aca="false">IF($A2988="","",IF($AK2988=1,'كشف المطالبة'!$D$5,'كشف المطالبة'!$D$6)*100)</f>
        <v/>
      </c>
      <c r="AK2988" s="28" t="str">
        <f aca="false">IF($A2988="","",IF(OR($Q2988=TRUE(),$Q2988="TRUE"),1,0))</f>
        <v/>
      </c>
      <c r="AL2988" s="28" t="str">
        <f aca="false">IF($N2988="","",IF(MATCH($N2988,$N$2:$N$3001,0)=ROWS($N$2:$N2988),$N2988,""))</f>
        <v/>
      </c>
    </row>
    <row r="2989" customFormat="false" ht="15" hidden="false" customHeight="false" outlineLevel="0" collapsed="false">
      <c r="E2989" s="25"/>
      <c r="M2989" s="26" t="str">
        <f aca="false">IF($A2989="","",$L2989*$U2989/100)</f>
        <v/>
      </c>
      <c r="W2989" s="26" t="str">
        <f aca="false">IF($A2989="","",U2989*AB2989/100)</f>
        <v/>
      </c>
      <c r="X2989" s="26" t="str">
        <f aca="false">IF($A2989="","",U2989-W2989)</f>
        <v/>
      </c>
      <c r="Y2989" s="26" t="str">
        <f aca="false">IF($A2989="","",U2989-W2989-M2989)</f>
        <v/>
      </c>
      <c r="AB2989" s="27" t="str">
        <f aca="false">IF($A2989="","",IF($AK2989=1,'كشف المطالبة'!$D$5,'كشف المطالبة'!$D$6)*100)</f>
        <v/>
      </c>
      <c r="AK2989" s="28" t="str">
        <f aca="false">IF($A2989="","",IF(OR($Q2989=TRUE(),$Q2989="TRUE"),1,0))</f>
        <v/>
      </c>
      <c r="AL2989" s="28" t="str">
        <f aca="false">IF($N2989="","",IF(MATCH($N2989,$N$2:$N$3001,0)=ROWS($N$2:$N2989),$N2989,""))</f>
        <v/>
      </c>
    </row>
    <row r="2990" customFormat="false" ht="15" hidden="false" customHeight="false" outlineLevel="0" collapsed="false">
      <c r="E2990" s="25"/>
      <c r="M2990" s="26" t="str">
        <f aca="false">IF($A2990="","",$L2990*$U2990/100)</f>
        <v/>
      </c>
      <c r="W2990" s="26" t="str">
        <f aca="false">IF($A2990="","",U2990*AB2990/100)</f>
        <v/>
      </c>
      <c r="X2990" s="26" t="str">
        <f aca="false">IF($A2990="","",U2990-W2990)</f>
        <v/>
      </c>
      <c r="Y2990" s="26" t="str">
        <f aca="false">IF($A2990="","",U2990-W2990-M2990)</f>
        <v/>
      </c>
      <c r="AB2990" s="27" t="str">
        <f aca="false">IF($A2990="","",IF($AK2990=1,'كشف المطالبة'!$D$5,'كشف المطالبة'!$D$6)*100)</f>
        <v/>
      </c>
      <c r="AK2990" s="28" t="str">
        <f aca="false">IF($A2990="","",IF(OR($Q2990=TRUE(),$Q2990="TRUE"),1,0))</f>
        <v/>
      </c>
      <c r="AL2990" s="28" t="str">
        <f aca="false">IF($N2990="","",IF(MATCH($N2990,$N$2:$N$3001,0)=ROWS($N$2:$N2990),$N2990,""))</f>
        <v/>
      </c>
    </row>
    <row r="2991" customFormat="false" ht="15" hidden="false" customHeight="false" outlineLevel="0" collapsed="false">
      <c r="E2991" s="25"/>
      <c r="M2991" s="26" t="str">
        <f aca="false">IF($A2991="","",$L2991*$U2991/100)</f>
        <v/>
      </c>
      <c r="W2991" s="26" t="str">
        <f aca="false">IF($A2991="","",U2991*AB2991/100)</f>
        <v/>
      </c>
      <c r="X2991" s="26" t="str">
        <f aca="false">IF($A2991="","",U2991-W2991)</f>
        <v/>
      </c>
      <c r="Y2991" s="26" t="str">
        <f aca="false">IF($A2991="","",U2991-W2991-M2991)</f>
        <v/>
      </c>
      <c r="AB2991" s="27" t="str">
        <f aca="false">IF($A2991="","",IF($AK2991=1,'كشف المطالبة'!$D$5,'كشف المطالبة'!$D$6)*100)</f>
        <v/>
      </c>
      <c r="AK2991" s="28" t="str">
        <f aca="false">IF($A2991="","",IF(OR($Q2991=TRUE(),$Q2991="TRUE"),1,0))</f>
        <v/>
      </c>
      <c r="AL2991" s="28" t="str">
        <f aca="false">IF($N2991="","",IF(MATCH($N2991,$N$2:$N$3001,0)=ROWS($N$2:$N2991),$N2991,""))</f>
        <v/>
      </c>
    </row>
    <row r="2992" customFormat="false" ht="15" hidden="false" customHeight="false" outlineLevel="0" collapsed="false">
      <c r="E2992" s="25"/>
      <c r="M2992" s="26" t="str">
        <f aca="false">IF($A2992="","",$L2992*$U2992/100)</f>
        <v/>
      </c>
      <c r="W2992" s="26" t="str">
        <f aca="false">IF($A2992="","",U2992*AB2992/100)</f>
        <v/>
      </c>
      <c r="X2992" s="26" t="str">
        <f aca="false">IF($A2992="","",U2992-W2992)</f>
        <v/>
      </c>
      <c r="Y2992" s="26" t="str">
        <f aca="false">IF($A2992="","",U2992-W2992-M2992)</f>
        <v/>
      </c>
      <c r="AB2992" s="27" t="str">
        <f aca="false">IF($A2992="","",IF($AK2992=1,'كشف المطالبة'!$D$5,'كشف المطالبة'!$D$6)*100)</f>
        <v/>
      </c>
      <c r="AK2992" s="28" t="str">
        <f aca="false">IF($A2992="","",IF(OR($Q2992=TRUE(),$Q2992="TRUE"),1,0))</f>
        <v/>
      </c>
      <c r="AL2992" s="28" t="str">
        <f aca="false">IF($N2992="","",IF(MATCH($N2992,$N$2:$N$3001,0)=ROWS($N$2:$N2992),$N2992,""))</f>
        <v/>
      </c>
    </row>
    <row r="2993" customFormat="false" ht="15" hidden="false" customHeight="false" outlineLevel="0" collapsed="false">
      <c r="E2993" s="25"/>
      <c r="M2993" s="26" t="str">
        <f aca="false">IF($A2993="","",$L2993*$U2993/100)</f>
        <v/>
      </c>
      <c r="W2993" s="26" t="str">
        <f aca="false">IF($A2993="","",U2993*AB2993/100)</f>
        <v/>
      </c>
      <c r="X2993" s="26" t="str">
        <f aca="false">IF($A2993="","",U2993-W2993)</f>
        <v/>
      </c>
      <c r="Y2993" s="26" t="str">
        <f aca="false">IF($A2993="","",U2993-W2993-M2993)</f>
        <v/>
      </c>
      <c r="AB2993" s="27" t="str">
        <f aca="false">IF($A2993="","",IF($AK2993=1,'كشف المطالبة'!$D$5,'كشف المطالبة'!$D$6)*100)</f>
        <v/>
      </c>
      <c r="AK2993" s="28" t="str">
        <f aca="false">IF($A2993="","",IF(OR($Q2993=TRUE(),$Q2993="TRUE"),1,0))</f>
        <v/>
      </c>
      <c r="AL2993" s="28" t="str">
        <f aca="false">IF($N2993="","",IF(MATCH($N2993,$N$2:$N$3001,0)=ROWS($N$2:$N2993),$N2993,""))</f>
        <v/>
      </c>
    </row>
    <row r="2994" customFormat="false" ht="15" hidden="false" customHeight="false" outlineLevel="0" collapsed="false">
      <c r="E2994" s="25"/>
      <c r="M2994" s="26" t="str">
        <f aca="false">IF($A2994="","",$L2994*$U2994/100)</f>
        <v/>
      </c>
      <c r="W2994" s="26" t="str">
        <f aca="false">IF($A2994="","",U2994*AB2994/100)</f>
        <v/>
      </c>
      <c r="X2994" s="26" t="str">
        <f aca="false">IF($A2994="","",U2994-W2994)</f>
        <v/>
      </c>
      <c r="Y2994" s="26" t="str">
        <f aca="false">IF($A2994="","",U2994-W2994-M2994)</f>
        <v/>
      </c>
      <c r="AB2994" s="27" t="str">
        <f aca="false">IF($A2994="","",IF($AK2994=1,'كشف المطالبة'!$D$5,'كشف المطالبة'!$D$6)*100)</f>
        <v/>
      </c>
      <c r="AK2994" s="28" t="str">
        <f aca="false">IF($A2994="","",IF(OR($Q2994=TRUE(),$Q2994="TRUE"),1,0))</f>
        <v/>
      </c>
      <c r="AL2994" s="28" t="str">
        <f aca="false">IF($N2994="","",IF(MATCH($N2994,$N$2:$N$3001,0)=ROWS($N$2:$N2994),$N2994,""))</f>
        <v/>
      </c>
    </row>
    <row r="2995" customFormat="false" ht="15" hidden="false" customHeight="false" outlineLevel="0" collapsed="false">
      <c r="E2995" s="25"/>
      <c r="M2995" s="26" t="str">
        <f aca="false">IF($A2995="","",$L2995*$U2995/100)</f>
        <v/>
      </c>
      <c r="W2995" s="26" t="str">
        <f aca="false">IF($A2995="","",U2995*AB2995/100)</f>
        <v/>
      </c>
      <c r="X2995" s="26" t="str">
        <f aca="false">IF($A2995="","",U2995-W2995)</f>
        <v/>
      </c>
      <c r="Y2995" s="26" t="str">
        <f aca="false">IF($A2995="","",U2995-W2995-M2995)</f>
        <v/>
      </c>
      <c r="AB2995" s="27" t="str">
        <f aca="false">IF($A2995="","",IF($AK2995=1,'كشف المطالبة'!$D$5,'كشف المطالبة'!$D$6)*100)</f>
        <v/>
      </c>
      <c r="AK2995" s="28" t="str">
        <f aca="false">IF($A2995="","",IF(OR($Q2995=TRUE(),$Q2995="TRUE"),1,0))</f>
        <v/>
      </c>
      <c r="AL2995" s="28" t="str">
        <f aca="false">IF($N2995="","",IF(MATCH($N2995,$N$2:$N$3001,0)=ROWS($N$2:$N2995),$N2995,""))</f>
        <v/>
      </c>
    </row>
    <row r="2996" customFormat="false" ht="15" hidden="false" customHeight="false" outlineLevel="0" collapsed="false">
      <c r="E2996" s="25"/>
      <c r="M2996" s="26" t="str">
        <f aca="false">IF($A2996="","",$L2996*$U2996/100)</f>
        <v/>
      </c>
      <c r="W2996" s="26" t="str">
        <f aca="false">IF($A2996="","",U2996*AB2996/100)</f>
        <v/>
      </c>
      <c r="X2996" s="26" t="str">
        <f aca="false">IF($A2996="","",U2996-W2996)</f>
        <v/>
      </c>
      <c r="Y2996" s="26" t="str">
        <f aca="false">IF($A2996="","",U2996-W2996-M2996)</f>
        <v/>
      </c>
      <c r="AB2996" s="27" t="str">
        <f aca="false">IF($A2996="","",IF($AK2996=1,'كشف المطالبة'!$D$5,'كشف المطالبة'!$D$6)*100)</f>
        <v/>
      </c>
      <c r="AK2996" s="28" t="str">
        <f aca="false">IF($A2996="","",IF(OR($Q2996=TRUE(),$Q2996="TRUE"),1,0))</f>
        <v/>
      </c>
      <c r="AL2996" s="28" t="str">
        <f aca="false">IF($N2996="","",IF(MATCH($N2996,$N$2:$N$3001,0)=ROWS($N$2:$N2996),$N2996,""))</f>
        <v/>
      </c>
    </row>
    <row r="2997" customFormat="false" ht="15" hidden="false" customHeight="false" outlineLevel="0" collapsed="false">
      <c r="E2997" s="25"/>
      <c r="M2997" s="26" t="str">
        <f aca="false">IF($A2997="","",$L2997*$U2997/100)</f>
        <v/>
      </c>
      <c r="W2997" s="26" t="str">
        <f aca="false">IF($A2997="","",U2997*AB2997/100)</f>
        <v/>
      </c>
      <c r="X2997" s="26" t="str">
        <f aca="false">IF($A2997="","",U2997-W2997)</f>
        <v/>
      </c>
      <c r="Y2997" s="26" t="str">
        <f aca="false">IF($A2997="","",U2997-W2997-M2997)</f>
        <v/>
      </c>
      <c r="AB2997" s="27" t="str">
        <f aca="false">IF($A2997="","",IF($AK2997=1,'كشف المطالبة'!$D$5,'كشف المطالبة'!$D$6)*100)</f>
        <v/>
      </c>
      <c r="AK2997" s="28" t="str">
        <f aca="false">IF($A2997="","",IF(OR($Q2997=TRUE(),$Q2997="TRUE"),1,0))</f>
        <v/>
      </c>
      <c r="AL2997" s="28" t="str">
        <f aca="false">IF($N2997="","",IF(MATCH($N2997,$N$2:$N$3001,0)=ROWS($N$2:$N2997),$N2997,""))</f>
        <v/>
      </c>
    </row>
    <row r="2998" customFormat="false" ht="15" hidden="false" customHeight="false" outlineLevel="0" collapsed="false">
      <c r="E2998" s="25"/>
      <c r="M2998" s="26" t="str">
        <f aca="false">IF($A2998="","",$L2998*$U2998/100)</f>
        <v/>
      </c>
      <c r="W2998" s="26" t="str">
        <f aca="false">IF($A2998="","",U2998*AB2998/100)</f>
        <v/>
      </c>
      <c r="X2998" s="26" t="str">
        <f aca="false">IF($A2998="","",U2998-W2998)</f>
        <v/>
      </c>
      <c r="Y2998" s="26" t="str">
        <f aca="false">IF($A2998="","",U2998-W2998-M2998)</f>
        <v/>
      </c>
      <c r="AB2998" s="27" t="str">
        <f aca="false">IF($A2998="","",IF($AK2998=1,'كشف المطالبة'!$D$5,'كشف المطالبة'!$D$6)*100)</f>
        <v/>
      </c>
      <c r="AK2998" s="28" t="str">
        <f aca="false">IF($A2998="","",IF(OR($Q2998=TRUE(),$Q2998="TRUE"),1,0))</f>
        <v/>
      </c>
      <c r="AL2998" s="28" t="str">
        <f aca="false">IF($N2998="","",IF(MATCH($N2998,$N$2:$N$3001,0)=ROWS($N$2:$N2998),$N2998,""))</f>
        <v/>
      </c>
    </row>
    <row r="2999" customFormat="false" ht="15" hidden="false" customHeight="false" outlineLevel="0" collapsed="false">
      <c r="E2999" s="25"/>
      <c r="M2999" s="26" t="str">
        <f aca="false">IF($A2999="","",$L2999*$U2999/100)</f>
        <v/>
      </c>
      <c r="W2999" s="26" t="str">
        <f aca="false">IF($A2999="","",U2999*AB2999/100)</f>
        <v/>
      </c>
      <c r="X2999" s="26" t="str">
        <f aca="false">IF($A2999="","",U2999-W2999)</f>
        <v/>
      </c>
      <c r="Y2999" s="26" t="str">
        <f aca="false">IF($A2999="","",U2999-W2999-M2999)</f>
        <v/>
      </c>
      <c r="AB2999" s="27" t="str">
        <f aca="false">IF($A2999="","",IF($AK2999=1,'كشف المطالبة'!$D$5,'كشف المطالبة'!$D$6)*100)</f>
        <v/>
      </c>
      <c r="AK2999" s="28" t="str">
        <f aca="false">IF($A2999="","",IF(OR($Q2999=TRUE(),$Q2999="TRUE"),1,0))</f>
        <v/>
      </c>
      <c r="AL2999" s="28" t="str">
        <f aca="false">IF($N2999="","",IF(MATCH($N2999,$N$2:$N$3001,0)=ROWS($N$2:$N2999),$N2999,""))</f>
        <v/>
      </c>
    </row>
    <row r="3000" customFormat="false" ht="15" hidden="false" customHeight="false" outlineLevel="0" collapsed="false">
      <c r="E3000" s="25"/>
      <c r="M3000" s="26" t="str">
        <f aca="false">IF($A3000="","",$L3000*$U3000/100)</f>
        <v/>
      </c>
      <c r="W3000" s="26" t="str">
        <f aca="false">IF($A3000="","",U3000*AB3000/100)</f>
        <v/>
      </c>
      <c r="X3000" s="26" t="str">
        <f aca="false">IF($A3000="","",U3000-W3000)</f>
        <v/>
      </c>
      <c r="Y3000" s="26" t="str">
        <f aca="false">IF($A3000="","",U3000-W3000-M3000)</f>
        <v/>
      </c>
      <c r="AB3000" s="27" t="str">
        <f aca="false">IF($A3000="","",IF($AK3000=1,'كشف المطالبة'!$D$5,'كشف المطالبة'!$D$6)*100)</f>
        <v/>
      </c>
      <c r="AK3000" s="28" t="str">
        <f aca="false">IF($A3000="","",IF(OR($Q3000=TRUE(),$Q3000="TRUE"),1,0))</f>
        <v/>
      </c>
      <c r="AL3000" s="28" t="str">
        <f aca="false">IF($N3000="","",IF(MATCH($N3000,$N$2:$N$3001,0)=ROWS($N$2:$N3000),$N3000,""))</f>
        <v/>
      </c>
    </row>
    <row r="3001" customFormat="false" ht="15" hidden="false" customHeight="false" outlineLevel="0" collapsed="false">
      <c r="E3001" s="25"/>
      <c r="M3001" s="26" t="str">
        <f aca="false">IF($A3001="","",$L3001*$U3001/100)</f>
        <v/>
      </c>
      <c r="W3001" s="26" t="str">
        <f aca="false">IF($A3001="","",U3001*AB3001/100)</f>
        <v/>
      </c>
      <c r="X3001" s="26" t="str">
        <f aca="false">IF($A3001="","",U3001-W3001)</f>
        <v/>
      </c>
      <c r="Y3001" s="26" t="str">
        <f aca="false">IF($A3001="","",U3001-W3001-M3001)</f>
        <v/>
      </c>
      <c r="AB3001" s="27" t="str">
        <f aca="false">IF($A3001="","",IF($AK3001=1,'كشف المطالبة'!$D$5,'كشف المطالبة'!$D$6)*100)</f>
        <v/>
      </c>
      <c r="AK3001" s="28" t="str">
        <f aca="false">IF($A3001="","",IF(OR($Q3001=TRUE(),$Q3001="TRUE"),1,0))</f>
        <v/>
      </c>
      <c r="AL3001" s="28" t="str">
        <f aca="false">IF($N3001="","",IF(MATCH($N3001,$N$2:$N$3001,0)=ROWS($N$2:$N3001),$N3001,""))</f>
        <v/>
      </c>
    </row>
  </sheetData>
  <autoFilter ref="A1:AL30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3"/>
  <sheetViews>
    <sheetView showFormulas="false" showGridLines="fals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C8" activeCellId="0" sqref="C8"/>
    </sheetView>
  </sheetViews>
  <sheetFormatPr defaultColWidth="14.453125" defaultRowHeight="15" zeroHeight="false" outlineLevelRow="0" outlineLevelCol="0"/>
  <cols>
    <col collapsed="false" customWidth="true" hidden="false" outlineLevel="0" max="1" min="1" style="0" width="28.45"/>
    <col collapsed="false" customWidth="true" hidden="false" outlineLevel="0" max="2" min="2" style="0" width="40.18"/>
    <col collapsed="false" customWidth="true" hidden="false" outlineLevel="0" max="3" min="3" style="0" width="21.27"/>
    <col collapsed="false" customWidth="true" hidden="false" outlineLevel="0" max="4" min="4" style="0" width="13.27"/>
    <col collapsed="false" customWidth="true" hidden="false" outlineLevel="0" max="5" min="5" style="0" width="13.45"/>
    <col collapsed="false" customWidth="true" hidden="false" outlineLevel="0" max="6" min="6" style="0" width="4.27"/>
    <col collapsed="false" customWidth="true" hidden="true" outlineLevel="0" max="7" min="7" style="0" width="9.45"/>
    <col collapsed="false" customWidth="true" hidden="true" outlineLevel="0" max="8" min="8" style="0" width="5.73"/>
    <col collapsed="false" customWidth="true" hidden="true" outlineLevel="0" max="9" min="9" style="0" width="11.18"/>
    <col collapsed="false" customWidth="true" hidden="true" outlineLevel="0" max="10" min="10" style="0" width="5.18"/>
    <col collapsed="false" customWidth="true" hidden="true" outlineLevel="0" max="12" min="11" style="0" width="8.73"/>
    <col collapsed="false" customWidth="true" hidden="false" outlineLevel="0" max="16" min="13" style="0" width="8.73"/>
    <col collapsed="false" customWidth="true" hidden="false" outlineLevel="0" max="17" min="17" style="0" width="18.82"/>
    <col collapsed="false" customWidth="true" hidden="false" outlineLevel="0" max="19" min="18" style="0" width="8.73"/>
    <col collapsed="false" customWidth="true" hidden="false" outlineLevel="0" max="20" min="20" style="0" width="18.82"/>
    <col collapsed="false" customWidth="true" hidden="false" outlineLevel="0" max="26" min="21" style="0" width="8.73"/>
  </cols>
  <sheetData>
    <row r="1" customFormat="false" ht="34.5" hidden="false" customHeight="true" outlineLevel="0" collapsed="false">
      <c r="A1" s="29" t="s">
        <v>86</v>
      </c>
      <c r="B1" s="29"/>
      <c r="C1" s="29"/>
      <c r="D1" s="29"/>
      <c r="E1" s="29"/>
      <c r="F1" s="29"/>
    </row>
    <row r="2" customFormat="false" ht="40.5" hidden="false" customHeight="true" outlineLevel="0" collapsed="false">
      <c r="A2" s="30"/>
      <c r="B2" s="31" t="s">
        <v>87</v>
      </c>
      <c r="C2" s="32" t="str">
        <f aca="false">"عدد الروشتات : "&amp;Check!$C$4</f>
        <v>عدد الروشتات : 0</v>
      </c>
      <c r="D2" s="33" t="s">
        <v>88</v>
      </c>
      <c r="E2" s="34"/>
      <c r="F2" s="35" t="n">
        <v>1</v>
      </c>
    </row>
    <row r="3" customFormat="false" ht="21" hidden="false" customHeight="true" outlineLevel="0" collapsed="false">
      <c r="A3" s="36"/>
      <c r="B3" s="37" t="s">
        <v>89</v>
      </c>
      <c r="C3" s="37" t="s">
        <v>90</v>
      </c>
      <c r="D3" s="37" t="s">
        <v>91</v>
      </c>
      <c r="E3" s="38" t="s">
        <v>92</v>
      </c>
      <c r="F3" s="39" t="n">
        <v>2</v>
      </c>
    </row>
    <row r="4" customFormat="false" ht="24.75" hidden="false" customHeight="true" outlineLevel="0" collapsed="false">
      <c r="A4" s="36"/>
      <c r="B4" s="40" t="s">
        <v>93</v>
      </c>
      <c r="C4" s="41" t="n">
        <f aca="false">C5+C6</f>
        <v>0</v>
      </c>
      <c r="D4" s="41"/>
      <c r="E4" s="42" t="s">
        <v>89</v>
      </c>
      <c r="F4" s="39" t="n">
        <v>3</v>
      </c>
    </row>
    <row r="5" customFormat="false" ht="24.75" hidden="false" customHeight="true" outlineLevel="0" collapsed="false">
      <c r="A5" s="36"/>
      <c r="B5" s="43" t="s">
        <v>94</v>
      </c>
      <c r="C5" s="44" t="n">
        <f aca="false">SUM(BAHARY!$H$2:$H$901)</f>
        <v>0</v>
      </c>
      <c r="D5" s="45" t="n">
        <v>0.14</v>
      </c>
      <c r="E5" s="46" t="n">
        <f aca="false">C5*D5</f>
        <v>0</v>
      </c>
      <c r="F5" s="39" t="n">
        <v>4</v>
      </c>
    </row>
    <row r="6" customFormat="false" ht="24.75" hidden="false" customHeight="true" outlineLevel="0" collapsed="false">
      <c r="A6" s="36"/>
      <c r="B6" s="43" t="s">
        <v>95</v>
      </c>
      <c r="C6" s="20" t="n">
        <f aca="false">SUM(BAHARY!$E$2:$E$901)</f>
        <v>0</v>
      </c>
      <c r="D6" s="45" t="n">
        <v>0.07</v>
      </c>
      <c r="E6" s="46" t="n">
        <f aca="false">C6*D6</f>
        <v>0</v>
      </c>
      <c r="F6" s="39" t="n">
        <v>5</v>
      </c>
    </row>
    <row r="7" customFormat="false" ht="24.75" hidden="false" customHeight="true" outlineLevel="0" collapsed="false">
      <c r="A7" s="36"/>
      <c r="B7" s="43" t="s">
        <v>96</v>
      </c>
      <c r="C7" s="47" t="n">
        <f aca="false">الاجمالى!$H$16</f>
        <v>0</v>
      </c>
      <c r="D7" s="47"/>
      <c r="E7" s="46"/>
      <c r="F7" s="39" t="n">
        <v>6</v>
      </c>
    </row>
    <row r="8" customFormat="false" ht="24.75" hidden="false" customHeight="true" outlineLevel="0" collapsed="false">
      <c r="A8" s="36"/>
      <c r="B8" s="43" t="s">
        <v>97</v>
      </c>
      <c r="C8" s="48" t="n">
        <f aca="false">E6+E5</f>
        <v>0</v>
      </c>
      <c r="D8" s="48"/>
      <c r="E8" s="46"/>
      <c r="F8" s="39" t="n">
        <v>7</v>
      </c>
    </row>
    <row r="9" customFormat="false" ht="24.75" hidden="false" customHeight="true" outlineLevel="0" collapsed="false">
      <c r="A9" s="36"/>
      <c r="B9" s="43" t="s">
        <v>98</v>
      </c>
      <c r="C9" s="48" t="n">
        <f aca="false">C4-C7</f>
        <v>0</v>
      </c>
      <c r="D9" s="48"/>
      <c r="E9" s="46"/>
      <c r="F9" s="39" t="n">
        <v>8</v>
      </c>
    </row>
    <row r="10" customFormat="false" ht="24.75" hidden="false" customHeight="true" outlineLevel="0" collapsed="false">
      <c r="A10" s="36"/>
      <c r="B10" s="43" t="s">
        <v>99</v>
      </c>
      <c r="C10" s="48" t="n">
        <f aca="false">C4-C8-C7</f>
        <v>0</v>
      </c>
      <c r="D10" s="48"/>
      <c r="E10" s="46"/>
      <c r="F10" s="39" t="n">
        <v>9</v>
      </c>
    </row>
    <row r="11" customFormat="false" ht="24.75" hidden="false" customHeight="true" outlineLevel="0" collapsed="false">
      <c r="A11" s="36"/>
      <c r="B11" s="43" t="s">
        <v>100</v>
      </c>
      <c r="C11" s="48" t="n">
        <f aca="false">C4-C7-C8</f>
        <v>0</v>
      </c>
      <c r="D11" s="48"/>
      <c r="E11" s="46"/>
      <c r="F11" s="39" t="n">
        <v>10</v>
      </c>
    </row>
    <row r="12" customFormat="false" ht="24.75" hidden="false" customHeight="true" outlineLevel="0" collapsed="false">
      <c r="A12" s="36"/>
      <c r="B12" s="49" t="s">
        <v>101</v>
      </c>
      <c r="C12" s="50" t="str">
        <f aca="false">IFERROR(numbertotext(C11,"جنيه","قرشا"),"")</f>
        <v/>
      </c>
      <c r="D12" s="50"/>
      <c r="E12" s="50"/>
      <c r="F12" s="39" t="n">
        <v>11</v>
      </c>
    </row>
    <row r="13" customFormat="false" ht="11.25" hidden="false" customHeight="true" outlineLevel="0" collapsed="false">
      <c r="A13" s="36"/>
      <c r="B13" s="51" t="s">
        <v>92</v>
      </c>
      <c r="C13" s="51" t="s">
        <v>102</v>
      </c>
      <c r="D13" s="51" t="s">
        <v>103</v>
      </c>
      <c r="E13" s="51" t="s">
        <v>104</v>
      </c>
      <c r="F13" s="51" t="n">
        <v>12</v>
      </c>
    </row>
  </sheetData>
  <mergeCells count="8">
    <mergeCell ref="A1:F1"/>
    <mergeCell ref="C4:D4"/>
    <mergeCell ref="C7:D7"/>
    <mergeCell ref="C8:D8"/>
    <mergeCell ref="C9:D9"/>
    <mergeCell ref="C10:D10"/>
    <mergeCell ref="C11:D11"/>
    <mergeCell ref="C12:E12"/>
  </mergeCells>
  <dataValidations count="3">
    <dataValidation allowBlank="true" errorStyle="stop" operator="between" showDropDown="false" showErrorMessage="true" showInputMessage="false" sqref="E2" type="list">
      <formula1>$F$2:$F$13</formula1>
      <formula2>0</formula2>
    </dataValidation>
    <dataValidation allowBlank="true" errorStyle="stop" operator="between" showDropDown="false" showErrorMessage="true" showInputMessage="false" sqref="E3" type="list">
      <formula1>$B$13:$E$13</formula1>
      <formula2>0</formula2>
    </dataValidation>
    <dataValidation allowBlank="true" errorStyle="stop" operator="between" showDropDown="false" showErrorMessage="true" showInputMessage="false" sqref="E4" type="list">
      <formula1>$B$3:$D$3</formula1>
      <formula2>0</formula2>
    </dataValidation>
  </dataValidations>
  <printOptions headings="false" gridLines="false" gridLinesSet="true" horizontalCentered="false" verticalCentered="false"/>
  <pageMargins left="0.279861111111111" right="0.279861111111111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14.453125" defaultRowHeight="15" zeroHeight="false" outlineLevelRow="0" outlineLevelCol="0"/>
  <cols>
    <col collapsed="false" customWidth="true" hidden="false" outlineLevel="0" max="1" min="1" style="0" width="19.82"/>
    <col collapsed="false" customWidth="true" hidden="false" outlineLevel="0" max="2" min="2" style="0" width="12.18"/>
    <col collapsed="false" customWidth="true" hidden="false" outlineLevel="0" max="3" min="3" style="0" width="14.73"/>
    <col collapsed="false" customWidth="true" hidden="false" outlineLevel="0" max="4" min="4" style="0" width="12.18"/>
    <col collapsed="false" customWidth="true" hidden="false" outlineLevel="0" max="5" min="5" style="0" width="22.82"/>
    <col collapsed="false" customWidth="true" hidden="false" outlineLevel="0" max="6" min="6" style="0" width="15.45"/>
    <col collapsed="false" customWidth="true" hidden="false" outlineLevel="0" max="7" min="7" style="0" width="26.82"/>
    <col collapsed="false" customWidth="true" hidden="false" outlineLevel="0" max="8" min="8" style="0" width="21.54"/>
    <col collapsed="false" customWidth="true" hidden="false" outlineLevel="0" max="9" min="9" style="0" width="13.45"/>
    <col collapsed="false" customWidth="true" hidden="false" outlineLevel="0" max="10" min="10" style="0" width="3.73"/>
    <col collapsed="false" customWidth="true" hidden="false" outlineLevel="0" max="26" min="11" style="0" width="8.73"/>
  </cols>
  <sheetData>
    <row r="1" customFormat="false" ht="26.25" hidden="false" customHeight="true" outlineLevel="0" collapsed="false">
      <c r="A1" s="52" t="s">
        <v>105</v>
      </c>
      <c r="B1" s="52"/>
      <c r="C1" s="52"/>
      <c r="D1" s="53"/>
      <c r="E1" s="54" t="str">
        <f aca="false">"مطالبة صيدلية woods pharma عن شهر :"&amp;'كشف المطالبة'!$E$2</f>
        <v>مطالبة صيدلية woods pharma عن شهر :</v>
      </c>
      <c r="F1" s="54"/>
      <c r="G1" s="54"/>
      <c r="H1" s="55" t="str">
        <f aca="false">"("&amp;'كشف المطالبة'!E3&amp;")"</f>
        <v>(الجزء الاول)</v>
      </c>
      <c r="I1" s="55" t="str">
        <f aca="false">'كشف المطالبة'!E4</f>
        <v>عاملين</v>
      </c>
      <c r="J1" s="56"/>
    </row>
    <row r="2" customFormat="false" ht="34.5" hidden="false" customHeight="true" outlineLevel="0" collapsed="false">
      <c r="A2" s="57" t="s">
        <v>106</v>
      </c>
      <c r="B2" s="58" t="s">
        <v>107</v>
      </c>
      <c r="C2" s="58" t="s">
        <v>38</v>
      </c>
      <c r="D2" s="58" t="s">
        <v>108</v>
      </c>
      <c r="E2" s="58" t="str">
        <f aca="false">"محلى بعد خصم "&amp;ROUND('كشف المطالبة'!$D$5*100,2)&amp;"%"</f>
        <v>محلى بعد خصم 14%</v>
      </c>
      <c r="F2" s="58" t="str">
        <f aca="false">"مستورد بعد خصم"&amp;ROUND('كشف المطالبة'!$D$6*100,2)&amp;"%"</f>
        <v>مستورد بعد خصم7%</v>
      </c>
      <c r="G2" s="58" t="s">
        <v>109</v>
      </c>
      <c r="H2" s="58" t="s">
        <v>110</v>
      </c>
      <c r="I2" s="59" t="s">
        <v>111</v>
      </c>
      <c r="J2" s="56"/>
    </row>
    <row r="3" customFormat="false" ht="14.25" hidden="false" customHeight="true" outlineLevel="0" collapsed="false">
      <c r="A3" s="60" t="str">
        <f aca="false">IF(1&lt;=Check!$C$5,1,"")</f>
        <v/>
      </c>
      <c r="B3" s="61" t="str">
        <f aca="false">IF($A3="","",'كشف  (1)'!D45)</f>
        <v/>
      </c>
      <c r="C3" s="62" t="str">
        <f aca="false">IF($A3="","",'كشف  (1)'!E45)</f>
        <v/>
      </c>
      <c r="D3" s="61" t="str">
        <f aca="false">IF($A3="","",C3+B3)</f>
        <v/>
      </c>
      <c r="E3" s="62" t="str">
        <f aca="false">IF($A3="","",'كشف  (1)'!G45)</f>
        <v/>
      </c>
      <c r="F3" s="62" t="str">
        <f aca="false">IF($A3="","",'كشف  (1)'!H45)</f>
        <v/>
      </c>
      <c r="G3" s="63" t="str">
        <f aca="false">IF($A3="","",F3+E3)</f>
        <v/>
      </c>
      <c r="H3" s="63" t="str">
        <f aca="false">IF($A3="","",'كشف  (1)'!K45)</f>
        <v/>
      </c>
      <c r="I3" s="64" t="str">
        <f aca="false">IF($A3="","",'كشف  (1)'!L45)</f>
        <v/>
      </c>
      <c r="J3" s="65"/>
    </row>
    <row r="4" customFormat="false" ht="14.25" hidden="false" customHeight="true" outlineLevel="0" collapsed="false">
      <c r="A4" s="66" t="str">
        <f aca="false">IF(2&lt;=Check!$C$5,2,"")</f>
        <v/>
      </c>
      <c r="B4" s="61" t="str">
        <f aca="false">IF($A4="","",'كشف  (2)'!D45)</f>
        <v/>
      </c>
      <c r="C4" s="62" t="str">
        <f aca="false">IF($A4="","",'كشف  (2)'!E45)</f>
        <v/>
      </c>
      <c r="D4" s="61" t="str">
        <f aca="false">IF($A4="","",C4+B4)</f>
        <v/>
      </c>
      <c r="E4" s="62" t="str">
        <f aca="false">IF($A4="","",'كشف  (2)'!G45)</f>
        <v/>
      </c>
      <c r="F4" s="62" t="str">
        <f aca="false">IF($A4="","",'كشف  (2)'!H45)</f>
        <v/>
      </c>
      <c r="G4" s="63" t="str">
        <f aca="false">IF($A4="","",F4+E4)</f>
        <v/>
      </c>
      <c r="H4" s="63" t="str">
        <f aca="false">IF($A4="","",'كشف  (2)'!K45)</f>
        <v/>
      </c>
      <c r="I4" s="64" t="str">
        <f aca="false">IF($A4="","",'كشف  (2)'!L45)</f>
        <v/>
      </c>
      <c r="J4" s="65"/>
    </row>
    <row r="5" customFormat="false" ht="14.25" hidden="false" customHeight="true" outlineLevel="0" collapsed="false">
      <c r="A5" s="60" t="str">
        <f aca="false">IF(3&lt;=Check!$C$5,3,"")</f>
        <v/>
      </c>
      <c r="B5" s="61" t="str">
        <f aca="false">IF($A5="","",'كشف  (3)'!D45)</f>
        <v/>
      </c>
      <c r="C5" s="62" t="str">
        <f aca="false">IF($A5="","",'كشف  (3)'!E45)</f>
        <v/>
      </c>
      <c r="D5" s="61" t="str">
        <f aca="false">IF($A5="","",C5+B5)</f>
        <v/>
      </c>
      <c r="E5" s="62" t="str">
        <f aca="false">IF($A5="","",'كشف  (3)'!G45)</f>
        <v/>
      </c>
      <c r="F5" s="62" t="str">
        <f aca="false">IF($A5="","",'كشف  (3)'!H45)</f>
        <v/>
      </c>
      <c r="G5" s="63" t="str">
        <f aca="false">IF($A5="","",F5+E5)</f>
        <v/>
      </c>
      <c r="H5" s="63" t="str">
        <f aca="false">IF($A5="","",'كشف  (3)'!K45)</f>
        <v/>
      </c>
      <c r="I5" s="64" t="str">
        <f aca="false">IF($A5="","",'كشف  (3)'!L45)</f>
        <v/>
      </c>
      <c r="J5" s="65"/>
    </row>
    <row r="6" customFormat="false" ht="14.25" hidden="false" customHeight="true" outlineLevel="0" collapsed="false">
      <c r="A6" s="66" t="str">
        <f aca="false">IF(4&lt;=Check!$C$5,4,"")</f>
        <v/>
      </c>
      <c r="B6" s="61" t="str">
        <f aca="false">IF($A6="","",'كشف  (4)'!D45)</f>
        <v/>
      </c>
      <c r="C6" s="62" t="str">
        <f aca="false">IF($A6="","",'كشف  (4)'!E45)</f>
        <v/>
      </c>
      <c r="D6" s="61" t="str">
        <f aca="false">IF($A6="","",C6+B6)</f>
        <v/>
      </c>
      <c r="E6" s="62" t="str">
        <f aca="false">IF($A6="","",'كشف  (4)'!G45)</f>
        <v/>
      </c>
      <c r="F6" s="62" t="str">
        <f aca="false">IF($A6="","",'كشف  (4)'!H45)</f>
        <v/>
      </c>
      <c r="G6" s="63" t="str">
        <f aca="false">IF($A6="","",F6+E6)</f>
        <v/>
      </c>
      <c r="H6" s="63" t="str">
        <f aca="false">IF($A6="","",'كشف  (4)'!K45)</f>
        <v/>
      </c>
      <c r="I6" s="64" t="str">
        <f aca="false">IF($A6="","",'كشف  (4)'!L45)</f>
        <v/>
      </c>
      <c r="J6" s="65"/>
    </row>
    <row r="7" customFormat="false" ht="14.25" hidden="false" customHeight="true" outlineLevel="0" collapsed="false">
      <c r="A7" s="60" t="str">
        <f aca="false">IF(5&lt;=Check!$C$5,5,"")</f>
        <v/>
      </c>
      <c r="B7" s="61" t="str">
        <f aca="false">IF($A7="","",'كشف  (5)'!D45)</f>
        <v/>
      </c>
      <c r="C7" s="62" t="str">
        <f aca="false">IF($A7="","",'كشف  (5)'!E45)</f>
        <v/>
      </c>
      <c r="D7" s="61" t="str">
        <f aca="false">IF($A7="","",C7+B7)</f>
        <v/>
      </c>
      <c r="E7" s="62" t="str">
        <f aca="false">IF($A7="","",'كشف  (5)'!G45)</f>
        <v/>
      </c>
      <c r="F7" s="62" t="str">
        <f aca="false">IF($A7="","",'كشف  (5)'!H45)</f>
        <v/>
      </c>
      <c r="G7" s="63" t="str">
        <f aca="false">IF($A7="","",F7+E7)</f>
        <v/>
      </c>
      <c r="H7" s="63" t="str">
        <f aca="false">IF($A7="","",'كشف  (5)'!K45)</f>
        <v/>
      </c>
      <c r="I7" s="64" t="str">
        <f aca="false">IF($A7="","",'كشف  (5)'!L45)</f>
        <v/>
      </c>
      <c r="J7" s="65"/>
    </row>
    <row r="8" customFormat="false" ht="14.25" hidden="false" customHeight="true" outlineLevel="0" collapsed="false">
      <c r="A8" s="66" t="str">
        <f aca="false">IF(6&lt;=Check!$C$5,6,"")</f>
        <v/>
      </c>
      <c r="B8" s="61" t="str">
        <f aca="false">IF($A8="","",'كشف  (6)'!D45)</f>
        <v/>
      </c>
      <c r="C8" s="62" t="str">
        <f aca="false">IF($A8="","",'كشف  (6)'!E45)</f>
        <v/>
      </c>
      <c r="D8" s="61" t="str">
        <f aca="false">IF($A8="","",C8+B8)</f>
        <v/>
      </c>
      <c r="E8" s="62" t="str">
        <f aca="false">IF($A8="","",'كشف  (6)'!G45)</f>
        <v/>
      </c>
      <c r="F8" s="62" t="str">
        <f aca="false">IF($A8="","",'كشف  (6)'!H45)</f>
        <v/>
      </c>
      <c r="G8" s="63" t="str">
        <f aca="false">IF($A8="","",F8+E8)</f>
        <v/>
      </c>
      <c r="H8" s="63" t="str">
        <f aca="false">IF($A8="","",'كشف  (6)'!K45)</f>
        <v/>
      </c>
      <c r="I8" s="64" t="str">
        <f aca="false">IF($A8="","",'كشف  (6)'!L45)</f>
        <v/>
      </c>
      <c r="J8" s="65"/>
    </row>
    <row r="9" customFormat="false" ht="14.25" hidden="false" customHeight="true" outlineLevel="0" collapsed="false">
      <c r="A9" s="60" t="str">
        <f aca="false">IF(7&lt;=Check!$C$5,7,"")</f>
        <v/>
      </c>
      <c r="B9" s="61" t="str">
        <f aca="false">IF($A9="","",'كشف  (7)'!D45)</f>
        <v/>
      </c>
      <c r="C9" s="62" t="str">
        <f aca="false">IF($A9="","",'كشف  (7)'!E45)</f>
        <v/>
      </c>
      <c r="D9" s="61" t="str">
        <f aca="false">IF($A9="","",C9+B9)</f>
        <v/>
      </c>
      <c r="E9" s="62" t="str">
        <f aca="false">IF($A9="","",'كشف  (7)'!G45)</f>
        <v/>
      </c>
      <c r="F9" s="62" t="str">
        <f aca="false">IF($A9="","",'كشف  (7)'!H45)</f>
        <v/>
      </c>
      <c r="G9" s="63" t="str">
        <f aca="false">IF($A9="","",F9+E9)</f>
        <v/>
      </c>
      <c r="H9" s="63" t="str">
        <f aca="false">IF($A9="","",'كشف  (7)'!K45)</f>
        <v/>
      </c>
      <c r="I9" s="64" t="str">
        <f aca="false">IF($A9="","",'كشف  (7)'!L45)</f>
        <v/>
      </c>
      <c r="J9" s="65"/>
    </row>
    <row r="10" customFormat="false" ht="14.25" hidden="false" customHeight="true" outlineLevel="0" collapsed="false">
      <c r="A10" s="66" t="str">
        <f aca="false">IF(8&lt;=Check!$C$5,8,"")</f>
        <v/>
      </c>
      <c r="B10" s="61" t="str">
        <f aca="false">IF($A10="","",'كشف  (8)'!D45)</f>
        <v/>
      </c>
      <c r="C10" s="62" t="str">
        <f aca="false">IF($A10="","",'كشف  (8)'!E45)</f>
        <v/>
      </c>
      <c r="D10" s="61" t="str">
        <f aca="false">IF($A10="","",C10+B10)</f>
        <v/>
      </c>
      <c r="E10" s="62" t="str">
        <f aca="false">IF($A10="","",'كشف  (8)'!G45)</f>
        <v/>
      </c>
      <c r="F10" s="62" t="str">
        <f aca="false">IF($A10="","",'كشف  (8)'!H45)</f>
        <v/>
      </c>
      <c r="G10" s="63" t="str">
        <f aca="false">IF($A10="","",F10+E10)</f>
        <v/>
      </c>
      <c r="H10" s="63" t="str">
        <f aca="false">IF($A10="","",'كشف  (8)'!K45)</f>
        <v/>
      </c>
      <c r="I10" s="64" t="str">
        <f aca="false">IF($A10="","",'كشف  (8)'!L45)</f>
        <v/>
      </c>
      <c r="J10" s="65"/>
    </row>
    <row r="11" customFormat="false" ht="14.25" hidden="false" customHeight="true" outlineLevel="0" collapsed="false">
      <c r="A11" s="60" t="str">
        <f aca="false">IF(9&lt;=Check!$C$5,9,"")</f>
        <v/>
      </c>
      <c r="B11" s="61" t="str">
        <f aca="false">IF($A11="","",'كشف  (9)'!D45)</f>
        <v/>
      </c>
      <c r="C11" s="62" t="str">
        <f aca="false">IF($A11="","",'كشف  (9)'!E45)</f>
        <v/>
      </c>
      <c r="D11" s="61" t="str">
        <f aca="false">IF($A11="","",C11+B11)</f>
        <v/>
      </c>
      <c r="E11" s="62" t="str">
        <f aca="false">IF($A11="","",'كشف  (9)'!G45)</f>
        <v/>
      </c>
      <c r="F11" s="62" t="str">
        <f aca="false">IF($A11="","",'كشف  (9)'!H45)</f>
        <v/>
      </c>
      <c r="G11" s="63" t="str">
        <f aca="false">IF($A11="","",F11+E11)</f>
        <v/>
      </c>
      <c r="H11" s="63" t="str">
        <f aca="false">IF($A11="","",'كشف  (9)'!K45)</f>
        <v/>
      </c>
      <c r="I11" s="64" t="str">
        <f aca="false">IF($A11="","",'كشف  (9)'!L45)</f>
        <v/>
      </c>
      <c r="J11" s="65"/>
    </row>
    <row r="12" customFormat="false" ht="14.25" hidden="false" customHeight="true" outlineLevel="0" collapsed="false">
      <c r="A12" s="66" t="str">
        <f aca="false">IF(10&lt;=Check!$C$5,10,"")</f>
        <v/>
      </c>
      <c r="B12" s="61" t="str">
        <f aca="false">IF($A12="","",'كشف  (10)'!D45)</f>
        <v/>
      </c>
      <c r="C12" s="62" t="str">
        <f aca="false">IF($A12="","",'كشف  (10)'!E45)</f>
        <v/>
      </c>
      <c r="D12" s="61" t="str">
        <f aca="false">IF($A12="","",C12+B12)</f>
        <v/>
      </c>
      <c r="E12" s="62" t="str">
        <f aca="false">IF($A12="","",'كشف  (10)'!G45)</f>
        <v/>
      </c>
      <c r="F12" s="62" t="str">
        <f aca="false">IF($A12="","",'كشف  (10)'!H45)</f>
        <v/>
      </c>
      <c r="G12" s="63" t="str">
        <f aca="false">IF($A12="","",F12+E12)</f>
        <v/>
      </c>
      <c r="H12" s="63" t="str">
        <f aca="false">IF($A12="","",'كشف  (10)'!K45)</f>
        <v/>
      </c>
      <c r="I12" s="64" t="str">
        <f aca="false">IF($A12="","",'كشف  (10)'!L45)</f>
        <v/>
      </c>
      <c r="J12" s="65"/>
    </row>
    <row r="13" customFormat="false" ht="17.35" hidden="false" customHeight="false" outlineLevel="0" collapsed="false">
      <c r="A13" s="60" t="str">
        <f aca="false">IF(11&lt;=Check!$C$5,11,"")</f>
        <v/>
      </c>
      <c r="B13" s="61" t="str">
        <f aca="false">IF($A13="","",'كشف  (11)'!D45)</f>
        <v/>
      </c>
      <c r="C13" s="62" t="str">
        <f aca="false">IF($A13="","",'كشف  (11)'!E45)</f>
        <v/>
      </c>
      <c r="D13" s="61" t="str">
        <f aca="false">IF($A13="","",C13+B13)</f>
        <v/>
      </c>
      <c r="E13" s="62" t="str">
        <f aca="false">IF($A13="","",'كشف  (11)'!G45)</f>
        <v/>
      </c>
      <c r="F13" s="62" t="str">
        <f aca="false">IF($A13="","",'كشف  (11)'!H45)</f>
        <v/>
      </c>
      <c r="G13" s="63" t="str">
        <f aca="false">IF($A13="","",F13+E13)</f>
        <v/>
      </c>
      <c r="H13" s="63" t="str">
        <f aca="false">IF($A13="","",'كشف  (11)'!K45)</f>
        <v/>
      </c>
      <c r="I13" s="64" t="str">
        <f aca="false">IF($A13="","",'كشف  (11)'!L45)</f>
        <v/>
      </c>
      <c r="J13" s="65"/>
    </row>
    <row r="14" customFormat="false" ht="15" hidden="false" customHeight="true" outlineLevel="0" collapsed="false">
      <c r="A14" s="66" t="str">
        <f aca="false">IF(12&lt;=Check!$C$5,12,"")</f>
        <v/>
      </c>
      <c r="B14" s="61" t="str">
        <f aca="false">IF($A14="","",'كشف  (12)'!D45)</f>
        <v/>
      </c>
      <c r="C14" s="62" t="str">
        <f aca="false">IF($A14="","",'كشف  (12)'!E45)</f>
        <v/>
      </c>
      <c r="D14" s="61" t="str">
        <f aca="false">IF($A14="","",C14+B14)</f>
        <v/>
      </c>
      <c r="E14" s="62" t="str">
        <f aca="false">IF($A14="","",'كشف  (12)'!G45)</f>
        <v/>
      </c>
      <c r="F14" s="62" t="str">
        <f aca="false">IF($A14="","",'كشف  (12)'!H45)</f>
        <v/>
      </c>
      <c r="G14" s="63" t="str">
        <f aca="false">IF($A14="","",F14+E14)</f>
        <v/>
      </c>
      <c r="H14" s="63" t="str">
        <f aca="false">IF($A14="","",'كشف  (12)'!K45)</f>
        <v/>
      </c>
      <c r="I14" s="64" t="str">
        <f aca="false">IF($A14="","",'كشف  (12)'!L45)</f>
        <v/>
      </c>
      <c r="J14" s="65"/>
    </row>
    <row r="16" customFormat="false" ht="15" hidden="false" customHeight="true" outlineLevel="0" collapsed="false">
      <c r="A16" s="10"/>
      <c r="B16" s="67" t="n">
        <f aca="false">SUM(B3:B14)</f>
        <v>0</v>
      </c>
      <c r="C16" s="67" t="n">
        <f aca="false">SUM(C3:C14)</f>
        <v>0</v>
      </c>
      <c r="D16" s="67" t="n">
        <f aca="false">SUM(D3:D14)</f>
        <v>0</v>
      </c>
      <c r="E16" s="67" t="n">
        <f aca="false">SUM(E3:E14)</f>
        <v>0</v>
      </c>
      <c r="F16" s="67" t="n">
        <f aca="false">SUM(F3:F14)</f>
        <v>0</v>
      </c>
      <c r="G16" s="67" t="n">
        <f aca="false">SUM(G3:G14)</f>
        <v>0</v>
      </c>
      <c r="H16" s="67" t="n">
        <f aca="false">SUM(H3:H14)</f>
        <v>0</v>
      </c>
      <c r="I16" s="67" t="n">
        <f aca="false">SUM(I3:I14)</f>
        <v>0</v>
      </c>
      <c r="J16" s="10"/>
    </row>
    <row r="17" customFormat="false" ht="15" hidden="false" customHeight="false" outlineLevel="0" collapsed="false"/>
    <row r="22" customFormat="false" ht="15" hidden="false" customHeight="false" outlineLevel="0" collapsed="false"/>
  </sheetData>
  <mergeCells count="2">
    <mergeCell ref="A1:C1"/>
    <mergeCell ref="E1:G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5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39E90"/>
    <pageSetUpPr fitToPage="false"/>
  </sheetPr>
  <dimension ref="A1:M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53125" defaultRowHeight="14.25" zeroHeight="false" outlineLevelRow="0" outlineLevelCol="0"/>
  <cols>
    <col collapsed="false" customWidth="true" hidden="false" outlineLevel="0" max="1" min="1" style="0" width="3.27"/>
    <col collapsed="false" customWidth="true" hidden="false" outlineLevel="0" max="2" min="2" style="0" width="43.18"/>
    <col collapsed="false" customWidth="true" hidden="false" outlineLevel="0" max="3" min="3" style="0" width="7"/>
    <col collapsed="false" customWidth="true" hidden="false" outlineLevel="0" max="4" min="4" style="0" width="12.45"/>
    <col collapsed="false" customWidth="true" hidden="false" outlineLevel="0" max="5" min="5" style="0" width="12"/>
    <col collapsed="false" customWidth="true" hidden="false" outlineLevel="0" max="6" min="6" style="0" width="13.45"/>
    <col collapsed="false" customWidth="true" hidden="false" outlineLevel="0" max="7" min="7" style="0" width="17"/>
    <col collapsed="false" customWidth="true" hidden="false" outlineLevel="0" max="8" min="8" style="0" width="13"/>
    <col collapsed="false" customWidth="true" hidden="false" outlineLevel="0" max="9" min="9" style="0" width="13.73"/>
    <col collapsed="false" customWidth="true" hidden="false" outlineLevel="0" max="10" min="10" style="0" width="8.27"/>
    <col collapsed="false" customWidth="true" hidden="false" outlineLevel="0" max="11" min="11" style="0" width="9"/>
    <col collapsed="false" customWidth="true" hidden="false" outlineLevel="0" max="12" min="12" style="0" width="13.73"/>
    <col collapsed="false" customWidth="true" hidden="false" outlineLevel="0" max="13" min="13" style="0" width="2.18"/>
    <col collapsed="false" customWidth="true" hidden="false" outlineLevel="0" max="26" min="14" style="0" width="8.73"/>
  </cols>
  <sheetData>
    <row r="1" customFormat="false" ht="18" hidden="false" customHeight="true" outlineLevel="0" collapsed="false">
      <c r="A1" s="68" t="s">
        <v>105</v>
      </c>
      <c r="B1" s="68"/>
      <c r="C1" s="69"/>
      <c r="D1" s="69"/>
      <c r="E1" s="54" t="s">
        <v>112</v>
      </c>
      <c r="F1" s="54"/>
      <c r="G1" s="54"/>
      <c r="H1" s="69" t="n">
        <f aca="false">'كشف المطالبة'!E2</f>
        <v>0</v>
      </c>
      <c r="I1" s="69" t="str">
        <f aca="false">'كشف المطالبة'!E3</f>
        <v>الجزء الاول</v>
      </c>
      <c r="J1" s="69"/>
      <c r="K1" s="70" t="str">
        <f aca="false">'كشف المطالبة'!E4</f>
        <v>عاملين</v>
      </c>
      <c r="L1" s="70"/>
    </row>
    <row r="2" customFormat="false" ht="44.25" hidden="false" customHeight="true" outlineLevel="0" collapsed="false">
      <c r="A2" s="71" t="s">
        <v>106</v>
      </c>
      <c r="B2" s="72" t="s">
        <v>35</v>
      </c>
      <c r="C2" s="72" t="s">
        <v>36</v>
      </c>
      <c r="D2" s="72" t="s">
        <v>107</v>
      </c>
      <c r="E2" s="72" t="s">
        <v>38</v>
      </c>
      <c r="F2" s="72" t="s">
        <v>108</v>
      </c>
      <c r="G2" s="72" t="str">
        <f aca="false">"محلى بعد خصم "&amp;ROUND('كشف المطالبة'!$D$5*100,2)&amp;"%"</f>
        <v>محلى بعد خصم 14%</v>
      </c>
      <c r="H2" s="72" t="str">
        <f aca="false">"مستورد بعد خصم "&amp;ROUND('كشف المطالبة'!$D$6*100,2)&amp;"%"</f>
        <v>مستورد بعد خصم 7%</v>
      </c>
      <c r="I2" s="72" t="s">
        <v>109</v>
      </c>
      <c r="J2" s="73" t="s">
        <v>113</v>
      </c>
      <c r="K2" s="72" t="s">
        <v>110</v>
      </c>
      <c r="L2" s="74" t="s">
        <v>111</v>
      </c>
    </row>
    <row r="3" customFormat="false" ht="15" hidden="false" customHeight="true" outlineLevel="0" collapsed="false">
      <c r="A3" s="75" t="str">
        <f aca="false">IF(1&lt;=Check!$C$4,INDEX(BAHARY!$A$2:$A$901,1),"")</f>
        <v/>
      </c>
      <c r="B3" s="76" t="str">
        <f aca="false">IF($A3="","",INDEX(BAHARY!$B$2:$B$901,1))</f>
        <v/>
      </c>
      <c r="C3" s="76" t="str">
        <f aca="false">IF($A3="","",INDEX(BAHARY!$C$2:$C$901,1))</f>
        <v/>
      </c>
      <c r="D3" s="77" t="str">
        <f aca="false">IF($A3="","",INDEX(BAHARY!$H$2:$H$901,1))</f>
        <v/>
      </c>
      <c r="E3" s="77" t="str">
        <f aca="false">IF($A3="","",INDEX(BAHARY!$E$2:$E$901,1))</f>
        <v/>
      </c>
      <c r="F3" s="77" t="str">
        <f aca="false">IF($A3="","",D3+E3)</f>
        <v/>
      </c>
      <c r="G3" s="77" t="str">
        <f aca="false">IF($A3="","",D3*(1-'كشف المطالبة'!$D$5))</f>
        <v/>
      </c>
      <c r="H3" s="77" t="str">
        <f aca="false">IF($A3="","",E3*(1-'كشف المطالبة'!$D$6))</f>
        <v/>
      </c>
      <c r="I3" s="77" t="str">
        <f aca="false">IF($A3="","",G3+H3)</f>
        <v/>
      </c>
      <c r="J3" s="78" t="str">
        <f aca="false">IF($A3="","",0)</f>
        <v/>
      </c>
      <c r="K3" s="77" t="str">
        <f aca="false">IF($A3="","",F3*J3+INDEX(BAHARY!$N$2:$N$901,1))</f>
        <v/>
      </c>
      <c r="L3" s="79" t="str">
        <f aca="false">IF($A3="","",I3-K3)</f>
        <v/>
      </c>
    </row>
    <row r="4" customFormat="false" ht="15" hidden="false" customHeight="true" outlineLevel="0" collapsed="false">
      <c r="A4" s="75" t="str">
        <f aca="false">IF(2&lt;=Check!$C$4,INDEX(BAHARY!$A$2:$A$901,2),"")</f>
        <v/>
      </c>
      <c r="B4" s="76" t="str">
        <f aca="false">IF($A4="","",INDEX(BAHARY!$B$2:$B$901,2))</f>
        <v/>
      </c>
      <c r="C4" s="76" t="str">
        <f aca="false">IF($A4="","",INDEX(BAHARY!$C$2:$C$901,2))</f>
        <v/>
      </c>
      <c r="D4" s="77" t="str">
        <f aca="false">IF($A4="","",INDEX(BAHARY!$H$2:$H$901,2))</f>
        <v/>
      </c>
      <c r="E4" s="77" t="str">
        <f aca="false">IF($A4="","",INDEX(BAHARY!$E$2:$E$901,2))</f>
        <v/>
      </c>
      <c r="F4" s="77" t="str">
        <f aca="false">IF($A4="","",D4+E4)</f>
        <v/>
      </c>
      <c r="G4" s="77" t="str">
        <f aca="false">IF($A4="","",D4*(1-'كشف المطالبة'!$D$5))</f>
        <v/>
      </c>
      <c r="H4" s="77" t="str">
        <f aca="false">IF($A4="","",E4*(1-'كشف المطالبة'!$D$6))</f>
        <v/>
      </c>
      <c r="I4" s="77" t="str">
        <f aca="false">IF($A4="","",G4+H4)</f>
        <v/>
      </c>
      <c r="J4" s="78" t="str">
        <f aca="false">IF($A4="","",0)</f>
        <v/>
      </c>
      <c r="K4" s="77" t="str">
        <f aca="false">IF($A4="","",F4*J4+INDEX(BAHARY!$N$2:$N$901,2))</f>
        <v/>
      </c>
      <c r="L4" s="79" t="str">
        <f aca="false">IF($A4="","",I4-K4)</f>
        <v/>
      </c>
    </row>
    <row r="5" customFormat="false" ht="15" hidden="false" customHeight="true" outlineLevel="0" collapsed="false">
      <c r="A5" s="75" t="str">
        <f aca="false">IF(3&lt;=Check!$C$4,INDEX(BAHARY!$A$2:$A$901,3),"")</f>
        <v/>
      </c>
      <c r="B5" s="76" t="str">
        <f aca="false">IF($A5="","",INDEX(BAHARY!$B$2:$B$901,3))</f>
        <v/>
      </c>
      <c r="C5" s="76" t="str">
        <f aca="false">IF($A5="","",INDEX(BAHARY!$C$2:$C$901,3))</f>
        <v/>
      </c>
      <c r="D5" s="77" t="str">
        <f aca="false">IF($A5="","",INDEX(BAHARY!$H$2:$H$901,3))</f>
        <v/>
      </c>
      <c r="E5" s="77" t="str">
        <f aca="false">IF($A5="","",INDEX(BAHARY!$E$2:$E$901,3))</f>
        <v/>
      </c>
      <c r="F5" s="77" t="str">
        <f aca="false">IF($A5="","",D5+E5)</f>
        <v/>
      </c>
      <c r="G5" s="77" t="str">
        <f aca="false">IF($A5="","",D5*(1-'كشف المطالبة'!$D$5))</f>
        <v/>
      </c>
      <c r="H5" s="77" t="str">
        <f aca="false">IF($A5="","",E5*(1-'كشف المطالبة'!$D$6))</f>
        <v/>
      </c>
      <c r="I5" s="77" t="str">
        <f aca="false">IF($A5="","",G5+H5)</f>
        <v/>
      </c>
      <c r="J5" s="78" t="str">
        <f aca="false">IF($A5="","",0)</f>
        <v/>
      </c>
      <c r="K5" s="77" t="str">
        <f aca="false">IF($A5="","",F5*J5+INDEX(BAHARY!$N$2:$N$901,3))</f>
        <v/>
      </c>
      <c r="L5" s="79" t="str">
        <f aca="false">IF($A5="","",I5-K5)</f>
        <v/>
      </c>
    </row>
    <row r="6" customFormat="false" ht="15" hidden="false" customHeight="true" outlineLevel="0" collapsed="false">
      <c r="A6" s="75" t="str">
        <f aca="false">IF(4&lt;=Check!$C$4,INDEX(BAHARY!$A$2:$A$901,4),"")</f>
        <v/>
      </c>
      <c r="B6" s="76" t="str">
        <f aca="false">IF($A6="","",INDEX(BAHARY!$B$2:$B$901,4))</f>
        <v/>
      </c>
      <c r="C6" s="76" t="str">
        <f aca="false">IF($A6="","",INDEX(BAHARY!$C$2:$C$901,4))</f>
        <v/>
      </c>
      <c r="D6" s="77" t="str">
        <f aca="false">IF($A6="","",INDEX(BAHARY!$H$2:$H$901,4))</f>
        <v/>
      </c>
      <c r="E6" s="77" t="str">
        <f aca="false">IF($A6="","",INDEX(BAHARY!$E$2:$E$901,4))</f>
        <v/>
      </c>
      <c r="F6" s="77" t="str">
        <f aca="false">IF($A6="","",D6+E6)</f>
        <v/>
      </c>
      <c r="G6" s="77" t="str">
        <f aca="false">IF($A6="","",D6*(1-'كشف المطالبة'!$D$5))</f>
        <v/>
      </c>
      <c r="H6" s="77" t="str">
        <f aca="false">IF($A6="","",E6*(1-'كشف المطالبة'!$D$6))</f>
        <v/>
      </c>
      <c r="I6" s="77" t="str">
        <f aca="false">IF($A6="","",G6+H6)</f>
        <v/>
      </c>
      <c r="J6" s="78" t="str">
        <f aca="false">IF($A6="","",0)</f>
        <v/>
      </c>
      <c r="K6" s="77" t="str">
        <f aca="false">IF($A6="","",F6*J6+INDEX(BAHARY!$N$2:$N$901,4))</f>
        <v/>
      </c>
      <c r="L6" s="79" t="str">
        <f aca="false">IF($A6="","",I6-K6)</f>
        <v/>
      </c>
    </row>
    <row r="7" customFormat="false" ht="15" hidden="false" customHeight="true" outlineLevel="0" collapsed="false">
      <c r="A7" s="75" t="str">
        <f aca="false">IF(5&lt;=Check!$C$4,INDEX(BAHARY!$A$2:$A$901,5),"")</f>
        <v/>
      </c>
      <c r="B7" s="76" t="str">
        <f aca="false">IF($A7="","",INDEX(BAHARY!$B$2:$B$901,5))</f>
        <v/>
      </c>
      <c r="C7" s="76" t="str">
        <f aca="false">IF($A7="","",INDEX(BAHARY!$C$2:$C$901,5))</f>
        <v/>
      </c>
      <c r="D7" s="77" t="str">
        <f aca="false">IF($A7="","",INDEX(BAHARY!$H$2:$H$901,5))</f>
        <v/>
      </c>
      <c r="E7" s="77" t="str">
        <f aca="false">IF($A7="","",INDEX(BAHARY!$E$2:$E$901,5))</f>
        <v/>
      </c>
      <c r="F7" s="77" t="str">
        <f aca="false">IF($A7="","",D7+E7)</f>
        <v/>
      </c>
      <c r="G7" s="77" t="str">
        <f aca="false">IF($A7="","",D7*(1-'كشف المطالبة'!$D$5))</f>
        <v/>
      </c>
      <c r="H7" s="77" t="str">
        <f aca="false">IF($A7="","",E7*(1-'كشف المطالبة'!$D$6))</f>
        <v/>
      </c>
      <c r="I7" s="77" t="str">
        <f aca="false">IF($A7="","",G7+H7)</f>
        <v/>
      </c>
      <c r="J7" s="78" t="str">
        <f aca="false">IF($A7="","",0)</f>
        <v/>
      </c>
      <c r="K7" s="77" t="str">
        <f aca="false">IF($A7="","",F7*J7+INDEX(BAHARY!$N$2:$N$901,5))</f>
        <v/>
      </c>
      <c r="L7" s="79" t="str">
        <f aca="false">IF($A7="","",I7-K7)</f>
        <v/>
      </c>
    </row>
    <row r="8" customFormat="false" ht="15" hidden="false" customHeight="true" outlineLevel="0" collapsed="false">
      <c r="A8" s="75" t="str">
        <f aca="false">IF(6&lt;=Check!$C$4,INDEX(BAHARY!$A$2:$A$901,6),"")</f>
        <v/>
      </c>
      <c r="B8" s="76" t="str">
        <f aca="false">IF($A8="","",INDEX(BAHARY!$B$2:$B$901,6))</f>
        <v/>
      </c>
      <c r="C8" s="76" t="str">
        <f aca="false">IF($A8="","",INDEX(BAHARY!$C$2:$C$901,6))</f>
        <v/>
      </c>
      <c r="D8" s="77" t="str">
        <f aca="false">IF($A8="","",INDEX(BAHARY!$H$2:$H$901,6))</f>
        <v/>
      </c>
      <c r="E8" s="77" t="str">
        <f aca="false">IF($A8="","",INDEX(BAHARY!$E$2:$E$901,6))</f>
        <v/>
      </c>
      <c r="F8" s="77" t="str">
        <f aca="false">IF($A8="","",D8+E8)</f>
        <v/>
      </c>
      <c r="G8" s="77" t="str">
        <f aca="false">IF($A8="","",D8*(1-'كشف المطالبة'!$D$5))</f>
        <v/>
      </c>
      <c r="H8" s="77" t="str">
        <f aca="false">IF($A8="","",E8*(1-'كشف المطالبة'!$D$6))</f>
        <v/>
      </c>
      <c r="I8" s="77" t="str">
        <f aca="false">IF($A8="","",G8+H8)</f>
        <v/>
      </c>
      <c r="J8" s="78" t="str">
        <f aca="false">IF($A8="","",0)</f>
        <v/>
      </c>
      <c r="K8" s="77" t="str">
        <f aca="false">IF($A8="","",F8*J8+INDEX(BAHARY!$N$2:$N$901,6))</f>
        <v/>
      </c>
      <c r="L8" s="79" t="str">
        <f aca="false">IF($A8="","",I8-K8)</f>
        <v/>
      </c>
    </row>
    <row r="9" customFormat="false" ht="15" hidden="false" customHeight="true" outlineLevel="0" collapsed="false">
      <c r="A9" s="75" t="str">
        <f aca="false">IF(7&lt;=Check!$C$4,INDEX(BAHARY!$A$2:$A$901,7),"")</f>
        <v/>
      </c>
      <c r="B9" s="80" t="str">
        <f aca="false">IF($A9="","",INDEX(BAHARY!$B$2:$B$901,7))</f>
        <v/>
      </c>
      <c r="C9" s="76" t="str">
        <f aca="false">IF($A9="","",INDEX(BAHARY!$C$2:$C$901,7))</f>
        <v/>
      </c>
      <c r="D9" s="77" t="str">
        <f aca="false">IF($A9="","",INDEX(BAHARY!$H$2:$H$901,7))</f>
        <v/>
      </c>
      <c r="E9" s="77" t="str">
        <f aca="false">IF($A9="","",INDEX(BAHARY!$E$2:$E$901,7))</f>
        <v/>
      </c>
      <c r="F9" s="77" t="str">
        <f aca="false">IF($A9="","",D9+E9)</f>
        <v/>
      </c>
      <c r="G9" s="77" t="str">
        <f aca="false">IF($A9="","",D9*(1-'كشف المطالبة'!$D$5))</f>
        <v/>
      </c>
      <c r="H9" s="77" t="str">
        <f aca="false">IF($A9="","",E9*(1-'كشف المطالبة'!$D$6))</f>
        <v/>
      </c>
      <c r="I9" s="77" t="str">
        <f aca="false">IF($A9="","",G9+H9)</f>
        <v/>
      </c>
      <c r="J9" s="78" t="str">
        <f aca="false">IF($A9="","",0)</f>
        <v/>
      </c>
      <c r="K9" s="77" t="str">
        <f aca="false">IF($A9="","",F9*J9+INDEX(BAHARY!$N$2:$N$901,7))</f>
        <v/>
      </c>
      <c r="L9" s="79" t="str">
        <f aca="false">IF($A9="","",I9-K9)</f>
        <v/>
      </c>
    </row>
    <row r="10" customFormat="false" ht="15" hidden="false" customHeight="true" outlineLevel="0" collapsed="false">
      <c r="A10" s="75" t="str">
        <f aca="false">IF(8&lt;=Check!$C$4,INDEX(BAHARY!$A$2:$A$901,8),"")</f>
        <v/>
      </c>
      <c r="B10" s="76" t="str">
        <f aca="false">IF($A10="","",INDEX(BAHARY!$B$2:$B$901,8))</f>
        <v/>
      </c>
      <c r="C10" s="76" t="str">
        <f aca="false">IF($A10="","",INDEX(BAHARY!$C$2:$C$901,8))</f>
        <v/>
      </c>
      <c r="D10" s="77" t="str">
        <f aca="false">IF($A10="","",INDEX(BAHARY!$H$2:$H$901,8))</f>
        <v/>
      </c>
      <c r="E10" s="77" t="str">
        <f aca="false">IF($A10="","",INDEX(BAHARY!$E$2:$E$901,8))</f>
        <v/>
      </c>
      <c r="F10" s="77" t="str">
        <f aca="false">IF($A10="","",D10+E10)</f>
        <v/>
      </c>
      <c r="G10" s="77" t="str">
        <f aca="false">IF($A10="","",D10*(1-'كشف المطالبة'!$D$5))</f>
        <v/>
      </c>
      <c r="H10" s="77" t="str">
        <f aca="false">IF($A10="","",E10*(1-'كشف المطالبة'!$D$6))</f>
        <v/>
      </c>
      <c r="I10" s="77" t="str">
        <f aca="false">IF($A10="","",G10+H10)</f>
        <v/>
      </c>
      <c r="J10" s="78" t="str">
        <f aca="false">IF($A10="","",0)</f>
        <v/>
      </c>
      <c r="K10" s="77" t="str">
        <f aca="false">IF($A10="","",F10*J10+INDEX(BAHARY!$N$2:$N$901,8))</f>
        <v/>
      </c>
      <c r="L10" s="79" t="str">
        <f aca="false">IF($A10="","",I10-K10)</f>
        <v/>
      </c>
    </row>
    <row r="11" customFormat="false" ht="15" hidden="false" customHeight="true" outlineLevel="0" collapsed="false">
      <c r="A11" s="75" t="str">
        <f aca="false">IF(9&lt;=Check!$C$4,INDEX(BAHARY!$A$2:$A$901,9),"")</f>
        <v/>
      </c>
      <c r="B11" s="76" t="str">
        <f aca="false">IF($A11="","",INDEX(BAHARY!$B$2:$B$901,9))</f>
        <v/>
      </c>
      <c r="C11" s="76" t="str">
        <f aca="false">IF($A11="","",INDEX(BAHARY!$C$2:$C$901,9))</f>
        <v/>
      </c>
      <c r="D11" s="77" t="str">
        <f aca="false">IF($A11="","",INDEX(BAHARY!$H$2:$H$901,9))</f>
        <v/>
      </c>
      <c r="E11" s="77" t="str">
        <f aca="false">IF($A11="","",INDEX(BAHARY!$E$2:$E$901,9))</f>
        <v/>
      </c>
      <c r="F11" s="77" t="str">
        <f aca="false">IF($A11="","",D11+E11)</f>
        <v/>
      </c>
      <c r="G11" s="77" t="str">
        <f aca="false">IF($A11="","",D11*(1-'كشف المطالبة'!$D$5))</f>
        <v/>
      </c>
      <c r="H11" s="77" t="str">
        <f aca="false">IF($A11="","",E11*(1-'كشف المطالبة'!$D$6))</f>
        <v/>
      </c>
      <c r="I11" s="77" t="str">
        <f aca="false">IF($A11="","",G11+H11)</f>
        <v/>
      </c>
      <c r="J11" s="78" t="str">
        <f aca="false">IF($A11="","",0)</f>
        <v/>
      </c>
      <c r="K11" s="77" t="str">
        <f aca="false">IF($A11="","",F11*J11+INDEX(BAHARY!$N$2:$N$901,9))</f>
        <v/>
      </c>
      <c r="L11" s="79" t="str">
        <f aca="false">IF($A11="","",I11-K11)</f>
        <v/>
      </c>
    </row>
    <row r="12" customFormat="false" ht="15" hidden="false" customHeight="true" outlineLevel="0" collapsed="false">
      <c r="A12" s="75" t="str">
        <f aca="false">IF(10&lt;=Check!$C$4,INDEX(BAHARY!$A$2:$A$901,10),"")</f>
        <v/>
      </c>
      <c r="B12" s="76" t="str">
        <f aca="false">IF($A12="","",INDEX(BAHARY!$B$2:$B$901,10))</f>
        <v/>
      </c>
      <c r="C12" s="76" t="str">
        <f aca="false">IF($A12="","",INDEX(BAHARY!$C$2:$C$901,10))</f>
        <v/>
      </c>
      <c r="D12" s="77" t="str">
        <f aca="false">IF($A12="","",INDEX(BAHARY!$H$2:$H$901,10))</f>
        <v/>
      </c>
      <c r="E12" s="77" t="str">
        <f aca="false">IF($A12="","",INDEX(BAHARY!$E$2:$E$901,10))</f>
        <v/>
      </c>
      <c r="F12" s="77" t="str">
        <f aca="false">IF($A12="","",D12+E12)</f>
        <v/>
      </c>
      <c r="G12" s="77" t="str">
        <f aca="false">IF($A12="","",D12*(1-'كشف المطالبة'!$D$5))</f>
        <v/>
      </c>
      <c r="H12" s="77" t="str">
        <f aca="false">IF($A12="","",E12*(1-'كشف المطالبة'!$D$6))</f>
        <v/>
      </c>
      <c r="I12" s="77" t="str">
        <f aca="false">IF($A12="","",G12+H12)</f>
        <v/>
      </c>
      <c r="J12" s="78" t="str">
        <f aca="false">IF($A12="","",0)</f>
        <v/>
      </c>
      <c r="K12" s="77" t="str">
        <f aca="false">IF($A12="","",F12*J12+INDEX(BAHARY!$N$2:$N$901,10))</f>
        <v/>
      </c>
      <c r="L12" s="79" t="str">
        <f aca="false">IF($A12="","",I12-K12)</f>
        <v/>
      </c>
    </row>
    <row r="13" customFormat="false" ht="15" hidden="false" customHeight="true" outlineLevel="0" collapsed="false">
      <c r="A13" s="75" t="str">
        <f aca="false">IF(11&lt;=Check!$C$4,INDEX(BAHARY!$A$2:$A$901,11),"")</f>
        <v/>
      </c>
      <c r="B13" s="76" t="str">
        <f aca="false">IF($A13="","",INDEX(BAHARY!$B$2:$B$901,11))</f>
        <v/>
      </c>
      <c r="C13" s="76" t="str">
        <f aca="false">IF($A13="","",INDEX(BAHARY!$C$2:$C$901,11))</f>
        <v/>
      </c>
      <c r="D13" s="77" t="str">
        <f aca="false">IF($A13="","",INDEX(BAHARY!$H$2:$H$901,11))</f>
        <v/>
      </c>
      <c r="E13" s="77" t="str">
        <f aca="false">IF($A13="","",INDEX(BAHARY!$E$2:$E$901,11))</f>
        <v/>
      </c>
      <c r="F13" s="77" t="str">
        <f aca="false">IF($A13="","",D13+E13)</f>
        <v/>
      </c>
      <c r="G13" s="77" t="str">
        <f aca="false">IF($A13="","",D13*(1-'كشف المطالبة'!$D$5))</f>
        <v/>
      </c>
      <c r="H13" s="77" t="str">
        <f aca="false">IF($A13="","",E13*(1-'كشف المطالبة'!$D$6))</f>
        <v/>
      </c>
      <c r="I13" s="77" t="str">
        <f aca="false">IF($A13="","",G13+H13)</f>
        <v/>
      </c>
      <c r="J13" s="78" t="str">
        <f aca="false">IF($A13="","",0)</f>
        <v/>
      </c>
      <c r="K13" s="77" t="str">
        <f aca="false">IF($A13="","",F13*J13+INDEX(BAHARY!$N$2:$N$901,11))</f>
        <v/>
      </c>
      <c r="L13" s="79" t="str">
        <f aca="false">IF($A13="","",I13-K13)</f>
        <v/>
      </c>
    </row>
    <row r="14" customFormat="false" ht="15" hidden="false" customHeight="true" outlineLevel="0" collapsed="false">
      <c r="A14" s="75" t="str">
        <f aca="false">IF(12&lt;=Check!$C$4,INDEX(BAHARY!$A$2:$A$901,12),"")</f>
        <v/>
      </c>
      <c r="B14" s="76" t="str">
        <f aca="false">IF($A14="","",INDEX(BAHARY!$B$2:$B$901,12))</f>
        <v/>
      </c>
      <c r="C14" s="76" t="str">
        <f aca="false">IF($A14="","",INDEX(BAHARY!$C$2:$C$901,12))</f>
        <v/>
      </c>
      <c r="D14" s="77" t="str">
        <f aca="false">IF($A14="","",INDEX(BAHARY!$H$2:$H$901,12))</f>
        <v/>
      </c>
      <c r="E14" s="77" t="str">
        <f aca="false">IF($A14="","",INDEX(BAHARY!$E$2:$E$901,12))</f>
        <v/>
      </c>
      <c r="F14" s="77" t="str">
        <f aca="false">IF($A14="","",D14+E14)</f>
        <v/>
      </c>
      <c r="G14" s="77" t="str">
        <f aca="false">IF($A14="","",D14*(1-'كشف المطالبة'!$D$5))</f>
        <v/>
      </c>
      <c r="H14" s="77" t="str">
        <f aca="false">IF($A14="","",E14*(1-'كشف المطالبة'!$D$6))</f>
        <v/>
      </c>
      <c r="I14" s="77" t="str">
        <f aca="false">IF($A14="","",G14+H14)</f>
        <v/>
      </c>
      <c r="J14" s="78" t="str">
        <f aca="false">IF($A14="","",0)</f>
        <v/>
      </c>
      <c r="K14" s="77" t="str">
        <f aca="false">IF($A14="","",F14*J14+INDEX(BAHARY!$N$2:$N$901,12))</f>
        <v/>
      </c>
      <c r="L14" s="79" t="str">
        <f aca="false">IF($A14="","",I14-K14)</f>
        <v/>
      </c>
    </row>
    <row r="15" customFormat="false" ht="15" hidden="false" customHeight="true" outlineLevel="0" collapsed="false">
      <c r="A15" s="75" t="str">
        <f aca="false">IF(13&lt;=Check!$C$4,INDEX(BAHARY!$A$2:$A$901,13),"")</f>
        <v/>
      </c>
      <c r="B15" s="76" t="str">
        <f aca="false">IF($A15="","",INDEX(BAHARY!$B$2:$B$901,13))</f>
        <v/>
      </c>
      <c r="C15" s="76" t="str">
        <f aca="false">IF($A15="","",INDEX(BAHARY!$C$2:$C$901,13))</f>
        <v/>
      </c>
      <c r="D15" s="77" t="str">
        <f aca="false">IF($A15="","",INDEX(BAHARY!$H$2:$H$901,13))</f>
        <v/>
      </c>
      <c r="E15" s="77" t="str">
        <f aca="false">IF($A15="","",INDEX(BAHARY!$E$2:$E$901,13))</f>
        <v/>
      </c>
      <c r="F15" s="77" t="str">
        <f aca="false">IF($A15="","",D15+E15)</f>
        <v/>
      </c>
      <c r="G15" s="77" t="str">
        <f aca="false">IF($A15="","",D15*(1-'كشف المطالبة'!$D$5))</f>
        <v/>
      </c>
      <c r="H15" s="77" t="str">
        <f aca="false">IF($A15="","",E15*(1-'كشف المطالبة'!$D$6))</f>
        <v/>
      </c>
      <c r="I15" s="77" t="str">
        <f aca="false">IF($A15="","",G15+H15)</f>
        <v/>
      </c>
      <c r="J15" s="78" t="str">
        <f aca="false">IF($A15="","",0)</f>
        <v/>
      </c>
      <c r="K15" s="77" t="str">
        <f aca="false">IF($A15="","",F15*J15+INDEX(BAHARY!$N$2:$N$901,13))</f>
        <v/>
      </c>
      <c r="L15" s="79" t="str">
        <f aca="false">IF($A15="","",I15-K15)</f>
        <v/>
      </c>
    </row>
    <row r="16" customFormat="false" ht="15" hidden="false" customHeight="true" outlineLevel="0" collapsed="false">
      <c r="A16" s="75" t="str">
        <f aca="false">IF(14&lt;=Check!$C$4,INDEX(BAHARY!$A$2:$A$901,14),"")</f>
        <v/>
      </c>
      <c r="B16" s="76" t="str">
        <f aca="false">IF($A16="","",INDEX(BAHARY!$B$2:$B$901,14))</f>
        <v/>
      </c>
      <c r="C16" s="76" t="str">
        <f aca="false">IF($A16="","",INDEX(BAHARY!$C$2:$C$901,14))</f>
        <v/>
      </c>
      <c r="D16" s="77" t="str">
        <f aca="false">IF($A16="","",INDEX(BAHARY!$H$2:$H$901,14))</f>
        <v/>
      </c>
      <c r="E16" s="77" t="str">
        <f aca="false">IF($A16="","",INDEX(BAHARY!$E$2:$E$901,14))</f>
        <v/>
      </c>
      <c r="F16" s="77" t="str">
        <f aca="false">IF($A16="","",D16+E16)</f>
        <v/>
      </c>
      <c r="G16" s="77" t="str">
        <f aca="false">IF($A16="","",D16*(1-'كشف المطالبة'!$D$5))</f>
        <v/>
      </c>
      <c r="H16" s="77" t="str">
        <f aca="false">IF($A16="","",E16*(1-'كشف المطالبة'!$D$6))</f>
        <v/>
      </c>
      <c r="I16" s="77" t="str">
        <f aca="false">IF($A16="","",G16+H16)</f>
        <v/>
      </c>
      <c r="J16" s="78" t="str">
        <f aca="false">IF($A16="","",0)</f>
        <v/>
      </c>
      <c r="K16" s="77" t="str">
        <f aca="false">IF($A16="","",F16*J16+INDEX(BAHARY!$N$2:$N$901,14))</f>
        <v/>
      </c>
      <c r="L16" s="79" t="str">
        <f aca="false">IF($A16="","",I16-K16)</f>
        <v/>
      </c>
    </row>
    <row r="17" customFormat="false" ht="15" hidden="false" customHeight="true" outlineLevel="0" collapsed="false">
      <c r="A17" s="75" t="str">
        <f aca="false">IF(15&lt;=Check!$C$4,INDEX(BAHARY!$A$2:$A$901,15),"")</f>
        <v/>
      </c>
      <c r="B17" s="76" t="str">
        <f aca="false">IF($A17="","",INDEX(BAHARY!$B$2:$B$901,15))</f>
        <v/>
      </c>
      <c r="C17" s="76" t="str">
        <f aca="false">IF($A17="","",INDEX(BAHARY!$C$2:$C$901,15))</f>
        <v/>
      </c>
      <c r="D17" s="77" t="str">
        <f aca="false">IF($A17="","",INDEX(BAHARY!$H$2:$H$901,15))</f>
        <v/>
      </c>
      <c r="E17" s="77" t="str">
        <f aca="false">IF($A17="","",INDEX(BAHARY!$E$2:$E$901,15))</f>
        <v/>
      </c>
      <c r="F17" s="77" t="str">
        <f aca="false">IF($A17="","",D17+E17)</f>
        <v/>
      </c>
      <c r="G17" s="77" t="str">
        <f aca="false">IF($A17="","",D17*(1-'كشف المطالبة'!$D$5))</f>
        <v/>
      </c>
      <c r="H17" s="77" t="str">
        <f aca="false">IF($A17="","",E17*(1-'كشف المطالبة'!$D$6))</f>
        <v/>
      </c>
      <c r="I17" s="77" t="str">
        <f aca="false">IF($A17="","",G17+H17)</f>
        <v/>
      </c>
      <c r="J17" s="78" t="str">
        <f aca="false">IF($A17="","",0)</f>
        <v/>
      </c>
      <c r="K17" s="77" t="str">
        <f aca="false">IF($A17="","",F17*J17+INDEX(BAHARY!$N$2:$N$901,15))</f>
        <v/>
      </c>
      <c r="L17" s="79" t="str">
        <f aca="false">IF($A17="","",I17-K17)</f>
        <v/>
      </c>
    </row>
    <row r="18" customFormat="false" ht="15" hidden="false" customHeight="true" outlineLevel="0" collapsed="false">
      <c r="A18" s="75" t="str">
        <f aca="false">IF(16&lt;=Check!$C$4,INDEX(BAHARY!$A$2:$A$901,16),"")</f>
        <v/>
      </c>
      <c r="B18" s="80" t="str">
        <f aca="false">IF($A18="","",INDEX(BAHARY!$B$2:$B$901,16))</f>
        <v/>
      </c>
      <c r="C18" s="76" t="str">
        <f aca="false">IF($A18="","",INDEX(BAHARY!$C$2:$C$901,16))</f>
        <v/>
      </c>
      <c r="D18" s="77" t="str">
        <f aca="false">IF($A18="","",INDEX(BAHARY!$H$2:$H$901,16))</f>
        <v/>
      </c>
      <c r="E18" s="77" t="str">
        <f aca="false">IF($A18="","",INDEX(BAHARY!$E$2:$E$901,16))</f>
        <v/>
      </c>
      <c r="F18" s="77" t="str">
        <f aca="false">IF($A18="","",D18+E18)</f>
        <v/>
      </c>
      <c r="G18" s="77" t="str">
        <f aca="false">IF($A18="","",D18*(1-'كشف المطالبة'!$D$5))</f>
        <v/>
      </c>
      <c r="H18" s="77" t="str">
        <f aca="false">IF($A18="","",E18*(1-'كشف المطالبة'!$D$6))</f>
        <v/>
      </c>
      <c r="I18" s="77" t="str">
        <f aca="false">IF($A18="","",G18+H18)</f>
        <v/>
      </c>
      <c r="J18" s="78" t="str">
        <f aca="false">IF($A18="","",0)</f>
        <v/>
      </c>
      <c r="K18" s="77" t="str">
        <f aca="false">IF($A18="","",F18*J18+INDEX(BAHARY!$N$2:$N$901,16))</f>
        <v/>
      </c>
      <c r="L18" s="79" t="str">
        <f aca="false">IF($A18="","",I18-K18)</f>
        <v/>
      </c>
    </row>
    <row r="19" customFormat="false" ht="15" hidden="false" customHeight="true" outlineLevel="0" collapsed="false">
      <c r="A19" s="75" t="str">
        <f aca="false">IF(17&lt;=Check!$C$4,INDEX(BAHARY!$A$2:$A$901,17),"")</f>
        <v/>
      </c>
      <c r="B19" s="76" t="str">
        <f aca="false">IF($A19="","",INDEX(BAHARY!$B$2:$B$901,17))</f>
        <v/>
      </c>
      <c r="C19" s="76" t="str">
        <f aca="false">IF($A19="","",INDEX(BAHARY!$C$2:$C$901,17))</f>
        <v/>
      </c>
      <c r="D19" s="77" t="str">
        <f aca="false">IF($A19="","",INDEX(BAHARY!$H$2:$H$901,17))</f>
        <v/>
      </c>
      <c r="E19" s="77" t="str">
        <f aca="false">IF($A19="","",INDEX(BAHARY!$E$2:$E$901,17))</f>
        <v/>
      </c>
      <c r="F19" s="77" t="str">
        <f aca="false">IF($A19="","",D19+E19)</f>
        <v/>
      </c>
      <c r="G19" s="77" t="str">
        <f aca="false">IF($A19="","",D19*(1-'كشف المطالبة'!$D$5))</f>
        <v/>
      </c>
      <c r="H19" s="77" t="str">
        <f aca="false">IF($A19="","",E19*(1-'كشف المطالبة'!$D$6))</f>
        <v/>
      </c>
      <c r="I19" s="77" t="str">
        <f aca="false">IF($A19="","",G19+H19)</f>
        <v/>
      </c>
      <c r="J19" s="78" t="str">
        <f aca="false">IF($A19="","",0)</f>
        <v/>
      </c>
      <c r="K19" s="77" t="str">
        <f aca="false">IF($A19="","",F19*J19+INDEX(BAHARY!$N$2:$N$901,17))</f>
        <v/>
      </c>
      <c r="L19" s="79" t="str">
        <f aca="false">IF($A19="","",I19-K19)</f>
        <v/>
      </c>
    </row>
    <row r="20" customFormat="false" ht="15" hidden="false" customHeight="true" outlineLevel="0" collapsed="false">
      <c r="A20" s="75" t="str">
        <f aca="false">IF(18&lt;=Check!$C$4,INDEX(BAHARY!$A$2:$A$901,18),"")</f>
        <v/>
      </c>
      <c r="B20" s="76" t="str">
        <f aca="false">IF($A20="","",INDEX(BAHARY!$B$2:$B$901,18))</f>
        <v/>
      </c>
      <c r="C20" s="76" t="str">
        <f aca="false">IF($A20="","",INDEX(BAHARY!$C$2:$C$901,18))</f>
        <v/>
      </c>
      <c r="D20" s="77" t="str">
        <f aca="false">IF($A20="","",INDEX(BAHARY!$H$2:$H$901,18))</f>
        <v/>
      </c>
      <c r="E20" s="77" t="str">
        <f aca="false">IF($A20="","",INDEX(BAHARY!$E$2:$E$901,18))</f>
        <v/>
      </c>
      <c r="F20" s="77" t="str">
        <f aca="false">IF($A20="","",D20+E20)</f>
        <v/>
      </c>
      <c r="G20" s="77" t="str">
        <f aca="false">IF($A20="","",D20*(1-'كشف المطالبة'!$D$5))</f>
        <v/>
      </c>
      <c r="H20" s="77" t="str">
        <f aca="false">IF($A20="","",E20*(1-'كشف المطالبة'!$D$6))</f>
        <v/>
      </c>
      <c r="I20" s="77" t="str">
        <f aca="false">IF($A20="","",G20+H20)</f>
        <v/>
      </c>
      <c r="J20" s="78" t="str">
        <f aca="false">IF($A20="","",0)</f>
        <v/>
      </c>
      <c r="K20" s="77" t="str">
        <f aca="false">IF($A20="","",F20*J20+INDEX(BAHARY!$N$2:$N$901,18))</f>
        <v/>
      </c>
      <c r="L20" s="79" t="str">
        <f aca="false">IF($A20="","",I20-K20)</f>
        <v/>
      </c>
    </row>
    <row r="21" customFormat="false" ht="15" hidden="false" customHeight="true" outlineLevel="0" collapsed="false">
      <c r="A21" s="75" t="str">
        <f aca="false">IF(19&lt;=Check!$C$4,INDEX(BAHARY!$A$2:$A$901,19),"")</f>
        <v/>
      </c>
      <c r="B21" s="76" t="str">
        <f aca="false">IF($A21="","",INDEX(BAHARY!$B$2:$B$901,19))</f>
        <v/>
      </c>
      <c r="C21" s="76" t="str">
        <f aca="false">IF($A21="","",INDEX(BAHARY!$C$2:$C$901,19))</f>
        <v/>
      </c>
      <c r="D21" s="77" t="str">
        <f aca="false">IF($A21="","",INDEX(BAHARY!$H$2:$H$901,19))</f>
        <v/>
      </c>
      <c r="E21" s="77" t="str">
        <f aca="false">IF($A21="","",INDEX(BAHARY!$E$2:$E$901,19))</f>
        <v/>
      </c>
      <c r="F21" s="77" t="str">
        <f aca="false">IF($A21="","",D21+E21)</f>
        <v/>
      </c>
      <c r="G21" s="77" t="str">
        <f aca="false">IF($A21="","",D21*(1-'كشف المطالبة'!$D$5))</f>
        <v/>
      </c>
      <c r="H21" s="77" t="str">
        <f aca="false">IF($A21="","",E21*(1-'كشف المطالبة'!$D$6))</f>
        <v/>
      </c>
      <c r="I21" s="77" t="str">
        <f aca="false">IF($A21="","",G21+H21)</f>
        <v/>
      </c>
      <c r="J21" s="78" t="str">
        <f aca="false">IF($A21="","",0)</f>
        <v/>
      </c>
      <c r="K21" s="77" t="str">
        <f aca="false">IF($A21="","",F21*J21+INDEX(BAHARY!$N$2:$N$901,19))</f>
        <v/>
      </c>
      <c r="L21" s="79" t="str">
        <f aca="false">IF($A21="","",I21-K21)</f>
        <v/>
      </c>
    </row>
    <row r="22" customFormat="false" ht="15" hidden="false" customHeight="true" outlineLevel="0" collapsed="false">
      <c r="A22" s="75" t="str">
        <f aca="false">IF(20&lt;=Check!$C$4,INDEX(BAHARY!$A$2:$A$901,20),"")</f>
        <v/>
      </c>
      <c r="B22" s="76" t="str">
        <f aca="false">IF($A22="","",INDEX(BAHARY!$B$2:$B$901,20))</f>
        <v/>
      </c>
      <c r="C22" s="76" t="str">
        <f aca="false">IF($A22="","",INDEX(BAHARY!$C$2:$C$901,20))</f>
        <v/>
      </c>
      <c r="D22" s="77" t="str">
        <f aca="false">IF($A22="","",INDEX(BAHARY!$H$2:$H$901,20))</f>
        <v/>
      </c>
      <c r="E22" s="77" t="str">
        <f aca="false">IF($A22="","",INDEX(BAHARY!$E$2:$E$901,20))</f>
        <v/>
      </c>
      <c r="F22" s="77" t="str">
        <f aca="false">IF($A22="","",D22+E22)</f>
        <v/>
      </c>
      <c r="G22" s="77" t="str">
        <f aca="false">IF($A22="","",D22*(1-'كشف المطالبة'!$D$5))</f>
        <v/>
      </c>
      <c r="H22" s="77" t="str">
        <f aca="false">IF($A22="","",E22*(1-'كشف المطالبة'!$D$6))</f>
        <v/>
      </c>
      <c r="I22" s="77" t="str">
        <f aca="false">IF($A22="","",G22+H22)</f>
        <v/>
      </c>
      <c r="J22" s="78" t="str">
        <f aca="false">IF($A22="","",0)</f>
        <v/>
      </c>
      <c r="K22" s="77" t="str">
        <f aca="false">IF($A22="","",F22*J22+INDEX(BAHARY!$N$2:$N$901,20))</f>
        <v/>
      </c>
      <c r="L22" s="79" t="str">
        <f aca="false">IF($A22="","",I22-K22)</f>
        <v/>
      </c>
    </row>
    <row r="23" customFormat="false" ht="15" hidden="false" customHeight="true" outlineLevel="0" collapsed="false">
      <c r="A23" s="75" t="str">
        <f aca="false">IF(21&lt;=Check!$C$4,INDEX(BAHARY!$A$2:$A$901,21),"")</f>
        <v/>
      </c>
      <c r="B23" s="76" t="str">
        <f aca="false">IF($A23="","",INDEX(BAHARY!$B$2:$B$901,21))</f>
        <v/>
      </c>
      <c r="C23" s="76" t="str">
        <f aca="false">IF($A23="","",INDEX(BAHARY!$C$2:$C$901,21))</f>
        <v/>
      </c>
      <c r="D23" s="77" t="str">
        <f aca="false">IF($A23="","",INDEX(BAHARY!$H$2:$H$901,21))</f>
        <v/>
      </c>
      <c r="E23" s="77" t="str">
        <f aca="false">IF($A23="","",INDEX(BAHARY!$E$2:$E$901,21))</f>
        <v/>
      </c>
      <c r="F23" s="77" t="str">
        <f aca="false">IF($A23="","",D23+E23)</f>
        <v/>
      </c>
      <c r="G23" s="77" t="str">
        <f aca="false">IF($A23="","",D23*(1-'كشف المطالبة'!$D$5))</f>
        <v/>
      </c>
      <c r="H23" s="77" t="str">
        <f aca="false">IF($A23="","",E23*(1-'كشف المطالبة'!$D$6))</f>
        <v/>
      </c>
      <c r="I23" s="77" t="str">
        <f aca="false">IF($A23="","",G23+H23)</f>
        <v/>
      </c>
      <c r="J23" s="78" t="str">
        <f aca="false">IF($A23="","",0)</f>
        <v/>
      </c>
      <c r="K23" s="77" t="str">
        <f aca="false">IF($A23="","",F23*J23+INDEX(BAHARY!$N$2:$N$901,21))</f>
        <v/>
      </c>
      <c r="L23" s="79" t="str">
        <f aca="false">IF($A23="","",I23-K23)</f>
        <v/>
      </c>
    </row>
    <row r="24" customFormat="false" ht="15" hidden="false" customHeight="true" outlineLevel="0" collapsed="false">
      <c r="A24" s="75" t="str">
        <f aca="false">IF(22&lt;=Check!$C$4,INDEX(BAHARY!$A$2:$A$901,22),"")</f>
        <v/>
      </c>
      <c r="B24" s="76" t="str">
        <f aca="false">IF($A24="","",INDEX(BAHARY!$B$2:$B$901,22))</f>
        <v/>
      </c>
      <c r="C24" s="76" t="str">
        <f aca="false">IF($A24="","",INDEX(BAHARY!$C$2:$C$901,22))</f>
        <v/>
      </c>
      <c r="D24" s="77" t="str">
        <f aca="false">IF($A24="","",INDEX(BAHARY!$H$2:$H$901,22))</f>
        <v/>
      </c>
      <c r="E24" s="77" t="str">
        <f aca="false">IF($A24="","",INDEX(BAHARY!$E$2:$E$901,22))</f>
        <v/>
      </c>
      <c r="F24" s="77" t="str">
        <f aca="false">IF($A24="","",D24+E24)</f>
        <v/>
      </c>
      <c r="G24" s="77" t="str">
        <f aca="false">IF($A24="","",D24*(1-'كشف المطالبة'!$D$5))</f>
        <v/>
      </c>
      <c r="H24" s="77" t="str">
        <f aca="false">IF($A24="","",E24*(1-'كشف المطالبة'!$D$6))</f>
        <v/>
      </c>
      <c r="I24" s="77" t="str">
        <f aca="false">IF($A24="","",G24+H24)</f>
        <v/>
      </c>
      <c r="J24" s="78" t="str">
        <f aca="false">IF($A24="","",0)</f>
        <v/>
      </c>
      <c r="K24" s="77" t="str">
        <f aca="false">IF($A24="","",F24*J24+INDEX(BAHARY!$N$2:$N$901,22))</f>
        <v/>
      </c>
      <c r="L24" s="79" t="str">
        <f aca="false">IF($A24="","",I24-K24)</f>
        <v/>
      </c>
    </row>
    <row r="25" customFormat="false" ht="15" hidden="false" customHeight="true" outlineLevel="0" collapsed="false">
      <c r="A25" s="75" t="str">
        <f aca="false">IF(23&lt;=Check!$C$4,INDEX(BAHARY!$A$2:$A$901,23),"")</f>
        <v/>
      </c>
      <c r="B25" s="76" t="str">
        <f aca="false">IF($A25="","",INDEX(BAHARY!$B$2:$B$901,23))</f>
        <v/>
      </c>
      <c r="C25" s="76" t="str">
        <f aca="false">IF($A25="","",INDEX(BAHARY!$C$2:$C$901,23))</f>
        <v/>
      </c>
      <c r="D25" s="77" t="str">
        <f aca="false">IF($A25="","",INDEX(BAHARY!$H$2:$H$901,23))</f>
        <v/>
      </c>
      <c r="E25" s="77" t="str">
        <f aca="false">IF($A25="","",INDEX(BAHARY!$E$2:$E$901,23))</f>
        <v/>
      </c>
      <c r="F25" s="77" t="str">
        <f aca="false">IF($A25="","",D25+E25)</f>
        <v/>
      </c>
      <c r="G25" s="77" t="str">
        <f aca="false">IF($A25="","",D25*(1-'كشف المطالبة'!$D$5))</f>
        <v/>
      </c>
      <c r="H25" s="77" t="str">
        <f aca="false">IF($A25="","",E25*(1-'كشف المطالبة'!$D$6))</f>
        <v/>
      </c>
      <c r="I25" s="77" t="str">
        <f aca="false">IF($A25="","",G25+H25)</f>
        <v/>
      </c>
      <c r="J25" s="78" t="str">
        <f aca="false">IF($A25="","",0)</f>
        <v/>
      </c>
      <c r="K25" s="77" t="str">
        <f aca="false">IF($A25="","",F25*J25+INDEX(BAHARY!$N$2:$N$901,23))</f>
        <v/>
      </c>
      <c r="L25" s="79" t="str">
        <f aca="false">IF($A25="","",I25-K25)</f>
        <v/>
      </c>
    </row>
    <row r="26" customFormat="false" ht="15" hidden="false" customHeight="true" outlineLevel="0" collapsed="false">
      <c r="A26" s="75" t="str">
        <f aca="false">IF(24&lt;=Check!$C$4,INDEX(BAHARY!$A$2:$A$901,24),"")</f>
        <v/>
      </c>
      <c r="B26" s="76" t="str">
        <f aca="false">IF($A26="","",INDEX(BAHARY!$B$2:$B$901,24))</f>
        <v/>
      </c>
      <c r="C26" s="76" t="str">
        <f aca="false">IF($A26="","",INDEX(BAHARY!$C$2:$C$901,24))</f>
        <v/>
      </c>
      <c r="D26" s="77" t="str">
        <f aca="false">IF($A26="","",INDEX(BAHARY!$H$2:$H$901,24))</f>
        <v/>
      </c>
      <c r="E26" s="77" t="str">
        <f aca="false">IF($A26="","",INDEX(BAHARY!$E$2:$E$901,24))</f>
        <v/>
      </c>
      <c r="F26" s="77" t="str">
        <f aca="false">IF($A26="","",D26+E26)</f>
        <v/>
      </c>
      <c r="G26" s="77" t="str">
        <f aca="false">IF($A26="","",D26*(1-'كشف المطالبة'!$D$5))</f>
        <v/>
      </c>
      <c r="H26" s="77" t="str">
        <f aca="false">IF($A26="","",E26*(1-'كشف المطالبة'!$D$6))</f>
        <v/>
      </c>
      <c r="I26" s="77" t="str">
        <f aca="false">IF($A26="","",G26+H26)</f>
        <v/>
      </c>
      <c r="J26" s="78" t="str">
        <f aca="false">IF($A26="","",0)</f>
        <v/>
      </c>
      <c r="K26" s="77" t="str">
        <f aca="false">IF($A26="","",F26*J26+INDEX(BAHARY!$N$2:$N$901,24))</f>
        <v/>
      </c>
      <c r="L26" s="79" t="str">
        <f aca="false">IF($A26="","",I26-K26)</f>
        <v/>
      </c>
    </row>
    <row r="27" customFormat="false" ht="15" hidden="false" customHeight="true" outlineLevel="0" collapsed="false">
      <c r="A27" s="75" t="str">
        <f aca="false">IF(25&lt;=Check!$C$4,INDEX(BAHARY!$A$2:$A$901,25),"")</f>
        <v/>
      </c>
      <c r="B27" s="76" t="str">
        <f aca="false">IF($A27="","",INDEX(BAHARY!$B$2:$B$901,25))</f>
        <v/>
      </c>
      <c r="C27" s="76" t="str">
        <f aca="false">IF($A27="","",INDEX(BAHARY!$C$2:$C$901,25))</f>
        <v/>
      </c>
      <c r="D27" s="77" t="str">
        <f aca="false">IF($A27="","",INDEX(BAHARY!$H$2:$H$901,25))</f>
        <v/>
      </c>
      <c r="E27" s="77" t="str">
        <f aca="false">IF($A27="","",INDEX(BAHARY!$E$2:$E$901,25))</f>
        <v/>
      </c>
      <c r="F27" s="77" t="str">
        <f aca="false">IF($A27="","",D27+E27)</f>
        <v/>
      </c>
      <c r="G27" s="77" t="str">
        <f aca="false">IF($A27="","",D27*(1-'كشف المطالبة'!$D$5))</f>
        <v/>
      </c>
      <c r="H27" s="77" t="str">
        <f aca="false">IF($A27="","",E27*(1-'كشف المطالبة'!$D$6))</f>
        <v/>
      </c>
      <c r="I27" s="77" t="str">
        <f aca="false">IF($A27="","",G27+H27)</f>
        <v/>
      </c>
      <c r="J27" s="78" t="str">
        <f aca="false">IF($A27="","",0)</f>
        <v/>
      </c>
      <c r="K27" s="77" t="str">
        <f aca="false">IF($A27="","",F27*J27+INDEX(BAHARY!$N$2:$N$901,25))</f>
        <v/>
      </c>
      <c r="L27" s="79" t="str">
        <f aca="false">IF($A27="","",I27-K27)</f>
        <v/>
      </c>
    </row>
    <row r="28" customFormat="false" ht="15" hidden="false" customHeight="true" outlineLevel="0" collapsed="false">
      <c r="A28" s="75" t="str">
        <f aca="false">IF(26&lt;=Check!$C$4,INDEX(BAHARY!$A$2:$A$901,26),"")</f>
        <v/>
      </c>
      <c r="B28" s="76" t="str">
        <f aca="false">IF($A28="","",INDEX(BAHARY!$B$2:$B$901,26))</f>
        <v/>
      </c>
      <c r="C28" s="76" t="str">
        <f aca="false">IF($A28="","",INDEX(BAHARY!$C$2:$C$901,26))</f>
        <v/>
      </c>
      <c r="D28" s="77" t="str">
        <f aca="false">IF($A28="","",INDEX(BAHARY!$H$2:$H$901,26))</f>
        <v/>
      </c>
      <c r="E28" s="77" t="str">
        <f aca="false">IF($A28="","",INDEX(BAHARY!$E$2:$E$901,26))</f>
        <v/>
      </c>
      <c r="F28" s="77" t="str">
        <f aca="false">IF($A28="","",D28+E28)</f>
        <v/>
      </c>
      <c r="G28" s="77" t="str">
        <f aca="false">IF($A28="","",D28*(1-'كشف المطالبة'!$D$5))</f>
        <v/>
      </c>
      <c r="H28" s="77" t="str">
        <f aca="false">IF($A28="","",E28*(1-'كشف المطالبة'!$D$6))</f>
        <v/>
      </c>
      <c r="I28" s="77" t="str">
        <f aca="false">IF($A28="","",G28+H28)</f>
        <v/>
      </c>
      <c r="J28" s="78" t="str">
        <f aca="false">IF($A28="","",0)</f>
        <v/>
      </c>
      <c r="K28" s="77" t="str">
        <f aca="false">IF($A28="","",F28*J28+INDEX(BAHARY!$N$2:$N$901,26))</f>
        <v/>
      </c>
      <c r="L28" s="79" t="str">
        <f aca="false">IF($A28="","",I28-K28)</f>
        <v/>
      </c>
    </row>
    <row r="29" customFormat="false" ht="15" hidden="false" customHeight="true" outlineLevel="0" collapsed="false">
      <c r="A29" s="75" t="str">
        <f aca="false">IF(27&lt;=Check!$C$4,INDEX(BAHARY!$A$2:$A$901,27),"")</f>
        <v/>
      </c>
      <c r="B29" s="76" t="str">
        <f aca="false">IF($A29="","",INDEX(BAHARY!$B$2:$B$901,27))</f>
        <v/>
      </c>
      <c r="C29" s="76" t="str">
        <f aca="false">IF($A29="","",INDEX(BAHARY!$C$2:$C$901,27))</f>
        <v/>
      </c>
      <c r="D29" s="77" t="str">
        <f aca="false">IF($A29="","",INDEX(BAHARY!$H$2:$H$901,27))</f>
        <v/>
      </c>
      <c r="E29" s="77" t="str">
        <f aca="false">IF($A29="","",INDEX(BAHARY!$E$2:$E$901,27))</f>
        <v/>
      </c>
      <c r="F29" s="77" t="str">
        <f aca="false">IF($A29="","",D29+E29)</f>
        <v/>
      </c>
      <c r="G29" s="77" t="str">
        <f aca="false">IF($A29="","",D29*(1-'كشف المطالبة'!$D$5))</f>
        <v/>
      </c>
      <c r="H29" s="77" t="str">
        <f aca="false">IF($A29="","",E29*(1-'كشف المطالبة'!$D$6))</f>
        <v/>
      </c>
      <c r="I29" s="77" t="str">
        <f aca="false">IF($A29="","",G29+H29)</f>
        <v/>
      </c>
      <c r="J29" s="78" t="str">
        <f aca="false">IF($A29="","",0)</f>
        <v/>
      </c>
      <c r="K29" s="77" t="str">
        <f aca="false">IF($A29="","",F29*J29+INDEX(BAHARY!$N$2:$N$901,27))</f>
        <v/>
      </c>
      <c r="L29" s="79" t="str">
        <f aca="false">IF($A29="","",I29-K29)</f>
        <v/>
      </c>
    </row>
    <row r="30" customFormat="false" ht="15" hidden="false" customHeight="true" outlineLevel="0" collapsed="false">
      <c r="A30" s="75" t="str">
        <f aca="false">IF(28&lt;=Check!$C$4,INDEX(BAHARY!$A$2:$A$901,28),"")</f>
        <v/>
      </c>
      <c r="B30" s="76" t="str">
        <f aca="false">IF($A30="","",INDEX(BAHARY!$B$2:$B$901,28))</f>
        <v/>
      </c>
      <c r="C30" s="76" t="str">
        <f aca="false">IF($A30="","",INDEX(BAHARY!$C$2:$C$901,28))</f>
        <v/>
      </c>
      <c r="D30" s="77" t="str">
        <f aca="false">IF($A30="","",INDEX(BAHARY!$H$2:$H$901,28))</f>
        <v/>
      </c>
      <c r="E30" s="77" t="str">
        <f aca="false">IF($A30="","",INDEX(BAHARY!$E$2:$E$901,28))</f>
        <v/>
      </c>
      <c r="F30" s="77" t="str">
        <f aca="false">IF($A30="","",D30+E30)</f>
        <v/>
      </c>
      <c r="G30" s="77" t="str">
        <f aca="false">IF($A30="","",D30*(1-'كشف المطالبة'!$D$5))</f>
        <v/>
      </c>
      <c r="H30" s="77" t="str">
        <f aca="false">IF($A30="","",E30*(1-'كشف المطالبة'!$D$6))</f>
        <v/>
      </c>
      <c r="I30" s="77" t="str">
        <f aca="false">IF($A30="","",G30+H30)</f>
        <v/>
      </c>
      <c r="J30" s="78" t="str">
        <f aca="false">IF($A30="","",0)</f>
        <v/>
      </c>
      <c r="K30" s="77" t="str">
        <f aca="false">IF($A30="","",F30*J30+INDEX(BAHARY!$N$2:$N$901,28))</f>
        <v/>
      </c>
      <c r="L30" s="79" t="str">
        <f aca="false">IF($A30="","",I30-K30)</f>
        <v/>
      </c>
    </row>
    <row r="31" customFormat="false" ht="15" hidden="false" customHeight="true" outlineLevel="0" collapsed="false">
      <c r="A31" s="75" t="str">
        <f aca="false">IF(29&lt;=Check!$C$4,INDEX(BAHARY!$A$2:$A$901,29),"")</f>
        <v/>
      </c>
      <c r="B31" s="76" t="str">
        <f aca="false">IF($A31="","",INDEX(BAHARY!$B$2:$B$901,29))</f>
        <v/>
      </c>
      <c r="C31" s="76" t="str">
        <f aca="false">IF($A31="","",INDEX(BAHARY!$C$2:$C$901,29))</f>
        <v/>
      </c>
      <c r="D31" s="77" t="str">
        <f aca="false">IF($A31="","",INDEX(BAHARY!$H$2:$H$901,29))</f>
        <v/>
      </c>
      <c r="E31" s="77" t="str">
        <f aca="false">IF($A31="","",INDEX(BAHARY!$E$2:$E$901,29))</f>
        <v/>
      </c>
      <c r="F31" s="77" t="str">
        <f aca="false">IF($A31="","",D31+E31)</f>
        <v/>
      </c>
      <c r="G31" s="77" t="str">
        <f aca="false">IF($A31="","",D31*(1-'كشف المطالبة'!$D$5))</f>
        <v/>
      </c>
      <c r="H31" s="77" t="str">
        <f aca="false">IF($A31="","",E31*(1-'كشف المطالبة'!$D$6))</f>
        <v/>
      </c>
      <c r="I31" s="77" t="str">
        <f aca="false">IF($A31="","",G31+H31)</f>
        <v/>
      </c>
      <c r="J31" s="78" t="str">
        <f aca="false">IF($A31="","",0)</f>
        <v/>
      </c>
      <c r="K31" s="77" t="str">
        <f aca="false">IF($A31="","",F31*J31+INDEX(BAHARY!$N$2:$N$901,29))</f>
        <v/>
      </c>
      <c r="L31" s="79" t="str">
        <f aca="false">IF($A31="","",I31-K31)</f>
        <v/>
      </c>
    </row>
    <row r="32" customFormat="false" ht="15" hidden="false" customHeight="true" outlineLevel="0" collapsed="false">
      <c r="A32" s="75" t="str">
        <f aca="false">IF(30&lt;=Check!$C$4,INDEX(BAHARY!$A$2:$A$901,30),"")</f>
        <v/>
      </c>
      <c r="B32" s="76" t="str">
        <f aca="false">IF($A32="","",INDEX(BAHARY!$B$2:$B$901,30))</f>
        <v/>
      </c>
      <c r="C32" s="76" t="str">
        <f aca="false">IF($A32="","",INDEX(BAHARY!$C$2:$C$901,30))</f>
        <v/>
      </c>
      <c r="D32" s="77" t="str">
        <f aca="false">IF($A32="","",INDEX(BAHARY!$H$2:$H$901,30))</f>
        <v/>
      </c>
      <c r="E32" s="77" t="str">
        <f aca="false">IF($A32="","",INDEX(BAHARY!$E$2:$E$901,30))</f>
        <v/>
      </c>
      <c r="F32" s="77" t="str">
        <f aca="false">IF($A32="","",D32+E32)</f>
        <v/>
      </c>
      <c r="G32" s="77" t="str">
        <f aca="false">IF($A32="","",D32*(1-'كشف المطالبة'!$D$5))</f>
        <v/>
      </c>
      <c r="H32" s="77" t="str">
        <f aca="false">IF($A32="","",E32*(1-'كشف المطالبة'!$D$6))</f>
        <v/>
      </c>
      <c r="I32" s="77" t="str">
        <f aca="false">IF($A32="","",G32+H32)</f>
        <v/>
      </c>
      <c r="J32" s="78" t="str">
        <f aca="false">IF($A32="","",0)</f>
        <v/>
      </c>
      <c r="K32" s="77" t="str">
        <f aca="false">IF($A32="","",F32*J32+INDEX(BAHARY!$N$2:$N$901,30))</f>
        <v/>
      </c>
      <c r="L32" s="79" t="str">
        <f aca="false">IF($A32="","",I32-K32)</f>
        <v/>
      </c>
    </row>
    <row r="33" customFormat="false" ht="15" hidden="false" customHeight="true" outlineLevel="0" collapsed="false">
      <c r="A33" s="75" t="str">
        <f aca="false">IF(31&lt;=Check!$C$4,INDEX(BAHARY!$A$2:$A$901,31),"")</f>
        <v/>
      </c>
      <c r="B33" s="76" t="str">
        <f aca="false">IF($A33="","",INDEX(BAHARY!$B$2:$B$901,31))</f>
        <v/>
      </c>
      <c r="C33" s="76" t="str">
        <f aca="false">IF($A33="","",INDEX(BAHARY!$C$2:$C$901,31))</f>
        <v/>
      </c>
      <c r="D33" s="77" t="str">
        <f aca="false">IF($A33="","",INDEX(BAHARY!$H$2:$H$901,31))</f>
        <v/>
      </c>
      <c r="E33" s="77" t="str">
        <f aca="false">IF($A33="","",INDEX(BAHARY!$E$2:$E$901,31))</f>
        <v/>
      </c>
      <c r="F33" s="77" t="str">
        <f aca="false">IF($A33="","",D33+E33)</f>
        <v/>
      </c>
      <c r="G33" s="77" t="str">
        <f aca="false">IF($A33="","",D33*(1-'كشف المطالبة'!$D$5))</f>
        <v/>
      </c>
      <c r="H33" s="77" t="str">
        <f aca="false">IF($A33="","",E33*(1-'كشف المطالبة'!$D$6))</f>
        <v/>
      </c>
      <c r="I33" s="77" t="str">
        <f aca="false">IF($A33="","",G33+H33)</f>
        <v/>
      </c>
      <c r="J33" s="78" t="str">
        <f aca="false">IF($A33="","",0)</f>
        <v/>
      </c>
      <c r="K33" s="77" t="str">
        <f aca="false">IF($A33="","",F33*J33+INDEX(BAHARY!$N$2:$N$901,31))</f>
        <v/>
      </c>
      <c r="L33" s="79" t="str">
        <f aca="false">IF($A33="","",I33-K33)</f>
        <v/>
      </c>
    </row>
    <row r="34" customFormat="false" ht="15" hidden="false" customHeight="true" outlineLevel="0" collapsed="false">
      <c r="A34" s="75" t="str">
        <f aca="false">IF(32&lt;=Check!$C$4,INDEX(BAHARY!$A$2:$A$901,32),"")</f>
        <v/>
      </c>
      <c r="B34" s="76" t="str">
        <f aca="false">IF($A34="","",INDEX(BAHARY!$B$2:$B$901,32))</f>
        <v/>
      </c>
      <c r="C34" s="76" t="str">
        <f aca="false">IF($A34="","",INDEX(BAHARY!$C$2:$C$901,32))</f>
        <v/>
      </c>
      <c r="D34" s="77" t="str">
        <f aca="false">IF($A34="","",INDEX(BAHARY!$H$2:$H$901,32))</f>
        <v/>
      </c>
      <c r="E34" s="77" t="str">
        <f aca="false">IF($A34="","",INDEX(BAHARY!$E$2:$E$901,32))</f>
        <v/>
      </c>
      <c r="F34" s="77" t="str">
        <f aca="false">IF($A34="","",D34+E34)</f>
        <v/>
      </c>
      <c r="G34" s="77" t="str">
        <f aca="false">IF($A34="","",D34*(1-'كشف المطالبة'!$D$5))</f>
        <v/>
      </c>
      <c r="H34" s="77" t="str">
        <f aca="false">IF($A34="","",E34*(1-'كشف المطالبة'!$D$6))</f>
        <v/>
      </c>
      <c r="I34" s="77" t="str">
        <f aca="false">IF($A34="","",G34+H34)</f>
        <v/>
      </c>
      <c r="J34" s="78" t="str">
        <f aca="false">IF($A34="","",0)</f>
        <v/>
      </c>
      <c r="K34" s="77" t="str">
        <f aca="false">IF($A34="","",F34*J34+INDEX(BAHARY!$N$2:$N$901,32))</f>
        <v/>
      </c>
      <c r="L34" s="79" t="str">
        <f aca="false">IF($A34="","",I34-K34)</f>
        <v/>
      </c>
    </row>
    <row r="35" customFormat="false" ht="15" hidden="false" customHeight="true" outlineLevel="0" collapsed="false">
      <c r="A35" s="75" t="str">
        <f aca="false">IF(33&lt;=Check!$C$4,INDEX(BAHARY!$A$2:$A$901,33),"")</f>
        <v/>
      </c>
      <c r="B35" s="76" t="str">
        <f aca="false">IF($A35="","",INDEX(BAHARY!$B$2:$B$901,33))</f>
        <v/>
      </c>
      <c r="C35" s="76" t="str">
        <f aca="false">IF($A35="","",INDEX(BAHARY!$C$2:$C$901,33))</f>
        <v/>
      </c>
      <c r="D35" s="77" t="str">
        <f aca="false">IF($A35="","",INDEX(BAHARY!$H$2:$H$901,33))</f>
        <v/>
      </c>
      <c r="E35" s="77" t="str">
        <f aca="false">IF($A35="","",INDEX(BAHARY!$E$2:$E$901,33))</f>
        <v/>
      </c>
      <c r="F35" s="77" t="str">
        <f aca="false">IF($A35="","",D35+E35)</f>
        <v/>
      </c>
      <c r="G35" s="77" t="str">
        <f aca="false">IF($A35="","",D35*(1-'كشف المطالبة'!$D$5))</f>
        <v/>
      </c>
      <c r="H35" s="77" t="str">
        <f aca="false">IF($A35="","",E35*(1-'كشف المطالبة'!$D$6))</f>
        <v/>
      </c>
      <c r="I35" s="77" t="str">
        <f aca="false">IF($A35="","",G35+H35)</f>
        <v/>
      </c>
      <c r="J35" s="78" t="str">
        <f aca="false">IF($A35="","",0)</f>
        <v/>
      </c>
      <c r="K35" s="77" t="str">
        <f aca="false">IF($A35="","",F35*J35+INDEX(BAHARY!$N$2:$N$901,33))</f>
        <v/>
      </c>
      <c r="L35" s="79" t="str">
        <f aca="false">IF($A35="","",I35-K35)</f>
        <v/>
      </c>
    </row>
    <row r="36" customFormat="false" ht="15" hidden="false" customHeight="true" outlineLevel="0" collapsed="false">
      <c r="A36" s="75" t="str">
        <f aca="false">IF(34&lt;=Check!$C$4,INDEX(BAHARY!$A$2:$A$901,34),"")</f>
        <v/>
      </c>
      <c r="B36" s="76" t="str">
        <f aca="false">IF($A36="","",INDEX(BAHARY!$B$2:$B$901,34))</f>
        <v/>
      </c>
      <c r="C36" s="76" t="str">
        <f aca="false">IF($A36="","",INDEX(BAHARY!$C$2:$C$901,34))</f>
        <v/>
      </c>
      <c r="D36" s="77" t="str">
        <f aca="false">IF($A36="","",INDEX(BAHARY!$H$2:$H$901,34))</f>
        <v/>
      </c>
      <c r="E36" s="77" t="str">
        <f aca="false">IF($A36="","",INDEX(BAHARY!$E$2:$E$901,34))</f>
        <v/>
      </c>
      <c r="F36" s="77" t="str">
        <f aca="false">IF($A36="","",D36+E36)</f>
        <v/>
      </c>
      <c r="G36" s="77" t="str">
        <f aca="false">IF($A36="","",D36*(1-'كشف المطالبة'!$D$5))</f>
        <v/>
      </c>
      <c r="H36" s="77" t="str">
        <f aca="false">IF($A36="","",E36*(1-'كشف المطالبة'!$D$6))</f>
        <v/>
      </c>
      <c r="I36" s="77" t="str">
        <f aca="false">IF($A36="","",G36+H36)</f>
        <v/>
      </c>
      <c r="J36" s="78" t="str">
        <f aca="false">IF($A36="","",0)</f>
        <v/>
      </c>
      <c r="K36" s="77" t="str">
        <f aca="false">IF($A36="","",F36*J36+INDEX(BAHARY!$N$2:$N$901,34))</f>
        <v/>
      </c>
      <c r="L36" s="79" t="str">
        <f aca="false">IF($A36="","",I36-K36)</f>
        <v/>
      </c>
    </row>
    <row r="37" customFormat="false" ht="15" hidden="false" customHeight="true" outlineLevel="0" collapsed="false">
      <c r="A37" s="75" t="str">
        <f aca="false">IF(35&lt;=Check!$C$4,INDEX(BAHARY!$A$2:$A$901,35),"")</f>
        <v/>
      </c>
      <c r="B37" s="76" t="str">
        <f aca="false">IF($A37="","",INDEX(BAHARY!$B$2:$B$901,35))</f>
        <v/>
      </c>
      <c r="C37" s="76" t="str">
        <f aca="false">IF($A37="","",INDEX(BAHARY!$C$2:$C$901,35))</f>
        <v/>
      </c>
      <c r="D37" s="77" t="str">
        <f aca="false">IF($A37="","",INDEX(BAHARY!$H$2:$H$901,35))</f>
        <v/>
      </c>
      <c r="E37" s="77" t="str">
        <f aca="false">IF($A37="","",INDEX(BAHARY!$E$2:$E$901,35))</f>
        <v/>
      </c>
      <c r="F37" s="77" t="str">
        <f aca="false">IF($A37="","",D37+E37)</f>
        <v/>
      </c>
      <c r="G37" s="77" t="str">
        <f aca="false">IF($A37="","",D37*(1-'كشف المطالبة'!$D$5))</f>
        <v/>
      </c>
      <c r="H37" s="77" t="str">
        <f aca="false">IF($A37="","",E37*(1-'كشف المطالبة'!$D$6))</f>
        <v/>
      </c>
      <c r="I37" s="77" t="str">
        <f aca="false">IF($A37="","",G37+H37)</f>
        <v/>
      </c>
      <c r="J37" s="78" t="str">
        <f aca="false">IF($A37="","",0)</f>
        <v/>
      </c>
      <c r="K37" s="77" t="str">
        <f aca="false">IF($A37="","",F37*J37+INDEX(BAHARY!$N$2:$N$901,35))</f>
        <v/>
      </c>
      <c r="L37" s="79" t="str">
        <f aca="false">IF($A37="","",I37-K37)</f>
        <v/>
      </c>
    </row>
    <row r="38" customFormat="false" ht="15" hidden="false" customHeight="true" outlineLevel="0" collapsed="false">
      <c r="A38" s="75" t="str">
        <f aca="false">IF(36&lt;=Check!$C$4,INDEX(BAHARY!$A$2:$A$901,36),"")</f>
        <v/>
      </c>
      <c r="B38" s="76" t="str">
        <f aca="false">IF($A38="","",INDEX(BAHARY!$B$2:$B$901,36))</f>
        <v/>
      </c>
      <c r="C38" s="76" t="str">
        <f aca="false">IF($A38="","",INDEX(BAHARY!$C$2:$C$901,36))</f>
        <v/>
      </c>
      <c r="D38" s="77" t="str">
        <f aca="false">IF($A38="","",INDEX(BAHARY!$H$2:$H$901,36))</f>
        <v/>
      </c>
      <c r="E38" s="77" t="str">
        <f aca="false">IF($A38="","",INDEX(BAHARY!$E$2:$E$901,36))</f>
        <v/>
      </c>
      <c r="F38" s="77" t="str">
        <f aca="false">IF($A38="","",D38+E38)</f>
        <v/>
      </c>
      <c r="G38" s="77" t="str">
        <f aca="false">IF($A38="","",D38*(1-'كشف المطالبة'!$D$5))</f>
        <v/>
      </c>
      <c r="H38" s="77" t="str">
        <f aca="false">IF($A38="","",E38*(1-'كشف المطالبة'!$D$6))</f>
        <v/>
      </c>
      <c r="I38" s="77" t="str">
        <f aca="false">IF($A38="","",G38+H38)</f>
        <v/>
      </c>
      <c r="J38" s="78" t="str">
        <f aca="false">IF($A38="","",0)</f>
        <v/>
      </c>
      <c r="K38" s="77" t="str">
        <f aca="false">IF($A38="","",F38*J38+INDEX(BAHARY!$N$2:$N$901,36))</f>
        <v/>
      </c>
      <c r="L38" s="79" t="str">
        <f aca="false">IF($A38="","",I38-K38)</f>
        <v/>
      </c>
    </row>
    <row r="39" customFormat="false" ht="15" hidden="false" customHeight="true" outlineLevel="0" collapsed="false">
      <c r="A39" s="75" t="str">
        <f aca="false">IF(37&lt;=Check!$C$4,INDEX(BAHARY!$A$2:$A$901,37),"")</f>
        <v/>
      </c>
      <c r="B39" s="76" t="str">
        <f aca="false">IF($A39="","",INDEX(BAHARY!$B$2:$B$901,37))</f>
        <v/>
      </c>
      <c r="C39" s="76" t="str">
        <f aca="false">IF($A39="","",INDEX(BAHARY!$C$2:$C$901,37))</f>
        <v/>
      </c>
      <c r="D39" s="77" t="str">
        <f aca="false">IF($A39="","",INDEX(BAHARY!$H$2:$H$901,37))</f>
        <v/>
      </c>
      <c r="E39" s="77" t="str">
        <f aca="false">IF($A39="","",INDEX(BAHARY!$E$2:$E$901,37))</f>
        <v/>
      </c>
      <c r="F39" s="77" t="str">
        <f aca="false">IF($A39="","",D39+E39)</f>
        <v/>
      </c>
      <c r="G39" s="77" t="str">
        <f aca="false">IF($A39="","",D39*(1-'كشف المطالبة'!$D$5))</f>
        <v/>
      </c>
      <c r="H39" s="77" t="str">
        <f aca="false">IF($A39="","",E39*(1-'كشف المطالبة'!$D$6))</f>
        <v/>
      </c>
      <c r="I39" s="77" t="str">
        <f aca="false">IF($A39="","",G39+H39)</f>
        <v/>
      </c>
      <c r="J39" s="78" t="str">
        <f aca="false">IF($A39="","",0)</f>
        <v/>
      </c>
      <c r="K39" s="77" t="str">
        <f aca="false">IF($A39="","",F39*J39+INDEX(BAHARY!$N$2:$N$901,37))</f>
        <v/>
      </c>
      <c r="L39" s="79" t="str">
        <f aca="false">IF($A39="","",I39-K39)</f>
        <v/>
      </c>
    </row>
    <row r="40" customFormat="false" ht="15" hidden="false" customHeight="true" outlineLevel="0" collapsed="false">
      <c r="A40" s="75" t="str">
        <f aca="false">IF(38&lt;=Check!$C$4,INDEX(BAHARY!$A$2:$A$901,38),"")</f>
        <v/>
      </c>
      <c r="B40" s="76" t="str">
        <f aca="false">IF($A40="","",INDEX(BAHARY!$B$2:$B$901,38))</f>
        <v/>
      </c>
      <c r="C40" s="76" t="str">
        <f aca="false">IF($A40="","",INDEX(BAHARY!$C$2:$C$901,38))</f>
        <v/>
      </c>
      <c r="D40" s="77" t="str">
        <f aca="false">IF($A40="","",INDEX(BAHARY!$H$2:$H$901,38))</f>
        <v/>
      </c>
      <c r="E40" s="77" t="str">
        <f aca="false">IF($A40="","",INDEX(BAHARY!$E$2:$E$901,38))</f>
        <v/>
      </c>
      <c r="F40" s="77" t="str">
        <f aca="false">IF($A40="","",D40+E40)</f>
        <v/>
      </c>
      <c r="G40" s="77" t="str">
        <f aca="false">IF($A40="","",D40*(1-'كشف المطالبة'!$D$5))</f>
        <v/>
      </c>
      <c r="H40" s="77" t="str">
        <f aca="false">IF($A40="","",E40*(1-'كشف المطالبة'!$D$6))</f>
        <v/>
      </c>
      <c r="I40" s="77" t="str">
        <f aca="false">IF($A40="","",G40+H40)</f>
        <v/>
      </c>
      <c r="J40" s="78" t="str">
        <f aca="false">IF($A40="","",0)</f>
        <v/>
      </c>
      <c r="K40" s="77" t="str">
        <f aca="false">IF($A40="","",F40*J40+INDEX(BAHARY!$N$2:$N$901,38))</f>
        <v/>
      </c>
      <c r="L40" s="79" t="str">
        <f aca="false">IF($A40="","",I40-K40)</f>
        <v/>
      </c>
    </row>
    <row r="41" customFormat="false" ht="15" hidden="false" customHeight="true" outlineLevel="0" collapsed="false">
      <c r="A41" s="75" t="str">
        <f aca="false">IF(39&lt;=Check!$C$4,INDEX(BAHARY!$A$2:$A$901,39),"")</f>
        <v/>
      </c>
      <c r="B41" s="76" t="str">
        <f aca="false">IF($A41="","",INDEX(BAHARY!$B$2:$B$901,39))</f>
        <v/>
      </c>
      <c r="C41" s="76" t="str">
        <f aca="false">IF($A41="","",INDEX(BAHARY!$C$2:$C$901,39))</f>
        <v/>
      </c>
      <c r="D41" s="77" t="str">
        <f aca="false">IF($A41="","",INDEX(BAHARY!$H$2:$H$901,39))</f>
        <v/>
      </c>
      <c r="E41" s="77" t="str">
        <f aca="false">IF($A41="","",INDEX(BAHARY!$E$2:$E$901,39))</f>
        <v/>
      </c>
      <c r="F41" s="77" t="str">
        <f aca="false">IF($A41="","",D41+E41)</f>
        <v/>
      </c>
      <c r="G41" s="77" t="str">
        <f aca="false">IF($A41="","",D41*(1-'كشف المطالبة'!$D$5))</f>
        <v/>
      </c>
      <c r="H41" s="77" t="str">
        <f aca="false">IF($A41="","",E41*(1-'كشف المطالبة'!$D$6))</f>
        <v/>
      </c>
      <c r="I41" s="77" t="str">
        <f aca="false">IF($A41="","",G41+H41)</f>
        <v/>
      </c>
      <c r="J41" s="78" t="str">
        <f aca="false">IF($A41="","",0)</f>
        <v/>
      </c>
      <c r="K41" s="77" t="str">
        <f aca="false">IF($A41="","",F41*J41+INDEX(BAHARY!$N$2:$N$901,39))</f>
        <v/>
      </c>
      <c r="L41" s="79" t="str">
        <f aca="false">IF($A41="","",I41-K41)</f>
        <v/>
      </c>
    </row>
    <row r="42" customFormat="false" ht="15" hidden="false" customHeight="true" outlineLevel="0" collapsed="false">
      <c r="A42" s="75" t="str">
        <f aca="false">IF(40&lt;=Check!$C$4,INDEX(BAHARY!$A$2:$A$901,40),"")</f>
        <v/>
      </c>
      <c r="B42" s="76" t="str">
        <f aca="false">IF($A42="","",INDEX(BAHARY!$B$2:$B$901,40))</f>
        <v/>
      </c>
      <c r="C42" s="76" t="str">
        <f aca="false">IF($A42="","",INDEX(BAHARY!$C$2:$C$901,40))</f>
        <v/>
      </c>
      <c r="D42" s="77" t="str">
        <f aca="false">IF($A42="","",INDEX(BAHARY!$H$2:$H$901,40))</f>
        <v/>
      </c>
      <c r="E42" s="77" t="str">
        <f aca="false">IF($A42="","",INDEX(BAHARY!$E$2:$E$901,40))</f>
        <v/>
      </c>
      <c r="F42" s="77" t="str">
        <f aca="false">IF($A42="","",D42+E42)</f>
        <v/>
      </c>
      <c r="G42" s="77" t="str">
        <f aca="false">IF($A42="","",D42*(1-'كشف المطالبة'!$D$5))</f>
        <v/>
      </c>
      <c r="H42" s="77" t="str">
        <f aca="false">IF($A42="","",E42*(1-'كشف المطالبة'!$D$6))</f>
        <v/>
      </c>
      <c r="I42" s="77" t="str">
        <f aca="false">IF($A42="","",G42+H42)</f>
        <v/>
      </c>
      <c r="J42" s="78" t="str">
        <f aca="false">IF($A42="","",0)</f>
        <v/>
      </c>
      <c r="K42" s="77" t="str">
        <f aca="false">IF($A42="","",F42*J42+INDEX(BAHARY!$N$2:$N$901,40))</f>
        <v/>
      </c>
      <c r="L42" s="79" t="str">
        <f aca="false">IF($A42="","",I42-K42)</f>
        <v/>
      </c>
    </row>
    <row r="44" customFormat="false" ht="15" hidden="false" customHeight="true" outlineLevel="0" collapsed="false"/>
    <row r="45" s="86" customFormat="true" ht="15.75" hidden="false" customHeight="true" outlineLevel="0" collapsed="false">
      <c r="A45" s="81" t="s">
        <v>114</v>
      </c>
      <c r="B45" s="81"/>
      <c r="C45" s="81"/>
      <c r="D45" s="82" t="n">
        <f aca="false">SUM(D3:D42)</f>
        <v>0</v>
      </c>
      <c r="E45" s="82" t="n">
        <f aca="false">SUM(E3:E42)</f>
        <v>0</v>
      </c>
      <c r="F45" s="82" t="n">
        <f aca="false">SUM(F3:F42)</f>
        <v>0</v>
      </c>
      <c r="G45" s="82" t="n">
        <f aca="false">SUM(G3:G42)</f>
        <v>0</v>
      </c>
      <c r="H45" s="82" t="n">
        <f aca="false">SUM(H3:H42)</f>
        <v>0</v>
      </c>
      <c r="I45" s="82" t="n">
        <f aca="false">SUM(I3:I42)</f>
        <v>0</v>
      </c>
      <c r="J45" s="83"/>
      <c r="K45" s="82" t="n">
        <f aca="false">SUM(K3:K42)</f>
        <v>0</v>
      </c>
      <c r="L45" s="84" t="n">
        <f aca="false">SUM(L3:L42)</f>
        <v>0</v>
      </c>
      <c r="M45" s="85" t="n">
        <v>1</v>
      </c>
    </row>
  </sheetData>
  <mergeCells count="4">
    <mergeCell ref="A1:B1"/>
    <mergeCell ref="E1:G1"/>
    <mergeCell ref="K1:L1"/>
    <mergeCell ref="A45:C45"/>
  </mergeCells>
  <conditionalFormatting sqref="A3:A42 D3:L42">
    <cfRule type="expression" priority="2" aboveAverage="0" equalAverage="0" bottom="0" percent="0" rank="0" text="" dxfId="6">
      <formula>ISODD(ROW())</formula>
    </cfRule>
  </conditionalFormatting>
  <printOptions headings="false" gridLines="false" gridLinesSet="true" horizontalCentered="false" verticalCentered="false"/>
  <pageMargins left="0.279861111111111" right="0.279861111111111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13" man="true" max="65535" min="0"/>
  </col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M45"/>
  <sheetViews>
    <sheetView showFormulas="false" showGridLines="true" showRowColHeaders="true" showZeros="true" rightToLeft="false" tabSelected="false" showOutlineSymbols="true" defaultGridColor="true" view="normal" topLeftCell="A29" colorId="64" zoomScale="100" zoomScaleNormal="100" zoomScalePageLayoutView="100" workbookViewId="0">
      <selection pane="topLeft" activeCell="D39" activeCellId="0" sqref="D39"/>
    </sheetView>
  </sheetViews>
  <sheetFormatPr defaultColWidth="14.453125" defaultRowHeight="14.25" zeroHeight="false" outlineLevelRow="0" outlineLevelCol="0"/>
  <cols>
    <col collapsed="false" customWidth="true" hidden="false" outlineLevel="0" max="1" min="1" style="0" width="3.27"/>
    <col collapsed="false" customWidth="true" hidden="false" outlineLevel="0" max="2" min="2" style="0" width="43.18"/>
    <col collapsed="false" customWidth="true" hidden="false" outlineLevel="0" max="3" min="3" style="0" width="7"/>
    <col collapsed="false" customWidth="true" hidden="false" outlineLevel="0" max="4" min="4" style="0" width="12.45"/>
    <col collapsed="false" customWidth="true" hidden="false" outlineLevel="0" max="5" min="5" style="0" width="12"/>
    <col collapsed="false" customWidth="true" hidden="false" outlineLevel="0" max="6" min="6" style="0" width="13.45"/>
    <col collapsed="false" customWidth="true" hidden="false" outlineLevel="0" max="7" min="7" style="0" width="17"/>
    <col collapsed="false" customWidth="true" hidden="false" outlineLevel="0" max="8" min="8" style="0" width="13"/>
    <col collapsed="false" customWidth="true" hidden="false" outlineLevel="0" max="9" min="9" style="0" width="13.73"/>
    <col collapsed="false" customWidth="true" hidden="false" outlineLevel="0" max="10" min="10" style="0" width="8.27"/>
    <col collapsed="false" customWidth="true" hidden="false" outlineLevel="0" max="11" min="11" style="0" width="9"/>
    <col collapsed="false" customWidth="true" hidden="false" outlineLevel="0" max="12" min="12" style="0" width="13.73"/>
    <col collapsed="false" customWidth="true" hidden="false" outlineLevel="0" max="13" min="13" style="0" width="2.18"/>
    <col collapsed="false" customWidth="true" hidden="false" outlineLevel="0" max="26" min="14" style="0" width="8.73"/>
  </cols>
  <sheetData>
    <row r="1" customFormat="false" ht="18.75" hidden="false" customHeight="true" outlineLevel="0" collapsed="false">
      <c r="A1" s="68" t="s">
        <v>105</v>
      </c>
      <c r="B1" s="68"/>
      <c r="C1" s="69"/>
      <c r="D1" s="69"/>
      <c r="E1" s="54" t="s">
        <v>112</v>
      </c>
      <c r="F1" s="54"/>
      <c r="G1" s="54"/>
      <c r="H1" s="87" t="n">
        <f aca="false">'كشف المطالبة'!E2</f>
        <v>0</v>
      </c>
      <c r="I1" s="87" t="str">
        <f aca="false">'كشف المطالبة'!E3</f>
        <v>الجزء الاول</v>
      </c>
      <c r="J1" s="87"/>
      <c r="K1" s="70" t="str">
        <f aca="false">'كشف المطالبة'!E4</f>
        <v>عاملين</v>
      </c>
      <c r="L1" s="70"/>
    </row>
    <row r="2" customFormat="false" ht="72" hidden="false" customHeight="true" outlineLevel="0" collapsed="false">
      <c r="A2" s="71" t="s">
        <v>106</v>
      </c>
      <c r="B2" s="72" t="s">
        <v>35</v>
      </c>
      <c r="C2" s="72" t="s">
        <v>36</v>
      </c>
      <c r="D2" s="72" t="s">
        <v>107</v>
      </c>
      <c r="E2" s="72" t="s">
        <v>38</v>
      </c>
      <c r="F2" s="72" t="s">
        <v>108</v>
      </c>
      <c r="G2" s="72" t="str">
        <f aca="false">"محلى بعد خصم "&amp;ROUND('كشف المطالبة'!$D$5*100,2)&amp;"%"</f>
        <v>محلى بعد خصم 14%</v>
      </c>
      <c r="H2" s="72" t="str">
        <f aca="false">"مستورد بعد خصم "&amp;ROUND('كشف المطالبة'!$D$6*100,2)&amp;"%"</f>
        <v>مستورد بعد خصم 7%</v>
      </c>
      <c r="I2" s="72" t="s">
        <v>109</v>
      </c>
      <c r="J2" s="73" t="s">
        <v>113</v>
      </c>
      <c r="K2" s="72" t="s">
        <v>110</v>
      </c>
      <c r="L2" s="74" t="s">
        <v>111</v>
      </c>
    </row>
    <row r="3" customFormat="false" ht="15" hidden="false" customHeight="true" outlineLevel="0" collapsed="false">
      <c r="A3" s="75" t="str">
        <f aca="false">IF(41&lt;=Check!$C$4,INDEX(BAHARY!$A$2:$A$901,41),"")</f>
        <v/>
      </c>
      <c r="B3" s="76" t="str">
        <f aca="false">IF($A3="","",INDEX(BAHARY!$B$2:$B$901,41))</f>
        <v/>
      </c>
      <c r="C3" s="76" t="str">
        <f aca="false">IF($A3="","",INDEX(BAHARY!$C$2:$C$901,41))</f>
        <v/>
      </c>
      <c r="D3" s="77" t="str">
        <f aca="false">IF($A3="","",INDEX(BAHARY!$H$2:$H$901,41))</f>
        <v/>
      </c>
      <c r="E3" s="77" t="str">
        <f aca="false">IF($A3="","",INDEX(BAHARY!$E$2:$E$901,41))</f>
        <v/>
      </c>
      <c r="F3" s="77" t="str">
        <f aca="false">IF($A3="","",D3+E3)</f>
        <v/>
      </c>
      <c r="G3" s="77" t="str">
        <f aca="false">IF($A3="","",D3*(1-'كشف المطالبة'!$D$5))</f>
        <v/>
      </c>
      <c r="H3" s="77" t="str">
        <f aca="false">IF($A3="","",E3*(1-'كشف المطالبة'!$D$6))</f>
        <v/>
      </c>
      <c r="I3" s="77" t="str">
        <f aca="false">IF($A3="","",G3+H3)</f>
        <v/>
      </c>
      <c r="J3" s="78" t="str">
        <f aca="false">IF($A3="","",0)</f>
        <v/>
      </c>
      <c r="K3" s="77" t="str">
        <f aca="false">IF($A3="","",F3*J3+INDEX(BAHARY!$N$2:$N$901,41))</f>
        <v/>
      </c>
      <c r="L3" s="79" t="str">
        <f aca="false">IF($A3="","",I3-K3)</f>
        <v/>
      </c>
    </row>
    <row r="4" customFormat="false" ht="15" hidden="false" customHeight="true" outlineLevel="0" collapsed="false">
      <c r="A4" s="75" t="str">
        <f aca="false">IF(42&lt;=Check!$C$4,INDEX(BAHARY!$A$2:$A$901,42),"")</f>
        <v/>
      </c>
      <c r="B4" s="76" t="str">
        <f aca="false">IF($A4="","",INDEX(BAHARY!$B$2:$B$901,42))</f>
        <v/>
      </c>
      <c r="C4" s="76" t="str">
        <f aca="false">IF($A4="","",INDEX(BAHARY!$C$2:$C$901,42))</f>
        <v/>
      </c>
      <c r="D4" s="77" t="str">
        <f aca="false">IF($A4="","",INDEX(BAHARY!$H$2:$H$901,42))</f>
        <v/>
      </c>
      <c r="E4" s="77" t="str">
        <f aca="false">IF($A4="","",INDEX(BAHARY!$E$2:$E$901,42))</f>
        <v/>
      </c>
      <c r="F4" s="77" t="str">
        <f aca="false">IF($A4="","",D4+E4)</f>
        <v/>
      </c>
      <c r="G4" s="77" t="str">
        <f aca="false">IF($A4="","",D4*(1-'كشف المطالبة'!$D$5))</f>
        <v/>
      </c>
      <c r="H4" s="77" t="str">
        <f aca="false">IF($A4="","",E4*(1-'كشف المطالبة'!$D$6))</f>
        <v/>
      </c>
      <c r="I4" s="77" t="str">
        <f aca="false">IF($A4="","",G4+H4)</f>
        <v/>
      </c>
      <c r="J4" s="78" t="str">
        <f aca="false">IF($A4="","",0)</f>
        <v/>
      </c>
      <c r="K4" s="77" t="str">
        <f aca="false">IF($A4="","",F4*J4+INDEX(BAHARY!$N$2:$N$901,42))</f>
        <v/>
      </c>
      <c r="L4" s="79" t="str">
        <f aca="false">IF($A4="","",I4-K4)</f>
        <v/>
      </c>
    </row>
    <row r="5" customFormat="false" ht="15" hidden="false" customHeight="true" outlineLevel="0" collapsed="false">
      <c r="A5" s="75" t="str">
        <f aca="false">IF(43&lt;=Check!$C$4,INDEX(BAHARY!$A$2:$A$901,43),"")</f>
        <v/>
      </c>
      <c r="B5" s="76" t="str">
        <f aca="false">IF($A5="","",INDEX(BAHARY!$B$2:$B$901,43))</f>
        <v/>
      </c>
      <c r="C5" s="76" t="str">
        <f aca="false">IF($A5="","",INDEX(BAHARY!$C$2:$C$901,43))</f>
        <v/>
      </c>
      <c r="D5" s="77" t="str">
        <f aca="false">IF($A5="","",INDEX(BAHARY!$H$2:$H$901,43))</f>
        <v/>
      </c>
      <c r="E5" s="77" t="str">
        <f aca="false">IF($A5="","",INDEX(BAHARY!$E$2:$E$901,43))</f>
        <v/>
      </c>
      <c r="F5" s="77" t="str">
        <f aca="false">IF($A5="","",D5+E5)</f>
        <v/>
      </c>
      <c r="G5" s="77" t="str">
        <f aca="false">IF($A5="","",D5*(1-'كشف المطالبة'!$D$5))</f>
        <v/>
      </c>
      <c r="H5" s="77" t="str">
        <f aca="false">IF($A5="","",E5*(1-'كشف المطالبة'!$D$6))</f>
        <v/>
      </c>
      <c r="I5" s="77" t="str">
        <f aca="false">IF($A5="","",G5+H5)</f>
        <v/>
      </c>
      <c r="J5" s="78" t="str">
        <f aca="false">IF($A5="","",0)</f>
        <v/>
      </c>
      <c r="K5" s="77" t="str">
        <f aca="false">IF($A5="","",F5*J5+INDEX(BAHARY!$N$2:$N$901,43))</f>
        <v/>
      </c>
      <c r="L5" s="79" t="str">
        <f aca="false">IF($A5="","",I5-K5)</f>
        <v/>
      </c>
    </row>
    <row r="6" customFormat="false" ht="15" hidden="false" customHeight="true" outlineLevel="0" collapsed="false">
      <c r="A6" s="75" t="str">
        <f aca="false">IF(44&lt;=Check!$C$4,INDEX(BAHARY!$A$2:$A$901,44),"")</f>
        <v/>
      </c>
      <c r="B6" s="76" t="str">
        <f aca="false">IF($A6="","",INDEX(BAHARY!$B$2:$B$901,44))</f>
        <v/>
      </c>
      <c r="C6" s="76" t="str">
        <f aca="false">IF($A6="","",INDEX(BAHARY!$C$2:$C$901,44))</f>
        <v/>
      </c>
      <c r="D6" s="77" t="str">
        <f aca="false">IF($A6="","",INDEX(BAHARY!$H$2:$H$901,44))</f>
        <v/>
      </c>
      <c r="E6" s="77" t="str">
        <f aca="false">IF($A6="","",INDEX(BAHARY!$E$2:$E$901,44))</f>
        <v/>
      </c>
      <c r="F6" s="77" t="str">
        <f aca="false">IF($A6="","",D6+E6)</f>
        <v/>
      </c>
      <c r="G6" s="77" t="str">
        <f aca="false">IF($A6="","",D6*(1-'كشف المطالبة'!$D$5))</f>
        <v/>
      </c>
      <c r="H6" s="77" t="str">
        <f aca="false">IF($A6="","",E6*(1-'كشف المطالبة'!$D$6))</f>
        <v/>
      </c>
      <c r="I6" s="77" t="str">
        <f aca="false">IF($A6="","",G6+H6)</f>
        <v/>
      </c>
      <c r="J6" s="78" t="str">
        <f aca="false">IF($A6="","",0)</f>
        <v/>
      </c>
      <c r="K6" s="77" t="str">
        <f aca="false">IF($A6="","",F6*J6+INDEX(BAHARY!$N$2:$N$901,44))</f>
        <v/>
      </c>
      <c r="L6" s="79" t="str">
        <f aca="false">IF($A6="","",I6-K6)</f>
        <v/>
      </c>
    </row>
    <row r="7" customFormat="false" ht="28.5" hidden="false" customHeight="true" outlineLevel="0" collapsed="false">
      <c r="A7" s="75" t="str">
        <f aca="false">IF(45&lt;=Check!$C$4,INDEX(BAHARY!$A$2:$A$901,45),"")</f>
        <v/>
      </c>
      <c r="B7" s="76" t="str">
        <f aca="false">IF($A7="","",INDEX(BAHARY!$B$2:$B$901,45))</f>
        <v/>
      </c>
      <c r="C7" s="76" t="str">
        <f aca="false">IF($A7="","",INDEX(BAHARY!$C$2:$C$901,45))</f>
        <v/>
      </c>
      <c r="D7" s="77" t="str">
        <f aca="false">IF($A7="","",INDEX(BAHARY!$H$2:$H$901,45))</f>
        <v/>
      </c>
      <c r="E7" s="77" t="str">
        <f aca="false">IF($A7="","",INDEX(BAHARY!$E$2:$E$901,45))</f>
        <v/>
      </c>
      <c r="F7" s="77" t="str">
        <f aca="false">IF($A7="","",D7+E7)</f>
        <v/>
      </c>
      <c r="G7" s="77" t="str">
        <f aca="false">IF($A7="","",D7*(1-'كشف المطالبة'!$D$5))</f>
        <v/>
      </c>
      <c r="H7" s="77" t="str">
        <f aca="false">IF($A7="","",E7*(1-'كشف المطالبة'!$D$6))</f>
        <v/>
      </c>
      <c r="I7" s="77" t="str">
        <f aca="false">IF($A7="","",G7+H7)</f>
        <v/>
      </c>
      <c r="J7" s="78" t="str">
        <f aca="false">IF($A7="","",0)</f>
        <v/>
      </c>
      <c r="K7" s="77" t="str">
        <f aca="false">IF($A7="","",F7*J7+INDEX(BAHARY!$N$2:$N$901,45))</f>
        <v/>
      </c>
      <c r="L7" s="79" t="str">
        <f aca="false">IF($A7="","",I7-K7)</f>
        <v/>
      </c>
    </row>
    <row r="8" customFormat="false" ht="28.5" hidden="false" customHeight="true" outlineLevel="0" collapsed="false">
      <c r="A8" s="75" t="str">
        <f aca="false">IF(46&lt;=Check!$C$4,INDEX(BAHARY!$A$2:$A$901,46),"")</f>
        <v/>
      </c>
      <c r="B8" s="76" t="str">
        <f aca="false">IF($A8="","",INDEX(BAHARY!$B$2:$B$901,46))</f>
        <v/>
      </c>
      <c r="C8" s="76" t="str">
        <f aca="false">IF($A8="","",INDEX(BAHARY!$C$2:$C$901,46))</f>
        <v/>
      </c>
      <c r="D8" s="77" t="str">
        <f aca="false">IF($A8="","",INDEX(BAHARY!$H$2:$H$901,46))</f>
        <v/>
      </c>
      <c r="E8" s="77" t="str">
        <f aca="false">IF($A8="","",INDEX(BAHARY!$E$2:$E$901,46))</f>
        <v/>
      </c>
      <c r="F8" s="77" t="str">
        <f aca="false">IF($A8="","",D8+E8)</f>
        <v/>
      </c>
      <c r="G8" s="77" t="str">
        <f aca="false">IF($A8="","",D8*(1-'كشف المطالبة'!$D$5))</f>
        <v/>
      </c>
      <c r="H8" s="77" t="str">
        <f aca="false">IF($A8="","",E8*(1-'كشف المطالبة'!$D$6))</f>
        <v/>
      </c>
      <c r="I8" s="77" t="str">
        <f aca="false">IF($A8="","",G8+H8)</f>
        <v/>
      </c>
      <c r="J8" s="78" t="str">
        <f aca="false">IF($A8="","",0)</f>
        <v/>
      </c>
      <c r="K8" s="77" t="str">
        <f aca="false">IF($A8="","",F8*J8+INDEX(BAHARY!$N$2:$N$901,46))</f>
        <v/>
      </c>
      <c r="L8" s="79" t="str">
        <f aca="false">IF($A8="","",I8-K8)</f>
        <v/>
      </c>
    </row>
    <row r="9" customFormat="false" ht="15" hidden="false" customHeight="true" outlineLevel="0" collapsed="false">
      <c r="A9" s="75" t="str">
        <f aca="false">IF(47&lt;=Check!$C$4,INDEX(BAHARY!$A$2:$A$901,47),"")</f>
        <v/>
      </c>
      <c r="B9" s="80" t="str">
        <f aca="false">IF($A9="","",INDEX(BAHARY!$B$2:$B$901,47))</f>
        <v/>
      </c>
      <c r="C9" s="76" t="str">
        <f aca="false">IF($A9="","",INDEX(BAHARY!$C$2:$C$901,47))</f>
        <v/>
      </c>
      <c r="D9" s="77" t="str">
        <f aca="false">IF($A9="","",INDEX(BAHARY!$H$2:$H$901,47))</f>
        <v/>
      </c>
      <c r="E9" s="77" t="str">
        <f aca="false">IF($A9="","",INDEX(BAHARY!$E$2:$E$901,47))</f>
        <v/>
      </c>
      <c r="F9" s="77" t="str">
        <f aca="false">IF($A9="","",D9+E9)</f>
        <v/>
      </c>
      <c r="G9" s="77" t="str">
        <f aca="false">IF($A9="","",D9*(1-'كشف المطالبة'!$D$5))</f>
        <v/>
      </c>
      <c r="H9" s="77" t="str">
        <f aca="false">IF($A9="","",E9*(1-'كشف المطالبة'!$D$6))</f>
        <v/>
      </c>
      <c r="I9" s="77" t="str">
        <f aca="false">IF($A9="","",G9+H9)</f>
        <v/>
      </c>
      <c r="J9" s="78" t="str">
        <f aca="false">IF($A9="","",0)</f>
        <v/>
      </c>
      <c r="K9" s="77" t="str">
        <f aca="false">IF($A9="","",F9*J9+INDEX(BAHARY!$N$2:$N$901,47))</f>
        <v/>
      </c>
      <c r="L9" s="79" t="str">
        <f aca="false">IF($A9="","",I9-K9)</f>
        <v/>
      </c>
    </row>
    <row r="10" customFormat="false" ht="15" hidden="false" customHeight="true" outlineLevel="0" collapsed="false">
      <c r="A10" s="75" t="str">
        <f aca="false">IF(48&lt;=Check!$C$4,INDEX(BAHARY!$A$2:$A$901,48),"")</f>
        <v/>
      </c>
      <c r="B10" s="76" t="str">
        <f aca="false">IF($A10="","",INDEX(BAHARY!$B$2:$B$901,48))</f>
        <v/>
      </c>
      <c r="C10" s="76" t="str">
        <f aca="false">IF($A10="","",INDEX(BAHARY!$C$2:$C$901,48))</f>
        <v/>
      </c>
      <c r="D10" s="77" t="str">
        <f aca="false">IF($A10="","",INDEX(BAHARY!$H$2:$H$901,48))</f>
        <v/>
      </c>
      <c r="E10" s="77" t="str">
        <f aca="false">IF($A10="","",INDEX(BAHARY!$E$2:$E$901,48))</f>
        <v/>
      </c>
      <c r="F10" s="77" t="str">
        <f aca="false">IF($A10="","",D10+E10)</f>
        <v/>
      </c>
      <c r="G10" s="77" t="str">
        <f aca="false">IF($A10="","",D10*(1-'كشف المطالبة'!$D$5))</f>
        <v/>
      </c>
      <c r="H10" s="77" t="str">
        <f aca="false">IF($A10="","",E10*(1-'كشف المطالبة'!$D$6))</f>
        <v/>
      </c>
      <c r="I10" s="77" t="str">
        <f aca="false">IF($A10="","",G10+H10)</f>
        <v/>
      </c>
      <c r="J10" s="78" t="str">
        <f aca="false">IF($A10="","",0)</f>
        <v/>
      </c>
      <c r="K10" s="77" t="str">
        <f aca="false">IF($A10="","",F10*J10+INDEX(BAHARY!$N$2:$N$901,48))</f>
        <v/>
      </c>
      <c r="L10" s="79" t="str">
        <f aca="false">IF($A10="","",I10-K10)</f>
        <v/>
      </c>
    </row>
    <row r="11" customFormat="false" ht="15" hidden="false" customHeight="true" outlineLevel="0" collapsed="false">
      <c r="A11" s="75" t="str">
        <f aca="false">IF(49&lt;=Check!$C$4,INDEX(BAHARY!$A$2:$A$901,49),"")</f>
        <v/>
      </c>
      <c r="B11" s="76" t="str">
        <f aca="false">IF($A11="","",INDEX(BAHARY!$B$2:$B$901,49))</f>
        <v/>
      </c>
      <c r="C11" s="76" t="str">
        <f aca="false">IF($A11="","",INDEX(BAHARY!$C$2:$C$901,49))</f>
        <v/>
      </c>
      <c r="D11" s="77" t="str">
        <f aca="false">IF($A11="","",INDEX(BAHARY!$H$2:$H$901,49))</f>
        <v/>
      </c>
      <c r="E11" s="77" t="str">
        <f aca="false">IF($A11="","",INDEX(BAHARY!$E$2:$E$901,49))</f>
        <v/>
      </c>
      <c r="F11" s="77" t="str">
        <f aca="false">IF($A11="","",D11+E11)</f>
        <v/>
      </c>
      <c r="G11" s="77" t="str">
        <f aca="false">IF($A11="","",D11*(1-'كشف المطالبة'!$D$5))</f>
        <v/>
      </c>
      <c r="H11" s="77" t="str">
        <f aca="false">IF($A11="","",E11*(1-'كشف المطالبة'!$D$6))</f>
        <v/>
      </c>
      <c r="I11" s="77" t="str">
        <f aca="false">IF($A11="","",G11+H11)</f>
        <v/>
      </c>
      <c r="J11" s="78" t="str">
        <f aca="false">IF($A11="","",0)</f>
        <v/>
      </c>
      <c r="K11" s="77" t="str">
        <f aca="false">IF($A11="","",F11*J11+INDEX(BAHARY!$N$2:$N$901,49))</f>
        <v/>
      </c>
      <c r="L11" s="79" t="str">
        <f aca="false">IF($A11="","",I11-K11)</f>
        <v/>
      </c>
    </row>
    <row r="12" customFormat="false" ht="15" hidden="false" customHeight="true" outlineLevel="0" collapsed="false">
      <c r="A12" s="75" t="str">
        <f aca="false">IF(50&lt;=Check!$C$4,INDEX(BAHARY!$A$2:$A$901,50),"")</f>
        <v/>
      </c>
      <c r="B12" s="76" t="str">
        <f aca="false">IF($A12="","",INDEX(BAHARY!$B$2:$B$901,50))</f>
        <v/>
      </c>
      <c r="C12" s="76" t="str">
        <f aca="false">IF($A12="","",INDEX(BAHARY!$C$2:$C$901,50))</f>
        <v/>
      </c>
      <c r="D12" s="77" t="str">
        <f aca="false">IF($A12="","",INDEX(BAHARY!$H$2:$H$901,50))</f>
        <v/>
      </c>
      <c r="E12" s="77" t="str">
        <f aca="false">IF($A12="","",INDEX(BAHARY!$E$2:$E$901,50))</f>
        <v/>
      </c>
      <c r="F12" s="77" t="str">
        <f aca="false">IF($A12="","",D12+E12)</f>
        <v/>
      </c>
      <c r="G12" s="77" t="str">
        <f aca="false">IF($A12="","",D12*(1-'كشف المطالبة'!$D$5))</f>
        <v/>
      </c>
      <c r="H12" s="77" t="str">
        <f aca="false">IF($A12="","",E12*(1-'كشف المطالبة'!$D$6))</f>
        <v/>
      </c>
      <c r="I12" s="77" t="str">
        <f aca="false">IF($A12="","",G12+H12)</f>
        <v/>
      </c>
      <c r="J12" s="78" t="str">
        <f aca="false">IF($A12="","",0)</f>
        <v/>
      </c>
      <c r="K12" s="77" t="str">
        <f aca="false">IF($A12="","",F12*J12+INDEX(BAHARY!$N$2:$N$901,50))</f>
        <v/>
      </c>
      <c r="L12" s="79" t="str">
        <f aca="false">IF($A12="","",I12-K12)</f>
        <v/>
      </c>
    </row>
    <row r="13" customFormat="false" ht="15" hidden="false" customHeight="true" outlineLevel="0" collapsed="false">
      <c r="A13" s="75" t="str">
        <f aca="false">IF(51&lt;=Check!$C$4,INDEX(BAHARY!$A$2:$A$901,51),"")</f>
        <v/>
      </c>
      <c r="B13" s="76" t="str">
        <f aca="false">IF($A13="","",INDEX(BAHARY!$B$2:$B$901,51))</f>
        <v/>
      </c>
      <c r="C13" s="76" t="str">
        <f aca="false">IF($A13="","",INDEX(BAHARY!$C$2:$C$901,51))</f>
        <v/>
      </c>
      <c r="D13" s="77" t="str">
        <f aca="false">IF($A13="","",INDEX(BAHARY!$H$2:$H$901,51))</f>
        <v/>
      </c>
      <c r="E13" s="77" t="str">
        <f aca="false">IF($A13="","",INDEX(BAHARY!$E$2:$E$901,51))</f>
        <v/>
      </c>
      <c r="F13" s="77" t="str">
        <f aca="false">IF($A13="","",D13+E13)</f>
        <v/>
      </c>
      <c r="G13" s="77" t="str">
        <f aca="false">IF($A13="","",D13*(1-'كشف المطالبة'!$D$5))</f>
        <v/>
      </c>
      <c r="H13" s="77" t="str">
        <f aca="false">IF($A13="","",E13*(1-'كشف المطالبة'!$D$6))</f>
        <v/>
      </c>
      <c r="I13" s="77" t="str">
        <f aca="false">IF($A13="","",G13+H13)</f>
        <v/>
      </c>
      <c r="J13" s="78" t="str">
        <f aca="false">IF($A13="","",0)</f>
        <v/>
      </c>
      <c r="K13" s="77" t="str">
        <f aca="false">IF($A13="","",F13*J13+INDEX(BAHARY!$N$2:$N$901,51))</f>
        <v/>
      </c>
      <c r="L13" s="79" t="str">
        <f aca="false">IF($A13="","",I13-K13)</f>
        <v/>
      </c>
    </row>
    <row r="14" customFormat="false" ht="15" hidden="false" customHeight="true" outlineLevel="0" collapsed="false">
      <c r="A14" s="75" t="str">
        <f aca="false">IF(52&lt;=Check!$C$4,INDEX(BAHARY!$A$2:$A$901,52),"")</f>
        <v/>
      </c>
      <c r="B14" s="76" t="str">
        <f aca="false">IF($A14="","",INDEX(BAHARY!$B$2:$B$901,52))</f>
        <v/>
      </c>
      <c r="C14" s="76" t="str">
        <f aca="false">IF($A14="","",INDEX(BAHARY!$C$2:$C$901,52))</f>
        <v/>
      </c>
      <c r="D14" s="77" t="str">
        <f aca="false">IF($A14="","",INDEX(BAHARY!$H$2:$H$901,52))</f>
        <v/>
      </c>
      <c r="E14" s="77" t="str">
        <f aca="false">IF($A14="","",INDEX(BAHARY!$E$2:$E$901,52))</f>
        <v/>
      </c>
      <c r="F14" s="77" t="str">
        <f aca="false">IF($A14="","",D14+E14)</f>
        <v/>
      </c>
      <c r="G14" s="77" t="str">
        <f aca="false">IF($A14="","",D14*(1-'كشف المطالبة'!$D$5))</f>
        <v/>
      </c>
      <c r="H14" s="77" t="str">
        <f aca="false">IF($A14="","",E14*(1-'كشف المطالبة'!$D$6))</f>
        <v/>
      </c>
      <c r="I14" s="77" t="str">
        <f aca="false">IF($A14="","",G14+H14)</f>
        <v/>
      </c>
      <c r="J14" s="78" t="str">
        <f aca="false">IF($A14="","",0)</f>
        <v/>
      </c>
      <c r="K14" s="77" t="str">
        <f aca="false">IF($A14="","",F14*J14+INDEX(BAHARY!$N$2:$N$901,52))</f>
        <v/>
      </c>
      <c r="L14" s="79" t="str">
        <f aca="false">IF($A14="","",I14-K14)</f>
        <v/>
      </c>
    </row>
    <row r="15" customFormat="false" ht="15" hidden="false" customHeight="true" outlineLevel="0" collapsed="false">
      <c r="A15" s="75" t="str">
        <f aca="false">IF(53&lt;=Check!$C$4,INDEX(BAHARY!$A$2:$A$901,53),"")</f>
        <v/>
      </c>
      <c r="B15" s="76" t="str">
        <f aca="false">IF($A15="","",INDEX(BAHARY!$B$2:$B$901,53))</f>
        <v/>
      </c>
      <c r="C15" s="76" t="str">
        <f aca="false">IF($A15="","",INDEX(BAHARY!$C$2:$C$901,53))</f>
        <v/>
      </c>
      <c r="D15" s="77" t="str">
        <f aca="false">IF($A15="","",INDEX(BAHARY!$H$2:$H$901,53))</f>
        <v/>
      </c>
      <c r="E15" s="77" t="str">
        <f aca="false">IF($A15="","",INDEX(BAHARY!$E$2:$E$901,53))</f>
        <v/>
      </c>
      <c r="F15" s="77" t="str">
        <f aca="false">IF($A15="","",D15+E15)</f>
        <v/>
      </c>
      <c r="G15" s="77" t="str">
        <f aca="false">IF($A15="","",D15*(1-'كشف المطالبة'!$D$5))</f>
        <v/>
      </c>
      <c r="H15" s="77" t="str">
        <f aca="false">IF($A15="","",E15*(1-'كشف المطالبة'!$D$6))</f>
        <v/>
      </c>
      <c r="I15" s="77" t="str">
        <f aca="false">IF($A15="","",G15+H15)</f>
        <v/>
      </c>
      <c r="J15" s="78" t="str">
        <f aca="false">IF($A15="","",0)</f>
        <v/>
      </c>
      <c r="K15" s="77" t="str">
        <f aca="false">IF($A15="","",F15*J15+INDEX(BAHARY!$N$2:$N$901,53))</f>
        <v/>
      </c>
      <c r="L15" s="79" t="str">
        <f aca="false">IF($A15="","",I15-K15)</f>
        <v/>
      </c>
    </row>
    <row r="16" customFormat="false" ht="15" hidden="false" customHeight="true" outlineLevel="0" collapsed="false">
      <c r="A16" s="75" t="str">
        <f aca="false">IF(54&lt;=Check!$C$4,INDEX(BAHARY!$A$2:$A$901,54),"")</f>
        <v/>
      </c>
      <c r="B16" s="76" t="str">
        <f aca="false">IF($A16="","",INDEX(BAHARY!$B$2:$B$901,54))</f>
        <v/>
      </c>
      <c r="C16" s="76" t="str">
        <f aca="false">IF($A16="","",INDEX(BAHARY!$C$2:$C$901,54))</f>
        <v/>
      </c>
      <c r="D16" s="77" t="str">
        <f aca="false">IF($A16="","",INDEX(BAHARY!$H$2:$H$901,54))</f>
        <v/>
      </c>
      <c r="E16" s="77" t="str">
        <f aca="false">IF($A16="","",INDEX(BAHARY!$E$2:$E$901,54))</f>
        <v/>
      </c>
      <c r="F16" s="77" t="str">
        <f aca="false">IF($A16="","",D16+E16)</f>
        <v/>
      </c>
      <c r="G16" s="77" t="str">
        <f aca="false">IF($A16="","",D16*(1-'كشف المطالبة'!$D$5))</f>
        <v/>
      </c>
      <c r="H16" s="77" t="str">
        <f aca="false">IF($A16="","",E16*(1-'كشف المطالبة'!$D$6))</f>
        <v/>
      </c>
      <c r="I16" s="77" t="str">
        <f aca="false">IF($A16="","",G16+H16)</f>
        <v/>
      </c>
      <c r="J16" s="78" t="str">
        <f aca="false">IF($A16="","",0)</f>
        <v/>
      </c>
      <c r="K16" s="77" t="str">
        <f aca="false">IF($A16="","",F16*J16+INDEX(BAHARY!$N$2:$N$901,54))</f>
        <v/>
      </c>
      <c r="L16" s="79" t="str">
        <f aca="false">IF($A16="","",I16-K16)</f>
        <v/>
      </c>
    </row>
    <row r="17" customFormat="false" ht="15" hidden="false" customHeight="true" outlineLevel="0" collapsed="false">
      <c r="A17" s="75" t="str">
        <f aca="false">IF(55&lt;=Check!$C$4,INDEX(BAHARY!$A$2:$A$901,55),"")</f>
        <v/>
      </c>
      <c r="B17" s="76" t="str">
        <f aca="false">IF($A17="","",INDEX(BAHARY!$B$2:$B$901,55))</f>
        <v/>
      </c>
      <c r="C17" s="76" t="str">
        <f aca="false">IF($A17="","",INDEX(BAHARY!$C$2:$C$901,55))</f>
        <v/>
      </c>
      <c r="D17" s="77" t="str">
        <f aca="false">IF($A17="","",INDEX(BAHARY!$H$2:$H$901,55))</f>
        <v/>
      </c>
      <c r="E17" s="77" t="str">
        <f aca="false">IF($A17="","",INDEX(BAHARY!$E$2:$E$901,55))</f>
        <v/>
      </c>
      <c r="F17" s="77" t="str">
        <f aca="false">IF($A17="","",D17+E17)</f>
        <v/>
      </c>
      <c r="G17" s="77" t="str">
        <f aca="false">IF($A17="","",D17*(1-'كشف المطالبة'!$D$5))</f>
        <v/>
      </c>
      <c r="H17" s="77" t="str">
        <f aca="false">IF($A17="","",E17*(1-'كشف المطالبة'!$D$6))</f>
        <v/>
      </c>
      <c r="I17" s="77" t="str">
        <f aca="false">IF($A17="","",G17+H17)</f>
        <v/>
      </c>
      <c r="J17" s="78" t="str">
        <f aca="false">IF($A17="","",0)</f>
        <v/>
      </c>
      <c r="K17" s="77" t="str">
        <f aca="false">IF($A17="","",F17*J17+INDEX(BAHARY!$N$2:$N$901,55))</f>
        <v/>
      </c>
      <c r="L17" s="79" t="str">
        <f aca="false">IF($A17="","",I17-K17)</f>
        <v/>
      </c>
    </row>
    <row r="18" customFormat="false" ht="15" hidden="false" customHeight="true" outlineLevel="0" collapsed="false">
      <c r="A18" s="75" t="str">
        <f aca="false">IF(56&lt;=Check!$C$4,INDEX(BAHARY!$A$2:$A$901,56),"")</f>
        <v/>
      </c>
      <c r="B18" s="80" t="str">
        <f aca="false">IF($A18="","",INDEX(BAHARY!$B$2:$B$901,56))</f>
        <v/>
      </c>
      <c r="C18" s="76" t="str">
        <f aca="false">IF($A18="","",INDEX(BAHARY!$C$2:$C$901,56))</f>
        <v/>
      </c>
      <c r="D18" s="77" t="str">
        <f aca="false">IF($A18="","",INDEX(BAHARY!$H$2:$H$901,56))</f>
        <v/>
      </c>
      <c r="E18" s="77" t="str">
        <f aca="false">IF($A18="","",INDEX(BAHARY!$E$2:$E$901,56))</f>
        <v/>
      </c>
      <c r="F18" s="77" t="str">
        <f aca="false">IF($A18="","",D18+E18)</f>
        <v/>
      </c>
      <c r="G18" s="77" t="str">
        <f aca="false">IF($A18="","",D18*(1-'كشف المطالبة'!$D$5))</f>
        <v/>
      </c>
      <c r="H18" s="77" t="str">
        <f aca="false">IF($A18="","",E18*(1-'كشف المطالبة'!$D$6))</f>
        <v/>
      </c>
      <c r="I18" s="77" t="str">
        <f aca="false">IF($A18="","",G18+H18)</f>
        <v/>
      </c>
      <c r="J18" s="78" t="str">
        <f aca="false">IF($A18="","",0)</f>
        <v/>
      </c>
      <c r="K18" s="77" t="str">
        <f aca="false">IF($A18="","",F18*J18+INDEX(BAHARY!$N$2:$N$901,56))</f>
        <v/>
      </c>
      <c r="L18" s="79" t="str">
        <f aca="false">IF($A18="","",I18-K18)</f>
        <v/>
      </c>
    </row>
    <row r="19" customFormat="false" ht="15" hidden="false" customHeight="true" outlineLevel="0" collapsed="false">
      <c r="A19" s="75" t="str">
        <f aca="false">IF(57&lt;=Check!$C$4,INDEX(BAHARY!$A$2:$A$901,57),"")</f>
        <v/>
      </c>
      <c r="B19" s="76" t="str">
        <f aca="false">IF($A19="","",INDEX(BAHARY!$B$2:$B$901,57))</f>
        <v/>
      </c>
      <c r="C19" s="76" t="str">
        <f aca="false">IF($A19="","",INDEX(BAHARY!$C$2:$C$901,57))</f>
        <v/>
      </c>
      <c r="D19" s="77" t="str">
        <f aca="false">IF($A19="","",INDEX(BAHARY!$H$2:$H$901,57))</f>
        <v/>
      </c>
      <c r="E19" s="77" t="str">
        <f aca="false">IF($A19="","",INDEX(BAHARY!$E$2:$E$901,57))</f>
        <v/>
      </c>
      <c r="F19" s="77" t="str">
        <f aca="false">IF($A19="","",D19+E19)</f>
        <v/>
      </c>
      <c r="G19" s="77" t="str">
        <f aca="false">IF($A19="","",D19*(1-'كشف المطالبة'!$D$5))</f>
        <v/>
      </c>
      <c r="H19" s="77" t="str">
        <f aca="false">IF($A19="","",E19*(1-'كشف المطالبة'!$D$6))</f>
        <v/>
      </c>
      <c r="I19" s="77" t="str">
        <f aca="false">IF($A19="","",G19+H19)</f>
        <v/>
      </c>
      <c r="J19" s="78" t="str">
        <f aca="false">IF($A19="","",0)</f>
        <v/>
      </c>
      <c r="K19" s="77" t="str">
        <f aca="false">IF($A19="","",F19*J19+INDEX(BAHARY!$N$2:$N$901,57))</f>
        <v/>
      </c>
      <c r="L19" s="79" t="str">
        <f aca="false">IF($A19="","",I19-K19)</f>
        <v/>
      </c>
    </row>
    <row r="20" customFormat="false" ht="15" hidden="false" customHeight="true" outlineLevel="0" collapsed="false">
      <c r="A20" s="75" t="str">
        <f aca="false">IF(58&lt;=Check!$C$4,INDEX(BAHARY!$A$2:$A$901,58),"")</f>
        <v/>
      </c>
      <c r="B20" s="76" t="str">
        <f aca="false">IF($A20="","",INDEX(BAHARY!$B$2:$B$901,58))</f>
        <v/>
      </c>
      <c r="C20" s="76" t="str">
        <f aca="false">IF($A20="","",INDEX(BAHARY!$C$2:$C$901,58))</f>
        <v/>
      </c>
      <c r="D20" s="77" t="str">
        <f aca="false">IF($A20="","",INDEX(BAHARY!$H$2:$H$901,58))</f>
        <v/>
      </c>
      <c r="E20" s="77" t="str">
        <f aca="false">IF($A20="","",INDEX(BAHARY!$E$2:$E$901,58))</f>
        <v/>
      </c>
      <c r="F20" s="77" t="str">
        <f aca="false">IF($A20="","",D20+E20)</f>
        <v/>
      </c>
      <c r="G20" s="77" t="str">
        <f aca="false">IF($A20="","",D20*(1-'كشف المطالبة'!$D$5))</f>
        <v/>
      </c>
      <c r="H20" s="77" t="str">
        <f aca="false">IF($A20="","",E20*(1-'كشف المطالبة'!$D$6))</f>
        <v/>
      </c>
      <c r="I20" s="77" t="str">
        <f aca="false">IF($A20="","",G20+H20)</f>
        <v/>
      </c>
      <c r="J20" s="78" t="str">
        <f aca="false">IF($A20="","",0)</f>
        <v/>
      </c>
      <c r="K20" s="77" t="str">
        <f aca="false">IF($A20="","",F20*J20+INDEX(BAHARY!$N$2:$N$901,58))</f>
        <v/>
      </c>
      <c r="L20" s="79" t="str">
        <f aca="false">IF($A20="","",I20-K20)</f>
        <v/>
      </c>
    </row>
    <row r="21" customFormat="false" ht="15" hidden="false" customHeight="true" outlineLevel="0" collapsed="false">
      <c r="A21" s="75" t="str">
        <f aca="false">IF(59&lt;=Check!$C$4,INDEX(BAHARY!$A$2:$A$901,59),"")</f>
        <v/>
      </c>
      <c r="B21" s="76" t="str">
        <f aca="false">IF($A21="","",INDEX(BAHARY!$B$2:$B$901,59))</f>
        <v/>
      </c>
      <c r="C21" s="76" t="str">
        <f aca="false">IF($A21="","",INDEX(BAHARY!$C$2:$C$901,59))</f>
        <v/>
      </c>
      <c r="D21" s="77" t="str">
        <f aca="false">IF($A21="","",INDEX(BAHARY!$H$2:$H$901,59))</f>
        <v/>
      </c>
      <c r="E21" s="77" t="str">
        <f aca="false">IF($A21="","",INDEX(BAHARY!$E$2:$E$901,59))</f>
        <v/>
      </c>
      <c r="F21" s="77" t="str">
        <f aca="false">IF($A21="","",D21+E21)</f>
        <v/>
      </c>
      <c r="G21" s="77" t="str">
        <f aca="false">IF($A21="","",D21*(1-'كشف المطالبة'!$D$5))</f>
        <v/>
      </c>
      <c r="H21" s="77" t="str">
        <f aca="false">IF($A21="","",E21*(1-'كشف المطالبة'!$D$6))</f>
        <v/>
      </c>
      <c r="I21" s="77" t="str">
        <f aca="false">IF($A21="","",G21+H21)</f>
        <v/>
      </c>
      <c r="J21" s="78" t="str">
        <f aca="false">IF($A21="","",0)</f>
        <v/>
      </c>
      <c r="K21" s="77" t="str">
        <f aca="false">IF($A21="","",F21*J21+INDEX(BAHARY!$N$2:$N$901,59))</f>
        <v/>
      </c>
      <c r="L21" s="79" t="str">
        <f aca="false">IF($A21="","",I21-K21)</f>
        <v/>
      </c>
    </row>
    <row r="22" customFormat="false" ht="15" hidden="false" customHeight="true" outlineLevel="0" collapsed="false">
      <c r="A22" s="75" t="str">
        <f aca="false">IF(60&lt;=Check!$C$4,INDEX(BAHARY!$A$2:$A$901,60),"")</f>
        <v/>
      </c>
      <c r="B22" s="76" t="str">
        <f aca="false">IF($A22="","",INDEX(BAHARY!$B$2:$B$901,60))</f>
        <v/>
      </c>
      <c r="C22" s="76" t="str">
        <f aca="false">IF($A22="","",INDEX(BAHARY!$C$2:$C$901,60))</f>
        <v/>
      </c>
      <c r="D22" s="77" t="str">
        <f aca="false">IF($A22="","",INDEX(BAHARY!$H$2:$H$901,60))</f>
        <v/>
      </c>
      <c r="E22" s="77" t="str">
        <f aca="false">IF($A22="","",INDEX(BAHARY!$E$2:$E$901,60))</f>
        <v/>
      </c>
      <c r="F22" s="77" t="str">
        <f aca="false">IF($A22="","",D22+E22)</f>
        <v/>
      </c>
      <c r="G22" s="77" t="str">
        <f aca="false">IF($A22="","",D22*(1-'كشف المطالبة'!$D$5))</f>
        <v/>
      </c>
      <c r="H22" s="77" t="str">
        <f aca="false">IF($A22="","",E22*(1-'كشف المطالبة'!$D$6))</f>
        <v/>
      </c>
      <c r="I22" s="77" t="str">
        <f aca="false">IF($A22="","",G22+H22)</f>
        <v/>
      </c>
      <c r="J22" s="78" t="str">
        <f aca="false">IF($A22="","",0)</f>
        <v/>
      </c>
      <c r="K22" s="77" t="str">
        <f aca="false">IF($A22="","",F22*J22+INDEX(BAHARY!$N$2:$N$901,60))</f>
        <v/>
      </c>
      <c r="L22" s="79" t="str">
        <f aca="false">IF($A22="","",I22-K22)</f>
        <v/>
      </c>
    </row>
    <row r="23" customFormat="false" ht="15" hidden="false" customHeight="true" outlineLevel="0" collapsed="false">
      <c r="A23" s="75" t="str">
        <f aca="false">IF(61&lt;=Check!$C$4,INDEX(BAHARY!$A$2:$A$901,61),"")</f>
        <v/>
      </c>
      <c r="B23" s="76" t="str">
        <f aca="false">IF($A23="","",INDEX(BAHARY!$B$2:$B$901,61))</f>
        <v/>
      </c>
      <c r="C23" s="76" t="str">
        <f aca="false">IF($A23="","",INDEX(BAHARY!$C$2:$C$901,61))</f>
        <v/>
      </c>
      <c r="D23" s="77" t="str">
        <f aca="false">IF($A23="","",INDEX(BAHARY!$H$2:$H$901,61))</f>
        <v/>
      </c>
      <c r="E23" s="77" t="str">
        <f aca="false">IF($A23="","",INDEX(BAHARY!$E$2:$E$901,61))</f>
        <v/>
      </c>
      <c r="F23" s="77" t="str">
        <f aca="false">IF($A23="","",D23+E23)</f>
        <v/>
      </c>
      <c r="G23" s="77" t="str">
        <f aca="false">IF($A23="","",D23*(1-'كشف المطالبة'!$D$5))</f>
        <v/>
      </c>
      <c r="H23" s="77" t="str">
        <f aca="false">IF($A23="","",E23*(1-'كشف المطالبة'!$D$6))</f>
        <v/>
      </c>
      <c r="I23" s="77" t="str">
        <f aca="false">IF($A23="","",G23+H23)</f>
        <v/>
      </c>
      <c r="J23" s="78" t="str">
        <f aca="false">IF($A23="","",0)</f>
        <v/>
      </c>
      <c r="K23" s="77" t="str">
        <f aca="false">IF($A23="","",F23*J23+INDEX(BAHARY!$N$2:$N$901,61))</f>
        <v/>
      </c>
      <c r="L23" s="79" t="str">
        <f aca="false">IF($A23="","",I23-K23)</f>
        <v/>
      </c>
    </row>
    <row r="24" customFormat="false" ht="15" hidden="false" customHeight="true" outlineLevel="0" collapsed="false">
      <c r="A24" s="75" t="str">
        <f aca="false">IF(62&lt;=Check!$C$4,INDEX(BAHARY!$A$2:$A$901,62),"")</f>
        <v/>
      </c>
      <c r="B24" s="76" t="str">
        <f aca="false">IF($A24="","",INDEX(BAHARY!$B$2:$B$901,62))</f>
        <v/>
      </c>
      <c r="C24" s="76" t="str">
        <f aca="false">IF($A24="","",INDEX(BAHARY!$C$2:$C$901,62))</f>
        <v/>
      </c>
      <c r="D24" s="77" t="str">
        <f aca="false">IF($A24="","",INDEX(BAHARY!$H$2:$H$901,62))</f>
        <v/>
      </c>
      <c r="E24" s="77" t="str">
        <f aca="false">IF($A24="","",INDEX(BAHARY!$E$2:$E$901,62))</f>
        <v/>
      </c>
      <c r="F24" s="77" t="str">
        <f aca="false">IF($A24="","",D24+E24)</f>
        <v/>
      </c>
      <c r="G24" s="77" t="str">
        <f aca="false">IF($A24="","",D24*(1-'كشف المطالبة'!$D$5))</f>
        <v/>
      </c>
      <c r="H24" s="77" t="str">
        <f aca="false">IF($A24="","",E24*(1-'كشف المطالبة'!$D$6))</f>
        <v/>
      </c>
      <c r="I24" s="77" t="str">
        <f aca="false">IF($A24="","",G24+H24)</f>
        <v/>
      </c>
      <c r="J24" s="78" t="str">
        <f aca="false">IF($A24="","",0)</f>
        <v/>
      </c>
      <c r="K24" s="77" t="str">
        <f aca="false">IF($A24="","",F24*J24+INDEX(BAHARY!$N$2:$N$901,62))</f>
        <v/>
      </c>
      <c r="L24" s="79" t="str">
        <f aca="false">IF($A24="","",I24-K24)</f>
        <v/>
      </c>
    </row>
    <row r="25" customFormat="false" ht="15" hidden="false" customHeight="true" outlineLevel="0" collapsed="false">
      <c r="A25" s="75" t="str">
        <f aca="false">IF(63&lt;=Check!$C$4,INDEX(BAHARY!$A$2:$A$901,63),"")</f>
        <v/>
      </c>
      <c r="B25" s="76" t="str">
        <f aca="false">IF($A25="","",INDEX(BAHARY!$B$2:$B$901,63))</f>
        <v/>
      </c>
      <c r="C25" s="76" t="str">
        <f aca="false">IF($A25="","",INDEX(BAHARY!$C$2:$C$901,63))</f>
        <v/>
      </c>
      <c r="D25" s="77" t="str">
        <f aca="false">IF($A25="","",INDEX(BAHARY!$H$2:$H$901,63))</f>
        <v/>
      </c>
      <c r="E25" s="77" t="str">
        <f aca="false">IF($A25="","",INDEX(BAHARY!$E$2:$E$901,63))</f>
        <v/>
      </c>
      <c r="F25" s="77" t="str">
        <f aca="false">IF($A25="","",D25+E25)</f>
        <v/>
      </c>
      <c r="G25" s="77" t="str">
        <f aca="false">IF($A25="","",D25*(1-'كشف المطالبة'!$D$5))</f>
        <v/>
      </c>
      <c r="H25" s="77" t="str">
        <f aca="false">IF($A25="","",E25*(1-'كشف المطالبة'!$D$6))</f>
        <v/>
      </c>
      <c r="I25" s="77" t="str">
        <f aca="false">IF($A25="","",G25+H25)</f>
        <v/>
      </c>
      <c r="J25" s="78" t="str">
        <f aca="false">IF($A25="","",0)</f>
        <v/>
      </c>
      <c r="K25" s="77" t="str">
        <f aca="false">IF($A25="","",F25*J25+INDEX(BAHARY!$N$2:$N$901,63))</f>
        <v/>
      </c>
      <c r="L25" s="79" t="str">
        <f aca="false">IF($A25="","",I25-K25)</f>
        <v/>
      </c>
    </row>
    <row r="26" customFormat="false" ht="15" hidden="false" customHeight="true" outlineLevel="0" collapsed="false">
      <c r="A26" s="75" t="str">
        <f aca="false">IF(64&lt;=Check!$C$4,INDEX(BAHARY!$A$2:$A$901,64),"")</f>
        <v/>
      </c>
      <c r="B26" s="76" t="str">
        <f aca="false">IF($A26="","",INDEX(BAHARY!$B$2:$B$901,64))</f>
        <v/>
      </c>
      <c r="C26" s="76" t="str">
        <f aca="false">IF($A26="","",INDEX(BAHARY!$C$2:$C$901,64))</f>
        <v/>
      </c>
      <c r="D26" s="77" t="str">
        <f aca="false">IF($A26="","",INDEX(BAHARY!$H$2:$H$901,64))</f>
        <v/>
      </c>
      <c r="E26" s="77" t="str">
        <f aca="false">IF($A26="","",INDEX(BAHARY!$E$2:$E$901,64))</f>
        <v/>
      </c>
      <c r="F26" s="77" t="str">
        <f aca="false">IF($A26="","",D26+E26)</f>
        <v/>
      </c>
      <c r="G26" s="77" t="str">
        <f aca="false">IF($A26="","",D26*(1-'كشف المطالبة'!$D$5))</f>
        <v/>
      </c>
      <c r="H26" s="77" t="str">
        <f aca="false">IF($A26="","",E26*(1-'كشف المطالبة'!$D$6))</f>
        <v/>
      </c>
      <c r="I26" s="77" t="str">
        <f aca="false">IF($A26="","",G26+H26)</f>
        <v/>
      </c>
      <c r="J26" s="78" t="str">
        <f aca="false">IF($A26="","",0)</f>
        <v/>
      </c>
      <c r="K26" s="77" t="str">
        <f aca="false">IF($A26="","",F26*J26+INDEX(BAHARY!$N$2:$N$901,64))</f>
        <v/>
      </c>
      <c r="L26" s="79" t="str">
        <f aca="false">IF($A26="","",I26-K26)</f>
        <v/>
      </c>
    </row>
    <row r="27" customFormat="false" ht="15" hidden="false" customHeight="true" outlineLevel="0" collapsed="false">
      <c r="A27" s="75" t="str">
        <f aca="false">IF(65&lt;=Check!$C$4,INDEX(BAHARY!$A$2:$A$901,65),"")</f>
        <v/>
      </c>
      <c r="B27" s="76" t="str">
        <f aca="false">IF($A27="","",INDEX(BAHARY!$B$2:$B$901,65))</f>
        <v/>
      </c>
      <c r="C27" s="76" t="str">
        <f aca="false">IF($A27="","",INDEX(BAHARY!$C$2:$C$901,65))</f>
        <v/>
      </c>
      <c r="D27" s="77" t="str">
        <f aca="false">IF($A27="","",INDEX(BAHARY!$H$2:$H$901,65))</f>
        <v/>
      </c>
      <c r="E27" s="77" t="str">
        <f aca="false">IF($A27="","",INDEX(BAHARY!$E$2:$E$901,65))</f>
        <v/>
      </c>
      <c r="F27" s="77" t="str">
        <f aca="false">IF($A27="","",D27+E27)</f>
        <v/>
      </c>
      <c r="G27" s="77" t="str">
        <f aca="false">IF($A27="","",D27*(1-'كشف المطالبة'!$D$5))</f>
        <v/>
      </c>
      <c r="H27" s="77" t="str">
        <f aca="false">IF($A27="","",E27*(1-'كشف المطالبة'!$D$6))</f>
        <v/>
      </c>
      <c r="I27" s="77" t="str">
        <f aca="false">IF($A27="","",G27+H27)</f>
        <v/>
      </c>
      <c r="J27" s="78" t="str">
        <f aca="false">IF($A27="","",0)</f>
        <v/>
      </c>
      <c r="K27" s="77" t="str">
        <f aca="false">IF($A27="","",F27*J27+INDEX(BAHARY!$N$2:$N$901,65))</f>
        <v/>
      </c>
      <c r="L27" s="79" t="str">
        <f aca="false">IF($A27="","",I27-K27)</f>
        <v/>
      </c>
    </row>
    <row r="28" customFormat="false" ht="15" hidden="false" customHeight="true" outlineLevel="0" collapsed="false">
      <c r="A28" s="75" t="str">
        <f aca="false">IF(66&lt;=Check!$C$4,INDEX(BAHARY!$A$2:$A$901,66),"")</f>
        <v/>
      </c>
      <c r="B28" s="76" t="str">
        <f aca="false">IF($A28="","",INDEX(BAHARY!$B$2:$B$901,66))</f>
        <v/>
      </c>
      <c r="C28" s="76" t="str">
        <f aca="false">IF($A28="","",INDEX(BAHARY!$C$2:$C$901,66))</f>
        <v/>
      </c>
      <c r="D28" s="77" t="str">
        <f aca="false">IF($A28="","",INDEX(BAHARY!$H$2:$H$901,66))</f>
        <v/>
      </c>
      <c r="E28" s="77" t="str">
        <f aca="false">IF($A28="","",INDEX(BAHARY!$E$2:$E$901,66))</f>
        <v/>
      </c>
      <c r="F28" s="77" t="str">
        <f aca="false">IF($A28="","",D28+E28)</f>
        <v/>
      </c>
      <c r="G28" s="77" t="str">
        <f aca="false">IF($A28="","",D28*(1-'كشف المطالبة'!$D$5))</f>
        <v/>
      </c>
      <c r="H28" s="77" t="str">
        <f aca="false">IF($A28="","",E28*(1-'كشف المطالبة'!$D$6))</f>
        <v/>
      </c>
      <c r="I28" s="77" t="str">
        <f aca="false">IF($A28="","",G28+H28)</f>
        <v/>
      </c>
      <c r="J28" s="78" t="str">
        <f aca="false">IF($A28="","",0)</f>
        <v/>
      </c>
      <c r="K28" s="77" t="str">
        <f aca="false">IF($A28="","",F28*J28+INDEX(BAHARY!$N$2:$N$901,66))</f>
        <v/>
      </c>
      <c r="L28" s="79" t="str">
        <f aca="false">IF($A28="","",I28-K28)</f>
        <v/>
      </c>
    </row>
    <row r="29" customFormat="false" ht="15" hidden="false" customHeight="true" outlineLevel="0" collapsed="false">
      <c r="A29" s="75" t="str">
        <f aca="false">IF(67&lt;=Check!$C$4,INDEX(BAHARY!$A$2:$A$901,67),"")</f>
        <v/>
      </c>
      <c r="B29" s="76" t="str">
        <f aca="false">IF($A29="","",INDEX(BAHARY!$B$2:$B$901,67))</f>
        <v/>
      </c>
      <c r="C29" s="76" t="str">
        <f aca="false">IF($A29="","",INDEX(BAHARY!$C$2:$C$901,67))</f>
        <v/>
      </c>
      <c r="D29" s="77" t="str">
        <f aca="false">IF($A29="","",INDEX(BAHARY!$H$2:$H$901,67))</f>
        <v/>
      </c>
      <c r="E29" s="77" t="str">
        <f aca="false">IF($A29="","",INDEX(BAHARY!$E$2:$E$901,67))</f>
        <v/>
      </c>
      <c r="F29" s="77" t="str">
        <f aca="false">IF($A29="","",D29+E29)</f>
        <v/>
      </c>
      <c r="G29" s="77" t="str">
        <f aca="false">IF($A29="","",D29*(1-'كشف المطالبة'!$D$5))</f>
        <v/>
      </c>
      <c r="H29" s="77" t="str">
        <f aca="false">IF($A29="","",E29*(1-'كشف المطالبة'!$D$6))</f>
        <v/>
      </c>
      <c r="I29" s="77" t="str">
        <f aca="false">IF($A29="","",G29+H29)</f>
        <v/>
      </c>
      <c r="J29" s="78" t="str">
        <f aca="false">IF($A29="","",0)</f>
        <v/>
      </c>
      <c r="K29" s="77" t="str">
        <f aca="false">IF($A29="","",F29*J29+INDEX(BAHARY!$N$2:$N$901,67))</f>
        <v/>
      </c>
      <c r="L29" s="79" t="str">
        <f aca="false">IF($A29="","",I29-K29)</f>
        <v/>
      </c>
    </row>
    <row r="30" customFormat="false" ht="15" hidden="false" customHeight="true" outlineLevel="0" collapsed="false">
      <c r="A30" s="75" t="str">
        <f aca="false">IF(68&lt;=Check!$C$4,INDEX(BAHARY!$A$2:$A$901,68),"")</f>
        <v/>
      </c>
      <c r="B30" s="76" t="str">
        <f aca="false">IF($A30="","",INDEX(BAHARY!$B$2:$B$901,68))</f>
        <v/>
      </c>
      <c r="C30" s="76" t="str">
        <f aca="false">IF($A30="","",INDEX(BAHARY!$C$2:$C$901,68))</f>
        <v/>
      </c>
      <c r="D30" s="77" t="str">
        <f aca="false">IF($A30="","",INDEX(BAHARY!$H$2:$H$901,68))</f>
        <v/>
      </c>
      <c r="E30" s="77" t="str">
        <f aca="false">IF($A30="","",INDEX(BAHARY!$E$2:$E$901,68))</f>
        <v/>
      </c>
      <c r="F30" s="77" t="str">
        <f aca="false">IF($A30="","",D30+E30)</f>
        <v/>
      </c>
      <c r="G30" s="77" t="str">
        <f aca="false">IF($A30="","",D30*(1-'كشف المطالبة'!$D$5))</f>
        <v/>
      </c>
      <c r="H30" s="77" t="str">
        <f aca="false">IF($A30="","",E30*(1-'كشف المطالبة'!$D$6))</f>
        <v/>
      </c>
      <c r="I30" s="77" t="str">
        <f aca="false">IF($A30="","",G30+H30)</f>
        <v/>
      </c>
      <c r="J30" s="78" t="str">
        <f aca="false">IF($A30="","",0)</f>
        <v/>
      </c>
      <c r="K30" s="77" t="str">
        <f aca="false">IF($A30="","",F30*J30+INDEX(BAHARY!$N$2:$N$901,68))</f>
        <v/>
      </c>
      <c r="L30" s="79" t="str">
        <f aca="false">IF($A30="","",I30-K30)</f>
        <v/>
      </c>
    </row>
    <row r="31" customFormat="false" ht="15" hidden="false" customHeight="true" outlineLevel="0" collapsed="false">
      <c r="A31" s="75" t="str">
        <f aca="false">IF(69&lt;=Check!$C$4,INDEX(BAHARY!$A$2:$A$901,69),"")</f>
        <v/>
      </c>
      <c r="B31" s="76" t="str">
        <f aca="false">IF($A31="","",INDEX(BAHARY!$B$2:$B$901,69))</f>
        <v/>
      </c>
      <c r="C31" s="76" t="str">
        <f aca="false">IF($A31="","",INDEX(BAHARY!$C$2:$C$901,69))</f>
        <v/>
      </c>
      <c r="D31" s="77" t="str">
        <f aca="false">IF($A31="","",INDEX(BAHARY!$H$2:$H$901,69))</f>
        <v/>
      </c>
      <c r="E31" s="77" t="str">
        <f aca="false">IF($A31="","",INDEX(BAHARY!$E$2:$E$901,69))</f>
        <v/>
      </c>
      <c r="F31" s="77" t="str">
        <f aca="false">IF($A31="","",D31+E31)</f>
        <v/>
      </c>
      <c r="G31" s="77" t="str">
        <f aca="false">IF($A31="","",D31*(1-'كشف المطالبة'!$D$5))</f>
        <v/>
      </c>
      <c r="H31" s="77" t="str">
        <f aca="false">IF($A31="","",E31*(1-'كشف المطالبة'!$D$6))</f>
        <v/>
      </c>
      <c r="I31" s="77" t="str">
        <f aca="false">IF($A31="","",G31+H31)</f>
        <v/>
      </c>
      <c r="J31" s="78" t="str">
        <f aca="false">IF($A31="","",0)</f>
        <v/>
      </c>
      <c r="K31" s="77" t="str">
        <f aca="false">IF($A31="","",F31*J31+INDEX(BAHARY!$N$2:$N$901,69))</f>
        <v/>
      </c>
      <c r="L31" s="79" t="str">
        <f aca="false">IF($A31="","",I31-K31)</f>
        <v/>
      </c>
    </row>
    <row r="32" customFormat="false" ht="15" hidden="false" customHeight="true" outlineLevel="0" collapsed="false">
      <c r="A32" s="75" t="str">
        <f aca="false">IF(70&lt;=Check!$C$4,INDEX(BAHARY!$A$2:$A$901,70),"")</f>
        <v/>
      </c>
      <c r="B32" s="76" t="str">
        <f aca="false">IF($A32="","",INDEX(BAHARY!$B$2:$B$901,70))</f>
        <v/>
      </c>
      <c r="C32" s="76" t="str">
        <f aca="false">IF($A32="","",INDEX(BAHARY!$C$2:$C$901,70))</f>
        <v/>
      </c>
      <c r="D32" s="77" t="str">
        <f aca="false">IF($A32="","",INDEX(BAHARY!$H$2:$H$901,70))</f>
        <v/>
      </c>
      <c r="E32" s="77" t="str">
        <f aca="false">IF($A32="","",INDEX(BAHARY!$E$2:$E$901,70))</f>
        <v/>
      </c>
      <c r="F32" s="77" t="str">
        <f aca="false">IF($A32="","",D32+E32)</f>
        <v/>
      </c>
      <c r="G32" s="77" t="str">
        <f aca="false">IF($A32="","",D32*(1-'كشف المطالبة'!$D$5))</f>
        <v/>
      </c>
      <c r="H32" s="77" t="str">
        <f aca="false">IF($A32="","",E32*(1-'كشف المطالبة'!$D$6))</f>
        <v/>
      </c>
      <c r="I32" s="77" t="str">
        <f aca="false">IF($A32="","",G32+H32)</f>
        <v/>
      </c>
      <c r="J32" s="78" t="str">
        <f aca="false">IF($A32="","",0)</f>
        <v/>
      </c>
      <c r="K32" s="77" t="str">
        <f aca="false">IF($A32="","",F32*J32+INDEX(BAHARY!$N$2:$N$901,70))</f>
        <v/>
      </c>
      <c r="L32" s="79" t="str">
        <f aca="false">IF($A32="","",I32-K32)</f>
        <v/>
      </c>
    </row>
    <row r="33" customFormat="false" ht="15" hidden="false" customHeight="true" outlineLevel="0" collapsed="false">
      <c r="A33" s="75" t="str">
        <f aca="false">IF(71&lt;=Check!$C$4,INDEX(BAHARY!$A$2:$A$901,71),"")</f>
        <v/>
      </c>
      <c r="B33" s="76" t="str">
        <f aca="false">IF($A33="","",INDEX(BAHARY!$B$2:$B$901,71))</f>
        <v/>
      </c>
      <c r="C33" s="76" t="str">
        <f aca="false">IF($A33="","",INDEX(BAHARY!$C$2:$C$901,71))</f>
        <v/>
      </c>
      <c r="D33" s="77" t="str">
        <f aca="false">IF($A33="","",INDEX(BAHARY!$H$2:$H$901,71))</f>
        <v/>
      </c>
      <c r="E33" s="77" t="str">
        <f aca="false">IF($A33="","",INDEX(BAHARY!$E$2:$E$901,71))</f>
        <v/>
      </c>
      <c r="F33" s="77" t="str">
        <f aca="false">IF($A33="","",D33+E33)</f>
        <v/>
      </c>
      <c r="G33" s="77" t="str">
        <f aca="false">IF($A33="","",D33*(1-'كشف المطالبة'!$D$5))</f>
        <v/>
      </c>
      <c r="H33" s="77" t="str">
        <f aca="false">IF($A33="","",E33*(1-'كشف المطالبة'!$D$6))</f>
        <v/>
      </c>
      <c r="I33" s="77" t="str">
        <f aca="false">IF($A33="","",G33+H33)</f>
        <v/>
      </c>
      <c r="J33" s="78" t="str">
        <f aca="false">IF($A33="","",0)</f>
        <v/>
      </c>
      <c r="K33" s="77" t="str">
        <f aca="false">IF($A33="","",F33*J33+INDEX(BAHARY!$N$2:$N$901,71))</f>
        <v/>
      </c>
      <c r="L33" s="79" t="str">
        <f aca="false">IF($A33="","",I33-K33)</f>
        <v/>
      </c>
    </row>
    <row r="34" customFormat="false" ht="15" hidden="false" customHeight="true" outlineLevel="0" collapsed="false">
      <c r="A34" s="75" t="str">
        <f aca="false">IF(72&lt;=Check!$C$4,INDEX(BAHARY!$A$2:$A$901,72),"")</f>
        <v/>
      </c>
      <c r="B34" s="76" t="str">
        <f aca="false">IF($A34="","",INDEX(BAHARY!$B$2:$B$901,72))</f>
        <v/>
      </c>
      <c r="C34" s="76" t="str">
        <f aca="false">IF($A34="","",INDEX(BAHARY!$C$2:$C$901,72))</f>
        <v/>
      </c>
      <c r="D34" s="77" t="str">
        <f aca="false">IF($A34="","",INDEX(BAHARY!$H$2:$H$901,72))</f>
        <v/>
      </c>
      <c r="E34" s="77" t="str">
        <f aca="false">IF($A34="","",INDEX(BAHARY!$E$2:$E$901,72))</f>
        <v/>
      </c>
      <c r="F34" s="77" t="str">
        <f aca="false">IF($A34="","",D34+E34)</f>
        <v/>
      </c>
      <c r="G34" s="77" t="str">
        <f aca="false">IF($A34="","",D34*(1-'كشف المطالبة'!$D$5))</f>
        <v/>
      </c>
      <c r="H34" s="77" t="str">
        <f aca="false">IF($A34="","",E34*(1-'كشف المطالبة'!$D$6))</f>
        <v/>
      </c>
      <c r="I34" s="77" t="str">
        <f aca="false">IF($A34="","",G34+H34)</f>
        <v/>
      </c>
      <c r="J34" s="78" t="str">
        <f aca="false">IF($A34="","",0)</f>
        <v/>
      </c>
      <c r="K34" s="77" t="str">
        <f aca="false">IF($A34="","",F34*J34+INDEX(BAHARY!$N$2:$N$901,72))</f>
        <v/>
      </c>
      <c r="L34" s="79" t="str">
        <f aca="false">IF($A34="","",I34-K34)</f>
        <v/>
      </c>
    </row>
    <row r="35" customFormat="false" ht="15" hidden="false" customHeight="true" outlineLevel="0" collapsed="false">
      <c r="A35" s="75" t="str">
        <f aca="false">IF(73&lt;=Check!$C$4,INDEX(BAHARY!$A$2:$A$901,73),"")</f>
        <v/>
      </c>
      <c r="B35" s="76" t="str">
        <f aca="false">IF($A35="","",INDEX(BAHARY!$B$2:$B$901,73))</f>
        <v/>
      </c>
      <c r="C35" s="76" t="str">
        <f aca="false">IF($A35="","",INDEX(BAHARY!$C$2:$C$901,73))</f>
        <v/>
      </c>
      <c r="D35" s="77" t="str">
        <f aca="false">IF($A35="","",INDEX(BAHARY!$H$2:$H$901,73))</f>
        <v/>
      </c>
      <c r="E35" s="77" t="str">
        <f aca="false">IF($A35="","",INDEX(BAHARY!$E$2:$E$901,73))</f>
        <v/>
      </c>
      <c r="F35" s="77" t="str">
        <f aca="false">IF($A35="","",D35+E35)</f>
        <v/>
      </c>
      <c r="G35" s="77" t="str">
        <f aca="false">IF($A35="","",D35*(1-'كشف المطالبة'!$D$5))</f>
        <v/>
      </c>
      <c r="H35" s="77" t="str">
        <f aca="false">IF($A35="","",E35*(1-'كشف المطالبة'!$D$6))</f>
        <v/>
      </c>
      <c r="I35" s="77" t="str">
        <f aca="false">IF($A35="","",G35+H35)</f>
        <v/>
      </c>
      <c r="J35" s="78" t="str">
        <f aca="false">IF($A35="","",0)</f>
        <v/>
      </c>
      <c r="K35" s="77" t="str">
        <f aca="false">IF($A35="","",F35*J35+INDEX(BAHARY!$N$2:$N$901,73))</f>
        <v/>
      </c>
      <c r="L35" s="79" t="str">
        <f aca="false">IF($A35="","",I35-K35)</f>
        <v/>
      </c>
    </row>
    <row r="36" customFormat="false" ht="15" hidden="false" customHeight="true" outlineLevel="0" collapsed="false">
      <c r="A36" s="75" t="str">
        <f aca="false">IF(74&lt;=Check!$C$4,INDEX(BAHARY!$A$2:$A$901,74),"")</f>
        <v/>
      </c>
      <c r="B36" s="76" t="str">
        <f aca="false">IF($A36="","",INDEX(BAHARY!$B$2:$B$901,74))</f>
        <v/>
      </c>
      <c r="C36" s="76" t="str">
        <f aca="false">IF($A36="","",INDEX(BAHARY!$C$2:$C$901,74))</f>
        <v/>
      </c>
      <c r="D36" s="77" t="str">
        <f aca="false">IF($A36="","",INDEX(BAHARY!$H$2:$H$901,74))</f>
        <v/>
      </c>
      <c r="E36" s="77" t="str">
        <f aca="false">IF($A36="","",INDEX(BAHARY!$E$2:$E$901,74))</f>
        <v/>
      </c>
      <c r="F36" s="77" t="str">
        <f aca="false">IF($A36="","",D36+E36)</f>
        <v/>
      </c>
      <c r="G36" s="77" t="str">
        <f aca="false">IF($A36="","",D36*(1-'كشف المطالبة'!$D$5))</f>
        <v/>
      </c>
      <c r="H36" s="77" t="str">
        <f aca="false">IF($A36="","",E36*(1-'كشف المطالبة'!$D$6))</f>
        <v/>
      </c>
      <c r="I36" s="77" t="str">
        <f aca="false">IF($A36="","",G36+H36)</f>
        <v/>
      </c>
      <c r="J36" s="78" t="str">
        <f aca="false">IF($A36="","",0)</f>
        <v/>
      </c>
      <c r="K36" s="77" t="str">
        <f aca="false">IF($A36="","",F36*J36+INDEX(BAHARY!$N$2:$N$901,74))</f>
        <v/>
      </c>
      <c r="L36" s="79" t="str">
        <f aca="false">IF($A36="","",I36-K36)</f>
        <v/>
      </c>
    </row>
    <row r="37" customFormat="false" ht="15" hidden="false" customHeight="true" outlineLevel="0" collapsed="false">
      <c r="A37" s="75" t="str">
        <f aca="false">IF(75&lt;=Check!$C$4,INDEX(BAHARY!$A$2:$A$901,75),"")</f>
        <v/>
      </c>
      <c r="B37" s="76" t="str">
        <f aca="false">IF($A37="","",INDEX(BAHARY!$B$2:$B$901,75))</f>
        <v/>
      </c>
      <c r="C37" s="76" t="str">
        <f aca="false">IF($A37="","",INDEX(BAHARY!$C$2:$C$901,75))</f>
        <v/>
      </c>
      <c r="D37" s="77" t="str">
        <f aca="false">IF($A37="","",INDEX(BAHARY!$H$2:$H$901,75))</f>
        <v/>
      </c>
      <c r="E37" s="77" t="str">
        <f aca="false">IF($A37="","",INDEX(BAHARY!$E$2:$E$901,75))</f>
        <v/>
      </c>
      <c r="F37" s="77" t="str">
        <f aca="false">IF($A37="","",D37+E37)</f>
        <v/>
      </c>
      <c r="G37" s="77" t="str">
        <f aca="false">IF($A37="","",D37*(1-'كشف المطالبة'!$D$5))</f>
        <v/>
      </c>
      <c r="H37" s="77" t="str">
        <f aca="false">IF($A37="","",E37*(1-'كشف المطالبة'!$D$6))</f>
        <v/>
      </c>
      <c r="I37" s="77" t="str">
        <f aca="false">IF($A37="","",G37+H37)</f>
        <v/>
      </c>
      <c r="J37" s="78" t="str">
        <f aca="false">IF($A37="","",0)</f>
        <v/>
      </c>
      <c r="K37" s="77" t="str">
        <f aca="false">IF($A37="","",F37*J37+INDEX(BAHARY!$N$2:$N$901,75))</f>
        <v/>
      </c>
      <c r="L37" s="79" t="str">
        <f aca="false">IF($A37="","",I37-K37)</f>
        <v/>
      </c>
    </row>
    <row r="38" customFormat="false" ht="15" hidden="false" customHeight="true" outlineLevel="0" collapsed="false">
      <c r="A38" s="75" t="str">
        <f aca="false">IF(76&lt;=Check!$C$4,INDEX(BAHARY!$A$2:$A$901,76),"")</f>
        <v/>
      </c>
      <c r="B38" s="76" t="str">
        <f aca="false">IF($A38="","",INDEX(BAHARY!$B$2:$B$901,76))</f>
        <v/>
      </c>
      <c r="C38" s="76" t="str">
        <f aca="false">IF($A38="","",INDEX(BAHARY!$C$2:$C$901,76))</f>
        <v/>
      </c>
      <c r="D38" s="77" t="str">
        <f aca="false">IF($A38="","",INDEX(BAHARY!$H$2:$H$901,76))</f>
        <v/>
      </c>
      <c r="E38" s="77" t="str">
        <f aca="false">IF($A38="","",INDEX(BAHARY!$E$2:$E$901,76))</f>
        <v/>
      </c>
      <c r="F38" s="77" t="str">
        <f aca="false">IF($A38="","",D38+E38)</f>
        <v/>
      </c>
      <c r="G38" s="77" t="str">
        <f aca="false">IF($A38="","",D38*(1-'كشف المطالبة'!$D$5))</f>
        <v/>
      </c>
      <c r="H38" s="77" t="str">
        <f aca="false">IF($A38="","",E38*(1-'كشف المطالبة'!$D$6))</f>
        <v/>
      </c>
      <c r="I38" s="77" t="str">
        <f aca="false">IF($A38="","",G38+H38)</f>
        <v/>
      </c>
      <c r="J38" s="78" t="str">
        <f aca="false">IF($A38="","",0)</f>
        <v/>
      </c>
      <c r="K38" s="77" t="str">
        <f aca="false">IF($A38="","",F38*J38+INDEX(BAHARY!$N$2:$N$901,76))</f>
        <v/>
      </c>
      <c r="L38" s="79" t="str">
        <f aca="false">IF($A38="","",I38-K38)</f>
        <v/>
      </c>
    </row>
    <row r="39" customFormat="false" ht="15" hidden="false" customHeight="true" outlineLevel="0" collapsed="false">
      <c r="A39" s="75" t="str">
        <f aca="false">IF(77&lt;=Check!$C$4,INDEX(BAHARY!$A$2:$A$901,77),"")</f>
        <v/>
      </c>
      <c r="B39" s="76" t="str">
        <f aca="false">IF($A39="","",INDEX(BAHARY!$B$2:$B$901,77))</f>
        <v/>
      </c>
      <c r="C39" s="76" t="str">
        <f aca="false">IF($A39="","",INDEX(BAHARY!$C$2:$C$901,77))</f>
        <v/>
      </c>
      <c r="D39" s="77" t="str">
        <f aca="false">IF($A39="","",INDEX(BAHARY!$H$2:$H$901,77))</f>
        <v/>
      </c>
      <c r="E39" s="77" t="str">
        <f aca="false">IF($A39="","",INDEX(BAHARY!$E$2:$E$901,77))</f>
        <v/>
      </c>
      <c r="F39" s="77" t="str">
        <f aca="false">IF($A39="","",D39+E39)</f>
        <v/>
      </c>
      <c r="G39" s="77" t="str">
        <f aca="false">IF($A39="","",D39*(1-'كشف المطالبة'!$D$5))</f>
        <v/>
      </c>
      <c r="H39" s="77" t="str">
        <f aca="false">IF($A39="","",E39*(1-'كشف المطالبة'!$D$6))</f>
        <v/>
      </c>
      <c r="I39" s="77" t="str">
        <f aca="false">IF($A39="","",G39+H39)</f>
        <v/>
      </c>
      <c r="J39" s="78" t="str">
        <f aca="false">IF($A39="","",0)</f>
        <v/>
      </c>
      <c r="K39" s="77" t="str">
        <f aca="false">IF($A39="","",F39*J39+INDEX(BAHARY!$N$2:$N$901,77))</f>
        <v/>
      </c>
      <c r="L39" s="79" t="str">
        <f aca="false">IF($A39="","",I39-K39)</f>
        <v/>
      </c>
    </row>
    <row r="40" customFormat="false" ht="15" hidden="false" customHeight="true" outlineLevel="0" collapsed="false">
      <c r="A40" s="75" t="str">
        <f aca="false">IF(78&lt;=Check!$C$4,INDEX(BAHARY!$A$2:$A$901,78),"")</f>
        <v/>
      </c>
      <c r="B40" s="76" t="str">
        <f aca="false">IF($A40="","",INDEX(BAHARY!$B$2:$B$901,78))</f>
        <v/>
      </c>
      <c r="C40" s="76" t="str">
        <f aca="false">IF($A40="","",INDEX(BAHARY!$C$2:$C$901,78))</f>
        <v/>
      </c>
      <c r="D40" s="77" t="str">
        <f aca="false">IF($A40="","",INDEX(BAHARY!$H$2:$H$901,78))</f>
        <v/>
      </c>
      <c r="E40" s="77" t="str">
        <f aca="false">IF($A40="","",INDEX(BAHARY!$E$2:$E$901,78))</f>
        <v/>
      </c>
      <c r="F40" s="77" t="str">
        <f aca="false">IF($A40="","",D40+E40)</f>
        <v/>
      </c>
      <c r="G40" s="77" t="str">
        <f aca="false">IF($A40="","",D40*(1-'كشف المطالبة'!$D$5))</f>
        <v/>
      </c>
      <c r="H40" s="77" t="str">
        <f aca="false">IF($A40="","",E40*(1-'كشف المطالبة'!$D$6))</f>
        <v/>
      </c>
      <c r="I40" s="77" t="str">
        <f aca="false">IF($A40="","",G40+H40)</f>
        <v/>
      </c>
      <c r="J40" s="78" t="str">
        <f aca="false">IF($A40="","",0)</f>
        <v/>
      </c>
      <c r="K40" s="77" t="str">
        <f aca="false">IF($A40="","",F40*J40+INDEX(BAHARY!$N$2:$N$901,78))</f>
        <v/>
      </c>
      <c r="L40" s="79" t="str">
        <f aca="false">IF($A40="","",I40-K40)</f>
        <v/>
      </c>
    </row>
    <row r="41" customFormat="false" ht="15" hidden="false" customHeight="true" outlineLevel="0" collapsed="false">
      <c r="A41" s="75" t="str">
        <f aca="false">IF(79&lt;=Check!$C$4,INDEX(BAHARY!$A$2:$A$901,79),"")</f>
        <v/>
      </c>
      <c r="B41" s="76" t="str">
        <f aca="false">IF($A41="","",INDEX(BAHARY!$B$2:$B$901,79))</f>
        <v/>
      </c>
      <c r="C41" s="76" t="str">
        <f aca="false">IF($A41="","",INDEX(BAHARY!$C$2:$C$901,79))</f>
        <v/>
      </c>
      <c r="D41" s="77" t="str">
        <f aca="false">IF($A41="","",INDEX(BAHARY!$H$2:$H$901,79))</f>
        <v/>
      </c>
      <c r="E41" s="77" t="str">
        <f aca="false">IF($A41="","",INDEX(BAHARY!$E$2:$E$901,79))</f>
        <v/>
      </c>
      <c r="F41" s="77" t="str">
        <f aca="false">IF($A41="","",D41+E41)</f>
        <v/>
      </c>
      <c r="G41" s="77" t="str">
        <f aca="false">IF($A41="","",D41*(1-'كشف المطالبة'!$D$5))</f>
        <v/>
      </c>
      <c r="H41" s="77" t="str">
        <f aca="false">IF($A41="","",E41*(1-'كشف المطالبة'!$D$6))</f>
        <v/>
      </c>
      <c r="I41" s="77" t="str">
        <f aca="false">IF($A41="","",G41+H41)</f>
        <v/>
      </c>
      <c r="J41" s="78" t="str">
        <f aca="false">IF($A41="","",0)</f>
        <v/>
      </c>
      <c r="K41" s="77" t="str">
        <f aca="false">IF($A41="","",F41*J41+INDEX(BAHARY!$N$2:$N$901,79))</f>
        <v/>
      </c>
      <c r="L41" s="79" t="str">
        <f aca="false">IF($A41="","",I41-K41)</f>
        <v/>
      </c>
    </row>
    <row r="42" customFormat="false" ht="15" hidden="false" customHeight="true" outlineLevel="0" collapsed="false">
      <c r="A42" s="75" t="str">
        <f aca="false">IF(80&lt;=Check!$C$4,INDEX(BAHARY!$A$2:$A$901,80),"")</f>
        <v/>
      </c>
      <c r="B42" s="76" t="str">
        <f aca="false">IF($A42="","",INDEX(BAHARY!$B$2:$B$901,80))</f>
        <v/>
      </c>
      <c r="C42" s="76" t="str">
        <f aca="false">IF($A42="","",INDEX(BAHARY!$C$2:$C$901,80))</f>
        <v/>
      </c>
      <c r="D42" s="77" t="str">
        <f aca="false">IF($A42="","",INDEX(BAHARY!$H$2:$H$901,80))</f>
        <v/>
      </c>
      <c r="E42" s="77" t="str">
        <f aca="false">IF($A42="","",INDEX(BAHARY!$E$2:$E$901,80))</f>
        <v/>
      </c>
      <c r="F42" s="77" t="str">
        <f aca="false">IF($A42="","",D42+E42)</f>
        <v/>
      </c>
      <c r="G42" s="77" t="str">
        <f aca="false">IF($A42="","",D42*(1-'كشف المطالبة'!$D$5))</f>
        <v/>
      </c>
      <c r="H42" s="77" t="str">
        <f aca="false">IF($A42="","",E42*(1-'كشف المطالبة'!$D$6))</f>
        <v/>
      </c>
      <c r="I42" s="77" t="str">
        <f aca="false">IF($A42="","",G42+H42)</f>
        <v/>
      </c>
      <c r="J42" s="78" t="str">
        <f aca="false">IF($A42="","",0)</f>
        <v/>
      </c>
      <c r="K42" s="77" t="str">
        <f aca="false">IF($A42="","",F42*J42+INDEX(BAHARY!$N$2:$N$901,80))</f>
        <v/>
      </c>
      <c r="L42" s="79" t="str">
        <f aca="false">IF($A42="","",I42-K42)</f>
        <v/>
      </c>
    </row>
    <row r="44" customFormat="false" ht="15" hidden="false" customHeight="true" outlineLevel="0" collapsed="false"/>
    <row r="45" s="86" customFormat="true" ht="15.75" hidden="false" customHeight="true" outlineLevel="0" collapsed="false">
      <c r="A45" s="81" t="s">
        <v>114</v>
      </c>
      <c r="B45" s="81"/>
      <c r="C45" s="81"/>
      <c r="D45" s="82" t="n">
        <f aca="false">SUM(D3:D42)</f>
        <v>0</v>
      </c>
      <c r="E45" s="82" t="n">
        <f aca="false">SUM(E3:E42)</f>
        <v>0</v>
      </c>
      <c r="F45" s="82" t="n">
        <f aca="false">SUM(F3:F42)</f>
        <v>0</v>
      </c>
      <c r="G45" s="82" t="n">
        <f aca="false">SUM(G3:G42)</f>
        <v>0</v>
      </c>
      <c r="H45" s="82" t="n">
        <f aca="false">SUM(H3:H42)</f>
        <v>0</v>
      </c>
      <c r="I45" s="82" t="n">
        <f aca="false">SUM(I3:I42)</f>
        <v>0</v>
      </c>
      <c r="J45" s="83"/>
      <c r="K45" s="82" t="n">
        <f aca="false">SUM(K3:K42)</f>
        <v>0</v>
      </c>
      <c r="L45" s="84" t="n">
        <f aca="false">SUM(L3:L42)</f>
        <v>0</v>
      </c>
      <c r="M45" s="85" t="n">
        <v>2</v>
      </c>
    </row>
  </sheetData>
  <autoFilter ref="A1:L42">
    <filterColumn colId="0" hiddenButton="1"/>
    <filterColumn colId="1" hiddenButton="1"/>
    <filterColumn colId="2" hiddenButton="1"/>
    <filterColumn colId="3" hiddenButton="1"/>
  </autoFilter>
  <mergeCells count="4">
    <mergeCell ref="A1:B1"/>
    <mergeCell ref="E1:G1"/>
    <mergeCell ref="K1:L1"/>
    <mergeCell ref="A45:C45"/>
  </mergeCells>
  <conditionalFormatting sqref="A3:A42 D3:L42">
    <cfRule type="expression" priority="2" aboveAverage="0" equalAverage="0" bottom="0" percent="0" rank="0" text="" dxfId="6">
      <formula>ISODD(ROW())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5"/>
  <sheetViews>
    <sheetView showFormulas="false" showGridLines="true" showRowColHeaders="true" showZeros="true" rightToLeft="false" tabSelected="false" showOutlineSymbols="true" defaultGridColor="true" view="normal" topLeftCell="A33" colorId="64" zoomScale="100" zoomScaleNormal="100" zoomScalePageLayoutView="100" workbookViewId="0">
      <selection pane="topLeft" activeCell="A3" activeCellId="0" sqref="A3"/>
    </sheetView>
  </sheetViews>
  <sheetFormatPr defaultColWidth="14.453125" defaultRowHeight="14.25" zeroHeight="false" outlineLevelRow="0" outlineLevelCol="0"/>
  <cols>
    <col collapsed="false" customWidth="true" hidden="false" outlineLevel="0" max="1" min="1" style="0" width="3.27"/>
    <col collapsed="false" customWidth="true" hidden="false" outlineLevel="0" max="2" min="2" style="0" width="43.18"/>
    <col collapsed="false" customWidth="true" hidden="false" outlineLevel="0" max="3" min="3" style="0" width="7"/>
    <col collapsed="false" customWidth="true" hidden="false" outlineLevel="0" max="4" min="4" style="0" width="12.45"/>
    <col collapsed="false" customWidth="true" hidden="false" outlineLevel="0" max="5" min="5" style="0" width="12"/>
    <col collapsed="false" customWidth="true" hidden="false" outlineLevel="0" max="6" min="6" style="0" width="13.45"/>
    <col collapsed="false" customWidth="true" hidden="false" outlineLevel="0" max="7" min="7" style="0" width="17"/>
    <col collapsed="false" customWidth="true" hidden="false" outlineLevel="0" max="8" min="8" style="0" width="13"/>
    <col collapsed="false" customWidth="true" hidden="false" outlineLevel="0" max="9" min="9" style="0" width="13.73"/>
    <col collapsed="false" customWidth="true" hidden="false" outlineLevel="0" max="10" min="10" style="0" width="8.27"/>
    <col collapsed="false" customWidth="true" hidden="false" outlineLevel="0" max="11" min="11" style="0" width="9"/>
    <col collapsed="false" customWidth="true" hidden="false" outlineLevel="0" max="12" min="12" style="0" width="13.73"/>
    <col collapsed="false" customWidth="true" hidden="false" outlineLevel="0" max="13" min="13" style="0" width="2.18"/>
    <col collapsed="false" customWidth="true" hidden="false" outlineLevel="0" max="26" min="14" style="0" width="8.73"/>
  </cols>
  <sheetData>
    <row r="1" customFormat="false" ht="18.75" hidden="false" customHeight="true" outlineLevel="0" collapsed="false">
      <c r="A1" s="68" t="s">
        <v>105</v>
      </c>
      <c r="B1" s="68"/>
      <c r="C1" s="69"/>
      <c r="D1" s="69"/>
      <c r="E1" s="54" t="s">
        <v>112</v>
      </c>
      <c r="F1" s="54"/>
      <c r="G1" s="54"/>
      <c r="H1" s="69" t="n">
        <f aca="false">'كشف المطالبة'!E2</f>
        <v>0</v>
      </c>
      <c r="I1" s="69" t="str">
        <f aca="false">'كشف المطالبة'!E3</f>
        <v>الجزء الاول</v>
      </c>
      <c r="J1" s="69"/>
      <c r="K1" s="70" t="str">
        <f aca="false">'كشف المطالبة'!E4</f>
        <v>عاملين</v>
      </c>
      <c r="L1" s="70"/>
    </row>
    <row r="2" customFormat="false" ht="72" hidden="false" customHeight="true" outlineLevel="0" collapsed="false">
      <c r="A2" s="71" t="s">
        <v>106</v>
      </c>
      <c r="B2" s="72" t="s">
        <v>35</v>
      </c>
      <c r="C2" s="72" t="s">
        <v>36</v>
      </c>
      <c r="D2" s="72" t="s">
        <v>107</v>
      </c>
      <c r="E2" s="72" t="s">
        <v>38</v>
      </c>
      <c r="F2" s="72" t="s">
        <v>108</v>
      </c>
      <c r="G2" s="72" t="str">
        <f aca="false">"محلى بعد خصم "&amp;ROUND('كشف المطالبة'!$D$5*100,2)&amp;"%"</f>
        <v>محلى بعد خصم 14%</v>
      </c>
      <c r="H2" s="72" t="str">
        <f aca="false">"مستورد بعد خصم "&amp;ROUND('كشف المطالبة'!$D$6*100,2)&amp;"%"</f>
        <v>مستورد بعد خصم 7%</v>
      </c>
      <c r="I2" s="72" t="s">
        <v>109</v>
      </c>
      <c r="J2" s="73" t="s">
        <v>113</v>
      </c>
      <c r="K2" s="72" t="s">
        <v>110</v>
      </c>
      <c r="L2" s="74" t="s">
        <v>111</v>
      </c>
    </row>
    <row r="3" customFormat="false" ht="15" hidden="false" customHeight="true" outlineLevel="0" collapsed="false">
      <c r="A3" s="75" t="str">
        <f aca="false">IF(81&lt;=Check!$C$4,INDEX(BAHARY!$A$2:$A$901,81),"")</f>
        <v/>
      </c>
      <c r="B3" s="76" t="str">
        <f aca="false">IF($A3="","",INDEX(BAHARY!$B$2:$B$901,81))</f>
        <v/>
      </c>
      <c r="C3" s="76" t="str">
        <f aca="false">IF($A3="","",INDEX(BAHARY!$C$2:$C$901,81))</f>
        <v/>
      </c>
      <c r="D3" s="77" t="str">
        <f aca="false">IF($A3="","",INDEX(BAHARY!$H$2:$H$901,81))</f>
        <v/>
      </c>
      <c r="E3" s="77" t="str">
        <f aca="false">IF($A3="","",INDEX(BAHARY!$E$2:$E$901,81))</f>
        <v/>
      </c>
      <c r="F3" s="77" t="str">
        <f aca="false">IF($A3="","",D3+E3)</f>
        <v/>
      </c>
      <c r="G3" s="77" t="str">
        <f aca="false">IF($A3="","",D3*(1-'كشف المطالبة'!$D$5))</f>
        <v/>
      </c>
      <c r="H3" s="77" t="str">
        <f aca="false">IF($A3="","",E3*(1-'كشف المطالبة'!$D$6))</f>
        <v/>
      </c>
      <c r="I3" s="77" t="str">
        <f aca="false">IF($A3="","",G3+H3)</f>
        <v/>
      </c>
      <c r="J3" s="78" t="str">
        <f aca="false">IF($A3="","",0)</f>
        <v/>
      </c>
      <c r="K3" s="77" t="str">
        <f aca="false">IF($A3="","",F3*J3+INDEX(BAHARY!$N$2:$N$901,81))</f>
        <v/>
      </c>
      <c r="L3" s="79" t="str">
        <f aca="false">IF($A3="","",I3-K3)</f>
        <v/>
      </c>
    </row>
    <row r="4" customFormat="false" ht="15" hidden="false" customHeight="true" outlineLevel="0" collapsed="false">
      <c r="A4" s="75" t="str">
        <f aca="false">IF(82&lt;=Check!$C$4,INDEX(BAHARY!$A$2:$A$901,82),"")</f>
        <v/>
      </c>
      <c r="B4" s="76" t="str">
        <f aca="false">IF($A4="","",INDEX(BAHARY!$B$2:$B$901,82))</f>
        <v/>
      </c>
      <c r="C4" s="76" t="str">
        <f aca="false">IF($A4="","",INDEX(BAHARY!$C$2:$C$901,82))</f>
        <v/>
      </c>
      <c r="D4" s="77" t="str">
        <f aca="false">IF($A4="","",INDEX(BAHARY!$H$2:$H$901,82))</f>
        <v/>
      </c>
      <c r="E4" s="77" t="str">
        <f aca="false">IF($A4="","",INDEX(BAHARY!$E$2:$E$901,82))</f>
        <v/>
      </c>
      <c r="F4" s="77" t="str">
        <f aca="false">IF($A4="","",D4+E4)</f>
        <v/>
      </c>
      <c r="G4" s="77" t="str">
        <f aca="false">IF($A4="","",D4*(1-'كشف المطالبة'!$D$5))</f>
        <v/>
      </c>
      <c r="H4" s="77" t="str">
        <f aca="false">IF($A4="","",E4*(1-'كشف المطالبة'!$D$6))</f>
        <v/>
      </c>
      <c r="I4" s="77" t="str">
        <f aca="false">IF($A4="","",G4+H4)</f>
        <v/>
      </c>
      <c r="J4" s="78" t="str">
        <f aca="false">IF($A4="","",0)</f>
        <v/>
      </c>
      <c r="K4" s="77" t="str">
        <f aca="false">IF($A4="","",F4*J4+INDEX(BAHARY!$N$2:$N$901,82))</f>
        <v/>
      </c>
      <c r="L4" s="79" t="str">
        <f aca="false">IF($A4="","",I4-K4)</f>
        <v/>
      </c>
    </row>
    <row r="5" customFormat="false" ht="15" hidden="false" customHeight="true" outlineLevel="0" collapsed="false">
      <c r="A5" s="75" t="str">
        <f aca="false">IF(83&lt;=Check!$C$4,INDEX(BAHARY!$A$2:$A$901,83),"")</f>
        <v/>
      </c>
      <c r="B5" s="76" t="str">
        <f aca="false">IF($A5="","",INDEX(BAHARY!$B$2:$B$901,83))</f>
        <v/>
      </c>
      <c r="C5" s="76" t="str">
        <f aca="false">IF($A5="","",INDEX(BAHARY!$C$2:$C$901,83))</f>
        <v/>
      </c>
      <c r="D5" s="77" t="str">
        <f aca="false">IF($A5="","",INDEX(BAHARY!$H$2:$H$901,83))</f>
        <v/>
      </c>
      <c r="E5" s="77" t="str">
        <f aca="false">IF($A5="","",INDEX(BAHARY!$E$2:$E$901,83))</f>
        <v/>
      </c>
      <c r="F5" s="77" t="str">
        <f aca="false">IF($A5="","",D5+E5)</f>
        <v/>
      </c>
      <c r="G5" s="77" t="str">
        <f aca="false">IF($A5="","",D5*(1-'كشف المطالبة'!$D$5))</f>
        <v/>
      </c>
      <c r="H5" s="77" t="str">
        <f aca="false">IF($A5="","",E5*(1-'كشف المطالبة'!$D$6))</f>
        <v/>
      </c>
      <c r="I5" s="77" t="str">
        <f aca="false">IF($A5="","",G5+H5)</f>
        <v/>
      </c>
      <c r="J5" s="78" t="str">
        <f aca="false">IF($A5="","",0)</f>
        <v/>
      </c>
      <c r="K5" s="77" t="str">
        <f aca="false">IF($A5="","",F5*J5+INDEX(BAHARY!$N$2:$N$901,83))</f>
        <v/>
      </c>
      <c r="L5" s="79" t="str">
        <f aca="false">IF($A5="","",I5-K5)</f>
        <v/>
      </c>
    </row>
    <row r="6" customFormat="false" ht="15" hidden="false" customHeight="true" outlineLevel="0" collapsed="false">
      <c r="A6" s="75" t="str">
        <f aca="false">IF(84&lt;=Check!$C$4,INDEX(BAHARY!$A$2:$A$901,84),"")</f>
        <v/>
      </c>
      <c r="B6" s="76" t="str">
        <f aca="false">IF($A6="","",INDEX(BAHARY!$B$2:$B$901,84))</f>
        <v/>
      </c>
      <c r="C6" s="76" t="str">
        <f aca="false">IF($A6="","",INDEX(BAHARY!$C$2:$C$901,84))</f>
        <v/>
      </c>
      <c r="D6" s="77" t="str">
        <f aca="false">IF($A6="","",INDEX(BAHARY!$H$2:$H$901,84))</f>
        <v/>
      </c>
      <c r="E6" s="77" t="str">
        <f aca="false">IF($A6="","",INDEX(BAHARY!$E$2:$E$901,84))</f>
        <v/>
      </c>
      <c r="F6" s="77" t="str">
        <f aca="false">IF($A6="","",D6+E6)</f>
        <v/>
      </c>
      <c r="G6" s="77" t="str">
        <f aca="false">IF($A6="","",D6*(1-'كشف المطالبة'!$D$5))</f>
        <v/>
      </c>
      <c r="H6" s="77" t="str">
        <f aca="false">IF($A6="","",E6*(1-'كشف المطالبة'!$D$6))</f>
        <v/>
      </c>
      <c r="I6" s="77" t="str">
        <f aca="false">IF($A6="","",G6+H6)</f>
        <v/>
      </c>
      <c r="J6" s="78" t="str">
        <f aca="false">IF($A6="","",0)</f>
        <v/>
      </c>
      <c r="K6" s="77" t="str">
        <f aca="false">IF($A6="","",F6*J6+INDEX(BAHARY!$N$2:$N$901,84))</f>
        <v/>
      </c>
      <c r="L6" s="79" t="str">
        <f aca="false">IF($A6="","",I6-K6)</f>
        <v/>
      </c>
    </row>
    <row r="7" customFormat="false" ht="15" hidden="false" customHeight="true" outlineLevel="0" collapsed="false">
      <c r="A7" s="75" t="str">
        <f aca="false">IF(85&lt;=Check!$C$4,INDEX(BAHARY!$A$2:$A$901,85),"")</f>
        <v/>
      </c>
      <c r="B7" s="76" t="str">
        <f aca="false">IF($A7="","",INDEX(BAHARY!$B$2:$B$901,85))</f>
        <v/>
      </c>
      <c r="C7" s="76" t="str">
        <f aca="false">IF($A7="","",INDEX(BAHARY!$C$2:$C$901,85))</f>
        <v/>
      </c>
      <c r="D7" s="77" t="str">
        <f aca="false">IF($A7="","",INDEX(BAHARY!$H$2:$H$901,85))</f>
        <v/>
      </c>
      <c r="E7" s="77" t="str">
        <f aca="false">IF($A7="","",INDEX(BAHARY!$E$2:$E$901,85))</f>
        <v/>
      </c>
      <c r="F7" s="77" t="str">
        <f aca="false">IF($A7="","",D7+E7)</f>
        <v/>
      </c>
      <c r="G7" s="77" t="str">
        <f aca="false">IF($A7="","",D7*(1-'كشف المطالبة'!$D$5))</f>
        <v/>
      </c>
      <c r="H7" s="77" t="str">
        <f aca="false">IF($A7="","",E7*(1-'كشف المطالبة'!$D$6))</f>
        <v/>
      </c>
      <c r="I7" s="77" t="str">
        <f aca="false">IF($A7="","",G7+H7)</f>
        <v/>
      </c>
      <c r="J7" s="78" t="str">
        <f aca="false">IF($A7="","",0)</f>
        <v/>
      </c>
      <c r="K7" s="77" t="str">
        <f aca="false">IF($A7="","",F7*J7+INDEX(BAHARY!$N$2:$N$901,85))</f>
        <v/>
      </c>
      <c r="L7" s="79" t="str">
        <f aca="false">IF($A7="","",I7-K7)</f>
        <v/>
      </c>
    </row>
    <row r="8" customFormat="false" ht="18" hidden="false" customHeight="true" outlineLevel="0" collapsed="false">
      <c r="A8" s="75" t="str">
        <f aca="false">IF(86&lt;=Check!$C$4,INDEX(BAHARY!$A$2:$A$901,86),"")</f>
        <v/>
      </c>
      <c r="B8" s="76" t="str">
        <f aca="false">IF($A8="","",INDEX(BAHARY!$B$2:$B$901,86))</f>
        <v/>
      </c>
      <c r="C8" s="76" t="str">
        <f aca="false">IF($A8="","",INDEX(BAHARY!$C$2:$C$901,86))</f>
        <v/>
      </c>
      <c r="D8" s="77" t="str">
        <f aca="false">IF($A8="","",INDEX(BAHARY!$H$2:$H$901,86))</f>
        <v/>
      </c>
      <c r="E8" s="77" t="str">
        <f aca="false">IF($A8="","",INDEX(BAHARY!$E$2:$E$901,86))</f>
        <v/>
      </c>
      <c r="F8" s="77" t="str">
        <f aca="false">IF($A8="","",D8+E8)</f>
        <v/>
      </c>
      <c r="G8" s="77" t="str">
        <f aca="false">IF($A8="","",D8*(1-'كشف المطالبة'!$D$5))</f>
        <v/>
      </c>
      <c r="H8" s="77" t="str">
        <f aca="false">IF($A8="","",E8*(1-'كشف المطالبة'!$D$6))</f>
        <v/>
      </c>
      <c r="I8" s="77" t="str">
        <f aca="false">IF($A8="","",G8+H8)</f>
        <v/>
      </c>
      <c r="J8" s="78" t="str">
        <f aca="false">IF($A8="","",0)</f>
        <v/>
      </c>
      <c r="K8" s="77" t="str">
        <f aca="false">IF($A8="","",F8*J8+INDEX(BAHARY!$N$2:$N$901,86))</f>
        <v/>
      </c>
      <c r="L8" s="79" t="str">
        <f aca="false">IF($A8="","",I8-K8)</f>
        <v/>
      </c>
    </row>
    <row r="9" customFormat="false" ht="15" hidden="false" customHeight="true" outlineLevel="0" collapsed="false">
      <c r="A9" s="75" t="str">
        <f aca="false">IF(87&lt;=Check!$C$4,INDEX(BAHARY!$A$2:$A$901,87),"")</f>
        <v/>
      </c>
      <c r="B9" s="80" t="str">
        <f aca="false">IF($A9="","",INDEX(BAHARY!$B$2:$B$901,87))</f>
        <v/>
      </c>
      <c r="C9" s="76" t="str">
        <f aca="false">IF($A9="","",INDEX(BAHARY!$C$2:$C$901,87))</f>
        <v/>
      </c>
      <c r="D9" s="77" t="str">
        <f aca="false">IF($A9="","",INDEX(BAHARY!$H$2:$H$901,87))</f>
        <v/>
      </c>
      <c r="E9" s="77" t="str">
        <f aca="false">IF($A9="","",INDEX(BAHARY!$E$2:$E$901,87))</f>
        <v/>
      </c>
      <c r="F9" s="77" t="str">
        <f aca="false">IF($A9="","",D9+E9)</f>
        <v/>
      </c>
      <c r="G9" s="77" t="str">
        <f aca="false">IF($A9="","",D9*(1-'كشف المطالبة'!$D$5))</f>
        <v/>
      </c>
      <c r="H9" s="77" t="str">
        <f aca="false">IF($A9="","",E9*(1-'كشف المطالبة'!$D$6))</f>
        <v/>
      </c>
      <c r="I9" s="77" t="str">
        <f aca="false">IF($A9="","",G9+H9)</f>
        <v/>
      </c>
      <c r="J9" s="78" t="str">
        <f aca="false">IF($A9="","",0)</f>
        <v/>
      </c>
      <c r="K9" s="77" t="str">
        <f aca="false">IF($A9="","",F9*J9+INDEX(BAHARY!$N$2:$N$901,87))</f>
        <v/>
      </c>
      <c r="L9" s="79" t="str">
        <f aca="false">IF($A9="","",I9-K9)</f>
        <v/>
      </c>
    </row>
    <row r="10" customFormat="false" ht="15" hidden="false" customHeight="true" outlineLevel="0" collapsed="false">
      <c r="A10" s="75" t="str">
        <f aca="false">IF(88&lt;=Check!$C$4,INDEX(BAHARY!$A$2:$A$901,88),"")</f>
        <v/>
      </c>
      <c r="B10" s="76" t="str">
        <f aca="false">IF($A10="","",INDEX(BAHARY!$B$2:$B$901,88))</f>
        <v/>
      </c>
      <c r="C10" s="76" t="str">
        <f aca="false">IF($A10="","",INDEX(BAHARY!$C$2:$C$901,88))</f>
        <v/>
      </c>
      <c r="D10" s="77" t="str">
        <f aca="false">IF($A10="","",INDEX(BAHARY!$H$2:$H$901,88))</f>
        <v/>
      </c>
      <c r="E10" s="77" t="str">
        <f aca="false">IF($A10="","",INDEX(BAHARY!$E$2:$E$901,88))</f>
        <v/>
      </c>
      <c r="F10" s="77" t="str">
        <f aca="false">IF($A10="","",D10+E10)</f>
        <v/>
      </c>
      <c r="G10" s="77" t="str">
        <f aca="false">IF($A10="","",D10*(1-'كشف المطالبة'!$D$5))</f>
        <v/>
      </c>
      <c r="H10" s="77" t="str">
        <f aca="false">IF($A10="","",E10*(1-'كشف المطالبة'!$D$6))</f>
        <v/>
      </c>
      <c r="I10" s="77" t="str">
        <f aca="false">IF($A10="","",G10+H10)</f>
        <v/>
      </c>
      <c r="J10" s="78" t="str">
        <f aca="false">IF($A10="","",0)</f>
        <v/>
      </c>
      <c r="K10" s="77" t="str">
        <f aca="false">IF($A10="","",F10*J10+INDEX(BAHARY!$N$2:$N$901,88))</f>
        <v/>
      </c>
      <c r="L10" s="79" t="str">
        <f aca="false">IF($A10="","",I10-K10)</f>
        <v/>
      </c>
    </row>
    <row r="11" customFormat="false" ht="15" hidden="false" customHeight="true" outlineLevel="0" collapsed="false">
      <c r="A11" s="75" t="str">
        <f aca="false">IF(89&lt;=Check!$C$4,INDEX(BAHARY!$A$2:$A$901,89),"")</f>
        <v/>
      </c>
      <c r="B11" s="76" t="str">
        <f aca="false">IF($A11="","",INDEX(BAHARY!$B$2:$B$901,89))</f>
        <v/>
      </c>
      <c r="C11" s="76" t="str">
        <f aca="false">IF($A11="","",INDEX(BAHARY!$C$2:$C$901,89))</f>
        <v/>
      </c>
      <c r="D11" s="77" t="str">
        <f aca="false">IF($A11="","",INDEX(BAHARY!$H$2:$H$901,89))</f>
        <v/>
      </c>
      <c r="E11" s="77" t="str">
        <f aca="false">IF($A11="","",INDEX(BAHARY!$E$2:$E$901,89))</f>
        <v/>
      </c>
      <c r="F11" s="77" t="str">
        <f aca="false">IF($A11="","",D11+E11)</f>
        <v/>
      </c>
      <c r="G11" s="77" t="str">
        <f aca="false">IF($A11="","",D11*(1-'كشف المطالبة'!$D$5))</f>
        <v/>
      </c>
      <c r="H11" s="77" t="str">
        <f aca="false">IF($A11="","",E11*(1-'كشف المطالبة'!$D$6))</f>
        <v/>
      </c>
      <c r="I11" s="77" t="str">
        <f aca="false">IF($A11="","",G11+H11)</f>
        <v/>
      </c>
      <c r="J11" s="78" t="str">
        <f aca="false">IF($A11="","",0)</f>
        <v/>
      </c>
      <c r="K11" s="77" t="str">
        <f aca="false">IF($A11="","",F11*J11+INDEX(BAHARY!$N$2:$N$901,89))</f>
        <v/>
      </c>
      <c r="L11" s="79" t="str">
        <f aca="false">IF($A11="","",I11-K11)</f>
        <v/>
      </c>
    </row>
    <row r="12" customFormat="false" ht="15" hidden="false" customHeight="true" outlineLevel="0" collapsed="false">
      <c r="A12" s="75" t="str">
        <f aca="false">IF(90&lt;=Check!$C$4,INDEX(BAHARY!$A$2:$A$901,90),"")</f>
        <v/>
      </c>
      <c r="B12" s="76" t="str">
        <f aca="false">IF($A12="","",INDEX(BAHARY!$B$2:$B$901,90))</f>
        <v/>
      </c>
      <c r="C12" s="76" t="str">
        <f aca="false">IF($A12="","",INDEX(BAHARY!$C$2:$C$901,90))</f>
        <v/>
      </c>
      <c r="D12" s="77" t="str">
        <f aca="false">IF($A12="","",INDEX(BAHARY!$H$2:$H$901,90))</f>
        <v/>
      </c>
      <c r="E12" s="77" t="str">
        <f aca="false">IF($A12="","",INDEX(BAHARY!$E$2:$E$901,90))</f>
        <v/>
      </c>
      <c r="F12" s="77" t="str">
        <f aca="false">IF($A12="","",D12+E12)</f>
        <v/>
      </c>
      <c r="G12" s="77" t="str">
        <f aca="false">IF($A12="","",D12*(1-'كشف المطالبة'!$D$5))</f>
        <v/>
      </c>
      <c r="H12" s="77" t="str">
        <f aca="false">IF($A12="","",E12*(1-'كشف المطالبة'!$D$6))</f>
        <v/>
      </c>
      <c r="I12" s="77" t="str">
        <f aca="false">IF($A12="","",G12+H12)</f>
        <v/>
      </c>
      <c r="J12" s="78" t="str">
        <f aca="false">IF($A12="","",0)</f>
        <v/>
      </c>
      <c r="K12" s="77" t="str">
        <f aca="false">IF($A12="","",F12*J12+INDEX(BAHARY!$N$2:$N$901,90))</f>
        <v/>
      </c>
      <c r="L12" s="79" t="str">
        <f aca="false">IF($A12="","",I12-K12)</f>
        <v/>
      </c>
    </row>
    <row r="13" customFormat="false" ht="15" hidden="false" customHeight="true" outlineLevel="0" collapsed="false">
      <c r="A13" s="75" t="str">
        <f aca="false">IF(91&lt;=Check!$C$4,INDEX(BAHARY!$A$2:$A$901,91),"")</f>
        <v/>
      </c>
      <c r="B13" s="76" t="str">
        <f aca="false">IF($A13="","",INDEX(BAHARY!$B$2:$B$901,91))</f>
        <v/>
      </c>
      <c r="C13" s="76" t="str">
        <f aca="false">IF($A13="","",INDEX(BAHARY!$C$2:$C$901,91))</f>
        <v/>
      </c>
      <c r="D13" s="77" t="str">
        <f aca="false">IF($A13="","",INDEX(BAHARY!$H$2:$H$901,91))</f>
        <v/>
      </c>
      <c r="E13" s="77" t="str">
        <f aca="false">IF($A13="","",INDEX(BAHARY!$E$2:$E$901,91))</f>
        <v/>
      </c>
      <c r="F13" s="77" t="str">
        <f aca="false">IF($A13="","",D13+E13)</f>
        <v/>
      </c>
      <c r="G13" s="77" t="str">
        <f aca="false">IF($A13="","",D13*(1-'كشف المطالبة'!$D$5))</f>
        <v/>
      </c>
      <c r="H13" s="77" t="str">
        <f aca="false">IF($A13="","",E13*(1-'كشف المطالبة'!$D$6))</f>
        <v/>
      </c>
      <c r="I13" s="77" t="str">
        <f aca="false">IF($A13="","",G13+H13)</f>
        <v/>
      </c>
      <c r="J13" s="78" t="str">
        <f aca="false">IF($A13="","",0)</f>
        <v/>
      </c>
      <c r="K13" s="77" t="str">
        <f aca="false">IF($A13="","",F13*J13+INDEX(BAHARY!$N$2:$N$901,91))</f>
        <v/>
      </c>
      <c r="L13" s="79" t="str">
        <f aca="false">IF($A13="","",I13-K13)</f>
        <v/>
      </c>
    </row>
    <row r="14" customFormat="false" ht="15" hidden="false" customHeight="true" outlineLevel="0" collapsed="false">
      <c r="A14" s="75" t="str">
        <f aca="false">IF(92&lt;=Check!$C$4,INDEX(BAHARY!$A$2:$A$901,92),"")</f>
        <v/>
      </c>
      <c r="B14" s="76" t="str">
        <f aca="false">IF($A14="","",INDEX(BAHARY!$B$2:$B$901,92))</f>
        <v/>
      </c>
      <c r="C14" s="76" t="str">
        <f aca="false">IF($A14="","",INDEX(BAHARY!$C$2:$C$901,92))</f>
        <v/>
      </c>
      <c r="D14" s="77" t="str">
        <f aca="false">IF($A14="","",INDEX(BAHARY!$H$2:$H$901,92))</f>
        <v/>
      </c>
      <c r="E14" s="77" t="str">
        <f aca="false">IF($A14="","",INDEX(BAHARY!$E$2:$E$901,92))</f>
        <v/>
      </c>
      <c r="F14" s="77" t="str">
        <f aca="false">IF($A14="","",D14+E14)</f>
        <v/>
      </c>
      <c r="G14" s="77" t="str">
        <f aca="false">IF($A14="","",D14*(1-'كشف المطالبة'!$D$5))</f>
        <v/>
      </c>
      <c r="H14" s="77" t="str">
        <f aca="false">IF($A14="","",E14*(1-'كشف المطالبة'!$D$6))</f>
        <v/>
      </c>
      <c r="I14" s="77" t="str">
        <f aca="false">IF($A14="","",G14+H14)</f>
        <v/>
      </c>
      <c r="J14" s="78" t="str">
        <f aca="false">IF($A14="","",0)</f>
        <v/>
      </c>
      <c r="K14" s="77" t="str">
        <f aca="false">IF($A14="","",F14*J14+INDEX(BAHARY!$N$2:$N$901,92))</f>
        <v/>
      </c>
      <c r="L14" s="79" t="str">
        <f aca="false">IF($A14="","",I14-K14)</f>
        <v/>
      </c>
    </row>
    <row r="15" customFormat="false" ht="15" hidden="false" customHeight="true" outlineLevel="0" collapsed="false">
      <c r="A15" s="75" t="str">
        <f aca="false">IF(93&lt;=Check!$C$4,INDEX(BAHARY!$A$2:$A$901,93),"")</f>
        <v/>
      </c>
      <c r="B15" s="76" t="str">
        <f aca="false">IF($A15="","",INDEX(BAHARY!$B$2:$B$901,93))</f>
        <v/>
      </c>
      <c r="C15" s="76" t="str">
        <f aca="false">IF($A15="","",INDEX(BAHARY!$C$2:$C$901,93))</f>
        <v/>
      </c>
      <c r="D15" s="77" t="str">
        <f aca="false">IF($A15="","",INDEX(BAHARY!$H$2:$H$901,93))</f>
        <v/>
      </c>
      <c r="E15" s="77" t="str">
        <f aca="false">IF($A15="","",INDEX(BAHARY!$E$2:$E$901,93))</f>
        <v/>
      </c>
      <c r="F15" s="77" t="str">
        <f aca="false">IF($A15="","",D15+E15)</f>
        <v/>
      </c>
      <c r="G15" s="77" t="str">
        <f aca="false">IF($A15="","",D15*(1-'كشف المطالبة'!$D$5))</f>
        <v/>
      </c>
      <c r="H15" s="77" t="str">
        <f aca="false">IF($A15="","",E15*(1-'كشف المطالبة'!$D$6))</f>
        <v/>
      </c>
      <c r="I15" s="77" t="str">
        <f aca="false">IF($A15="","",G15+H15)</f>
        <v/>
      </c>
      <c r="J15" s="78" t="str">
        <f aca="false">IF($A15="","",0)</f>
        <v/>
      </c>
      <c r="K15" s="77" t="str">
        <f aca="false">IF($A15="","",F15*J15+INDEX(BAHARY!$N$2:$N$901,93))</f>
        <v/>
      </c>
      <c r="L15" s="79" t="str">
        <f aca="false">IF($A15="","",I15-K15)</f>
        <v/>
      </c>
    </row>
    <row r="16" customFormat="false" ht="15" hidden="false" customHeight="true" outlineLevel="0" collapsed="false">
      <c r="A16" s="75" t="str">
        <f aca="false">IF(94&lt;=Check!$C$4,INDEX(BAHARY!$A$2:$A$901,94),"")</f>
        <v/>
      </c>
      <c r="B16" s="76" t="str">
        <f aca="false">IF($A16="","",INDEX(BAHARY!$B$2:$B$901,94))</f>
        <v/>
      </c>
      <c r="C16" s="76" t="str">
        <f aca="false">IF($A16="","",INDEX(BAHARY!$C$2:$C$901,94))</f>
        <v/>
      </c>
      <c r="D16" s="77" t="str">
        <f aca="false">IF($A16="","",INDEX(BAHARY!$H$2:$H$901,94))</f>
        <v/>
      </c>
      <c r="E16" s="77" t="str">
        <f aca="false">IF($A16="","",INDEX(BAHARY!$E$2:$E$901,94))</f>
        <v/>
      </c>
      <c r="F16" s="77" t="str">
        <f aca="false">IF($A16="","",D16+E16)</f>
        <v/>
      </c>
      <c r="G16" s="77" t="str">
        <f aca="false">IF($A16="","",D16*(1-'كشف المطالبة'!$D$5))</f>
        <v/>
      </c>
      <c r="H16" s="77" t="str">
        <f aca="false">IF($A16="","",E16*(1-'كشف المطالبة'!$D$6))</f>
        <v/>
      </c>
      <c r="I16" s="77" t="str">
        <f aca="false">IF($A16="","",G16+H16)</f>
        <v/>
      </c>
      <c r="J16" s="78" t="str">
        <f aca="false">IF($A16="","",0)</f>
        <v/>
      </c>
      <c r="K16" s="77" t="str">
        <f aca="false">IF($A16="","",F16*J16+INDEX(BAHARY!$N$2:$N$901,94))</f>
        <v/>
      </c>
      <c r="L16" s="79" t="str">
        <f aca="false">IF($A16="","",I16-K16)</f>
        <v/>
      </c>
    </row>
    <row r="17" customFormat="false" ht="15" hidden="false" customHeight="true" outlineLevel="0" collapsed="false">
      <c r="A17" s="75" t="str">
        <f aca="false">IF(95&lt;=Check!$C$4,INDEX(BAHARY!$A$2:$A$901,95),"")</f>
        <v/>
      </c>
      <c r="B17" s="76" t="str">
        <f aca="false">IF($A17="","",INDEX(BAHARY!$B$2:$B$901,95))</f>
        <v/>
      </c>
      <c r="C17" s="76" t="str">
        <f aca="false">IF($A17="","",INDEX(BAHARY!$C$2:$C$901,95))</f>
        <v/>
      </c>
      <c r="D17" s="77" t="str">
        <f aca="false">IF($A17="","",INDEX(BAHARY!$H$2:$H$901,95))</f>
        <v/>
      </c>
      <c r="E17" s="77" t="str">
        <f aca="false">IF($A17="","",INDEX(BAHARY!$E$2:$E$901,95))</f>
        <v/>
      </c>
      <c r="F17" s="77" t="str">
        <f aca="false">IF($A17="","",D17+E17)</f>
        <v/>
      </c>
      <c r="G17" s="77" t="str">
        <f aca="false">IF($A17="","",D17*(1-'كشف المطالبة'!$D$5))</f>
        <v/>
      </c>
      <c r="H17" s="77" t="str">
        <f aca="false">IF($A17="","",E17*(1-'كشف المطالبة'!$D$6))</f>
        <v/>
      </c>
      <c r="I17" s="77" t="str">
        <f aca="false">IF($A17="","",G17+H17)</f>
        <v/>
      </c>
      <c r="J17" s="78" t="str">
        <f aca="false">IF($A17="","",0)</f>
        <v/>
      </c>
      <c r="K17" s="77" t="str">
        <f aca="false">IF($A17="","",F17*J17+INDEX(BAHARY!$N$2:$N$901,95))</f>
        <v/>
      </c>
      <c r="L17" s="79" t="str">
        <f aca="false">IF($A17="","",I17-K17)</f>
        <v/>
      </c>
    </row>
    <row r="18" customFormat="false" ht="15" hidden="false" customHeight="true" outlineLevel="0" collapsed="false">
      <c r="A18" s="75" t="str">
        <f aca="false">IF(96&lt;=Check!$C$4,INDEX(BAHARY!$A$2:$A$901,96),"")</f>
        <v/>
      </c>
      <c r="B18" s="80" t="str">
        <f aca="false">IF($A18="","",INDEX(BAHARY!$B$2:$B$901,96))</f>
        <v/>
      </c>
      <c r="C18" s="76" t="str">
        <f aca="false">IF($A18="","",INDEX(BAHARY!$C$2:$C$901,96))</f>
        <v/>
      </c>
      <c r="D18" s="77" t="str">
        <f aca="false">IF($A18="","",INDEX(BAHARY!$H$2:$H$901,96))</f>
        <v/>
      </c>
      <c r="E18" s="77" t="str">
        <f aca="false">IF($A18="","",INDEX(BAHARY!$E$2:$E$901,96))</f>
        <v/>
      </c>
      <c r="F18" s="77" t="str">
        <f aca="false">IF($A18="","",D18+E18)</f>
        <v/>
      </c>
      <c r="G18" s="77" t="str">
        <f aca="false">IF($A18="","",D18*(1-'كشف المطالبة'!$D$5))</f>
        <v/>
      </c>
      <c r="H18" s="77" t="str">
        <f aca="false">IF($A18="","",E18*(1-'كشف المطالبة'!$D$6))</f>
        <v/>
      </c>
      <c r="I18" s="77" t="str">
        <f aca="false">IF($A18="","",G18+H18)</f>
        <v/>
      </c>
      <c r="J18" s="78" t="str">
        <f aca="false">IF($A18="","",0)</f>
        <v/>
      </c>
      <c r="K18" s="77" t="str">
        <f aca="false">IF($A18="","",F18*J18+INDEX(BAHARY!$N$2:$N$901,96))</f>
        <v/>
      </c>
      <c r="L18" s="79" t="str">
        <f aca="false">IF($A18="","",I18-K18)</f>
        <v/>
      </c>
    </row>
    <row r="19" customFormat="false" ht="15" hidden="false" customHeight="true" outlineLevel="0" collapsed="false">
      <c r="A19" s="75" t="str">
        <f aca="false">IF(97&lt;=Check!$C$4,INDEX(BAHARY!$A$2:$A$901,97),"")</f>
        <v/>
      </c>
      <c r="B19" s="76" t="str">
        <f aca="false">IF($A19="","",INDEX(BAHARY!$B$2:$B$901,97))</f>
        <v/>
      </c>
      <c r="C19" s="76" t="str">
        <f aca="false">IF($A19="","",INDEX(BAHARY!$C$2:$C$901,97))</f>
        <v/>
      </c>
      <c r="D19" s="77" t="str">
        <f aca="false">IF($A19="","",INDEX(BAHARY!$H$2:$H$901,97))</f>
        <v/>
      </c>
      <c r="E19" s="77" t="str">
        <f aca="false">IF($A19="","",INDEX(BAHARY!$E$2:$E$901,97))</f>
        <v/>
      </c>
      <c r="F19" s="77" t="str">
        <f aca="false">IF($A19="","",D19+E19)</f>
        <v/>
      </c>
      <c r="G19" s="77" t="str">
        <f aca="false">IF($A19="","",D19*(1-'كشف المطالبة'!$D$5))</f>
        <v/>
      </c>
      <c r="H19" s="77" t="str">
        <f aca="false">IF($A19="","",E19*(1-'كشف المطالبة'!$D$6))</f>
        <v/>
      </c>
      <c r="I19" s="77" t="str">
        <f aca="false">IF($A19="","",G19+H19)</f>
        <v/>
      </c>
      <c r="J19" s="78" t="str">
        <f aca="false">IF($A19="","",0)</f>
        <v/>
      </c>
      <c r="K19" s="77" t="str">
        <f aca="false">IF($A19="","",F19*J19+INDEX(BAHARY!$N$2:$N$901,97))</f>
        <v/>
      </c>
      <c r="L19" s="79" t="str">
        <f aca="false">IF($A19="","",I19-K19)</f>
        <v/>
      </c>
    </row>
    <row r="20" customFormat="false" ht="15" hidden="false" customHeight="true" outlineLevel="0" collapsed="false">
      <c r="A20" s="75" t="str">
        <f aca="false">IF(98&lt;=Check!$C$4,INDEX(BAHARY!$A$2:$A$901,98),"")</f>
        <v/>
      </c>
      <c r="B20" s="76" t="str">
        <f aca="false">IF($A20="","",INDEX(BAHARY!$B$2:$B$901,98))</f>
        <v/>
      </c>
      <c r="C20" s="76" t="str">
        <f aca="false">IF($A20="","",INDEX(BAHARY!$C$2:$C$901,98))</f>
        <v/>
      </c>
      <c r="D20" s="77" t="str">
        <f aca="false">IF($A20="","",INDEX(BAHARY!$H$2:$H$901,98))</f>
        <v/>
      </c>
      <c r="E20" s="77" t="str">
        <f aca="false">IF($A20="","",INDEX(BAHARY!$E$2:$E$901,98))</f>
        <v/>
      </c>
      <c r="F20" s="77" t="str">
        <f aca="false">IF($A20="","",D20+E20)</f>
        <v/>
      </c>
      <c r="G20" s="77" t="str">
        <f aca="false">IF($A20="","",D20*(1-'كشف المطالبة'!$D$5))</f>
        <v/>
      </c>
      <c r="H20" s="77" t="str">
        <f aca="false">IF($A20="","",E20*(1-'كشف المطالبة'!$D$6))</f>
        <v/>
      </c>
      <c r="I20" s="77" t="str">
        <f aca="false">IF($A20="","",G20+H20)</f>
        <v/>
      </c>
      <c r="J20" s="78" t="str">
        <f aca="false">IF($A20="","",0)</f>
        <v/>
      </c>
      <c r="K20" s="77" t="str">
        <f aca="false">IF($A20="","",F20*J20+INDEX(BAHARY!$N$2:$N$901,98))</f>
        <v/>
      </c>
      <c r="L20" s="79" t="str">
        <f aca="false">IF($A20="","",I20-K20)</f>
        <v/>
      </c>
    </row>
    <row r="21" customFormat="false" ht="15" hidden="false" customHeight="true" outlineLevel="0" collapsed="false">
      <c r="A21" s="75" t="str">
        <f aca="false">IF(99&lt;=Check!$C$4,INDEX(BAHARY!$A$2:$A$901,99),"")</f>
        <v/>
      </c>
      <c r="B21" s="76" t="str">
        <f aca="false">IF($A21="","",INDEX(BAHARY!$B$2:$B$901,99))</f>
        <v/>
      </c>
      <c r="C21" s="76" t="str">
        <f aca="false">IF($A21="","",INDEX(BAHARY!$C$2:$C$901,99))</f>
        <v/>
      </c>
      <c r="D21" s="77" t="str">
        <f aca="false">IF($A21="","",INDEX(BAHARY!$H$2:$H$901,99))</f>
        <v/>
      </c>
      <c r="E21" s="77" t="str">
        <f aca="false">IF($A21="","",INDEX(BAHARY!$E$2:$E$901,99))</f>
        <v/>
      </c>
      <c r="F21" s="77" t="str">
        <f aca="false">IF($A21="","",D21+E21)</f>
        <v/>
      </c>
      <c r="G21" s="77" t="str">
        <f aca="false">IF($A21="","",D21*(1-'كشف المطالبة'!$D$5))</f>
        <v/>
      </c>
      <c r="H21" s="77" t="str">
        <f aca="false">IF($A21="","",E21*(1-'كشف المطالبة'!$D$6))</f>
        <v/>
      </c>
      <c r="I21" s="77" t="str">
        <f aca="false">IF($A21="","",G21+H21)</f>
        <v/>
      </c>
      <c r="J21" s="78" t="str">
        <f aca="false">IF($A21="","",0)</f>
        <v/>
      </c>
      <c r="K21" s="77" t="str">
        <f aca="false">IF($A21="","",F21*J21+INDEX(BAHARY!$N$2:$N$901,99))</f>
        <v/>
      </c>
      <c r="L21" s="79" t="str">
        <f aca="false">IF($A21="","",I21-K21)</f>
        <v/>
      </c>
    </row>
    <row r="22" customFormat="false" ht="15" hidden="false" customHeight="true" outlineLevel="0" collapsed="false">
      <c r="A22" s="75" t="str">
        <f aca="false">IF(100&lt;=Check!$C$4,INDEX(BAHARY!$A$2:$A$901,100),"")</f>
        <v/>
      </c>
      <c r="B22" s="76" t="str">
        <f aca="false">IF($A22="","",INDEX(BAHARY!$B$2:$B$901,100))</f>
        <v/>
      </c>
      <c r="C22" s="76" t="str">
        <f aca="false">IF($A22="","",INDEX(BAHARY!$C$2:$C$901,100))</f>
        <v/>
      </c>
      <c r="D22" s="77" t="str">
        <f aca="false">IF($A22="","",INDEX(BAHARY!$H$2:$H$901,100))</f>
        <v/>
      </c>
      <c r="E22" s="77" t="str">
        <f aca="false">IF($A22="","",INDEX(BAHARY!$E$2:$E$901,100))</f>
        <v/>
      </c>
      <c r="F22" s="77" t="str">
        <f aca="false">IF($A22="","",D22+E22)</f>
        <v/>
      </c>
      <c r="G22" s="77" t="str">
        <f aca="false">IF($A22="","",D22*(1-'كشف المطالبة'!$D$5))</f>
        <v/>
      </c>
      <c r="H22" s="77" t="str">
        <f aca="false">IF($A22="","",E22*(1-'كشف المطالبة'!$D$6))</f>
        <v/>
      </c>
      <c r="I22" s="77" t="str">
        <f aca="false">IF($A22="","",G22+H22)</f>
        <v/>
      </c>
      <c r="J22" s="78" t="str">
        <f aca="false">IF($A22="","",0)</f>
        <v/>
      </c>
      <c r="K22" s="77" t="str">
        <f aca="false">IF($A22="","",F22*J22+INDEX(BAHARY!$N$2:$N$901,100))</f>
        <v/>
      </c>
      <c r="L22" s="79" t="str">
        <f aca="false">IF($A22="","",I22-K22)</f>
        <v/>
      </c>
    </row>
    <row r="23" customFormat="false" ht="15" hidden="false" customHeight="true" outlineLevel="0" collapsed="false">
      <c r="A23" s="75" t="str">
        <f aca="false">IF(101&lt;=Check!$C$4,INDEX(BAHARY!$A$2:$A$901,101),"")</f>
        <v/>
      </c>
      <c r="B23" s="76" t="str">
        <f aca="false">IF($A23="","",INDEX(BAHARY!$B$2:$B$901,101))</f>
        <v/>
      </c>
      <c r="C23" s="76" t="str">
        <f aca="false">IF($A23="","",INDEX(BAHARY!$C$2:$C$901,101))</f>
        <v/>
      </c>
      <c r="D23" s="77" t="str">
        <f aca="false">IF($A23="","",INDEX(BAHARY!$H$2:$H$901,101))</f>
        <v/>
      </c>
      <c r="E23" s="77" t="str">
        <f aca="false">IF($A23="","",INDEX(BAHARY!$E$2:$E$901,101))</f>
        <v/>
      </c>
      <c r="F23" s="77" t="str">
        <f aca="false">IF($A23="","",D23+E23)</f>
        <v/>
      </c>
      <c r="G23" s="77" t="str">
        <f aca="false">IF($A23="","",D23*(1-'كشف المطالبة'!$D$5))</f>
        <v/>
      </c>
      <c r="H23" s="77" t="str">
        <f aca="false">IF($A23="","",E23*(1-'كشف المطالبة'!$D$6))</f>
        <v/>
      </c>
      <c r="I23" s="77" t="str">
        <f aca="false">IF($A23="","",G23+H23)</f>
        <v/>
      </c>
      <c r="J23" s="78" t="str">
        <f aca="false">IF($A23="","",0)</f>
        <v/>
      </c>
      <c r="K23" s="77" t="str">
        <f aca="false">IF($A23="","",F23*J23+INDEX(BAHARY!$N$2:$N$901,101))</f>
        <v/>
      </c>
      <c r="L23" s="79" t="str">
        <f aca="false">IF($A23="","",I23-K23)</f>
        <v/>
      </c>
    </row>
    <row r="24" customFormat="false" ht="15" hidden="false" customHeight="true" outlineLevel="0" collapsed="false">
      <c r="A24" s="75" t="str">
        <f aca="false">IF(102&lt;=Check!$C$4,INDEX(BAHARY!$A$2:$A$901,102),"")</f>
        <v/>
      </c>
      <c r="B24" s="76" t="str">
        <f aca="false">IF($A24="","",INDEX(BAHARY!$B$2:$B$901,102))</f>
        <v/>
      </c>
      <c r="C24" s="76" t="str">
        <f aca="false">IF($A24="","",INDEX(BAHARY!$C$2:$C$901,102))</f>
        <v/>
      </c>
      <c r="D24" s="77" t="str">
        <f aca="false">IF($A24="","",INDEX(BAHARY!$H$2:$H$901,102))</f>
        <v/>
      </c>
      <c r="E24" s="77" t="str">
        <f aca="false">IF($A24="","",INDEX(BAHARY!$E$2:$E$901,102))</f>
        <v/>
      </c>
      <c r="F24" s="77" t="str">
        <f aca="false">IF($A24="","",D24+E24)</f>
        <v/>
      </c>
      <c r="G24" s="77" t="str">
        <f aca="false">IF($A24="","",D24*(1-'كشف المطالبة'!$D$5))</f>
        <v/>
      </c>
      <c r="H24" s="77" t="str">
        <f aca="false">IF($A24="","",E24*(1-'كشف المطالبة'!$D$6))</f>
        <v/>
      </c>
      <c r="I24" s="77" t="str">
        <f aca="false">IF($A24="","",G24+H24)</f>
        <v/>
      </c>
      <c r="J24" s="78" t="str">
        <f aca="false">IF($A24="","",0)</f>
        <v/>
      </c>
      <c r="K24" s="77" t="str">
        <f aca="false">IF($A24="","",F24*J24+INDEX(BAHARY!$N$2:$N$901,102))</f>
        <v/>
      </c>
      <c r="L24" s="79" t="str">
        <f aca="false">IF($A24="","",I24-K24)</f>
        <v/>
      </c>
    </row>
    <row r="25" customFormat="false" ht="15" hidden="false" customHeight="true" outlineLevel="0" collapsed="false">
      <c r="A25" s="75" t="str">
        <f aca="false">IF(103&lt;=Check!$C$4,INDEX(BAHARY!$A$2:$A$901,103),"")</f>
        <v/>
      </c>
      <c r="B25" s="76" t="str">
        <f aca="false">IF($A25="","",INDEX(BAHARY!$B$2:$B$901,103))</f>
        <v/>
      </c>
      <c r="C25" s="76" t="str">
        <f aca="false">IF($A25="","",INDEX(BAHARY!$C$2:$C$901,103))</f>
        <v/>
      </c>
      <c r="D25" s="77" t="str">
        <f aca="false">IF($A25="","",INDEX(BAHARY!$H$2:$H$901,103))</f>
        <v/>
      </c>
      <c r="E25" s="77" t="str">
        <f aca="false">IF($A25="","",INDEX(BAHARY!$E$2:$E$901,103))</f>
        <v/>
      </c>
      <c r="F25" s="77" t="str">
        <f aca="false">IF($A25="","",D25+E25)</f>
        <v/>
      </c>
      <c r="G25" s="77" t="str">
        <f aca="false">IF($A25="","",D25*(1-'كشف المطالبة'!$D$5))</f>
        <v/>
      </c>
      <c r="H25" s="77" t="str">
        <f aca="false">IF($A25="","",E25*(1-'كشف المطالبة'!$D$6))</f>
        <v/>
      </c>
      <c r="I25" s="77" t="str">
        <f aca="false">IF($A25="","",G25+H25)</f>
        <v/>
      </c>
      <c r="J25" s="78" t="str">
        <f aca="false">IF($A25="","",0)</f>
        <v/>
      </c>
      <c r="K25" s="77" t="str">
        <f aca="false">IF($A25="","",F25*J25+INDEX(BAHARY!$N$2:$N$901,103))</f>
        <v/>
      </c>
      <c r="L25" s="79" t="str">
        <f aca="false">IF($A25="","",I25-K25)</f>
        <v/>
      </c>
    </row>
    <row r="26" customFormat="false" ht="15" hidden="false" customHeight="true" outlineLevel="0" collapsed="false">
      <c r="A26" s="75" t="str">
        <f aca="false">IF(104&lt;=Check!$C$4,INDEX(BAHARY!$A$2:$A$901,104),"")</f>
        <v/>
      </c>
      <c r="B26" s="76" t="str">
        <f aca="false">IF($A26="","",INDEX(BAHARY!$B$2:$B$901,104))</f>
        <v/>
      </c>
      <c r="C26" s="76" t="str">
        <f aca="false">IF($A26="","",INDEX(BAHARY!$C$2:$C$901,104))</f>
        <v/>
      </c>
      <c r="D26" s="77" t="str">
        <f aca="false">IF($A26="","",INDEX(BAHARY!$H$2:$H$901,104))</f>
        <v/>
      </c>
      <c r="E26" s="77" t="str">
        <f aca="false">IF($A26="","",INDEX(BAHARY!$E$2:$E$901,104))</f>
        <v/>
      </c>
      <c r="F26" s="77" t="str">
        <f aca="false">IF($A26="","",D26+E26)</f>
        <v/>
      </c>
      <c r="G26" s="77" t="str">
        <f aca="false">IF($A26="","",D26*(1-'كشف المطالبة'!$D$5))</f>
        <v/>
      </c>
      <c r="H26" s="77" t="str">
        <f aca="false">IF($A26="","",E26*(1-'كشف المطالبة'!$D$6))</f>
        <v/>
      </c>
      <c r="I26" s="77" t="str">
        <f aca="false">IF($A26="","",G26+H26)</f>
        <v/>
      </c>
      <c r="J26" s="78" t="str">
        <f aca="false">IF($A26="","",0)</f>
        <v/>
      </c>
      <c r="K26" s="77" t="str">
        <f aca="false">IF($A26="","",F26*J26+INDEX(BAHARY!$N$2:$N$901,104))</f>
        <v/>
      </c>
      <c r="L26" s="79" t="str">
        <f aca="false">IF($A26="","",I26-K26)</f>
        <v/>
      </c>
    </row>
    <row r="27" customFormat="false" ht="15" hidden="false" customHeight="true" outlineLevel="0" collapsed="false">
      <c r="A27" s="75" t="str">
        <f aca="false">IF(105&lt;=Check!$C$4,INDEX(BAHARY!$A$2:$A$901,105),"")</f>
        <v/>
      </c>
      <c r="B27" s="76" t="str">
        <f aca="false">IF($A27="","",INDEX(BAHARY!$B$2:$B$901,105))</f>
        <v/>
      </c>
      <c r="C27" s="76" t="str">
        <f aca="false">IF($A27="","",INDEX(BAHARY!$C$2:$C$901,105))</f>
        <v/>
      </c>
      <c r="D27" s="77" t="str">
        <f aca="false">IF($A27="","",INDEX(BAHARY!$H$2:$H$901,105))</f>
        <v/>
      </c>
      <c r="E27" s="77" t="str">
        <f aca="false">IF($A27="","",INDEX(BAHARY!$E$2:$E$901,105))</f>
        <v/>
      </c>
      <c r="F27" s="77" t="str">
        <f aca="false">IF($A27="","",D27+E27)</f>
        <v/>
      </c>
      <c r="G27" s="77" t="str">
        <f aca="false">IF($A27="","",D27*(1-'كشف المطالبة'!$D$5))</f>
        <v/>
      </c>
      <c r="H27" s="77" t="str">
        <f aca="false">IF($A27="","",E27*(1-'كشف المطالبة'!$D$6))</f>
        <v/>
      </c>
      <c r="I27" s="77" t="str">
        <f aca="false">IF($A27="","",G27+H27)</f>
        <v/>
      </c>
      <c r="J27" s="78" t="str">
        <f aca="false">IF($A27="","",0)</f>
        <v/>
      </c>
      <c r="K27" s="77" t="str">
        <f aca="false">IF($A27="","",F27*J27+INDEX(BAHARY!$N$2:$N$901,105))</f>
        <v/>
      </c>
      <c r="L27" s="79" t="str">
        <f aca="false">IF($A27="","",I27-K27)</f>
        <v/>
      </c>
    </row>
    <row r="28" customFormat="false" ht="15" hidden="false" customHeight="true" outlineLevel="0" collapsed="false">
      <c r="A28" s="75" t="str">
        <f aca="false">IF(106&lt;=Check!$C$4,INDEX(BAHARY!$A$2:$A$901,106),"")</f>
        <v/>
      </c>
      <c r="B28" s="76" t="str">
        <f aca="false">IF($A28="","",INDEX(BAHARY!$B$2:$B$901,106))</f>
        <v/>
      </c>
      <c r="C28" s="76" t="str">
        <f aca="false">IF($A28="","",INDEX(BAHARY!$C$2:$C$901,106))</f>
        <v/>
      </c>
      <c r="D28" s="77" t="str">
        <f aca="false">IF($A28="","",INDEX(BAHARY!$H$2:$H$901,106))</f>
        <v/>
      </c>
      <c r="E28" s="77" t="str">
        <f aca="false">IF($A28="","",INDEX(BAHARY!$E$2:$E$901,106))</f>
        <v/>
      </c>
      <c r="F28" s="77" t="str">
        <f aca="false">IF($A28="","",D28+E28)</f>
        <v/>
      </c>
      <c r="G28" s="77" t="str">
        <f aca="false">IF($A28="","",D28*(1-'كشف المطالبة'!$D$5))</f>
        <v/>
      </c>
      <c r="H28" s="77" t="str">
        <f aca="false">IF($A28="","",E28*(1-'كشف المطالبة'!$D$6))</f>
        <v/>
      </c>
      <c r="I28" s="77" t="str">
        <f aca="false">IF($A28="","",G28+H28)</f>
        <v/>
      </c>
      <c r="J28" s="78" t="str">
        <f aca="false">IF($A28="","",0)</f>
        <v/>
      </c>
      <c r="K28" s="77" t="str">
        <f aca="false">IF($A28="","",F28*J28+INDEX(BAHARY!$N$2:$N$901,106))</f>
        <v/>
      </c>
      <c r="L28" s="79" t="str">
        <f aca="false">IF($A28="","",I28-K28)</f>
        <v/>
      </c>
    </row>
    <row r="29" customFormat="false" ht="15" hidden="false" customHeight="true" outlineLevel="0" collapsed="false">
      <c r="A29" s="75" t="str">
        <f aca="false">IF(107&lt;=Check!$C$4,INDEX(BAHARY!$A$2:$A$901,107),"")</f>
        <v/>
      </c>
      <c r="B29" s="76" t="str">
        <f aca="false">IF($A29="","",INDEX(BAHARY!$B$2:$B$901,107))</f>
        <v/>
      </c>
      <c r="C29" s="76" t="str">
        <f aca="false">IF($A29="","",INDEX(BAHARY!$C$2:$C$901,107))</f>
        <v/>
      </c>
      <c r="D29" s="77" t="str">
        <f aca="false">IF($A29="","",INDEX(BAHARY!$H$2:$H$901,107))</f>
        <v/>
      </c>
      <c r="E29" s="77" t="str">
        <f aca="false">IF($A29="","",INDEX(BAHARY!$E$2:$E$901,107))</f>
        <v/>
      </c>
      <c r="F29" s="77" t="str">
        <f aca="false">IF($A29="","",D29+E29)</f>
        <v/>
      </c>
      <c r="G29" s="77" t="str">
        <f aca="false">IF($A29="","",D29*(1-'كشف المطالبة'!$D$5))</f>
        <v/>
      </c>
      <c r="H29" s="77" t="str">
        <f aca="false">IF($A29="","",E29*(1-'كشف المطالبة'!$D$6))</f>
        <v/>
      </c>
      <c r="I29" s="77" t="str">
        <f aca="false">IF($A29="","",G29+H29)</f>
        <v/>
      </c>
      <c r="J29" s="78" t="str">
        <f aca="false">IF($A29="","",0)</f>
        <v/>
      </c>
      <c r="K29" s="77" t="str">
        <f aca="false">IF($A29="","",F29*J29+INDEX(BAHARY!$N$2:$N$901,107))</f>
        <v/>
      </c>
      <c r="L29" s="79" t="str">
        <f aca="false">IF($A29="","",I29-K29)</f>
        <v/>
      </c>
    </row>
    <row r="30" customFormat="false" ht="15" hidden="false" customHeight="true" outlineLevel="0" collapsed="false">
      <c r="A30" s="75" t="str">
        <f aca="false">IF(108&lt;=Check!$C$4,INDEX(BAHARY!$A$2:$A$901,108),"")</f>
        <v/>
      </c>
      <c r="B30" s="76" t="str">
        <f aca="false">IF($A30="","",INDEX(BAHARY!$B$2:$B$901,108))</f>
        <v/>
      </c>
      <c r="C30" s="76" t="str">
        <f aca="false">IF($A30="","",INDEX(BAHARY!$C$2:$C$901,108))</f>
        <v/>
      </c>
      <c r="D30" s="77" t="str">
        <f aca="false">IF($A30="","",INDEX(BAHARY!$H$2:$H$901,108))</f>
        <v/>
      </c>
      <c r="E30" s="77" t="str">
        <f aca="false">IF($A30="","",INDEX(BAHARY!$E$2:$E$901,108))</f>
        <v/>
      </c>
      <c r="F30" s="77" t="str">
        <f aca="false">IF($A30="","",D30+E30)</f>
        <v/>
      </c>
      <c r="G30" s="77" t="str">
        <f aca="false">IF($A30="","",D30*(1-'كشف المطالبة'!$D$5))</f>
        <v/>
      </c>
      <c r="H30" s="77" t="str">
        <f aca="false">IF($A30="","",E30*(1-'كشف المطالبة'!$D$6))</f>
        <v/>
      </c>
      <c r="I30" s="77" t="str">
        <f aca="false">IF($A30="","",G30+H30)</f>
        <v/>
      </c>
      <c r="J30" s="78" t="str">
        <f aca="false">IF($A30="","",0)</f>
        <v/>
      </c>
      <c r="K30" s="77" t="str">
        <f aca="false">IF($A30="","",F30*J30+INDEX(BAHARY!$N$2:$N$901,108))</f>
        <v/>
      </c>
      <c r="L30" s="79" t="str">
        <f aca="false">IF($A30="","",I30-K30)</f>
        <v/>
      </c>
    </row>
    <row r="31" customFormat="false" ht="15" hidden="false" customHeight="true" outlineLevel="0" collapsed="false">
      <c r="A31" s="75" t="str">
        <f aca="false">IF(109&lt;=Check!$C$4,INDEX(BAHARY!$A$2:$A$901,109),"")</f>
        <v/>
      </c>
      <c r="B31" s="76" t="str">
        <f aca="false">IF($A31="","",INDEX(BAHARY!$B$2:$B$901,109))</f>
        <v/>
      </c>
      <c r="C31" s="76" t="str">
        <f aca="false">IF($A31="","",INDEX(BAHARY!$C$2:$C$901,109))</f>
        <v/>
      </c>
      <c r="D31" s="77" t="str">
        <f aca="false">IF($A31="","",INDEX(BAHARY!$H$2:$H$901,109))</f>
        <v/>
      </c>
      <c r="E31" s="77" t="str">
        <f aca="false">IF($A31="","",INDEX(BAHARY!$E$2:$E$901,109))</f>
        <v/>
      </c>
      <c r="F31" s="77" t="str">
        <f aca="false">IF($A31="","",D31+E31)</f>
        <v/>
      </c>
      <c r="G31" s="77" t="str">
        <f aca="false">IF($A31="","",D31*(1-'كشف المطالبة'!$D$5))</f>
        <v/>
      </c>
      <c r="H31" s="77" t="str">
        <f aca="false">IF($A31="","",E31*(1-'كشف المطالبة'!$D$6))</f>
        <v/>
      </c>
      <c r="I31" s="77" t="str">
        <f aca="false">IF($A31="","",G31+H31)</f>
        <v/>
      </c>
      <c r="J31" s="78" t="str">
        <f aca="false">IF($A31="","",0)</f>
        <v/>
      </c>
      <c r="K31" s="77" t="str">
        <f aca="false">IF($A31="","",F31*J31+INDEX(BAHARY!$N$2:$N$901,109))</f>
        <v/>
      </c>
      <c r="L31" s="79" t="str">
        <f aca="false">IF($A31="","",I31-K31)</f>
        <v/>
      </c>
    </row>
    <row r="32" customFormat="false" ht="15" hidden="false" customHeight="true" outlineLevel="0" collapsed="false">
      <c r="A32" s="75" t="str">
        <f aca="false">IF(110&lt;=Check!$C$4,INDEX(BAHARY!$A$2:$A$901,110),"")</f>
        <v/>
      </c>
      <c r="B32" s="76" t="str">
        <f aca="false">IF($A32="","",INDEX(BAHARY!$B$2:$B$901,110))</f>
        <v/>
      </c>
      <c r="C32" s="76" t="str">
        <f aca="false">IF($A32="","",INDEX(BAHARY!$C$2:$C$901,110))</f>
        <v/>
      </c>
      <c r="D32" s="77" t="str">
        <f aca="false">IF($A32="","",INDEX(BAHARY!$H$2:$H$901,110))</f>
        <v/>
      </c>
      <c r="E32" s="77" t="str">
        <f aca="false">IF($A32="","",INDEX(BAHARY!$E$2:$E$901,110))</f>
        <v/>
      </c>
      <c r="F32" s="77" t="str">
        <f aca="false">IF($A32="","",D32+E32)</f>
        <v/>
      </c>
      <c r="G32" s="77" t="str">
        <f aca="false">IF($A32="","",D32*(1-'كشف المطالبة'!$D$5))</f>
        <v/>
      </c>
      <c r="H32" s="77" t="str">
        <f aca="false">IF($A32="","",E32*(1-'كشف المطالبة'!$D$6))</f>
        <v/>
      </c>
      <c r="I32" s="77" t="str">
        <f aca="false">IF($A32="","",G32+H32)</f>
        <v/>
      </c>
      <c r="J32" s="78" t="str">
        <f aca="false">IF($A32="","",0)</f>
        <v/>
      </c>
      <c r="K32" s="77" t="str">
        <f aca="false">IF($A32="","",F32*J32+INDEX(BAHARY!$N$2:$N$901,110))</f>
        <v/>
      </c>
      <c r="L32" s="79" t="str">
        <f aca="false">IF($A32="","",I32-K32)</f>
        <v/>
      </c>
    </row>
    <row r="33" customFormat="false" ht="15" hidden="false" customHeight="true" outlineLevel="0" collapsed="false">
      <c r="A33" s="75" t="str">
        <f aca="false">IF(111&lt;=Check!$C$4,INDEX(BAHARY!$A$2:$A$901,111),"")</f>
        <v/>
      </c>
      <c r="B33" s="76" t="str">
        <f aca="false">IF($A33="","",INDEX(BAHARY!$B$2:$B$901,111))</f>
        <v/>
      </c>
      <c r="C33" s="76" t="str">
        <f aca="false">IF($A33="","",INDEX(BAHARY!$C$2:$C$901,111))</f>
        <v/>
      </c>
      <c r="D33" s="77" t="str">
        <f aca="false">IF($A33="","",INDEX(BAHARY!$H$2:$H$901,111))</f>
        <v/>
      </c>
      <c r="E33" s="77" t="str">
        <f aca="false">IF($A33="","",INDEX(BAHARY!$E$2:$E$901,111))</f>
        <v/>
      </c>
      <c r="F33" s="77" t="str">
        <f aca="false">IF($A33="","",D33+E33)</f>
        <v/>
      </c>
      <c r="G33" s="77" t="str">
        <f aca="false">IF($A33="","",D33*(1-'كشف المطالبة'!$D$5))</f>
        <v/>
      </c>
      <c r="H33" s="77" t="str">
        <f aca="false">IF($A33="","",E33*(1-'كشف المطالبة'!$D$6))</f>
        <v/>
      </c>
      <c r="I33" s="77" t="str">
        <f aca="false">IF($A33="","",G33+H33)</f>
        <v/>
      </c>
      <c r="J33" s="78" t="str">
        <f aca="false">IF($A33="","",0)</f>
        <v/>
      </c>
      <c r="K33" s="77" t="str">
        <f aca="false">IF($A33="","",F33*J33+INDEX(BAHARY!$N$2:$N$901,111))</f>
        <v/>
      </c>
      <c r="L33" s="79" t="str">
        <f aca="false">IF($A33="","",I33-K33)</f>
        <v/>
      </c>
    </row>
    <row r="34" customFormat="false" ht="15" hidden="false" customHeight="true" outlineLevel="0" collapsed="false">
      <c r="A34" s="75" t="str">
        <f aca="false">IF(112&lt;=Check!$C$4,INDEX(BAHARY!$A$2:$A$901,112),"")</f>
        <v/>
      </c>
      <c r="B34" s="76" t="str">
        <f aca="false">IF($A34="","",INDEX(BAHARY!$B$2:$B$901,112))</f>
        <v/>
      </c>
      <c r="C34" s="76" t="str">
        <f aca="false">IF($A34="","",INDEX(BAHARY!$C$2:$C$901,112))</f>
        <v/>
      </c>
      <c r="D34" s="77" t="str">
        <f aca="false">IF($A34="","",INDEX(BAHARY!$H$2:$H$901,112))</f>
        <v/>
      </c>
      <c r="E34" s="77" t="str">
        <f aca="false">IF($A34="","",INDEX(BAHARY!$E$2:$E$901,112))</f>
        <v/>
      </c>
      <c r="F34" s="77" t="str">
        <f aca="false">IF($A34="","",D34+E34)</f>
        <v/>
      </c>
      <c r="G34" s="77" t="str">
        <f aca="false">IF($A34="","",D34*(1-'كشف المطالبة'!$D$5))</f>
        <v/>
      </c>
      <c r="H34" s="77" t="str">
        <f aca="false">IF($A34="","",E34*(1-'كشف المطالبة'!$D$6))</f>
        <v/>
      </c>
      <c r="I34" s="77" t="str">
        <f aca="false">IF($A34="","",G34+H34)</f>
        <v/>
      </c>
      <c r="J34" s="78" t="str">
        <f aca="false">IF($A34="","",0)</f>
        <v/>
      </c>
      <c r="K34" s="77" t="str">
        <f aca="false">IF($A34="","",F34*J34+INDEX(BAHARY!$N$2:$N$901,112))</f>
        <v/>
      </c>
      <c r="L34" s="79" t="str">
        <f aca="false">IF($A34="","",I34-K34)</f>
        <v/>
      </c>
    </row>
    <row r="35" customFormat="false" ht="15" hidden="false" customHeight="true" outlineLevel="0" collapsed="false">
      <c r="A35" s="75" t="str">
        <f aca="false">IF(113&lt;=Check!$C$4,INDEX(BAHARY!$A$2:$A$901,113),"")</f>
        <v/>
      </c>
      <c r="B35" s="76" t="str">
        <f aca="false">IF($A35="","",INDEX(BAHARY!$B$2:$B$901,113))</f>
        <v/>
      </c>
      <c r="C35" s="76" t="str">
        <f aca="false">IF($A35="","",INDEX(BAHARY!$C$2:$C$901,113))</f>
        <v/>
      </c>
      <c r="D35" s="77" t="str">
        <f aca="false">IF($A35="","",INDEX(BAHARY!$H$2:$H$901,113))</f>
        <v/>
      </c>
      <c r="E35" s="77" t="str">
        <f aca="false">IF($A35="","",INDEX(BAHARY!$E$2:$E$901,113))</f>
        <v/>
      </c>
      <c r="F35" s="77" t="str">
        <f aca="false">IF($A35="","",D35+E35)</f>
        <v/>
      </c>
      <c r="G35" s="77" t="str">
        <f aca="false">IF($A35="","",D35*(1-'كشف المطالبة'!$D$5))</f>
        <v/>
      </c>
      <c r="H35" s="77" t="str">
        <f aca="false">IF($A35="","",E35*(1-'كشف المطالبة'!$D$6))</f>
        <v/>
      </c>
      <c r="I35" s="77" t="str">
        <f aca="false">IF($A35="","",G35+H35)</f>
        <v/>
      </c>
      <c r="J35" s="78" t="str">
        <f aca="false">IF($A35="","",0)</f>
        <v/>
      </c>
      <c r="K35" s="77" t="str">
        <f aca="false">IF($A35="","",F35*J35+INDEX(BAHARY!$N$2:$N$901,113))</f>
        <v/>
      </c>
      <c r="L35" s="79" t="str">
        <f aca="false">IF($A35="","",I35-K35)</f>
        <v/>
      </c>
    </row>
    <row r="36" customFormat="false" ht="15" hidden="false" customHeight="true" outlineLevel="0" collapsed="false">
      <c r="A36" s="75" t="str">
        <f aca="false">IF(114&lt;=Check!$C$4,INDEX(BAHARY!$A$2:$A$901,114),"")</f>
        <v/>
      </c>
      <c r="B36" s="76" t="str">
        <f aca="false">IF($A36="","",INDEX(BAHARY!$B$2:$B$901,114))</f>
        <v/>
      </c>
      <c r="C36" s="76" t="str">
        <f aca="false">IF($A36="","",INDEX(BAHARY!$C$2:$C$901,114))</f>
        <v/>
      </c>
      <c r="D36" s="77" t="str">
        <f aca="false">IF($A36="","",INDEX(BAHARY!$H$2:$H$901,114))</f>
        <v/>
      </c>
      <c r="E36" s="77" t="str">
        <f aca="false">IF($A36="","",INDEX(BAHARY!$E$2:$E$901,114))</f>
        <v/>
      </c>
      <c r="F36" s="77" t="str">
        <f aca="false">IF($A36="","",D36+E36)</f>
        <v/>
      </c>
      <c r="G36" s="77" t="str">
        <f aca="false">IF($A36="","",D36*(1-'كشف المطالبة'!$D$5))</f>
        <v/>
      </c>
      <c r="H36" s="77" t="str">
        <f aca="false">IF($A36="","",E36*(1-'كشف المطالبة'!$D$6))</f>
        <v/>
      </c>
      <c r="I36" s="77" t="str">
        <f aca="false">IF($A36="","",G36+H36)</f>
        <v/>
      </c>
      <c r="J36" s="78" t="str">
        <f aca="false">IF($A36="","",0)</f>
        <v/>
      </c>
      <c r="K36" s="77" t="str">
        <f aca="false">IF($A36="","",F36*J36+INDEX(BAHARY!$N$2:$N$901,114))</f>
        <v/>
      </c>
      <c r="L36" s="79" t="str">
        <f aca="false">IF($A36="","",I36-K36)</f>
        <v/>
      </c>
    </row>
    <row r="37" customFormat="false" ht="15" hidden="false" customHeight="true" outlineLevel="0" collapsed="false">
      <c r="A37" s="75" t="str">
        <f aca="false">IF(115&lt;=Check!$C$4,INDEX(BAHARY!$A$2:$A$901,115),"")</f>
        <v/>
      </c>
      <c r="B37" s="76" t="str">
        <f aca="false">IF($A37="","",INDEX(BAHARY!$B$2:$B$901,115))</f>
        <v/>
      </c>
      <c r="C37" s="76" t="str">
        <f aca="false">IF($A37="","",INDEX(BAHARY!$C$2:$C$901,115))</f>
        <v/>
      </c>
      <c r="D37" s="77" t="str">
        <f aca="false">IF($A37="","",INDEX(BAHARY!$H$2:$H$901,115))</f>
        <v/>
      </c>
      <c r="E37" s="77" t="str">
        <f aca="false">IF($A37="","",INDEX(BAHARY!$E$2:$E$901,115))</f>
        <v/>
      </c>
      <c r="F37" s="77" t="str">
        <f aca="false">IF($A37="","",D37+E37)</f>
        <v/>
      </c>
      <c r="G37" s="88" t="str">
        <f aca="false">IF($A37="","",D37*(1-'كشف المطالبة'!$D$5))</f>
        <v/>
      </c>
      <c r="H37" s="77" t="str">
        <f aca="false">IF($A37="","",E37*(1-'كشف المطالبة'!$D$6))</f>
        <v/>
      </c>
      <c r="I37" s="77" t="str">
        <f aca="false">IF($A37="","",G37+H37)</f>
        <v/>
      </c>
      <c r="J37" s="78" t="str">
        <f aca="false">IF($A37="","",0)</f>
        <v/>
      </c>
      <c r="K37" s="77" t="str">
        <f aca="false">IF($A37="","",F37*J37+INDEX(BAHARY!$N$2:$N$901,115))</f>
        <v/>
      </c>
      <c r="L37" s="79" t="str">
        <f aca="false">IF($A37="","",I37-K37)</f>
        <v/>
      </c>
    </row>
    <row r="38" customFormat="false" ht="15" hidden="false" customHeight="true" outlineLevel="0" collapsed="false">
      <c r="A38" s="75" t="str">
        <f aca="false">IF(116&lt;=Check!$C$4,INDEX(BAHARY!$A$2:$A$901,116),"")</f>
        <v/>
      </c>
      <c r="B38" s="76" t="str">
        <f aca="false">IF($A38="","",INDEX(BAHARY!$B$2:$B$901,116))</f>
        <v/>
      </c>
      <c r="C38" s="76" t="str">
        <f aca="false">IF($A38="","",INDEX(BAHARY!$C$2:$C$901,116))</f>
        <v/>
      </c>
      <c r="D38" s="77" t="str">
        <f aca="false">IF($A38="","",INDEX(BAHARY!$H$2:$H$901,116))</f>
        <v/>
      </c>
      <c r="E38" s="77" t="str">
        <f aca="false">IF($A38="","",INDEX(BAHARY!$E$2:$E$901,116))</f>
        <v/>
      </c>
      <c r="F38" s="77" t="str">
        <f aca="false">IF($A38="","",D38+E38)</f>
        <v/>
      </c>
      <c r="G38" s="77" t="str">
        <f aca="false">IF($A38="","",D38*(1-'كشف المطالبة'!$D$5))</f>
        <v/>
      </c>
      <c r="H38" s="77" t="str">
        <f aca="false">IF($A38="","",E38*(1-'كشف المطالبة'!$D$6))</f>
        <v/>
      </c>
      <c r="I38" s="77" t="str">
        <f aca="false">IF($A38="","",G38+H38)</f>
        <v/>
      </c>
      <c r="J38" s="78" t="str">
        <f aca="false">IF($A38="","",0)</f>
        <v/>
      </c>
      <c r="K38" s="77" t="str">
        <f aca="false">IF($A38="","",F38*J38+INDEX(BAHARY!$N$2:$N$901,116))</f>
        <v/>
      </c>
      <c r="L38" s="79" t="str">
        <f aca="false">IF($A38="","",I38-K38)</f>
        <v/>
      </c>
    </row>
    <row r="39" customFormat="false" ht="15" hidden="false" customHeight="true" outlineLevel="0" collapsed="false">
      <c r="A39" s="75" t="str">
        <f aca="false">IF(117&lt;=Check!$C$4,INDEX(BAHARY!$A$2:$A$901,117),"")</f>
        <v/>
      </c>
      <c r="B39" s="76" t="str">
        <f aca="false">IF($A39="","",INDEX(BAHARY!$B$2:$B$901,117))</f>
        <v/>
      </c>
      <c r="C39" s="76" t="str">
        <f aca="false">IF($A39="","",INDEX(BAHARY!$C$2:$C$901,117))</f>
        <v/>
      </c>
      <c r="D39" s="77" t="str">
        <f aca="false">IF($A39="","",INDEX(BAHARY!$H$2:$H$901,117))</f>
        <v/>
      </c>
      <c r="E39" s="77" t="str">
        <f aca="false">IF($A39="","",INDEX(BAHARY!$E$2:$E$901,117))</f>
        <v/>
      </c>
      <c r="F39" s="77" t="str">
        <f aca="false">IF($A39="","",D39+E39)</f>
        <v/>
      </c>
      <c r="G39" s="77" t="str">
        <f aca="false">IF($A39="","",D39*(1-'كشف المطالبة'!$D$5))</f>
        <v/>
      </c>
      <c r="H39" s="77" t="str">
        <f aca="false">IF($A39="","",E39*(1-'كشف المطالبة'!$D$6))</f>
        <v/>
      </c>
      <c r="I39" s="77" t="str">
        <f aca="false">IF($A39="","",G39+H39)</f>
        <v/>
      </c>
      <c r="J39" s="78" t="str">
        <f aca="false">IF($A39="","",0)</f>
        <v/>
      </c>
      <c r="K39" s="77" t="str">
        <f aca="false">IF($A39="","",F39*J39+INDEX(BAHARY!$N$2:$N$901,117))</f>
        <v/>
      </c>
      <c r="L39" s="79" t="str">
        <f aca="false">IF($A39="","",I39-K39)</f>
        <v/>
      </c>
    </row>
    <row r="40" customFormat="false" ht="15" hidden="false" customHeight="true" outlineLevel="0" collapsed="false">
      <c r="A40" s="75" t="str">
        <f aca="false">IF(118&lt;=Check!$C$4,INDEX(BAHARY!$A$2:$A$901,118),"")</f>
        <v/>
      </c>
      <c r="B40" s="76" t="str">
        <f aca="false">IF($A40="","",INDEX(BAHARY!$B$2:$B$901,118))</f>
        <v/>
      </c>
      <c r="C40" s="76" t="str">
        <f aca="false">IF($A40="","",INDEX(BAHARY!$C$2:$C$901,118))</f>
        <v/>
      </c>
      <c r="D40" s="77" t="str">
        <f aca="false">IF($A40="","",INDEX(BAHARY!$H$2:$H$901,118))</f>
        <v/>
      </c>
      <c r="E40" s="77" t="str">
        <f aca="false">IF($A40="","",INDEX(BAHARY!$E$2:$E$901,118))</f>
        <v/>
      </c>
      <c r="F40" s="77" t="str">
        <f aca="false">IF($A40="","",D40+E40)</f>
        <v/>
      </c>
      <c r="G40" s="77" t="str">
        <f aca="false">IF($A40="","",D40*(1-'كشف المطالبة'!$D$5))</f>
        <v/>
      </c>
      <c r="H40" s="77" t="str">
        <f aca="false">IF($A40="","",E40*(1-'كشف المطالبة'!$D$6))</f>
        <v/>
      </c>
      <c r="I40" s="77" t="str">
        <f aca="false">IF($A40="","",G40+H40)</f>
        <v/>
      </c>
      <c r="J40" s="78" t="str">
        <f aca="false">IF($A40="","",0)</f>
        <v/>
      </c>
      <c r="K40" s="77" t="str">
        <f aca="false">IF($A40="","",F40*J40+INDEX(BAHARY!$N$2:$N$901,118))</f>
        <v/>
      </c>
      <c r="L40" s="79" t="str">
        <f aca="false">IF($A40="","",I40-K40)</f>
        <v/>
      </c>
    </row>
    <row r="41" customFormat="false" ht="15" hidden="false" customHeight="true" outlineLevel="0" collapsed="false">
      <c r="A41" s="75" t="str">
        <f aca="false">IF(119&lt;=Check!$C$4,INDEX(BAHARY!$A$2:$A$901,119),"")</f>
        <v/>
      </c>
      <c r="B41" s="76" t="str">
        <f aca="false">IF($A41="","",INDEX(BAHARY!$B$2:$B$901,119))</f>
        <v/>
      </c>
      <c r="C41" s="76" t="str">
        <f aca="false">IF($A41="","",INDEX(BAHARY!$C$2:$C$901,119))</f>
        <v/>
      </c>
      <c r="D41" s="77" t="str">
        <f aca="false">IF($A41="","",INDEX(BAHARY!$H$2:$H$901,119))</f>
        <v/>
      </c>
      <c r="E41" s="77" t="str">
        <f aca="false">IF($A41="","",INDEX(BAHARY!$E$2:$E$901,119))</f>
        <v/>
      </c>
      <c r="F41" s="77" t="str">
        <f aca="false">IF($A41="","",D41+E41)</f>
        <v/>
      </c>
      <c r="G41" s="77" t="str">
        <f aca="false">IF($A41="","",D41*(1-'كشف المطالبة'!$D$5))</f>
        <v/>
      </c>
      <c r="H41" s="77" t="str">
        <f aca="false">IF($A41="","",E41*(1-'كشف المطالبة'!$D$6))</f>
        <v/>
      </c>
      <c r="I41" s="77" t="str">
        <f aca="false">IF($A41="","",G41+H41)</f>
        <v/>
      </c>
      <c r="J41" s="78" t="str">
        <f aca="false">IF($A41="","",0)</f>
        <v/>
      </c>
      <c r="K41" s="77" t="str">
        <f aca="false">IF($A41="","",F41*J41+INDEX(BAHARY!$N$2:$N$901,119))</f>
        <v/>
      </c>
      <c r="L41" s="79" t="str">
        <f aca="false">IF($A41="","",I41-K41)</f>
        <v/>
      </c>
    </row>
    <row r="42" customFormat="false" ht="15" hidden="false" customHeight="true" outlineLevel="0" collapsed="false">
      <c r="A42" s="75" t="str">
        <f aca="false">IF(120&lt;=Check!$C$4,INDEX(BAHARY!$A$2:$A$901,120),"")</f>
        <v/>
      </c>
      <c r="B42" s="76" t="str">
        <f aca="false">IF($A42="","",INDEX(BAHARY!$B$2:$B$901,120))</f>
        <v/>
      </c>
      <c r="C42" s="76" t="str">
        <f aca="false">IF($A42="","",INDEX(BAHARY!$C$2:$C$901,120))</f>
        <v/>
      </c>
      <c r="D42" s="77" t="str">
        <f aca="false">IF($A42="","",INDEX(BAHARY!$H$2:$H$901,120))</f>
        <v/>
      </c>
      <c r="E42" s="77" t="str">
        <f aca="false">IF($A42="","",INDEX(BAHARY!$E$2:$E$901,120))</f>
        <v/>
      </c>
      <c r="F42" s="77" t="str">
        <f aca="false">IF($A42="","",D42+E42)</f>
        <v/>
      </c>
      <c r="G42" s="77" t="str">
        <f aca="false">IF($A42="","",D42*(1-'كشف المطالبة'!$D$5))</f>
        <v/>
      </c>
      <c r="H42" s="77" t="str">
        <f aca="false">IF($A42="","",E42*(1-'كشف المطالبة'!$D$6))</f>
        <v/>
      </c>
      <c r="I42" s="77" t="str">
        <f aca="false">IF($A42="","",G42+H42)</f>
        <v/>
      </c>
      <c r="J42" s="78" t="str">
        <f aca="false">IF($A42="","",0)</f>
        <v/>
      </c>
      <c r="K42" s="77" t="str">
        <f aca="false">IF($A42="","",F42*J42+INDEX(BAHARY!$N$2:$N$901,120))</f>
        <v/>
      </c>
      <c r="L42" s="79" t="str">
        <f aca="false">IF($A42="","",I42-K42)</f>
        <v/>
      </c>
    </row>
    <row r="44" customFormat="false" ht="15" hidden="false" customHeight="true" outlineLevel="0" collapsed="false"/>
    <row r="45" s="86" customFormat="true" ht="15.75" hidden="false" customHeight="true" outlineLevel="0" collapsed="false">
      <c r="A45" s="81" t="s">
        <v>114</v>
      </c>
      <c r="B45" s="81"/>
      <c r="C45" s="81"/>
      <c r="D45" s="82" t="n">
        <f aca="false">SUM(D3:D42)</f>
        <v>0</v>
      </c>
      <c r="E45" s="82" t="n">
        <f aca="false">SUM(E3:E42)</f>
        <v>0</v>
      </c>
      <c r="F45" s="82" t="n">
        <f aca="false">SUM(F3:F42)</f>
        <v>0</v>
      </c>
      <c r="G45" s="82" t="n">
        <f aca="false">SUM(G3:G42)</f>
        <v>0</v>
      </c>
      <c r="H45" s="82" t="n">
        <f aca="false">SUM(H3:H42)</f>
        <v>0</v>
      </c>
      <c r="I45" s="82" t="n">
        <f aca="false">SUM(I3:I42)</f>
        <v>0</v>
      </c>
      <c r="J45" s="83"/>
      <c r="K45" s="82" t="n">
        <f aca="false">SUM(K3:K42)</f>
        <v>0</v>
      </c>
      <c r="L45" s="84" t="n">
        <f aca="false">SUM(L3:L42)</f>
        <v>0</v>
      </c>
      <c r="M45" s="85" t="n">
        <v>3</v>
      </c>
    </row>
  </sheetData>
  <mergeCells count="4">
    <mergeCell ref="A1:B1"/>
    <mergeCell ref="E1:G1"/>
    <mergeCell ref="K1:L1"/>
    <mergeCell ref="A45:C45"/>
  </mergeCells>
  <conditionalFormatting sqref="A3:A42 D3:L42">
    <cfRule type="expression" priority="2" aboveAverage="0" equalAverage="0" bottom="0" percent="0" rank="0" text="" dxfId="6">
      <formula>ISODD(ROW())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5"/>
  <sheetViews>
    <sheetView showFormulas="false" showGridLines="true" showRowColHeaders="true" showZeros="true" rightToLeft="false" tabSelected="false" showOutlineSymbols="true" defaultGridColor="true" view="normal" topLeftCell="A36" colorId="64" zoomScale="100" zoomScaleNormal="100" zoomScalePageLayoutView="100" workbookViewId="0">
      <selection pane="topLeft" activeCell="A3" activeCellId="0" sqref="A3"/>
    </sheetView>
  </sheetViews>
  <sheetFormatPr defaultColWidth="14.453125" defaultRowHeight="14.25" zeroHeight="false" outlineLevelRow="0" outlineLevelCol="0"/>
  <cols>
    <col collapsed="false" customWidth="true" hidden="false" outlineLevel="0" max="1" min="1" style="0" width="3.27"/>
    <col collapsed="false" customWidth="true" hidden="false" outlineLevel="0" max="2" min="2" style="0" width="43.18"/>
    <col collapsed="false" customWidth="true" hidden="false" outlineLevel="0" max="3" min="3" style="0" width="7"/>
    <col collapsed="false" customWidth="true" hidden="false" outlineLevel="0" max="4" min="4" style="0" width="12.45"/>
    <col collapsed="false" customWidth="true" hidden="false" outlineLevel="0" max="5" min="5" style="0" width="12"/>
    <col collapsed="false" customWidth="true" hidden="false" outlineLevel="0" max="6" min="6" style="0" width="13.45"/>
    <col collapsed="false" customWidth="true" hidden="false" outlineLevel="0" max="7" min="7" style="0" width="17"/>
    <col collapsed="false" customWidth="true" hidden="false" outlineLevel="0" max="8" min="8" style="0" width="13"/>
    <col collapsed="false" customWidth="true" hidden="false" outlineLevel="0" max="9" min="9" style="0" width="13.73"/>
    <col collapsed="false" customWidth="true" hidden="false" outlineLevel="0" max="10" min="10" style="0" width="8.27"/>
    <col collapsed="false" customWidth="true" hidden="false" outlineLevel="0" max="11" min="11" style="0" width="9"/>
    <col collapsed="false" customWidth="true" hidden="false" outlineLevel="0" max="12" min="12" style="0" width="13.73"/>
    <col collapsed="false" customWidth="true" hidden="false" outlineLevel="0" max="13" min="13" style="0" width="2.18"/>
    <col collapsed="false" customWidth="true" hidden="false" outlineLevel="0" max="26" min="14" style="0" width="8.73"/>
  </cols>
  <sheetData>
    <row r="1" customFormat="false" ht="18.75" hidden="false" customHeight="true" outlineLevel="0" collapsed="false">
      <c r="A1" s="68" t="s">
        <v>105</v>
      </c>
      <c r="B1" s="68"/>
      <c r="C1" s="69"/>
      <c r="D1" s="69"/>
      <c r="E1" s="54" t="s">
        <v>112</v>
      </c>
      <c r="F1" s="54"/>
      <c r="G1" s="54"/>
      <c r="H1" s="69" t="n">
        <f aca="false">'كشف المطالبة'!E2</f>
        <v>0</v>
      </c>
      <c r="I1" s="69" t="str">
        <f aca="false">'كشف المطالبة'!E3</f>
        <v>الجزء الاول</v>
      </c>
      <c r="J1" s="69"/>
      <c r="K1" s="70" t="str">
        <f aca="false">'كشف المطالبة'!E4</f>
        <v>عاملين</v>
      </c>
      <c r="L1" s="70"/>
    </row>
    <row r="2" customFormat="false" ht="72" hidden="false" customHeight="true" outlineLevel="0" collapsed="false">
      <c r="A2" s="71" t="s">
        <v>106</v>
      </c>
      <c r="B2" s="72" t="s">
        <v>35</v>
      </c>
      <c r="C2" s="72" t="s">
        <v>36</v>
      </c>
      <c r="D2" s="72" t="s">
        <v>107</v>
      </c>
      <c r="E2" s="72" t="s">
        <v>38</v>
      </c>
      <c r="F2" s="72" t="s">
        <v>108</v>
      </c>
      <c r="G2" s="72" t="str">
        <f aca="false">"محلى بعد خصم "&amp;ROUND('كشف المطالبة'!$D$5*100,2)&amp;"%"</f>
        <v>محلى بعد خصم 14%</v>
      </c>
      <c r="H2" s="72" t="str">
        <f aca="false">"مستورد بعد خصم "&amp;ROUND('كشف المطالبة'!$D$6*100,2)&amp;"%"</f>
        <v>مستورد بعد خصم 7%</v>
      </c>
      <c r="I2" s="72" t="s">
        <v>109</v>
      </c>
      <c r="J2" s="73" t="s">
        <v>113</v>
      </c>
      <c r="K2" s="72" t="s">
        <v>110</v>
      </c>
      <c r="L2" s="74" t="s">
        <v>111</v>
      </c>
    </row>
    <row r="3" customFormat="false" ht="15" hidden="false" customHeight="true" outlineLevel="0" collapsed="false">
      <c r="A3" s="75" t="str">
        <f aca="false">IF(121&lt;=Check!$C$4,INDEX(BAHARY!$A$2:$A$901,121),"")</f>
        <v/>
      </c>
      <c r="B3" s="76" t="str">
        <f aca="false">IF($A3="","",INDEX(BAHARY!$B$2:$B$901,121))</f>
        <v/>
      </c>
      <c r="C3" s="76" t="str">
        <f aca="false">IF($A3="","",INDEX(BAHARY!$C$2:$C$901,121))</f>
        <v/>
      </c>
      <c r="D3" s="77" t="str">
        <f aca="false">IF($A3="","",INDEX(BAHARY!$H$2:$H$901,121))</f>
        <v/>
      </c>
      <c r="E3" s="77" t="str">
        <f aca="false">IF($A3="","",INDEX(BAHARY!$E$2:$E$901,121))</f>
        <v/>
      </c>
      <c r="F3" s="77" t="str">
        <f aca="false">IF($A3="","",D3+E3)</f>
        <v/>
      </c>
      <c r="G3" s="77" t="str">
        <f aca="false">IF($A3="","",D3*(1-'كشف المطالبة'!$D$5))</f>
        <v/>
      </c>
      <c r="H3" s="77" t="str">
        <f aca="false">IF($A3="","",E3*(1-'كشف المطالبة'!$D$6))</f>
        <v/>
      </c>
      <c r="I3" s="77" t="str">
        <f aca="false">IF($A3="","",G3+H3)</f>
        <v/>
      </c>
      <c r="J3" s="78" t="str">
        <f aca="false">IF($A3="","",0)</f>
        <v/>
      </c>
      <c r="K3" s="77" t="str">
        <f aca="false">IF($A3="","",F3*J3+INDEX(BAHARY!$N$2:$N$901,121))</f>
        <v/>
      </c>
      <c r="L3" s="79" t="str">
        <f aca="false">IF($A3="","",I3-K3)</f>
        <v/>
      </c>
    </row>
    <row r="4" customFormat="false" ht="15" hidden="false" customHeight="true" outlineLevel="0" collapsed="false">
      <c r="A4" s="75" t="str">
        <f aca="false">IF(122&lt;=Check!$C$4,INDEX(BAHARY!$A$2:$A$901,122),"")</f>
        <v/>
      </c>
      <c r="B4" s="76" t="str">
        <f aca="false">IF($A4="","",INDEX(BAHARY!$B$2:$B$901,122))</f>
        <v/>
      </c>
      <c r="C4" s="76" t="str">
        <f aca="false">IF($A4="","",INDEX(BAHARY!$C$2:$C$901,122))</f>
        <v/>
      </c>
      <c r="D4" s="77" t="str">
        <f aca="false">IF($A4="","",INDEX(BAHARY!$H$2:$H$901,122))</f>
        <v/>
      </c>
      <c r="E4" s="77" t="str">
        <f aca="false">IF($A4="","",INDEX(BAHARY!$E$2:$E$901,122))</f>
        <v/>
      </c>
      <c r="F4" s="77" t="str">
        <f aca="false">IF($A4="","",D4+E4)</f>
        <v/>
      </c>
      <c r="G4" s="77" t="str">
        <f aca="false">IF($A4="","",D4*(1-'كشف المطالبة'!$D$5))</f>
        <v/>
      </c>
      <c r="H4" s="77" t="str">
        <f aca="false">IF($A4="","",E4*(1-'كشف المطالبة'!$D$6))</f>
        <v/>
      </c>
      <c r="I4" s="77" t="str">
        <f aca="false">IF($A4="","",G4+H4)</f>
        <v/>
      </c>
      <c r="J4" s="78" t="str">
        <f aca="false">IF($A4="","",0)</f>
        <v/>
      </c>
      <c r="K4" s="77" t="str">
        <f aca="false">IF($A4="","",F4*J4+INDEX(BAHARY!$N$2:$N$901,122))</f>
        <v/>
      </c>
      <c r="L4" s="79" t="str">
        <f aca="false">IF($A4="","",I4-K4)</f>
        <v/>
      </c>
    </row>
    <row r="5" customFormat="false" ht="15" hidden="false" customHeight="true" outlineLevel="0" collapsed="false">
      <c r="A5" s="75" t="str">
        <f aca="false">IF(123&lt;=Check!$C$4,INDEX(BAHARY!$A$2:$A$901,123),"")</f>
        <v/>
      </c>
      <c r="B5" s="76" t="str">
        <f aca="false">IF($A5="","",INDEX(BAHARY!$B$2:$B$901,123))</f>
        <v/>
      </c>
      <c r="C5" s="76" t="str">
        <f aca="false">IF($A5="","",INDEX(BAHARY!$C$2:$C$901,123))</f>
        <v/>
      </c>
      <c r="D5" s="77" t="str">
        <f aca="false">IF($A5="","",INDEX(BAHARY!$H$2:$H$901,123))</f>
        <v/>
      </c>
      <c r="E5" s="77" t="str">
        <f aca="false">IF($A5="","",INDEX(BAHARY!$E$2:$E$901,123))</f>
        <v/>
      </c>
      <c r="F5" s="77" t="str">
        <f aca="false">IF($A5="","",D5+E5)</f>
        <v/>
      </c>
      <c r="G5" s="77" t="str">
        <f aca="false">IF($A5="","",D5*(1-'كشف المطالبة'!$D$5))</f>
        <v/>
      </c>
      <c r="H5" s="77" t="str">
        <f aca="false">IF($A5="","",E5*(1-'كشف المطالبة'!$D$6))</f>
        <v/>
      </c>
      <c r="I5" s="77" t="str">
        <f aca="false">IF($A5="","",G5+H5)</f>
        <v/>
      </c>
      <c r="J5" s="78" t="str">
        <f aca="false">IF($A5="","",0)</f>
        <v/>
      </c>
      <c r="K5" s="77" t="str">
        <f aca="false">IF($A5="","",F5*J5+INDEX(BAHARY!$N$2:$N$901,123))</f>
        <v/>
      </c>
      <c r="L5" s="79" t="str">
        <f aca="false">IF($A5="","",I5-K5)</f>
        <v/>
      </c>
    </row>
    <row r="6" customFormat="false" ht="15" hidden="false" customHeight="true" outlineLevel="0" collapsed="false">
      <c r="A6" s="75" t="str">
        <f aca="false">IF(124&lt;=Check!$C$4,INDEX(BAHARY!$A$2:$A$901,124),"")</f>
        <v/>
      </c>
      <c r="B6" s="76" t="str">
        <f aca="false">IF($A6="","",INDEX(BAHARY!$B$2:$B$901,124))</f>
        <v/>
      </c>
      <c r="C6" s="76" t="str">
        <f aca="false">IF($A6="","",INDEX(BAHARY!$C$2:$C$901,124))</f>
        <v/>
      </c>
      <c r="D6" s="77" t="str">
        <f aca="false">IF($A6="","",INDEX(BAHARY!$H$2:$H$901,124))</f>
        <v/>
      </c>
      <c r="E6" s="77" t="str">
        <f aca="false">IF($A6="","",INDEX(BAHARY!$E$2:$E$901,124))</f>
        <v/>
      </c>
      <c r="F6" s="77" t="str">
        <f aca="false">IF($A6="","",D6+E6)</f>
        <v/>
      </c>
      <c r="G6" s="77" t="str">
        <f aca="false">IF($A6="","",D6*(1-'كشف المطالبة'!$D$5))</f>
        <v/>
      </c>
      <c r="H6" s="77" t="str">
        <f aca="false">IF($A6="","",E6*(1-'كشف المطالبة'!$D$6))</f>
        <v/>
      </c>
      <c r="I6" s="77" t="str">
        <f aca="false">IF($A6="","",G6+H6)</f>
        <v/>
      </c>
      <c r="J6" s="78" t="str">
        <f aca="false">IF($A6="","",0)</f>
        <v/>
      </c>
      <c r="K6" s="77" t="str">
        <f aca="false">IF($A6="","",F6*J6+INDEX(BAHARY!$N$2:$N$901,124))</f>
        <v/>
      </c>
      <c r="L6" s="79" t="str">
        <f aca="false">IF($A6="","",I6-K6)</f>
        <v/>
      </c>
    </row>
    <row r="7" customFormat="false" ht="15" hidden="false" customHeight="true" outlineLevel="0" collapsed="false">
      <c r="A7" s="75" t="str">
        <f aca="false">IF(125&lt;=Check!$C$4,INDEX(BAHARY!$A$2:$A$901,125),"")</f>
        <v/>
      </c>
      <c r="B7" s="76" t="str">
        <f aca="false">IF($A7="","",INDEX(BAHARY!$B$2:$B$901,125))</f>
        <v/>
      </c>
      <c r="C7" s="76" t="str">
        <f aca="false">IF($A7="","",INDEX(BAHARY!$C$2:$C$901,125))</f>
        <v/>
      </c>
      <c r="D7" s="77" t="str">
        <f aca="false">IF($A7="","",INDEX(BAHARY!$H$2:$H$901,125))</f>
        <v/>
      </c>
      <c r="E7" s="77" t="str">
        <f aca="false">IF($A7="","",INDEX(BAHARY!$E$2:$E$901,125))</f>
        <v/>
      </c>
      <c r="F7" s="77" t="str">
        <f aca="false">IF($A7="","",D7+E7)</f>
        <v/>
      </c>
      <c r="G7" s="77" t="str">
        <f aca="false">IF($A7="","",D7*(1-'كشف المطالبة'!$D$5))</f>
        <v/>
      </c>
      <c r="H7" s="77" t="str">
        <f aca="false">IF($A7="","",E7*(1-'كشف المطالبة'!$D$6))</f>
        <v/>
      </c>
      <c r="I7" s="77" t="str">
        <f aca="false">IF($A7="","",G7+H7)</f>
        <v/>
      </c>
      <c r="J7" s="78" t="str">
        <f aca="false">IF($A7="","",0)</f>
        <v/>
      </c>
      <c r="K7" s="77" t="str">
        <f aca="false">IF($A7="","",F7*J7+INDEX(BAHARY!$N$2:$N$901,125))</f>
        <v/>
      </c>
      <c r="L7" s="79" t="str">
        <f aca="false">IF($A7="","",I7-K7)</f>
        <v/>
      </c>
    </row>
    <row r="8" customFormat="false" ht="18" hidden="false" customHeight="true" outlineLevel="0" collapsed="false">
      <c r="A8" s="75" t="str">
        <f aca="false">IF(126&lt;=Check!$C$4,INDEX(BAHARY!$A$2:$A$901,126),"")</f>
        <v/>
      </c>
      <c r="B8" s="76" t="str">
        <f aca="false">IF($A8="","",INDEX(BAHARY!$B$2:$B$901,126))</f>
        <v/>
      </c>
      <c r="C8" s="76" t="str">
        <f aca="false">IF($A8="","",INDEX(BAHARY!$C$2:$C$901,126))</f>
        <v/>
      </c>
      <c r="D8" s="77" t="str">
        <f aca="false">IF($A8="","",INDEX(BAHARY!$H$2:$H$901,126))</f>
        <v/>
      </c>
      <c r="E8" s="77" t="str">
        <f aca="false">IF($A8="","",INDEX(BAHARY!$E$2:$E$901,126))</f>
        <v/>
      </c>
      <c r="F8" s="77" t="str">
        <f aca="false">IF($A8="","",D8+E8)</f>
        <v/>
      </c>
      <c r="G8" s="77" t="str">
        <f aca="false">IF($A8="","",D8*(1-'كشف المطالبة'!$D$5))</f>
        <v/>
      </c>
      <c r="H8" s="77" t="str">
        <f aca="false">IF($A8="","",E8*(1-'كشف المطالبة'!$D$6))</f>
        <v/>
      </c>
      <c r="I8" s="77" t="str">
        <f aca="false">IF($A8="","",G8+H8)</f>
        <v/>
      </c>
      <c r="J8" s="78" t="str">
        <f aca="false">IF($A8="","",0)</f>
        <v/>
      </c>
      <c r="K8" s="77" t="str">
        <f aca="false">IF($A8="","",F8*J8+INDEX(BAHARY!$N$2:$N$901,126))</f>
        <v/>
      </c>
      <c r="L8" s="79" t="str">
        <f aca="false">IF($A8="","",I8-K8)</f>
        <v/>
      </c>
    </row>
    <row r="9" customFormat="false" ht="15" hidden="false" customHeight="true" outlineLevel="0" collapsed="false">
      <c r="A9" s="75" t="str">
        <f aca="false">IF(127&lt;=Check!$C$4,INDEX(BAHARY!$A$2:$A$901,127),"")</f>
        <v/>
      </c>
      <c r="B9" s="80" t="str">
        <f aca="false">IF($A9="","",INDEX(BAHARY!$B$2:$B$901,127))</f>
        <v/>
      </c>
      <c r="C9" s="76" t="str">
        <f aca="false">IF($A9="","",INDEX(BAHARY!$C$2:$C$901,127))</f>
        <v/>
      </c>
      <c r="D9" s="77" t="str">
        <f aca="false">IF($A9="","",INDEX(BAHARY!$H$2:$H$901,127))</f>
        <v/>
      </c>
      <c r="E9" s="77" t="str">
        <f aca="false">IF($A9="","",INDEX(BAHARY!$E$2:$E$901,127))</f>
        <v/>
      </c>
      <c r="F9" s="77" t="str">
        <f aca="false">IF($A9="","",D9+E9)</f>
        <v/>
      </c>
      <c r="G9" s="77" t="str">
        <f aca="false">IF($A9="","",D9*(1-'كشف المطالبة'!$D$5))</f>
        <v/>
      </c>
      <c r="H9" s="77" t="str">
        <f aca="false">IF($A9="","",E9*(1-'كشف المطالبة'!$D$6))</f>
        <v/>
      </c>
      <c r="I9" s="77" t="str">
        <f aca="false">IF($A9="","",G9+H9)</f>
        <v/>
      </c>
      <c r="J9" s="78" t="str">
        <f aca="false">IF($A9="","",0)</f>
        <v/>
      </c>
      <c r="K9" s="77" t="str">
        <f aca="false">IF($A9="","",F9*J9+INDEX(BAHARY!$N$2:$N$901,127))</f>
        <v/>
      </c>
      <c r="L9" s="79" t="str">
        <f aca="false">IF($A9="","",I9-K9)</f>
        <v/>
      </c>
    </row>
    <row r="10" customFormat="false" ht="15" hidden="false" customHeight="true" outlineLevel="0" collapsed="false">
      <c r="A10" s="75" t="str">
        <f aca="false">IF(128&lt;=Check!$C$4,INDEX(BAHARY!$A$2:$A$901,128),"")</f>
        <v/>
      </c>
      <c r="B10" s="76" t="str">
        <f aca="false">IF($A10="","",INDEX(BAHARY!$B$2:$B$901,128))</f>
        <v/>
      </c>
      <c r="C10" s="76" t="str">
        <f aca="false">IF($A10="","",INDEX(BAHARY!$C$2:$C$901,128))</f>
        <v/>
      </c>
      <c r="D10" s="77" t="str">
        <f aca="false">IF($A10="","",INDEX(BAHARY!$H$2:$H$901,128))</f>
        <v/>
      </c>
      <c r="E10" s="77" t="str">
        <f aca="false">IF($A10="","",INDEX(BAHARY!$E$2:$E$901,128))</f>
        <v/>
      </c>
      <c r="F10" s="77" t="str">
        <f aca="false">IF($A10="","",D10+E10)</f>
        <v/>
      </c>
      <c r="G10" s="77" t="str">
        <f aca="false">IF($A10="","",D10*(1-'كشف المطالبة'!$D$5))</f>
        <v/>
      </c>
      <c r="H10" s="77" t="str">
        <f aca="false">IF($A10="","",E10*(1-'كشف المطالبة'!$D$6))</f>
        <v/>
      </c>
      <c r="I10" s="77" t="str">
        <f aca="false">IF($A10="","",G10+H10)</f>
        <v/>
      </c>
      <c r="J10" s="78" t="str">
        <f aca="false">IF($A10="","",0)</f>
        <v/>
      </c>
      <c r="K10" s="77" t="str">
        <f aca="false">IF($A10="","",F10*J10+INDEX(BAHARY!$N$2:$N$901,128))</f>
        <v/>
      </c>
      <c r="L10" s="79" t="str">
        <f aca="false">IF($A10="","",I10-K10)</f>
        <v/>
      </c>
    </row>
    <row r="11" customFormat="false" ht="15" hidden="false" customHeight="true" outlineLevel="0" collapsed="false">
      <c r="A11" s="75" t="str">
        <f aca="false">IF(129&lt;=Check!$C$4,INDEX(BAHARY!$A$2:$A$901,129),"")</f>
        <v/>
      </c>
      <c r="B11" s="76" t="str">
        <f aca="false">IF($A11="","",INDEX(BAHARY!$B$2:$B$901,129))</f>
        <v/>
      </c>
      <c r="C11" s="76" t="str">
        <f aca="false">IF($A11="","",INDEX(BAHARY!$C$2:$C$901,129))</f>
        <v/>
      </c>
      <c r="D11" s="77" t="str">
        <f aca="false">IF($A11="","",INDEX(BAHARY!$H$2:$H$901,129))</f>
        <v/>
      </c>
      <c r="E11" s="77" t="str">
        <f aca="false">IF($A11="","",INDEX(BAHARY!$E$2:$E$901,129))</f>
        <v/>
      </c>
      <c r="F11" s="77" t="str">
        <f aca="false">IF($A11="","",D11+E11)</f>
        <v/>
      </c>
      <c r="G11" s="77" t="str">
        <f aca="false">IF($A11="","",D11*(1-'كشف المطالبة'!$D$5))</f>
        <v/>
      </c>
      <c r="H11" s="77" t="str">
        <f aca="false">IF($A11="","",E11*(1-'كشف المطالبة'!$D$6))</f>
        <v/>
      </c>
      <c r="I11" s="77" t="str">
        <f aca="false">IF($A11="","",G11+H11)</f>
        <v/>
      </c>
      <c r="J11" s="78" t="str">
        <f aca="false">IF($A11="","",0)</f>
        <v/>
      </c>
      <c r="K11" s="77" t="str">
        <f aca="false">IF($A11="","",F11*J11+INDEX(BAHARY!$N$2:$N$901,129))</f>
        <v/>
      </c>
      <c r="L11" s="79" t="str">
        <f aca="false">IF($A11="","",I11-K11)</f>
        <v/>
      </c>
    </row>
    <row r="12" customFormat="false" ht="15" hidden="false" customHeight="true" outlineLevel="0" collapsed="false">
      <c r="A12" s="75" t="str">
        <f aca="false">IF(130&lt;=Check!$C$4,INDEX(BAHARY!$A$2:$A$901,130),"")</f>
        <v/>
      </c>
      <c r="B12" s="76" t="str">
        <f aca="false">IF($A12="","",INDEX(BAHARY!$B$2:$B$901,130))</f>
        <v/>
      </c>
      <c r="C12" s="76" t="str">
        <f aca="false">IF($A12="","",INDEX(BAHARY!$C$2:$C$901,130))</f>
        <v/>
      </c>
      <c r="D12" s="77" t="str">
        <f aca="false">IF($A12="","",INDEX(BAHARY!$H$2:$H$901,130))</f>
        <v/>
      </c>
      <c r="E12" s="77" t="str">
        <f aca="false">IF($A12="","",INDEX(BAHARY!$E$2:$E$901,130))</f>
        <v/>
      </c>
      <c r="F12" s="77" t="str">
        <f aca="false">IF($A12="","",D12+E12)</f>
        <v/>
      </c>
      <c r="G12" s="77" t="str">
        <f aca="false">IF($A12="","",D12*(1-'كشف المطالبة'!$D$5))</f>
        <v/>
      </c>
      <c r="H12" s="77" t="str">
        <f aca="false">IF($A12="","",E12*(1-'كشف المطالبة'!$D$6))</f>
        <v/>
      </c>
      <c r="I12" s="77" t="str">
        <f aca="false">IF($A12="","",G12+H12)</f>
        <v/>
      </c>
      <c r="J12" s="78" t="str">
        <f aca="false">IF($A12="","",0)</f>
        <v/>
      </c>
      <c r="K12" s="77" t="str">
        <f aca="false">IF($A12="","",F12*J12+INDEX(BAHARY!$N$2:$N$901,130))</f>
        <v/>
      </c>
      <c r="L12" s="79" t="str">
        <f aca="false">IF($A12="","",I12-K12)</f>
        <v/>
      </c>
    </row>
    <row r="13" customFormat="false" ht="15" hidden="false" customHeight="true" outlineLevel="0" collapsed="false">
      <c r="A13" s="75" t="str">
        <f aca="false">IF(131&lt;=Check!$C$4,INDEX(BAHARY!$A$2:$A$901,131),"")</f>
        <v/>
      </c>
      <c r="B13" s="76" t="str">
        <f aca="false">IF($A13="","",INDEX(BAHARY!$B$2:$B$901,131))</f>
        <v/>
      </c>
      <c r="C13" s="76" t="str">
        <f aca="false">IF($A13="","",INDEX(BAHARY!$C$2:$C$901,131))</f>
        <v/>
      </c>
      <c r="D13" s="77" t="str">
        <f aca="false">IF($A13="","",INDEX(BAHARY!$H$2:$H$901,131))</f>
        <v/>
      </c>
      <c r="E13" s="77" t="str">
        <f aca="false">IF($A13="","",INDEX(BAHARY!$E$2:$E$901,131))</f>
        <v/>
      </c>
      <c r="F13" s="77" t="str">
        <f aca="false">IF($A13="","",D13+E13)</f>
        <v/>
      </c>
      <c r="G13" s="77" t="str">
        <f aca="false">IF($A13="","",D13*(1-'كشف المطالبة'!$D$5))</f>
        <v/>
      </c>
      <c r="H13" s="77" t="str">
        <f aca="false">IF($A13="","",E13*(1-'كشف المطالبة'!$D$6))</f>
        <v/>
      </c>
      <c r="I13" s="77" t="str">
        <f aca="false">IF($A13="","",G13+H13)</f>
        <v/>
      </c>
      <c r="J13" s="78" t="str">
        <f aca="false">IF($A13="","",0)</f>
        <v/>
      </c>
      <c r="K13" s="77" t="str">
        <f aca="false">IF($A13="","",F13*J13+INDEX(BAHARY!$N$2:$N$901,131))</f>
        <v/>
      </c>
      <c r="L13" s="79" t="str">
        <f aca="false">IF($A13="","",I13-K13)</f>
        <v/>
      </c>
    </row>
    <row r="14" customFormat="false" ht="15" hidden="false" customHeight="true" outlineLevel="0" collapsed="false">
      <c r="A14" s="75" t="str">
        <f aca="false">IF(132&lt;=Check!$C$4,INDEX(BAHARY!$A$2:$A$901,132),"")</f>
        <v/>
      </c>
      <c r="B14" s="76" t="str">
        <f aca="false">IF($A14="","",INDEX(BAHARY!$B$2:$B$901,132))</f>
        <v/>
      </c>
      <c r="C14" s="76" t="str">
        <f aca="false">IF($A14="","",INDEX(BAHARY!$C$2:$C$901,132))</f>
        <v/>
      </c>
      <c r="D14" s="77" t="str">
        <f aca="false">IF($A14="","",INDEX(BAHARY!$H$2:$H$901,132))</f>
        <v/>
      </c>
      <c r="E14" s="77" t="str">
        <f aca="false">IF($A14="","",INDEX(BAHARY!$E$2:$E$901,132))</f>
        <v/>
      </c>
      <c r="F14" s="77" t="str">
        <f aca="false">IF($A14="","",D14+E14)</f>
        <v/>
      </c>
      <c r="G14" s="77" t="str">
        <f aca="false">IF($A14="","",D14*(1-'كشف المطالبة'!$D$5))</f>
        <v/>
      </c>
      <c r="H14" s="77" t="str">
        <f aca="false">IF($A14="","",E14*(1-'كشف المطالبة'!$D$6))</f>
        <v/>
      </c>
      <c r="I14" s="77" t="str">
        <f aca="false">IF($A14="","",G14+H14)</f>
        <v/>
      </c>
      <c r="J14" s="78" t="str">
        <f aca="false">IF($A14="","",0)</f>
        <v/>
      </c>
      <c r="K14" s="77" t="str">
        <f aca="false">IF($A14="","",F14*J14+INDEX(BAHARY!$N$2:$N$901,132))</f>
        <v/>
      </c>
      <c r="L14" s="79" t="str">
        <f aca="false">IF($A14="","",I14-K14)</f>
        <v/>
      </c>
    </row>
    <row r="15" customFormat="false" ht="15" hidden="false" customHeight="true" outlineLevel="0" collapsed="false">
      <c r="A15" s="75" t="str">
        <f aca="false">IF(133&lt;=Check!$C$4,INDEX(BAHARY!$A$2:$A$901,133),"")</f>
        <v/>
      </c>
      <c r="B15" s="76" t="str">
        <f aca="false">IF($A15="","",INDEX(BAHARY!$B$2:$B$901,133))</f>
        <v/>
      </c>
      <c r="C15" s="76" t="str">
        <f aca="false">IF($A15="","",INDEX(BAHARY!$C$2:$C$901,133))</f>
        <v/>
      </c>
      <c r="D15" s="77" t="str">
        <f aca="false">IF($A15="","",INDEX(BAHARY!$H$2:$H$901,133))</f>
        <v/>
      </c>
      <c r="E15" s="77" t="str">
        <f aca="false">IF($A15="","",INDEX(BAHARY!$E$2:$E$901,133))</f>
        <v/>
      </c>
      <c r="F15" s="77" t="str">
        <f aca="false">IF($A15="","",D15+E15)</f>
        <v/>
      </c>
      <c r="G15" s="77" t="str">
        <f aca="false">IF($A15="","",D15*(1-'كشف المطالبة'!$D$5))</f>
        <v/>
      </c>
      <c r="H15" s="77" t="str">
        <f aca="false">IF($A15="","",E15*(1-'كشف المطالبة'!$D$6))</f>
        <v/>
      </c>
      <c r="I15" s="77" t="str">
        <f aca="false">IF($A15="","",G15+H15)</f>
        <v/>
      </c>
      <c r="J15" s="78" t="str">
        <f aca="false">IF($A15="","",0)</f>
        <v/>
      </c>
      <c r="K15" s="77" t="str">
        <f aca="false">IF($A15="","",F15*J15+INDEX(BAHARY!$N$2:$N$901,133))</f>
        <v/>
      </c>
      <c r="L15" s="79" t="str">
        <f aca="false">IF($A15="","",I15-K15)</f>
        <v/>
      </c>
    </row>
    <row r="16" customFormat="false" ht="15" hidden="false" customHeight="true" outlineLevel="0" collapsed="false">
      <c r="A16" s="75" t="str">
        <f aca="false">IF(134&lt;=Check!$C$4,INDEX(BAHARY!$A$2:$A$901,134),"")</f>
        <v/>
      </c>
      <c r="B16" s="76" t="str">
        <f aca="false">IF($A16="","",INDEX(BAHARY!$B$2:$B$901,134))</f>
        <v/>
      </c>
      <c r="C16" s="76" t="str">
        <f aca="false">IF($A16="","",INDEX(BAHARY!$C$2:$C$901,134))</f>
        <v/>
      </c>
      <c r="D16" s="77" t="str">
        <f aca="false">IF($A16="","",INDEX(BAHARY!$H$2:$H$901,134))</f>
        <v/>
      </c>
      <c r="E16" s="77" t="str">
        <f aca="false">IF($A16="","",INDEX(BAHARY!$E$2:$E$901,134))</f>
        <v/>
      </c>
      <c r="F16" s="77" t="str">
        <f aca="false">IF($A16="","",D16+E16)</f>
        <v/>
      </c>
      <c r="G16" s="77" t="str">
        <f aca="false">IF($A16="","",D16*(1-'كشف المطالبة'!$D$5))</f>
        <v/>
      </c>
      <c r="H16" s="77" t="str">
        <f aca="false">IF($A16="","",E16*(1-'كشف المطالبة'!$D$6))</f>
        <v/>
      </c>
      <c r="I16" s="77" t="str">
        <f aca="false">IF($A16="","",G16+H16)</f>
        <v/>
      </c>
      <c r="J16" s="78" t="str">
        <f aca="false">IF($A16="","",0)</f>
        <v/>
      </c>
      <c r="K16" s="77" t="str">
        <f aca="false">IF($A16="","",F16*J16+INDEX(BAHARY!$N$2:$N$901,134))</f>
        <v/>
      </c>
      <c r="L16" s="79" t="str">
        <f aca="false">IF($A16="","",I16-K16)</f>
        <v/>
      </c>
    </row>
    <row r="17" customFormat="false" ht="15" hidden="false" customHeight="true" outlineLevel="0" collapsed="false">
      <c r="A17" s="75" t="str">
        <f aca="false">IF(135&lt;=Check!$C$4,INDEX(BAHARY!$A$2:$A$901,135),"")</f>
        <v/>
      </c>
      <c r="B17" s="76" t="str">
        <f aca="false">IF($A17="","",INDEX(BAHARY!$B$2:$B$901,135))</f>
        <v/>
      </c>
      <c r="C17" s="76" t="str">
        <f aca="false">IF($A17="","",INDEX(BAHARY!$C$2:$C$901,135))</f>
        <v/>
      </c>
      <c r="D17" s="77" t="str">
        <f aca="false">IF($A17="","",INDEX(BAHARY!$H$2:$H$901,135))</f>
        <v/>
      </c>
      <c r="E17" s="77" t="str">
        <f aca="false">IF($A17="","",INDEX(BAHARY!$E$2:$E$901,135))</f>
        <v/>
      </c>
      <c r="F17" s="77" t="str">
        <f aca="false">IF($A17="","",D17+E17)</f>
        <v/>
      </c>
      <c r="G17" s="77" t="str">
        <f aca="false">IF($A17="","",D17*(1-'كشف المطالبة'!$D$5))</f>
        <v/>
      </c>
      <c r="H17" s="77" t="str">
        <f aca="false">IF($A17="","",E17*(1-'كشف المطالبة'!$D$6))</f>
        <v/>
      </c>
      <c r="I17" s="77" t="str">
        <f aca="false">IF($A17="","",G17+H17)</f>
        <v/>
      </c>
      <c r="J17" s="78" t="str">
        <f aca="false">IF($A17="","",0)</f>
        <v/>
      </c>
      <c r="K17" s="77" t="str">
        <f aca="false">IF($A17="","",F17*J17+INDEX(BAHARY!$N$2:$N$901,135))</f>
        <v/>
      </c>
      <c r="L17" s="79" t="str">
        <f aca="false">IF($A17="","",I17-K17)</f>
        <v/>
      </c>
    </row>
    <row r="18" customFormat="false" ht="15" hidden="false" customHeight="true" outlineLevel="0" collapsed="false">
      <c r="A18" s="75" t="str">
        <f aca="false">IF(136&lt;=Check!$C$4,INDEX(BAHARY!$A$2:$A$901,136),"")</f>
        <v/>
      </c>
      <c r="B18" s="80" t="str">
        <f aca="false">IF($A18="","",INDEX(BAHARY!$B$2:$B$901,136))</f>
        <v/>
      </c>
      <c r="C18" s="76" t="str">
        <f aca="false">IF($A18="","",INDEX(BAHARY!$C$2:$C$901,136))</f>
        <v/>
      </c>
      <c r="D18" s="77" t="str">
        <f aca="false">IF($A18="","",INDEX(BAHARY!$H$2:$H$901,136))</f>
        <v/>
      </c>
      <c r="E18" s="77" t="str">
        <f aca="false">IF($A18="","",INDEX(BAHARY!$E$2:$E$901,136))</f>
        <v/>
      </c>
      <c r="F18" s="77" t="str">
        <f aca="false">IF($A18="","",D18+E18)</f>
        <v/>
      </c>
      <c r="G18" s="77" t="str">
        <f aca="false">IF($A18="","",D18*(1-'كشف المطالبة'!$D$5))</f>
        <v/>
      </c>
      <c r="H18" s="77" t="str">
        <f aca="false">IF($A18="","",E18*(1-'كشف المطالبة'!$D$6))</f>
        <v/>
      </c>
      <c r="I18" s="77" t="str">
        <f aca="false">IF($A18="","",G18+H18)</f>
        <v/>
      </c>
      <c r="J18" s="78" t="str">
        <f aca="false">IF($A18="","",0)</f>
        <v/>
      </c>
      <c r="K18" s="77" t="str">
        <f aca="false">IF($A18="","",F18*J18+INDEX(BAHARY!$N$2:$N$901,136))</f>
        <v/>
      </c>
      <c r="L18" s="79" t="str">
        <f aca="false">IF($A18="","",I18-K18)</f>
        <v/>
      </c>
    </row>
    <row r="19" customFormat="false" ht="15" hidden="false" customHeight="true" outlineLevel="0" collapsed="false">
      <c r="A19" s="75" t="str">
        <f aca="false">IF(137&lt;=Check!$C$4,INDEX(BAHARY!$A$2:$A$901,137),"")</f>
        <v/>
      </c>
      <c r="B19" s="76" t="str">
        <f aca="false">IF($A19="","",INDEX(BAHARY!$B$2:$B$901,137))</f>
        <v/>
      </c>
      <c r="C19" s="76" t="str">
        <f aca="false">IF($A19="","",INDEX(BAHARY!$C$2:$C$901,137))</f>
        <v/>
      </c>
      <c r="D19" s="77" t="str">
        <f aca="false">IF($A19="","",INDEX(BAHARY!$H$2:$H$901,137))</f>
        <v/>
      </c>
      <c r="E19" s="77" t="str">
        <f aca="false">IF($A19="","",INDEX(BAHARY!$E$2:$E$901,137))</f>
        <v/>
      </c>
      <c r="F19" s="77" t="str">
        <f aca="false">IF($A19="","",D19+E19)</f>
        <v/>
      </c>
      <c r="G19" s="77" t="str">
        <f aca="false">IF($A19="","",D19*(1-'كشف المطالبة'!$D$5))</f>
        <v/>
      </c>
      <c r="H19" s="77" t="str">
        <f aca="false">IF($A19="","",E19*(1-'كشف المطالبة'!$D$6))</f>
        <v/>
      </c>
      <c r="I19" s="77" t="str">
        <f aca="false">IF($A19="","",G19+H19)</f>
        <v/>
      </c>
      <c r="J19" s="78" t="str">
        <f aca="false">IF($A19="","",0)</f>
        <v/>
      </c>
      <c r="K19" s="77" t="str">
        <f aca="false">IF($A19="","",F19*J19+INDEX(BAHARY!$N$2:$N$901,137))</f>
        <v/>
      </c>
      <c r="L19" s="79" t="str">
        <f aca="false">IF($A19="","",I19-K19)</f>
        <v/>
      </c>
    </row>
    <row r="20" customFormat="false" ht="15" hidden="false" customHeight="true" outlineLevel="0" collapsed="false">
      <c r="A20" s="75" t="str">
        <f aca="false">IF(138&lt;=Check!$C$4,INDEX(BAHARY!$A$2:$A$901,138),"")</f>
        <v/>
      </c>
      <c r="B20" s="76" t="str">
        <f aca="false">IF($A20="","",INDEX(BAHARY!$B$2:$B$901,138))</f>
        <v/>
      </c>
      <c r="C20" s="76" t="str">
        <f aca="false">IF($A20="","",INDEX(BAHARY!$C$2:$C$901,138))</f>
        <v/>
      </c>
      <c r="D20" s="77" t="str">
        <f aca="false">IF($A20="","",INDEX(BAHARY!$H$2:$H$901,138))</f>
        <v/>
      </c>
      <c r="E20" s="77" t="str">
        <f aca="false">IF($A20="","",INDEX(BAHARY!$E$2:$E$901,138))</f>
        <v/>
      </c>
      <c r="F20" s="77" t="str">
        <f aca="false">IF($A20="","",D20+E20)</f>
        <v/>
      </c>
      <c r="G20" s="77" t="str">
        <f aca="false">IF($A20="","",D20*(1-'كشف المطالبة'!$D$5))</f>
        <v/>
      </c>
      <c r="H20" s="77" t="str">
        <f aca="false">IF($A20="","",E20*(1-'كشف المطالبة'!$D$6))</f>
        <v/>
      </c>
      <c r="I20" s="77" t="str">
        <f aca="false">IF($A20="","",G20+H20)</f>
        <v/>
      </c>
      <c r="J20" s="78" t="str">
        <f aca="false">IF($A20="","",0)</f>
        <v/>
      </c>
      <c r="K20" s="77" t="str">
        <f aca="false">IF($A20="","",F20*J20+INDEX(BAHARY!$N$2:$N$901,138))</f>
        <v/>
      </c>
      <c r="L20" s="79" t="str">
        <f aca="false">IF($A20="","",I20-K20)</f>
        <v/>
      </c>
    </row>
    <row r="21" customFormat="false" ht="15" hidden="false" customHeight="true" outlineLevel="0" collapsed="false">
      <c r="A21" s="75" t="str">
        <f aca="false">IF(139&lt;=Check!$C$4,INDEX(BAHARY!$A$2:$A$901,139),"")</f>
        <v/>
      </c>
      <c r="B21" s="76" t="str">
        <f aca="false">IF($A21="","",INDEX(BAHARY!$B$2:$B$901,139))</f>
        <v/>
      </c>
      <c r="C21" s="76" t="str">
        <f aca="false">IF($A21="","",INDEX(BAHARY!$C$2:$C$901,139))</f>
        <v/>
      </c>
      <c r="D21" s="77" t="str">
        <f aca="false">IF($A21="","",INDEX(BAHARY!$H$2:$H$901,139))</f>
        <v/>
      </c>
      <c r="E21" s="77" t="str">
        <f aca="false">IF($A21="","",INDEX(BAHARY!$E$2:$E$901,139))</f>
        <v/>
      </c>
      <c r="F21" s="77" t="str">
        <f aca="false">IF($A21="","",D21+E21)</f>
        <v/>
      </c>
      <c r="G21" s="77" t="str">
        <f aca="false">IF($A21="","",D21*(1-'كشف المطالبة'!$D$5))</f>
        <v/>
      </c>
      <c r="H21" s="77" t="str">
        <f aca="false">IF($A21="","",E21*(1-'كشف المطالبة'!$D$6))</f>
        <v/>
      </c>
      <c r="I21" s="77" t="str">
        <f aca="false">IF($A21="","",G21+H21)</f>
        <v/>
      </c>
      <c r="J21" s="78" t="str">
        <f aca="false">IF($A21="","",0)</f>
        <v/>
      </c>
      <c r="K21" s="77" t="str">
        <f aca="false">IF($A21="","",F21*J21+INDEX(BAHARY!$N$2:$N$901,139))</f>
        <v/>
      </c>
      <c r="L21" s="79" t="str">
        <f aca="false">IF($A21="","",I21-K21)</f>
        <v/>
      </c>
    </row>
    <row r="22" customFormat="false" ht="15" hidden="false" customHeight="true" outlineLevel="0" collapsed="false">
      <c r="A22" s="75" t="str">
        <f aca="false">IF(140&lt;=Check!$C$4,INDEX(BAHARY!$A$2:$A$901,140),"")</f>
        <v/>
      </c>
      <c r="B22" s="76" t="str">
        <f aca="false">IF($A22="","",INDEX(BAHARY!$B$2:$B$901,140))</f>
        <v/>
      </c>
      <c r="C22" s="76" t="str">
        <f aca="false">IF($A22="","",INDEX(BAHARY!$C$2:$C$901,140))</f>
        <v/>
      </c>
      <c r="D22" s="77" t="str">
        <f aca="false">IF($A22="","",INDEX(BAHARY!$H$2:$H$901,140))</f>
        <v/>
      </c>
      <c r="E22" s="77" t="str">
        <f aca="false">IF($A22="","",INDEX(BAHARY!$E$2:$E$901,140))</f>
        <v/>
      </c>
      <c r="F22" s="77" t="str">
        <f aca="false">IF($A22="","",D22+E22)</f>
        <v/>
      </c>
      <c r="G22" s="77" t="str">
        <f aca="false">IF($A22="","",D22*(1-'كشف المطالبة'!$D$5))</f>
        <v/>
      </c>
      <c r="H22" s="77" t="str">
        <f aca="false">IF($A22="","",E22*(1-'كشف المطالبة'!$D$6))</f>
        <v/>
      </c>
      <c r="I22" s="77" t="str">
        <f aca="false">IF($A22="","",G22+H22)</f>
        <v/>
      </c>
      <c r="J22" s="78" t="str">
        <f aca="false">IF($A22="","",0)</f>
        <v/>
      </c>
      <c r="K22" s="77" t="str">
        <f aca="false">IF($A22="","",F22*J22+INDEX(BAHARY!$N$2:$N$901,140))</f>
        <v/>
      </c>
      <c r="L22" s="79" t="str">
        <f aca="false">IF($A22="","",I22-K22)</f>
        <v/>
      </c>
    </row>
    <row r="23" customFormat="false" ht="15" hidden="false" customHeight="true" outlineLevel="0" collapsed="false">
      <c r="A23" s="75" t="str">
        <f aca="false">IF(141&lt;=Check!$C$4,INDEX(BAHARY!$A$2:$A$901,141),"")</f>
        <v/>
      </c>
      <c r="B23" s="76" t="str">
        <f aca="false">IF($A23="","",INDEX(BAHARY!$B$2:$B$901,141))</f>
        <v/>
      </c>
      <c r="C23" s="76" t="str">
        <f aca="false">IF($A23="","",INDEX(BAHARY!$C$2:$C$901,141))</f>
        <v/>
      </c>
      <c r="D23" s="77" t="str">
        <f aca="false">IF($A23="","",INDEX(BAHARY!$H$2:$H$901,141))</f>
        <v/>
      </c>
      <c r="E23" s="77" t="str">
        <f aca="false">IF($A23="","",INDEX(BAHARY!$E$2:$E$901,141))</f>
        <v/>
      </c>
      <c r="F23" s="77" t="str">
        <f aca="false">IF($A23="","",D23+E23)</f>
        <v/>
      </c>
      <c r="G23" s="77" t="str">
        <f aca="false">IF($A23="","",D23*(1-'كشف المطالبة'!$D$5))</f>
        <v/>
      </c>
      <c r="H23" s="77" t="str">
        <f aca="false">IF($A23="","",E23*(1-'كشف المطالبة'!$D$6))</f>
        <v/>
      </c>
      <c r="I23" s="77" t="str">
        <f aca="false">IF($A23="","",G23+H23)</f>
        <v/>
      </c>
      <c r="J23" s="78" t="str">
        <f aca="false">IF($A23="","",0)</f>
        <v/>
      </c>
      <c r="K23" s="77" t="str">
        <f aca="false">IF($A23="","",F23*J23+INDEX(BAHARY!$N$2:$N$901,141))</f>
        <v/>
      </c>
      <c r="L23" s="79" t="str">
        <f aca="false">IF($A23="","",I23-K23)</f>
        <v/>
      </c>
    </row>
    <row r="24" customFormat="false" ht="15" hidden="false" customHeight="true" outlineLevel="0" collapsed="false">
      <c r="A24" s="75" t="str">
        <f aca="false">IF(142&lt;=Check!$C$4,INDEX(BAHARY!$A$2:$A$901,142),"")</f>
        <v/>
      </c>
      <c r="B24" s="76" t="str">
        <f aca="false">IF($A24="","",INDEX(BAHARY!$B$2:$B$901,142))</f>
        <v/>
      </c>
      <c r="C24" s="76" t="str">
        <f aca="false">IF($A24="","",INDEX(BAHARY!$C$2:$C$901,142))</f>
        <v/>
      </c>
      <c r="D24" s="77" t="str">
        <f aca="false">IF($A24="","",INDEX(BAHARY!$H$2:$H$901,142))</f>
        <v/>
      </c>
      <c r="E24" s="77" t="str">
        <f aca="false">IF($A24="","",INDEX(BAHARY!$E$2:$E$901,142))</f>
        <v/>
      </c>
      <c r="F24" s="77" t="str">
        <f aca="false">IF($A24="","",D24+E24)</f>
        <v/>
      </c>
      <c r="G24" s="77" t="str">
        <f aca="false">IF($A24="","",D24*(1-'كشف المطالبة'!$D$5))</f>
        <v/>
      </c>
      <c r="H24" s="77" t="str">
        <f aca="false">IF($A24="","",E24*(1-'كشف المطالبة'!$D$6))</f>
        <v/>
      </c>
      <c r="I24" s="77" t="str">
        <f aca="false">IF($A24="","",G24+H24)</f>
        <v/>
      </c>
      <c r="J24" s="78" t="str">
        <f aca="false">IF($A24="","",0)</f>
        <v/>
      </c>
      <c r="K24" s="77" t="str">
        <f aca="false">IF($A24="","",F24*J24+INDEX(BAHARY!$N$2:$N$901,142))</f>
        <v/>
      </c>
      <c r="L24" s="79" t="str">
        <f aca="false">IF($A24="","",I24-K24)</f>
        <v/>
      </c>
    </row>
    <row r="25" customFormat="false" ht="15" hidden="false" customHeight="true" outlineLevel="0" collapsed="false">
      <c r="A25" s="75" t="str">
        <f aca="false">IF(143&lt;=Check!$C$4,INDEX(BAHARY!$A$2:$A$901,143),"")</f>
        <v/>
      </c>
      <c r="B25" s="76" t="str">
        <f aca="false">IF($A25="","",INDEX(BAHARY!$B$2:$B$901,143))</f>
        <v/>
      </c>
      <c r="C25" s="76" t="str">
        <f aca="false">IF($A25="","",INDEX(BAHARY!$C$2:$C$901,143))</f>
        <v/>
      </c>
      <c r="D25" s="77" t="str">
        <f aca="false">IF($A25="","",INDEX(BAHARY!$H$2:$H$901,143))</f>
        <v/>
      </c>
      <c r="E25" s="77" t="str">
        <f aca="false">IF($A25="","",INDEX(BAHARY!$E$2:$E$901,143))</f>
        <v/>
      </c>
      <c r="F25" s="77" t="str">
        <f aca="false">IF($A25="","",D25+E25)</f>
        <v/>
      </c>
      <c r="G25" s="77" t="str">
        <f aca="false">IF($A25="","",D25*(1-'كشف المطالبة'!$D$5))</f>
        <v/>
      </c>
      <c r="H25" s="77" t="str">
        <f aca="false">IF($A25="","",E25*(1-'كشف المطالبة'!$D$6))</f>
        <v/>
      </c>
      <c r="I25" s="77" t="str">
        <f aca="false">IF($A25="","",G25+H25)</f>
        <v/>
      </c>
      <c r="J25" s="78" t="str">
        <f aca="false">IF($A25="","",0)</f>
        <v/>
      </c>
      <c r="K25" s="77" t="str">
        <f aca="false">IF($A25="","",F25*J25+INDEX(BAHARY!$N$2:$N$901,143))</f>
        <v/>
      </c>
      <c r="L25" s="79" t="str">
        <f aca="false">IF($A25="","",I25-K25)</f>
        <v/>
      </c>
    </row>
    <row r="26" customFormat="false" ht="15" hidden="false" customHeight="true" outlineLevel="0" collapsed="false">
      <c r="A26" s="75" t="str">
        <f aca="false">IF(144&lt;=Check!$C$4,INDEX(BAHARY!$A$2:$A$901,144),"")</f>
        <v/>
      </c>
      <c r="B26" s="76" t="str">
        <f aca="false">IF($A26="","",INDEX(BAHARY!$B$2:$B$901,144))</f>
        <v/>
      </c>
      <c r="C26" s="76" t="str">
        <f aca="false">IF($A26="","",INDEX(BAHARY!$C$2:$C$901,144))</f>
        <v/>
      </c>
      <c r="D26" s="77" t="str">
        <f aca="false">IF($A26="","",INDEX(BAHARY!$H$2:$H$901,144))</f>
        <v/>
      </c>
      <c r="E26" s="77" t="str">
        <f aca="false">IF($A26="","",INDEX(BAHARY!$E$2:$E$901,144))</f>
        <v/>
      </c>
      <c r="F26" s="77" t="str">
        <f aca="false">IF($A26="","",D26+E26)</f>
        <v/>
      </c>
      <c r="G26" s="77" t="str">
        <f aca="false">IF($A26="","",D26*(1-'كشف المطالبة'!$D$5))</f>
        <v/>
      </c>
      <c r="H26" s="77" t="str">
        <f aca="false">IF($A26="","",E26*(1-'كشف المطالبة'!$D$6))</f>
        <v/>
      </c>
      <c r="I26" s="77" t="str">
        <f aca="false">IF($A26="","",G26+H26)</f>
        <v/>
      </c>
      <c r="J26" s="78" t="str">
        <f aca="false">IF($A26="","",0)</f>
        <v/>
      </c>
      <c r="K26" s="77" t="str">
        <f aca="false">IF($A26="","",F26*J26+INDEX(BAHARY!$N$2:$N$901,144))</f>
        <v/>
      </c>
      <c r="L26" s="79" t="str">
        <f aca="false">IF($A26="","",I26-K26)</f>
        <v/>
      </c>
    </row>
    <row r="27" customFormat="false" ht="15" hidden="false" customHeight="true" outlineLevel="0" collapsed="false">
      <c r="A27" s="75" t="str">
        <f aca="false">IF(145&lt;=Check!$C$4,INDEX(BAHARY!$A$2:$A$901,145),"")</f>
        <v/>
      </c>
      <c r="B27" s="76" t="str">
        <f aca="false">IF($A27="","",INDEX(BAHARY!$B$2:$B$901,145))</f>
        <v/>
      </c>
      <c r="C27" s="76" t="str">
        <f aca="false">IF($A27="","",INDEX(BAHARY!$C$2:$C$901,145))</f>
        <v/>
      </c>
      <c r="D27" s="77" t="str">
        <f aca="false">IF($A27="","",INDEX(BAHARY!$H$2:$H$901,145))</f>
        <v/>
      </c>
      <c r="E27" s="77" t="str">
        <f aca="false">IF($A27="","",INDEX(BAHARY!$E$2:$E$901,145))</f>
        <v/>
      </c>
      <c r="F27" s="77" t="str">
        <f aca="false">IF($A27="","",D27+E27)</f>
        <v/>
      </c>
      <c r="G27" s="77" t="str">
        <f aca="false">IF($A27="","",D27*(1-'كشف المطالبة'!$D$5))</f>
        <v/>
      </c>
      <c r="H27" s="77" t="str">
        <f aca="false">IF($A27="","",E27*(1-'كشف المطالبة'!$D$6))</f>
        <v/>
      </c>
      <c r="I27" s="77" t="str">
        <f aca="false">IF($A27="","",G27+H27)</f>
        <v/>
      </c>
      <c r="J27" s="78" t="str">
        <f aca="false">IF($A27="","",0)</f>
        <v/>
      </c>
      <c r="K27" s="77" t="str">
        <f aca="false">IF($A27="","",F27*J27+INDEX(BAHARY!$N$2:$N$901,145))</f>
        <v/>
      </c>
      <c r="L27" s="79" t="str">
        <f aca="false">IF($A27="","",I27-K27)</f>
        <v/>
      </c>
    </row>
    <row r="28" customFormat="false" ht="15" hidden="false" customHeight="true" outlineLevel="0" collapsed="false">
      <c r="A28" s="75" t="str">
        <f aca="false">IF(146&lt;=Check!$C$4,INDEX(BAHARY!$A$2:$A$901,146),"")</f>
        <v/>
      </c>
      <c r="B28" s="76" t="str">
        <f aca="false">IF($A28="","",INDEX(BAHARY!$B$2:$B$901,146))</f>
        <v/>
      </c>
      <c r="C28" s="76" t="str">
        <f aca="false">IF($A28="","",INDEX(BAHARY!$C$2:$C$901,146))</f>
        <v/>
      </c>
      <c r="D28" s="77" t="str">
        <f aca="false">IF($A28="","",INDEX(BAHARY!$H$2:$H$901,146))</f>
        <v/>
      </c>
      <c r="E28" s="77" t="str">
        <f aca="false">IF($A28="","",INDEX(BAHARY!$E$2:$E$901,146))</f>
        <v/>
      </c>
      <c r="F28" s="77" t="str">
        <f aca="false">IF($A28="","",D28+E28)</f>
        <v/>
      </c>
      <c r="G28" s="77" t="str">
        <f aca="false">IF($A28="","",D28*(1-'كشف المطالبة'!$D$5))</f>
        <v/>
      </c>
      <c r="H28" s="77" t="str">
        <f aca="false">IF($A28="","",E28*(1-'كشف المطالبة'!$D$6))</f>
        <v/>
      </c>
      <c r="I28" s="77" t="str">
        <f aca="false">IF($A28="","",G28+H28)</f>
        <v/>
      </c>
      <c r="J28" s="78" t="str">
        <f aca="false">IF($A28="","",0)</f>
        <v/>
      </c>
      <c r="K28" s="77" t="str">
        <f aca="false">IF($A28="","",F28*J28+INDEX(BAHARY!$N$2:$N$901,146))</f>
        <v/>
      </c>
      <c r="L28" s="79" t="str">
        <f aca="false">IF($A28="","",I28-K28)</f>
        <v/>
      </c>
    </row>
    <row r="29" customFormat="false" ht="15" hidden="false" customHeight="true" outlineLevel="0" collapsed="false">
      <c r="A29" s="75" t="str">
        <f aca="false">IF(147&lt;=Check!$C$4,INDEX(BAHARY!$A$2:$A$901,147),"")</f>
        <v/>
      </c>
      <c r="B29" s="76" t="str">
        <f aca="false">IF($A29="","",INDEX(BAHARY!$B$2:$B$901,147))</f>
        <v/>
      </c>
      <c r="C29" s="76" t="str">
        <f aca="false">IF($A29="","",INDEX(BAHARY!$C$2:$C$901,147))</f>
        <v/>
      </c>
      <c r="D29" s="77" t="str">
        <f aca="false">IF($A29="","",INDEX(BAHARY!$H$2:$H$901,147))</f>
        <v/>
      </c>
      <c r="E29" s="77" t="str">
        <f aca="false">IF($A29="","",INDEX(BAHARY!$E$2:$E$901,147))</f>
        <v/>
      </c>
      <c r="F29" s="77" t="str">
        <f aca="false">IF($A29="","",D29+E29)</f>
        <v/>
      </c>
      <c r="G29" s="77" t="str">
        <f aca="false">IF($A29="","",D29*(1-'كشف المطالبة'!$D$5))</f>
        <v/>
      </c>
      <c r="H29" s="77" t="str">
        <f aca="false">IF($A29="","",E29*(1-'كشف المطالبة'!$D$6))</f>
        <v/>
      </c>
      <c r="I29" s="77" t="str">
        <f aca="false">IF($A29="","",G29+H29)</f>
        <v/>
      </c>
      <c r="J29" s="78" t="str">
        <f aca="false">IF($A29="","",0)</f>
        <v/>
      </c>
      <c r="K29" s="77" t="str">
        <f aca="false">IF($A29="","",F29*J29+INDEX(BAHARY!$N$2:$N$901,147))</f>
        <v/>
      </c>
      <c r="L29" s="79" t="str">
        <f aca="false">IF($A29="","",I29-K29)</f>
        <v/>
      </c>
    </row>
    <row r="30" customFormat="false" ht="15" hidden="false" customHeight="true" outlineLevel="0" collapsed="false">
      <c r="A30" s="75" t="str">
        <f aca="false">IF(148&lt;=Check!$C$4,INDEX(BAHARY!$A$2:$A$901,148),"")</f>
        <v/>
      </c>
      <c r="B30" s="76" t="str">
        <f aca="false">IF($A30="","",INDEX(BAHARY!$B$2:$B$901,148))</f>
        <v/>
      </c>
      <c r="C30" s="76" t="str">
        <f aca="false">IF($A30="","",INDEX(BAHARY!$C$2:$C$901,148))</f>
        <v/>
      </c>
      <c r="D30" s="77" t="str">
        <f aca="false">IF($A30="","",INDEX(BAHARY!$H$2:$H$901,148))</f>
        <v/>
      </c>
      <c r="E30" s="77" t="str">
        <f aca="false">IF($A30="","",INDEX(BAHARY!$E$2:$E$901,148))</f>
        <v/>
      </c>
      <c r="F30" s="77" t="str">
        <f aca="false">IF($A30="","",D30+E30)</f>
        <v/>
      </c>
      <c r="G30" s="77" t="str">
        <f aca="false">IF($A30="","",D30*(1-'كشف المطالبة'!$D$5))</f>
        <v/>
      </c>
      <c r="H30" s="77" t="str">
        <f aca="false">IF($A30="","",E30*(1-'كشف المطالبة'!$D$6))</f>
        <v/>
      </c>
      <c r="I30" s="77" t="str">
        <f aca="false">IF($A30="","",G30+H30)</f>
        <v/>
      </c>
      <c r="J30" s="78" t="str">
        <f aca="false">IF($A30="","",0)</f>
        <v/>
      </c>
      <c r="K30" s="77" t="str">
        <f aca="false">IF($A30="","",F30*J30+INDEX(BAHARY!$N$2:$N$901,148))</f>
        <v/>
      </c>
      <c r="L30" s="79" t="str">
        <f aca="false">IF($A30="","",I30-K30)</f>
        <v/>
      </c>
    </row>
    <row r="31" customFormat="false" ht="15" hidden="false" customHeight="true" outlineLevel="0" collapsed="false">
      <c r="A31" s="75" t="str">
        <f aca="false">IF(149&lt;=Check!$C$4,INDEX(BAHARY!$A$2:$A$901,149),"")</f>
        <v/>
      </c>
      <c r="B31" s="76" t="str">
        <f aca="false">IF($A31="","",INDEX(BAHARY!$B$2:$B$901,149))</f>
        <v/>
      </c>
      <c r="C31" s="76" t="str">
        <f aca="false">IF($A31="","",INDEX(BAHARY!$C$2:$C$901,149))</f>
        <v/>
      </c>
      <c r="D31" s="77" t="str">
        <f aca="false">IF($A31="","",INDEX(BAHARY!$H$2:$H$901,149))</f>
        <v/>
      </c>
      <c r="E31" s="77" t="str">
        <f aca="false">IF($A31="","",INDEX(BAHARY!$E$2:$E$901,149))</f>
        <v/>
      </c>
      <c r="F31" s="77" t="str">
        <f aca="false">IF($A31="","",D31+E31)</f>
        <v/>
      </c>
      <c r="G31" s="77" t="str">
        <f aca="false">IF($A31="","",D31*(1-'كشف المطالبة'!$D$5))</f>
        <v/>
      </c>
      <c r="H31" s="77" t="str">
        <f aca="false">IF($A31="","",E31*(1-'كشف المطالبة'!$D$6))</f>
        <v/>
      </c>
      <c r="I31" s="77" t="str">
        <f aca="false">IF($A31="","",G31+H31)</f>
        <v/>
      </c>
      <c r="J31" s="78" t="str">
        <f aca="false">IF($A31="","",0)</f>
        <v/>
      </c>
      <c r="K31" s="77" t="str">
        <f aca="false">IF($A31="","",F31*J31+INDEX(BAHARY!$N$2:$N$901,149))</f>
        <v/>
      </c>
      <c r="L31" s="79" t="str">
        <f aca="false">IF($A31="","",I31-K31)</f>
        <v/>
      </c>
    </row>
    <row r="32" customFormat="false" ht="15" hidden="false" customHeight="true" outlineLevel="0" collapsed="false">
      <c r="A32" s="75" t="str">
        <f aca="false">IF(150&lt;=Check!$C$4,INDEX(BAHARY!$A$2:$A$901,150),"")</f>
        <v/>
      </c>
      <c r="B32" s="76" t="str">
        <f aca="false">IF($A32="","",INDEX(BAHARY!$B$2:$B$901,150))</f>
        <v/>
      </c>
      <c r="C32" s="76" t="str">
        <f aca="false">IF($A32="","",INDEX(BAHARY!$C$2:$C$901,150))</f>
        <v/>
      </c>
      <c r="D32" s="77" t="str">
        <f aca="false">IF($A32="","",INDEX(BAHARY!$H$2:$H$901,150))</f>
        <v/>
      </c>
      <c r="E32" s="77" t="str">
        <f aca="false">IF($A32="","",INDEX(BAHARY!$E$2:$E$901,150))</f>
        <v/>
      </c>
      <c r="F32" s="77" t="str">
        <f aca="false">IF($A32="","",D32+E32)</f>
        <v/>
      </c>
      <c r="G32" s="77" t="str">
        <f aca="false">IF($A32="","",D32*(1-'كشف المطالبة'!$D$5))</f>
        <v/>
      </c>
      <c r="H32" s="77" t="str">
        <f aca="false">IF($A32="","",E32*(1-'كشف المطالبة'!$D$6))</f>
        <v/>
      </c>
      <c r="I32" s="77" t="str">
        <f aca="false">IF($A32="","",G32+H32)</f>
        <v/>
      </c>
      <c r="J32" s="78" t="str">
        <f aca="false">IF($A32="","",0)</f>
        <v/>
      </c>
      <c r="K32" s="77" t="str">
        <f aca="false">IF($A32="","",F32*J32+INDEX(BAHARY!$N$2:$N$901,150))</f>
        <v/>
      </c>
      <c r="L32" s="79" t="str">
        <f aca="false">IF($A32="","",I32-K32)</f>
        <v/>
      </c>
    </row>
    <row r="33" customFormat="false" ht="15" hidden="false" customHeight="true" outlineLevel="0" collapsed="false">
      <c r="A33" s="75" t="str">
        <f aca="false">IF(151&lt;=Check!$C$4,INDEX(BAHARY!$A$2:$A$901,151),"")</f>
        <v/>
      </c>
      <c r="B33" s="76" t="str">
        <f aca="false">IF($A33="","",INDEX(BAHARY!$B$2:$B$901,151))</f>
        <v/>
      </c>
      <c r="C33" s="76" t="str">
        <f aca="false">IF($A33="","",INDEX(BAHARY!$C$2:$C$901,151))</f>
        <v/>
      </c>
      <c r="D33" s="77" t="str">
        <f aca="false">IF($A33="","",INDEX(BAHARY!$H$2:$H$901,151))</f>
        <v/>
      </c>
      <c r="E33" s="77" t="str">
        <f aca="false">IF($A33="","",INDEX(BAHARY!$E$2:$E$901,151))</f>
        <v/>
      </c>
      <c r="F33" s="77" t="str">
        <f aca="false">IF($A33="","",D33+E33)</f>
        <v/>
      </c>
      <c r="G33" s="77" t="str">
        <f aca="false">IF($A33="","",D33*(1-'كشف المطالبة'!$D$5))</f>
        <v/>
      </c>
      <c r="H33" s="77" t="str">
        <f aca="false">IF($A33="","",E33*(1-'كشف المطالبة'!$D$6))</f>
        <v/>
      </c>
      <c r="I33" s="77" t="str">
        <f aca="false">IF($A33="","",G33+H33)</f>
        <v/>
      </c>
      <c r="J33" s="78" t="str">
        <f aca="false">IF($A33="","",0)</f>
        <v/>
      </c>
      <c r="K33" s="77" t="str">
        <f aca="false">IF($A33="","",F33*J33+INDEX(BAHARY!$N$2:$N$901,151))</f>
        <v/>
      </c>
      <c r="L33" s="79" t="str">
        <f aca="false">IF($A33="","",I33-K33)</f>
        <v/>
      </c>
    </row>
    <row r="34" customFormat="false" ht="15" hidden="false" customHeight="true" outlineLevel="0" collapsed="false">
      <c r="A34" s="75" t="str">
        <f aca="false">IF(152&lt;=Check!$C$4,INDEX(BAHARY!$A$2:$A$901,152),"")</f>
        <v/>
      </c>
      <c r="B34" s="76" t="str">
        <f aca="false">IF($A34="","",INDEX(BAHARY!$B$2:$B$901,152))</f>
        <v/>
      </c>
      <c r="C34" s="76" t="str">
        <f aca="false">IF($A34="","",INDEX(BAHARY!$C$2:$C$901,152))</f>
        <v/>
      </c>
      <c r="D34" s="77" t="str">
        <f aca="false">IF($A34="","",INDEX(BAHARY!$H$2:$H$901,152))</f>
        <v/>
      </c>
      <c r="E34" s="77" t="str">
        <f aca="false">IF($A34="","",INDEX(BAHARY!$E$2:$E$901,152))</f>
        <v/>
      </c>
      <c r="F34" s="77" t="str">
        <f aca="false">IF($A34="","",D34+E34)</f>
        <v/>
      </c>
      <c r="G34" s="77" t="str">
        <f aca="false">IF($A34="","",D34*(1-'كشف المطالبة'!$D$5))</f>
        <v/>
      </c>
      <c r="H34" s="77" t="str">
        <f aca="false">IF($A34="","",E34*(1-'كشف المطالبة'!$D$6))</f>
        <v/>
      </c>
      <c r="I34" s="77" t="str">
        <f aca="false">IF($A34="","",G34+H34)</f>
        <v/>
      </c>
      <c r="J34" s="78" t="str">
        <f aca="false">IF($A34="","",0)</f>
        <v/>
      </c>
      <c r="K34" s="77" t="str">
        <f aca="false">IF($A34="","",F34*J34+INDEX(BAHARY!$N$2:$N$901,152))</f>
        <v/>
      </c>
      <c r="L34" s="79" t="str">
        <f aca="false">IF($A34="","",I34-K34)</f>
        <v/>
      </c>
    </row>
    <row r="35" customFormat="false" ht="15" hidden="false" customHeight="true" outlineLevel="0" collapsed="false">
      <c r="A35" s="75" t="str">
        <f aca="false">IF(153&lt;=Check!$C$4,INDEX(BAHARY!$A$2:$A$901,153),"")</f>
        <v/>
      </c>
      <c r="B35" s="76" t="str">
        <f aca="false">IF($A35="","",INDEX(BAHARY!$B$2:$B$901,153))</f>
        <v/>
      </c>
      <c r="C35" s="76" t="str">
        <f aca="false">IF($A35="","",INDEX(BAHARY!$C$2:$C$901,153))</f>
        <v/>
      </c>
      <c r="D35" s="77" t="str">
        <f aca="false">IF($A35="","",INDEX(BAHARY!$H$2:$H$901,153))</f>
        <v/>
      </c>
      <c r="E35" s="77" t="str">
        <f aca="false">IF($A35="","",INDEX(BAHARY!$E$2:$E$901,153))</f>
        <v/>
      </c>
      <c r="F35" s="77" t="str">
        <f aca="false">IF($A35="","",D35+E35)</f>
        <v/>
      </c>
      <c r="G35" s="77" t="str">
        <f aca="false">IF($A35="","",D35*(1-'كشف المطالبة'!$D$5))</f>
        <v/>
      </c>
      <c r="H35" s="77" t="str">
        <f aca="false">IF($A35="","",E35*(1-'كشف المطالبة'!$D$6))</f>
        <v/>
      </c>
      <c r="I35" s="77" t="str">
        <f aca="false">IF($A35="","",G35+H35)</f>
        <v/>
      </c>
      <c r="J35" s="78" t="str">
        <f aca="false">IF($A35="","",0)</f>
        <v/>
      </c>
      <c r="K35" s="77" t="str">
        <f aca="false">IF($A35="","",F35*J35+INDEX(BAHARY!$N$2:$N$901,153))</f>
        <v/>
      </c>
      <c r="L35" s="79" t="str">
        <f aca="false">IF($A35="","",I35-K35)</f>
        <v/>
      </c>
    </row>
    <row r="36" customFormat="false" ht="15" hidden="false" customHeight="true" outlineLevel="0" collapsed="false">
      <c r="A36" s="75" t="str">
        <f aca="false">IF(154&lt;=Check!$C$4,INDEX(BAHARY!$A$2:$A$901,154),"")</f>
        <v/>
      </c>
      <c r="B36" s="76" t="str">
        <f aca="false">IF($A36="","",INDEX(BAHARY!$B$2:$B$901,154))</f>
        <v/>
      </c>
      <c r="C36" s="76" t="str">
        <f aca="false">IF($A36="","",INDEX(BAHARY!$C$2:$C$901,154))</f>
        <v/>
      </c>
      <c r="D36" s="77" t="str">
        <f aca="false">IF($A36="","",INDEX(BAHARY!$H$2:$H$901,154))</f>
        <v/>
      </c>
      <c r="E36" s="77" t="str">
        <f aca="false">IF($A36="","",INDEX(BAHARY!$E$2:$E$901,154))</f>
        <v/>
      </c>
      <c r="F36" s="77" t="str">
        <f aca="false">IF($A36="","",D36+E36)</f>
        <v/>
      </c>
      <c r="G36" s="77" t="str">
        <f aca="false">IF($A36="","",D36*(1-'كشف المطالبة'!$D$5))</f>
        <v/>
      </c>
      <c r="H36" s="77" t="str">
        <f aca="false">IF($A36="","",E36*(1-'كشف المطالبة'!$D$6))</f>
        <v/>
      </c>
      <c r="I36" s="77" t="str">
        <f aca="false">IF($A36="","",G36+H36)</f>
        <v/>
      </c>
      <c r="J36" s="78" t="str">
        <f aca="false">IF($A36="","",0)</f>
        <v/>
      </c>
      <c r="K36" s="77" t="str">
        <f aca="false">IF($A36="","",F36*J36+INDEX(BAHARY!$N$2:$N$901,154))</f>
        <v/>
      </c>
      <c r="L36" s="79" t="str">
        <f aca="false">IF($A36="","",I36-K36)</f>
        <v/>
      </c>
    </row>
    <row r="37" customFormat="false" ht="15" hidden="false" customHeight="true" outlineLevel="0" collapsed="false">
      <c r="A37" s="75" t="str">
        <f aca="false">IF(155&lt;=Check!$C$4,INDEX(BAHARY!$A$2:$A$901,155),"")</f>
        <v/>
      </c>
      <c r="B37" s="76" t="str">
        <f aca="false">IF($A37="","",INDEX(BAHARY!$B$2:$B$901,155))</f>
        <v/>
      </c>
      <c r="C37" s="76" t="str">
        <f aca="false">IF($A37="","",INDEX(BAHARY!$C$2:$C$901,155))</f>
        <v/>
      </c>
      <c r="D37" s="77" t="str">
        <f aca="false">IF($A37="","",INDEX(BAHARY!$H$2:$H$901,155))</f>
        <v/>
      </c>
      <c r="E37" s="77" t="str">
        <f aca="false">IF($A37="","",INDEX(BAHARY!$E$2:$E$901,155))</f>
        <v/>
      </c>
      <c r="F37" s="77" t="str">
        <f aca="false">IF($A37="","",D37+E37)</f>
        <v/>
      </c>
      <c r="G37" s="77" t="str">
        <f aca="false">IF($A37="","",D37*(1-'كشف المطالبة'!$D$5))</f>
        <v/>
      </c>
      <c r="H37" s="77" t="str">
        <f aca="false">IF($A37="","",E37*(1-'كشف المطالبة'!$D$6))</f>
        <v/>
      </c>
      <c r="I37" s="77" t="str">
        <f aca="false">IF($A37="","",G37+H37)</f>
        <v/>
      </c>
      <c r="J37" s="78" t="str">
        <f aca="false">IF($A37="","",0)</f>
        <v/>
      </c>
      <c r="K37" s="77" t="str">
        <f aca="false">IF($A37="","",F37*J37+INDEX(BAHARY!$N$2:$N$901,155))</f>
        <v/>
      </c>
      <c r="L37" s="79" t="str">
        <f aca="false">IF($A37="","",I37-K37)</f>
        <v/>
      </c>
    </row>
    <row r="38" customFormat="false" ht="15" hidden="false" customHeight="true" outlineLevel="0" collapsed="false">
      <c r="A38" s="75" t="str">
        <f aca="false">IF(156&lt;=Check!$C$4,INDEX(BAHARY!$A$2:$A$901,156),"")</f>
        <v/>
      </c>
      <c r="B38" s="76" t="str">
        <f aca="false">IF($A38="","",INDEX(BAHARY!$B$2:$B$901,156))</f>
        <v/>
      </c>
      <c r="C38" s="76" t="str">
        <f aca="false">IF($A38="","",INDEX(BAHARY!$C$2:$C$901,156))</f>
        <v/>
      </c>
      <c r="D38" s="77" t="str">
        <f aca="false">IF($A38="","",INDEX(BAHARY!$H$2:$H$901,156))</f>
        <v/>
      </c>
      <c r="E38" s="77" t="str">
        <f aca="false">IF($A38="","",INDEX(BAHARY!$E$2:$E$901,156))</f>
        <v/>
      </c>
      <c r="F38" s="77" t="str">
        <f aca="false">IF($A38="","",D38+E38)</f>
        <v/>
      </c>
      <c r="G38" s="77" t="str">
        <f aca="false">IF($A38="","",D38*(1-'كشف المطالبة'!$D$5))</f>
        <v/>
      </c>
      <c r="H38" s="77" t="str">
        <f aca="false">IF($A38="","",E38*(1-'كشف المطالبة'!$D$6))</f>
        <v/>
      </c>
      <c r="I38" s="77" t="str">
        <f aca="false">IF($A38="","",G38+H38)</f>
        <v/>
      </c>
      <c r="J38" s="78" t="str">
        <f aca="false">IF($A38="","",0)</f>
        <v/>
      </c>
      <c r="K38" s="77" t="str">
        <f aca="false">IF($A38="","",F38*J38+INDEX(BAHARY!$N$2:$N$901,156))</f>
        <v/>
      </c>
      <c r="L38" s="79" t="str">
        <f aca="false">IF($A38="","",I38-K38)</f>
        <v/>
      </c>
    </row>
    <row r="39" customFormat="false" ht="15" hidden="false" customHeight="true" outlineLevel="0" collapsed="false">
      <c r="A39" s="75" t="str">
        <f aca="false">IF(157&lt;=Check!$C$4,INDEX(BAHARY!$A$2:$A$901,157),"")</f>
        <v/>
      </c>
      <c r="B39" s="76" t="str">
        <f aca="false">IF($A39="","",INDEX(BAHARY!$B$2:$B$901,157))</f>
        <v/>
      </c>
      <c r="C39" s="76" t="str">
        <f aca="false">IF($A39="","",INDEX(BAHARY!$C$2:$C$901,157))</f>
        <v/>
      </c>
      <c r="D39" s="77" t="str">
        <f aca="false">IF($A39="","",INDEX(BAHARY!$H$2:$H$901,157))</f>
        <v/>
      </c>
      <c r="E39" s="77" t="str">
        <f aca="false">IF($A39="","",INDEX(BAHARY!$E$2:$E$901,157))</f>
        <v/>
      </c>
      <c r="F39" s="77" t="str">
        <f aca="false">IF($A39="","",D39+E39)</f>
        <v/>
      </c>
      <c r="G39" s="77" t="str">
        <f aca="false">IF($A39="","",D39*(1-'كشف المطالبة'!$D$5))</f>
        <v/>
      </c>
      <c r="H39" s="77" t="str">
        <f aca="false">IF($A39="","",E39*(1-'كشف المطالبة'!$D$6))</f>
        <v/>
      </c>
      <c r="I39" s="77" t="str">
        <f aca="false">IF($A39="","",G39+H39)</f>
        <v/>
      </c>
      <c r="J39" s="78" t="str">
        <f aca="false">IF($A39="","",0)</f>
        <v/>
      </c>
      <c r="K39" s="77" t="str">
        <f aca="false">IF($A39="","",F39*J39+INDEX(BAHARY!$N$2:$N$901,157))</f>
        <v/>
      </c>
      <c r="L39" s="79" t="str">
        <f aca="false">IF($A39="","",I39-K39)</f>
        <v/>
      </c>
    </row>
    <row r="40" customFormat="false" ht="15" hidden="false" customHeight="true" outlineLevel="0" collapsed="false">
      <c r="A40" s="75" t="str">
        <f aca="false">IF(158&lt;=Check!$C$4,INDEX(BAHARY!$A$2:$A$901,158),"")</f>
        <v/>
      </c>
      <c r="B40" s="76" t="str">
        <f aca="false">IF($A40="","",INDEX(BAHARY!$B$2:$B$901,158))</f>
        <v/>
      </c>
      <c r="C40" s="76" t="str">
        <f aca="false">IF($A40="","",INDEX(BAHARY!$C$2:$C$901,158))</f>
        <v/>
      </c>
      <c r="D40" s="77" t="str">
        <f aca="false">IF($A40="","",INDEX(BAHARY!$H$2:$H$901,158))</f>
        <v/>
      </c>
      <c r="E40" s="77" t="str">
        <f aca="false">IF($A40="","",INDEX(BAHARY!$E$2:$E$901,158))</f>
        <v/>
      </c>
      <c r="F40" s="77" t="str">
        <f aca="false">IF($A40="","",D40+E40)</f>
        <v/>
      </c>
      <c r="G40" s="77" t="str">
        <f aca="false">IF($A40="","",D40*(1-'كشف المطالبة'!$D$5))</f>
        <v/>
      </c>
      <c r="H40" s="77" t="str">
        <f aca="false">IF($A40="","",E40*(1-'كشف المطالبة'!$D$6))</f>
        <v/>
      </c>
      <c r="I40" s="77" t="str">
        <f aca="false">IF($A40="","",G40+H40)</f>
        <v/>
      </c>
      <c r="J40" s="78" t="str">
        <f aca="false">IF($A40="","",0)</f>
        <v/>
      </c>
      <c r="K40" s="77" t="str">
        <f aca="false">IF($A40="","",F40*J40+INDEX(BAHARY!$N$2:$N$901,158))</f>
        <v/>
      </c>
      <c r="L40" s="79" t="str">
        <f aca="false">IF($A40="","",I40-K40)</f>
        <v/>
      </c>
    </row>
    <row r="41" customFormat="false" ht="15" hidden="false" customHeight="true" outlineLevel="0" collapsed="false">
      <c r="A41" s="75" t="str">
        <f aca="false">IF(159&lt;=Check!$C$4,INDEX(BAHARY!$A$2:$A$901,159),"")</f>
        <v/>
      </c>
      <c r="B41" s="76" t="str">
        <f aca="false">IF($A41="","",INDEX(BAHARY!$B$2:$B$901,159))</f>
        <v/>
      </c>
      <c r="C41" s="76" t="str">
        <f aca="false">IF($A41="","",INDEX(BAHARY!$C$2:$C$901,159))</f>
        <v/>
      </c>
      <c r="D41" s="77" t="str">
        <f aca="false">IF($A41="","",INDEX(BAHARY!$H$2:$H$901,159))</f>
        <v/>
      </c>
      <c r="E41" s="77" t="str">
        <f aca="false">IF($A41="","",INDEX(BAHARY!$E$2:$E$901,159))</f>
        <v/>
      </c>
      <c r="F41" s="77" t="str">
        <f aca="false">IF($A41="","",D41+E41)</f>
        <v/>
      </c>
      <c r="G41" s="77" t="str">
        <f aca="false">IF($A41="","",D41*(1-'كشف المطالبة'!$D$5))</f>
        <v/>
      </c>
      <c r="H41" s="77" t="str">
        <f aca="false">IF($A41="","",E41*(1-'كشف المطالبة'!$D$6))</f>
        <v/>
      </c>
      <c r="I41" s="77" t="str">
        <f aca="false">IF($A41="","",G41+H41)</f>
        <v/>
      </c>
      <c r="J41" s="78" t="str">
        <f aca="false">IF($A41="","",0)</f>
        <v/>
      </c>
      <c r="K41" s="77" t="str">
        <f aca="false">IF($A41="","",F41*J41+INDEX(BAHARY!$N$2:$N$901,159))</f>
        <v/>
      </c>
      <c r="L41" s="79" t="str">
        <f aca="false">IF($A41="","",I41-K41)</f>
        <v/>
      </c>
    </row>
    <row r="42" customFormat="false" ht="15" hidden="false" customHeight="true" outlineLevel="0" collapsed="false">
      <c r="A42" s="75" t="str">
        <f aca="false">IF(160&lt;=Check!$C$4,INDEX(BAHARY!$A$2:$A$901,160),"")</f>
        <v/>
      </c>
      <c r="B42" s="76" t="str">
        <f aca="false">IF($A42="","",INDEX(BAHARY!$B$2:$B$901,160))</f>
        <v/>
      </c>
      <c r="C42" s="76" t="str">
        <f aca="false">IF($A42="","",INDEX(BAHARY!$C$2:$C$901,160))</f>
        <v/>
      </c>
      <c r="D42" s="77" t="str">
        <f aca="false">IF($A42="","",INDEX(BAHARY!$H$2:$H$901,160))</f>
        <v/>
      </c>
      <c r="E42" s="77" t="str">
        <f aca="false">IF($A42="","",INDEX(BAHARY!$E$2:$E$901,160))</f>
        <v/>
      </c>
      <c r="F42" s="77" t="str">
        <f aca="false">IF($A42="","",D42+E42)</f>
        <v/>
      </c>
      <c r="G42" s="77" t="str">
        <f aca="false">IF($A42="","",D42*(1-'كشف المطالبة'!$D$5))</f>
        <v/>
      </c>
      <c r="H42" s="77" t="str">
        <f aca="false">IF($A42="","",E42*(1-'كشف المطالبة'!$D$6))</f>
        <v/>
      </c>
      <c r="I42" s="77" t="str">
        <f aca="false">IF($A42="","",G42+H42)</f>
        <v/>
      </c>
      <c r="J42" s="78" t="str">
        <f aca="false">IF($A42="","",0)</f>
        <v/>
      </c>
      <c r="K42" s="77" t="str">
        <f aca="false">IF($A42="","",F42*J42+INDEX(BAHARY!$N$2:$N$901,160))</f>
        <v/>
      </c>
      <c r="L42" s="79" t="str">
        <f aca="false">IF($A42="","",I42-K42)</f>
        <v/>
      </c>
    </row>
    <row r="44" customFormat="false" ht="15" hidden="false" customHeight="true" outlineLevel="0" collapsed="false"/>
    <row r="45" s="86" customFormat="true" ht="15.75" hidden="false" customHeight="true" outlineLevel="0" collapsed="false">
      <c r="A45" s="81" t="s">
        <v>114</v>
      </c>
      <c r="B45" s="81"/>
      <c r="C45" s="81"/>
      <c r="D45" s="82" t="n">
        <f aca="false">SUM(D3:D42)</f>
        <v>0</v>
      </c>
      <c r="E45" s="82" t="n">
        <f aca="false">SUM(E3:E42)</f>
        <v>0</v>
      </c>
      <c r="F45" s="82" t="n">
        <f aca="false">SUM(F3:F42)</f>
        <v>0</v>
      </c>
      <c r="G45" s="82" t="n">
        <f aca="false">SUM(G3:G42)</f>
        <v>0</v>
      </c>
      <c r="H45" s="82" t="n">
        <f aca="false">SUM(H3:H42)</f>
        <v>0</v>
      </c>
      <c r="I45" s="82" t="n">
        <f aca="false">SUM(I3:I42)</f>
        <v>0</v>
      </c>
      <c r="J45" s="83"/>
      <c r="K45" s="82" t="n">
        <f aca="false">SUM(K3:K42)</f>
        <v>0</v>
      </c>
      <c r="L45" s="84" t="n">
        <f aca="false">SUM(L3:L42)</f>
        <v>0</v>
      </c>
      <c r="M45" s="85" t="n">
        <v>4</v>
      </c>
    </row>
  </sheetData>
  <mergeCells count="4">
    <mergeCell ref="A1:B1"/>
    <mergeCell ref="E1:G1"/>
    <mergeCell ref="K1:L1"/>
    <mergeCell ref="A45:C45"/>
  </mergeCells>
  <conditionalFormatting sqref="A3:A42 D3:L42">
    <cfRule type="expression" priority="2" aboveAverage="0" equalAverage="0" bottom="0" percent="0" rank="0" text="" dxfId="6">
      <formula>ISODD(ROW())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5"/>
  <sheetViews>
    <sheetView showFormulas="false" showGridLines="true" showRowColHeaders="true" showZeros="true" rightToLeft="false" tabSelected="false" showOutlineSymbols="true" defaultGridColor="true" view="normal" topLeftCell="A39" colorId="64" zoomScale="100" zoomScaleNormal="100" zoomScalePageLayoutView="100" workbookViewId="0">
      <selection pane="topLeft" activeCell="A3" activeCellId="0" sqref="A3"/>
    </sheetView>
  </sheetViews>
  <sheetFormatPr defaultColWidth="14.453125" defaultRowHeight="14.25" zeroHeight="false" outlineLevelRow="0" outlineLevelCol="0"/>
  <cols>
    <col collapsed="false" customWidth="true" hidden="false" outlineLevel="0" max="1" min="1" style="0" width="3.27"/>
    <col collapsed="false" customWidth="true" hidden="false" outlineLevel="0" max="2" min="2" style="0" width="43.18"/>
    <col collapsed="false" customWidth="true" hidden="false" outlineLevel="0" max="3" min="3" style="0" width="7"/>
    <col collapsed="false" customWidth="true" hidden="false" outlineLevel="0" max="4" min="4" style="0" width="12.45"/>
    <col collapsed="false" customWidth="true" hidden="false" outlineLevel="0" max="5" min="5" style="0" width="12"/>
    <col collapsed="false" customWidth="true" hidden="false" outlineLevel="0" max="6" min="6" style="0" width="13.45"/>
    <col collapsed="false" customWidth="true" hidden="false" outlineLevel="0" max="7" min="7" style="0" width="17"/>
    <col collapsed="false" customWidth="true" hidden="false" outlineLevel="0" max="8" min="8" style="0" width="13"/>
    <col collapsed="false" customWidth="true" hidden="false" outlineLevel="0" max="9" min="9" style="0" width="13.73"/>
    <col collapsed="false" customWidth="true" hidden="false" outlineLevel="0" max="10" min="10" style="0" width="8.27"/>
    <col collapsed="false" customWidth="true" hidden="false" outlineLevel="0" max="11" min="11" style="0" width="9"/>
    <col collapsed="false" customWidth="true" hidden="false" outlineLevel="0" max="12" min="12" style="0" width="13.73"/>
    <col collapsed="false" customWidth="true" hidden="false" outlineLevel="0" max="13" min="13" style="0" width="2.18"/>
    <col collapsed="false" customWidth="true" hidden="false" outlineLevel="0" max="26" min="14" style="0" width="8.73"/>
  </cols>
  <sheetData>
    <row r="1" customFormat="false" ht="18.75" hidden="false" customHeight="true" outlineLevel="0" collapsed="false">
      <c r="A1" s="68" t="s">
        <v>105</v>
      </c>
      <c r="B1" s="68"/>
      <c r="C1" s="69"/>
      <c r="D1" s="69"/>
      <c r="E1" s="54" t="s">
        <v>112</v>
      </c>
      <c r="F1" s="54"/>
      <c r="G1" s="54"/>
      <c r="H1" s="69" t="n">
        <f aca="false">'كشف المطالبة'!E2</f>
        <v>0</v>
      </c>
      <c r="I1" s="69" t="str">
        <f aca="false">'كشف المطالبة'!E3</f>
        <v>الجزء الاول</v>
      </c>
      <c r="J1" s="69"/>
      <c r="K1" s="70" t="str">
        <f aca="false">'كشف المطالبة'!E4</f>
        <v>عاملين</v>
      </c>
      <c r="L1" s="70"/>
    </row>
    <row r="2" customFormat="false" ht="72" hidden="false" customHeight="true" outlineLevel="0" collapsed="false">
      <c r="A2" s="71" t="s">
        <v>106</v>
      </c>
      <c r="B2" s="72" t="s">
        <v>35</v>
      </c>
      <c r="C2" s="72" t="s">
        <v>36</v>
      </c>
      <c r="D2" s="72" t="s">
        <v>107</v>
      </c>
      <c r="E2" s="72" t="s">
        <v>38</v>
      </c>
      <c r="F2" s="72" t="s">
        <v>108</v>
      </c>
      <c r="G2" s="72" t="str">
        <f aca="false">"محلى بعد خصم "&amp;ROUND('كشف المطالبة'!$D$5*100,2)&amp;"%"</f>
        <v>محلى بعد خصم 14%</v>
      </c>
      <c r="H2" s="72" t="str">
        <f aca="false">"مستورد بعد خصم "&amp;ROUND('كشف المطالبة'!$D$6*100,2)&amp;"%"</f>
        <v>مستورد بعد خصم 7%</v>
      </c>
      <c r="I2" s="72" t="s">
        <v>109</v>
      </c>
      <c r="J2" s="73" t="s">
        <v>113</v>
      </c>
      <c r="K2" s="72" t="s">
        <v>110</v>
      </c>
      <c r="L2" s="74" t="s">
        <v>111</v>
      </c>
    </row>
    <row r="3" customFormat="false" ht="15" hidden="false" customHeight="true" outlineLevel="0" collapsed="false">
      <c r="A3" s="75" t="str">
        <f aca="false">IF(161&lt;=Check!$C$4,INDEX(BAHARY!$A$2:$A$901,161),"")</f>
        <v/>
      </c>
      <c r="B3" s="76" t="str">
        <f aca="false">IF($A3="","",INDEX(BAHARY!$B$2:$B$901,161))</f>
        <v/>
      </c>
      <c r="C3" s="76" t="str">
        <f aca="false">IF($A3="","",INDEX(BAHARY!$C$2:$C$901,161))</f>
        <v/>
      </c>
      <c r="D3" s="77" t="str">
        <f aca="false">IF($A3="","",INDEX(BAHARY!$H$2:$H$901,161))</f>
        <v/>
      </c>
      <c r="E3" s="77" t="str">
        <f aca="false">IF($A3="","",INDEX(BAHARY!$E$2:$E$901,161))</f>
        <v/>
      </c>
      <c r="F3" s="77" t="str">
        <f aca="false">IF($A3="","",D3+E3)</f>
        <v/>
      </c>
      <c r="G3" s="77" t="str">
        <f aca="false">IF($A3="","",D3*(1-'كشف المطالبة'!$D$5))</f>
        <v/>
      </c>
      <c r="H3" s="77" t="str">
        <f aca="false">IF($A3="","",E3*(1-'كشف المطالبة'!$D$6))</f>
        <v/>
      </c>
      <c r="I3" s="77" t="str">
        <f aca="false">IF($A3="","",G3+H3)</f>
        <v/>
      </c>
      <c r="J3" s="78" t="str">
        <f aca="false">IF($A3="","",0)</f>
        <v/>
      </c>
      <c r="K3" s="77" t="str">
        <f aca="false">IF($A3="","",F3*J3+INDEX(BAHARY!$N$2:$N$901,161))</f>
        <v/>
      </c>
      <c r="L3" s="79" t="str">
        <f aca="false">IF($A3="","",I3-K3)</f>
        <v/>
      </c>
    </row>
    <row r="4" customFormat="false" ht="15" hidden="false" customHeight="true" outlineLevel="0" collapsed="false">
      <c r="A4" s="75" t="str">
        <f aca="false">IF(162&lt;=Check!$C$4,INDEX(BAHARY!$A$2:$A$901,162),"")</f>
        <v/>
      </c>
      <c r="B4" s="76" t="str">
        <f aca="false">IF($A4="","",INDEX(BAHARY!$B$2:$B$901,162))</f>
        <v/>
      </c>
      <c r="C4" s="76" t="str">
        <f aca="false">IF($A4="","",INDEX(BAHARY!$C$2:$C$901,162))</f>
        <v/>
      </c>
      <c r="D4" s="77" t="str">
        <f aca="false">IF($A4="","",INDEX(BAHARY!$H$2:$H$901,162))</f>
        <v/>
      </c>
      <c r="E4" s="77" t="str">
        <f aca="false">IF($A4="","",INDEX(BAHARY!$E$2:$E$901,162))</f>
        <v/>
      </c>
      <c r="F4" s="77" t="str">
        <f aca="false">IF($A4="","",D4+E4)</f>
        <v/>
      </c>
      <c r="G4" s="77" t="str">
        <f aca="false">IF($A4="","",D4*(1-'كشف المطالبة'!$D$5))</f>
        <v/>
      </c>
      <c r="H4" s="77" t="str">
        <f aca="false">IF($A4="","",E4*(1-'كشف المطالبة'!$D$6))</f>
        <v/>
      </c>
      <c r="I4" s="77" t="str">
        <f aca="false">IF($A4="","",G4+H4)</f>
        <v/>
      </c>
      <c r="J4" s="78" t="str">
        <f aca="false">IF($A4="","",0)</f>
        <v/>
      </c>
      <c r="K4" s="77" t="str">
        <f aca="false">IF($A4="","",F4*J4+INDEX(BAHARY!$N$2:$N$901,162))</f>
        <v/>
      </c>
      <c r="L4" s="79" t="str">
        <f aca="false">IF($A4="","",I4-K4)</f>
        <v/>
      </c>
    </row>
    <row r="5" customFormat="false" ht="15" hidden="false" customHeight="true" outlineLevel="0" collapsed="false">
      <c r="A5" s="75" t="str">
        <f aca="false">IF(163&lt;=Check!$C$4,INDEX(BAHARY!$A$2:$A$901,163),"")</f>
        <v/>
      </c>
      <c r="B5" s="76" t="str">
        <f aca="false">IF($A5="","",INDEX(BAHARY!$B$2:$B$901,163))</f>
        <v/>
      </c>
      <c r="C5" s="76" t="str">
        <f aca="false">IF($A5="","",INDEX(BAHARY!$C$2:$C$901,163))</f>
        <v/>
      </c>
      <c r="D5" s="77" t="str">
        <f aca="false">IF($A5="","",INDEX(BAHARY!$H$2:$H$901,163))</f>
        <v/>
      </c>
      <c r="E5" s="77" t="str">
        <f aca="false">IF($A5="","",INDEX(BAHARY!$E$2:$E$901,163))</f>
        <v/>
      </c>
      <c r="F5" s="77" t="str">
        <f aca="false">IF($A5="","",D5+E5)</f>
        <v/>
      </c>
      <c r="G5" s="77" t="str">
        <f aca="false">IF($A5="","",D5*(1-'كشف المطالبة'!$D$5))</f>
        <v/>
      </c>
      <c r="H5" s="77" t="str">
        <f aca="false">IF($A5="","",E5*(1-'كشف المطالبة'!$D$6))</f>
        <v/>
      </c>
      <c r="I5" s="77" t="str">
        <f aca="false">IF($A5="","",G5+H5)</f>
        <v/>
      </c>
      <c r="J5" s="78" t="str">
        <f aca="false">IF($A5="","",0)</f>
        <v/>
      </c>
      <c r="K5" s="77" t="str">
        <f aca="false">IF($A5="","",F5*J5+INDEX(BAHARY!$N$2:$N$901,163))</f>
        <v/>
      </c>
      <c r="L5" s="79" t="str">
        <f aca="false">IF($A5="","",I5-K5)</f>
        <v/>
      </c>
    </row>
    <row r="6" customFormat="false" ht="15" hidden="false" customHeight="true" outlineLevel="0" collapsed="false">
      <c r="A6" s="75" t="str">
        <f aca="false">IF(164&lt;=Check!$C$4,INDEX(BAHARY!$A$2:$A$901,164),"")</f>
        <v/>
      </c>
      <c r="B6" s="76" t="str">
        <f aca="false">IF($A6="","",INDEX(BAHARY!$B$2:$B$901,164))</f>
        <v/>
      </c>
      <c r="C6" s="76" t="str">
        <f aca="false">IF($A6="","",INDEX(BAHARY!$C$2:$C$901,164))</f>
        <v/>
      </c>
      <c r="D6" s="77" t="str">
        <f aca="false">IF($A6="","",INDEX(BAHARY!$H$2:$H$901,164))</f>
        <v/>
      </c>
      <c r="E6" s="77" t="str">
        <f aca="false">IF($A6="","",INDEX(BAHARY!$E$2:$E$901,164))</f>
        <v/>
      </c>
      <c r="F6" s="77" t="str">
        <f aca="false">IF($A6="","",D6+E6)</f>
        <v/>
      </c>
      <c r="G6" s="77" t="str">
        <f aca="false">IF($A6="","",D6*(1-'كشف المطالبة'!$D$5))</f>
        <v/>
      </c>
      <c r="H6" s="77" t="str">
        <f aca="false">IF($A6="","",E6*(1-'كشف المطالبة'!$D$6))</f>
        <v/>
      </c>
      <c r="I6" s="77" t="str">
        <f aca="false">IF($A6="","",G6+H6)</f>
        <v/>
      </c>
      <c r="J6" s="78" t="str">
        <f aca="false">IF($A6="","",0)</f>
        <v/>
      </c>
      <c r="K6" s="77" t="str">
        <f aca="false">IF($A6="","",F6*J6+INDEX(BAHARY!$N$2:$N$901,164))</f>
        <v/>
      </c>
      <c r="L6" s="79" t="str">
        <f aca="false">IF($A6="","",I6-K6)</f>
        <v/>
      </c>
    </row>
    <row r="7" customFormat="false" ht="15" hidden="false" customHeight="true" outlineLevel="0" collapsed="false">
      <c r="A7" s="75" t="str">
        <f aca="false">IF(165&lt;=Check!$C$4,INDEX(BAHARY!$A$2:$A$901,165),"")</f>
        <v/>
      </c>
      <c r="B7" s="76" t="str">
        <f aca="false">IF($A7="","",INDEX(BAHARY!$B$2:$B$901,165))</f>
        <v/>
      </c>
      <c r="C7" s="76" t="str">
        <f aca="false">IF($A7="","",INDEX(BAHARY!$C$2:$C$901,165))</f>
        <v/>
      </c>
      <c r="D7" s="77" t="str">
        <f aca="false">IF($A7="","",INDEX(BAHARY!$H$2:$H$901,165))</f>
        <v/>
      </c>
      <c r="E7" s="77" t="str">
        <f aca="false">IF($A7="","",INDEX(BAHARY!$E$2:$E$901,165))</f>
        <v/>
      </c>
      <c r="F7" s="77" t="str">
        <f aca="false">IF($A7="","",D7+E7)</f>
        <v/>
      </c>
      <c r="G7" s="77" t="str">
        <f aca="false">IF($A7="","",D7*(1-'كشف المطالبة'!$D$5))</f>
        <v/>
      </c>
      <c r="H7" s="77" t="str">
        <f aca="false">IF($A7="","",E7*(1-'كشف المطالبة'!$D$6))</f>
        <v/>
      </c>
      <c r="I7" s="77" t="str">
        <f aca="false">IF($A7="","",G7+H7)</f>
        <v/>
      </c>
      <c r="J7" s="78" t="str">
        <f aca="false">IF($A7="","",0)</f>
        <v/>
      </c>
      <c r="K7" s="77" t="str">
        <f aca="false">IF($A7="","",F7*J7+INDEX(BAHARY!$N$2:$N$901,165))</f>
        <v/>
      </c>
      <c r="L7" s="79" t="str">
        <f aca="false">IF($A7="","",I7-K7)</f>
        <v/>
      </c>
    </row>
    <row r="8" customFormat="false" ht="18" hidden="false" customHeight="true" outlineLevel="0" collapsed="false">
      <c r="A8" s="75" t="str">
        <f aca="false">IF(166&lt;=Check!$C$4,INDEX(BAHARY!$A$2:$A$901,166),"")</f>
        <v/>
      </c>
      <c r="B8" s="76" t="str">
        <f aca="false">IF($A8="","",INDEX(BAHARY!$B$2:$B$901,166))</f>
        <v/>
      </c>
      <c r="C8" s="76" t="str">
        <f aca="false">IF($A8="","",INDEX(BAHARY!$C$2:$C$901,166))</f>
        <v/>
      </c>
      <c r="D8" s="77" t="str">
        <f aca="false">IF($A8="","",INDEX(BAHARY!$H$2:$H$901,166))</f>
        <v/>
      </c>
      <c r="E8" s="77" t="str">
        <f aca="false">IF($A8="","",INDEX(BAHARY!$E$2:$E$901,166))</f>
        <v/>
      </c>
      <c r="F8" s="77" t="str">
        <f aca="false">IF($A8="","",D8+E8)</f>
        <v/>
      </c>
      <c r="G8" s="77" t="str">
        <f aca="false">IF($A8="","",D8*(1-'كشف المطالبة'!$D$5))</f>
        <v/>
      </c>
      <c r="H8" s="77" t="str">
        <f aca="false">IF($A8="","",E8*(1-'كشف المطالبة'!$D$6))</f>
        <v/>
      </c>
      <c r="I8" s="77" t="str">
        <f aca="false">IF($A8="","",G8+H8)</f>
        <v/>
      </c>
      <c r="J8" s="78" t="str">
        <f aca="false">IF($A8="","",0)</f>
        <v/>
      </c>
      <c r="K8" s="77" t="str">
        <f aca="false">IF($A8="","",F8*J8+INDEX(BAHARY!$N$2:$N$901,166))</f>
        <v/>
      </c>
      <c r="L8" s="79" t="str">
        <f aca="false">IF($A8="","",I8-K8)</f>
        <v/>
      </c>
    </row>
    <row r="9" customFormat="false" ht="15" hidden="false" customHeight="true" outlineLevel="0" collapsed="false">
      <c r="A9" s="75" t="str">
        <f aca="false">IF(167&lt;=Check!$C$4,INDEX(BAHARY!$A$2:$A$901,167),"")</f>
        <v/>
      </c>
      <c r="B9" s="80" t="str">
        <f aca="false">IF($A9="","",INDEX(BAHARY!$B$2:$B$901,167))</f>
        <v/>
      </c>
      <c r="C9" s="76" t="str">
        <f aca="false">IF($A9="","",INDEX(BAHARY!$C$2:$C$901,167))</f>
        <v/>
      </c>
      <c r="D9" s="77" t="str">
        <f aca="false">IF($A9="","",INDEX(BAHARY!$H$2:$H$901,167))</f>
        <v/>
      </c>
      <c r="E9" s="77" t="str">
        <f aca="false">IF($A9="","",INDEX(BAHARY!$E$2:$E$901,167))</f>
        <v/>
      </c>
      <c r="F9" s="77" t="str">
        <f aca="false">IF($A9="","",D9+E9)</f>
        <v/>
      </c>
      <c r="G9" s="77" t="str">
        <f aca="false">IF($A9="","",D9*(1-'كشف المطالبة'!$D$5))</f>
        <v/>
      </c>
      <c r="H9" s="77" t="str">
        <f aca="false">IF($A9="","",E9*(1-'كشف المطالبة'!$D$6))</f>
        <v/>
      </c>
      <c r="I9" s="77" t="str">
        <f aca="false">IF($A9="","",G9+H9)</f>
        <v/>
      </c>
      <c r="J9" s="78" t="str">
        <f aca="false">IF($A9="","",0)</f>
        <v/>
      </c>
      <c r="K9" s="77" t="str">
        <f aca="false">IF($A9="","",F9*J9+INDEX(BAHARY!$N$2:$N$901,167))</f>
        <v/>
      </c>
      <c r="L9" s="79" t="str">
        <f aca="false">IF($A9="","",I9-K9)</f>
        <v/>
      </c>
    </row>
    <row r="10" customFormat="false" ht="15" hidden="false" customHeight="true" outlineLevel="0" collapsed="false">
      <c r="A10" s="75" t="str">
        <f aca="false">IF(168&lt;=Check!$C$4,INDEX(BAHARY!$A$2:$A$901,168),"")</f>
        <v/>
      </c>
      <c r="B10" s="76" t="str">
        <f aca="false">IF($A10="","",INDEX(BAHARY!$B$2:$B$901,168))</f>
        <v/>
      </c>
      <c r="C10" s="76" t="str">
        <f aca="false">IF($A10="","",INDEX(BAHARY!$C$2:$C$901,168))</f>
        <v/>
      </c>
      <c r="D10" s="77" t="str">
        <f aca="false">IF($A10="","",INDEX(BAHARY!$H$2:$H$901,168))</f>
        <v/>
      </c>
      <c r="E10" s="77" t="str">
        <f aca="false">IF($A10="","",INDEX(BAHARY!$E$2:$E$901,168))</f>
        <v/>
      </c>
      <c r="F10" s="77" t="str">
        <f aca="false">IF($A10="","",D10+E10)</f>
        <v/>
      </c>
      <c r="G10" s="77" t="str">
        <f aca="false">IF($A10="","",D10*(1-'كشف المطالبة'!$D$5))</f>
        <v/>
      </c>
      <c r="H10" s="77" t="str">
        <f aca="false">IF($A10="","",E10*(1-'كشف المطالبة'!$D$6))</f>
        <v/>
      </c>
      <c r="I10" s="77" t="str">
        <f aca="false">IF($A10="","",G10+H10)</f>
        <v/>
      </c>
      <c r="J10" s="78" t="str">
        <f aca="false">IF($A10="","",0)</f>
        <v/>
      </c>
      <c r="K10" s="77" t="str">
        <f aca="false">IF($A10="","",F10*J10+INDEX(BAHARY!$N$2:$N$901,168))</f>
        <v/>
      </c>
      <c r="L10" s="79" t="str">
        <f aca="false">IF($A10="","",I10-K10)</f>
        <v/>
      </c>
    </row>
    <row r="11" customFormat="false" ht="15" hidden="false" customHeight="true" outlineLevel="0" collapsed="false">
      <c r="A11" s="75" t="str">
        <f aca="false">IF(169&lt;=Check!$C$4,INDEX(BAHARY!$A$2:$A$901,169),"")</f>
        <v/>
      </c>
      <c r="B11" s="76" t="str">
        <f aca="false">IF($A11="","",INDEX(BAHARY!$B$2:$B$901,169))</f>
        <v/>
      </c>
      <c r="C11" s="76" t="str">
        <f aca="false">IF($A11="","",INDEX(BAHARY!$C$2:$C$901,169))</f>
        <v/>
      </c>
      <c r="D11" s="77" t="str">
        <f aca="false">IF($A11="","",INDEX(BAHARY!$H$2:$H$901,169))</f>
        <v/>
      </c>
      <c r="E11" s="77" t="str">
        <f aca="false">IF($A11="","",INDEX(BAHARY!$E$2:$E$901,169))</f>
        <v/>
      </c>
      <c r="F11" s="77" t="str">
        <f aca="false">IF($A11="","",D11+E11)</f>
        <v/>
      </c>
      <c r="G11" s="77" t="str">
        <f aca="false">IF($A11="","",D11*(1-'كشف المطالبة'!$D$5))</f>
        <v/>
      </c>
      <c r="H11" s="77" t="str">
        <f aca="false">IF($A11="","",E11*(1-'كشف المطالبة'!$D$6))</f>
        <v/>
      </c>
      <c r="I11" s="77" t="str">
        <f aca="false">IF($A11="","",G11+H11)</f>
        <v/>
      </c>
      <c r="J11" s="78" t="str">
        <f aca="false">IF($A11="","",0)</f>
        <v/>
      </c>
      <c r="K11" s="77" t="str">
        <f aca="false">IF($A11="","",F11*J11+INDEX(BAHARY!$N$2:$N$901,169))</f>
        <v/>
      </c>
      <c r="L11" s="79" t="str">
        <f aca="false">IF($A11="","",I11-K11)</f>
        <v/>
      </c>
    </row>
    <row r="12" customFormat="false" ht="15" hidden="false" customHeight="true" outlineLevel="0" collapsed="false">
      <c r="A12" s="75" t="str">
        <f aca="false">IF(170&lt;=Check!$C$4,INDEX(BAHARY!$A$2:$A$901,170),"")</f>
        <v/>
      </c>
      <c r="B12" s="76" t="str">
        <f aca="false">IF($A12="","",INDEX(BAHARY!$B$2:$B$901,170))</f>
        <v/>
      </c>
      <c r="C12" s="76" t="str">
        <f aca="false">IF($A12="","",INDEX(BAHARY!$C$2:$C$901,170))</f>
        <v/>
      </c>
      <c r="D12" s="77" t="str">
        <f aca="false">IF($A12="","",INDEX(BAHARY!$H$2:$H$901,170))</f>
        <v/>
      </c>
      <c r="E12" s="77" t="str">
        <f aca="false">IF($A12="","",INDEX(BAHARY!$E$2:$E$901,170))</f>
        <v/>
      </c>
      <c r="F12" s="77" t="str">
        <f aca="false">IF($A12="","",D12+E12)</f>
        <v/>
      </c>
      <c r="G12" s="77" t="str">
        <f aca="false">IF($A12="","",D12*(1-'كشف المطالبة'!$D$5))</f>
        <v/>
      </c>
      <c r="H12" s="77" t="str">
        <f aca="false">IF($A12="","",E12*(1-'كشف المطالبة'!$D$6))</f>
        <v/>
      </c>
      <c r="I12" s="77" t="str">
        <f aca="false">IF($A12="","",G12+H12)</f>
        <v/>
      </c>
      <c r="J12" s="78" t="str">
        <f aca="false">IF($A12="","",0)</f>
        <v/>
      </c>
      <c r="K12" s="77" t="str">
        <f aca="false">IF($A12="","",F12*J12+INDEX(BAHARY!$N$2:$N$901,170))</f>
        <v/>
      </c>
      <c r="L12" s="79" t="str">
        <f aca="false">IF($A12="","",I12-K12)</f>
        <v/>
      </c>
    </row>
    <row r="13" customFormat="false" ht="15" hidden="false" customHeight="true" outlineLevel="0" collapsed="false">
      <c r="A13" s="75" t="str">
        <f aca="false">IF(171&lt;=Check!$C$4,INDEX(BAHARY!$A$2:$A$901,171),"")</f>
        <v/>
      </c>
      <c r="B13" s="76" t="str">
        <f aca="false">IF($A13="","",INDEX(BAHARY!$B$2:$B$901,171))</f>
        <v/>
      </c>
      <c r="C13" s="76" t="str">
        <f aca="false">IF($A13="","",INDEX(BAHARY!$C$2:$C$901,171))</f>
        <v/>
      </c>
      <c r="D13" s="77" t="str">
        <f aca="false">IF($A13="","",INDEX(BAHARY!$H$2:$H$901,171))</f>
        <v/>
      </c>
      <c r="E13" s="77" t="str">
        <f aca="false">IF($A13="","",INDEX(BAHARY!$E$2:$E$901,171))</f>
        <v/>
      </c>
      <c r="F13" s="77" t="str">
        <f aca="false">IF($A13="","",D13+E13)</f>
        <v/>
      </c>
      <c r="G13" s="77" t="str">
        <f aca="false">IF($A13="","",D13*(1-'كشف المطالبة'!$D$5))</f>
        <v/>
      </c>
      <c r="H13" s="77" t="str">
        <f aca="false">IF($A13="","",E13*(1-'كشف المطالبة'!$D$6))</f>
        <v/>
      </c>
      <c r="I13" s="77" t="str">
        <f aca="false">IF($A13="","",G13+H13)</f>
        <v/>
      </c>
      <c r="J13" s="78" t="str">
        <f aca="false">IF($A13="","",0)</f>
        <v/>
      </c>
      <c r="K13" s="77" t="str">
        <f aca="false">IF($A13="","",F13*J13+INDEX(BAHARY!$N$2:$N$901,171))</f>
        <v/>
      </c>
      <c r="L13" s="79" t="str">
        <f aca="false">IF($A13="","",I13-K13)</f>
        <v/>
      </c>
    </row>
    <row r="14" customFormat="false" ht="15" hidden="false" customHeight="true" outlineLevel="0" collapsed="false">
      <c r="A14" s="75" t="str">
        <f aca="false">IF(172&lt;=Check!$C$4,INDEX(BAHARY!$A$2:$A$901,172),"")</f>
        <v/>
      </c>
      <c r="B14" s="76" t="str">
        <f aca="false">IF($A14="","",INDEX(BAHARY!$B$2:$B$901,172))</f>
        <v/>
      </c>
      <c r="C14" s="76" t="str">
        <f aca="false">IF($A14="","",INDEX(BAHARY!$C$2:$C$901,172))</f>
        <v/>
      </c>
      <c r="D14" s="77" t="str">
        <f aca="false">IF($A14="","",INDEX(BAHARY!$H$2:$H$901,172))</f>
        <v/>
      </c>
      <c r="E14" s="77" t="str">
        <f aca="false">IF($A14="","",INDEX(BAHARY!$E$2:$E$901,172))</f>
        <v/>
      </c>
      <c r="F14" s="77" t="str">
        <f aca="false">IF($A14="","",D14+E14)</f>
        <v/>
      </c>
      <c r="G14" s="77" t="str">
        <f aca="false">IF($A14="","",D14*(1-'كشف المطالبة'!$D$5))</f>
        <v/>
      </c>
      <c r="H14" s="77" t="str">
        <f aca="false">IF($A14="","",E14*(1-'كشف المطالبة'!$D$6))</f>
        <v/>
      </c>
      <c r="I14" s="77" t="str">
        <f aca="false">IF($A14="","",G14+H14)</f>
        <v/>
      </c>
      <c r="J14" s="78" t="str">
        <f aca="false">IF($A14="","",0)</f>
        <v/>
      </c>
      <c r="K14" s="77" t="str">
        <f aca="false">IF($A14="","",F14*J14+INDEX(BAHARY!$N$2:$N$901,172))</f>
        <v/>
      </c>
      <c r="L14" s="79" t="str">
        <f aca="false">IF($A14="","",I14-K14)</f>
        <v/>
      </c>
    </row>
    <row r="15" customFormat="false" ht="15" hidden="false" customHeight="true" outlineLevel="0" collapsed="false">
      <c r="A15" s="75" t="str">
        <f aca="false">IF(173&lt;=Check!$C$4,INDEX(BAHARY!$A$2:$A$901,173),"")</f>
        <v/>
      </c>
      <c r="B15" s="76" t="str">
        <f aca="false">IF($A15="","",INDEX(BAHARY!$B$2:$B$901,173))</f>
        <v/>
      </c>
      <c r="C15" s="76" t="str">
        <f aca="false">IF($A15="","",INDEX(BAHARY!$C$2:$C$901,173))</f>
        <v/>
      </c>
      <c r="D15" s="77" t="str">
        <f aca="false">IF($A15="","",INDEX(BAHARY!$H$2:$H$901,173))</f>
        <v/>
      </c>
      <c r="E15" s="77" t="str">
        <f aca="false">IF($A15="","",INDEX(BAHARY!$E$2:$E$901,173))</f>
        <v/>
      </c>
      <c r="F15" s="77" t="str">
        <f aca="false">IF($A15="","",D15+E15)</f>
        <v/>
      </c>
      <c r="G15" s="77" t="str">
        <f aca="false">IF($A15="","",D15*(1-'كشف المطالبة'!$D$5))</f>
        <v/>
      </c>
      <c r="H15" s="77" t="str">
        <f aca="false">IF($A15="","",E15*(1-'كشف المطالبة'!$D$6))</f>
        <v/>
      </c>
      <c r="I15" s="77" t="str">
        <f aca="false">IF($A15="","",G15+H15)</f>
        <v/>
      </c>
      <c r="J15" s="78" t="str">
        <f aca="false">IF($A15="","",0)</f>
        <v/>
      </c>
      <c r="K15" s="77" t="str">
        <f aca="false">IF($A15="","",F15*J15+INDEX(BAHARY!$N$2:$N$901,173))</f>
        <v/>
      </c>
      <c r="L15" s="79" t="str">
        <f aca="false">IF($A15="","",I15-K15)</f>
        <v/>
      </c>
    </row>
    <row r="16" customFormat="false" ht="15" hidden="false" customHeight="true" outlineLevel="0" collapsed="false">
      <c r="A16" s="75" t="str">
        <f aca="false">IF(174&lt;=Check!$C$4,INDEX(BAHARY!$A$2:$A$901,174),"")</f>
        <v/>
      </c>
      <c r="B16" s="76" t="str">
        <f aca="false">IF($A16="","",INDEX(BAHARY!$B$2:$B$901,174))</f>
        <v/>
      </c>
      <c r="C16" s="76" t="str">
        <f aca="false">IF($A16="","",INDEX(BAHARY!$C$2:$C$901,174))</f>
        <v/>
      </c>
      <c r="D16" s="77" t="str">
        <f aca="false">IF($A16="","",INDEX(BAHARY!$H$2:$H$901,174))</f>
        <v/>
      </c>
      <c r="E16" s="77" t="str">
        <f aca="false">IF($A16="","",INDEX(BAHARY!$E$2:$E$901,174))</f>
        <v/>
      </c>
      <c r="F16" s="77" t="str">
        <f aca="false">IF($A16="","",D16+E16)</f>
        <v/>
      </c>
      <c r="G16" s="77" t="str">
        <f aca="false">IF($A16="","",D16*(1-'كشف المطالبة'!$D$5))</f>
        <v/>
      </c>
      <c r="H16" s="77" t="str">
        <f aca="false">IF($A16="","",E16*(1-'كشف المطالبة'!$D$6))</f>
        <v/>
      </c>
      <c r="I16" s="77" t="str">
        <f aca="false">IF($A16="","",G16+H16)</f>
        <v/>
      </c>
      <c r="J16" s="78" t="str">
        <f aca="false">IF($A16="","",0)</f>
        <v/>
      </c>
      <c r="K16" s="77" t="str">
        <f aca="false">IF($A16="","",F16*J16+INDEX(BAHARY!$N$2:$N$901,174))</f>
        <v/>
      </c>
      <c r="L16" s="79" t="str">
        <f aca="false">IF($A16="","",I16-K16)</f>
        <v/>
      </c>
    </row>
    <row r="17" customFormat="false" ht="15" hidden="false" customHeight="true" outlineLevel="0" collapsed="false">
      <c r="A17" s="75" t="str">
        <f aca="false">IF(175&lt;=Check!$C$4,INDEX(BAHARY!$A$2:$A$901,175),"")</f>
        <v/>
      </c>
      <c r="B17" s="76" t="str">
        <f aca="false">IF($A17="","",INDEX(BAHARY!$B$2:$B$901,175))</f>
        <v/>
      </c>
      <c r="C17" s="76" t="str">
        <f aca="false">IF($A17="","",INDEX(BAHARY!$C$2:$C$901,175))</f>
        <v/>
      </c>
      <c r="D17" s="77" t="str">
        <f aca="false">IF($A17="","",INDEX(BAHARY!$H$2:$H$901,175))</f>
        <v/>
      </c>
      <c r="E17" s="77" t="str">
        <f aca="false">IF($A17="","",INDEX(BAHARY!$E$2:$E$901,175))</f>
        <v/>
      </c>
      <c r="F17" s="77" t="str">
        <f aca="false">IF($A17="","",D17+E17)</f>
        <v/>
      </c>
      <c r="G17" s="77" t="str">
        <f aca="false">IF($A17="","",D17*(1-'كشف المطالبة'!$D$5))</f>
        <v/>
      </c>
      <c r="H17" s="77" t="str">
        <f aca="false">IF($A17="","",E17*(1-'كشف المطالبة'!$D$6))</f>
        <v/>
      </c>
      <c r="I17" s="77" t="str">
        <f aca="false">IF($A17="","",G17+H17)</f>
        <v/>
      </c>
      <c r="J17" s="78" t="str">
        <f aca="false">IF($A17="","",0)</f>
        <v/>
      </c>
      <c r="K17" s="77" t="str">
        <f aca="false">IF($A17="","",F17*J17+INDEX(BAHARY!$N$2:$N$901,175))</f>
        <v/>
      </c>
      <c r="L17" s="79" t="str">
        <f aca="false">IF($A17="","",I17-K17)</f>
        <v/>
      </c>
    </row>
    <row r="18" customFormat="false" ht="15" hidden="false" customHeight="true" outlineLevel="0" collapsed="false">
      <c r="A18" s="75" t="str">
        <f aca="false">IF(176&lt;=Check!$C$4,INDEX(BAHARY!$A$2:$A$901,176),"")</f>
        <v/>
      </c>
      <c r="B18" s="80" t="str">
        <f aca="false">IF($A18="","",INDEX(BAHARY!$B$2:$B$901,176))</f>
        <v/>
      </c>
      <c r="C18" s="76" t="str">
        <f aca="false">IF($A18="","",INDEX(BAHARY!$C$2:$C$901,176))</f>
        <v/>
      </c>
      <c r="D18" s="77" t="str">
        <f aca="false">IF($A18="","",INDEX(BAHARY!$H$2:$H$901,176))</f>
        <v/>
      </c>
      <c r="E18" s="77" t="str">
        <f aca="false">IF($A18="","",INDEX(BAHARY!$E$2:$E$901,176))</f>
        <v/>
      </c>
      <c r="F18" s="77" t="str">
        <f aca="false">IF($A18="","",D18+E18)</f>
        <v/>
      </c>
      <c r="G18" s="77" t="str">
        <f aca="false">IF($A18="","",D18*(1-'كشف المطالبة'!$D$5))</f>
        <v/>
      </c>
      <c r="H18" s="77" t="str">
        <f aca="false">IF($A18="","",E18*(1-'كشف المطالبة'!$D$6))</f>
        <v/>
      </c>
      <c r="I18" s="77" t="str">
        <f aca="false">IF($A18="","",G18+H18)</f>
        <v/>
      </c>
      <c r="J18" s="78" t="str">
        <f aca="false">IF($A18="","",0)</f>
        <v/>
      </c>
      <c r="K18" s="77" t="str">
        <f aca="false">IF($A18="","",F18*J18+INDEX(BAHARY!$N$2:$N$901,176))</f>
        <v/>
      </c>
      <c r="L18" s="79" t="str">
        <f aca="false">IF($A18="","",I18-K18)</f>
        <v/>
      </c>
    </row>
    <row r="19" customFormat="false" ht="15" hidden="false" customHeight="true" outlineLevel="0" collapsed="false">
      <c r="A19" s="75" t="str">
        <f aca="false">IF(177&lt;=Check!$C$4,INDEX(BAHARY!$A$2:$A$901,177),"")</f>
        <v/>
      </c>
      <c r="B19" s="76" t="str">
        <f aca="false">IF($A19="","",INDEX(BAHARY!$B$2:$B$901,177))</f>
        <v/>
      </c>
      <c r="C19" s="76" t="str">
        <f aca="false">IF($A19="","",INDEX(BAHARY!$C$2:$C$901,177))</f>
        <v/>
      </c>
      <c r="D19" s="77" t="str">
        <f aca="false">IF($A19="","",INDEX(BAHARY!$H$2:$H$901,177))</f>
        <v/>
      </c>
      <c r="E19" s="77" t="str">
        <f aca="false">IF($A19="","",INDEX(BAHARY!$E$2:$E$901,177))</f>
        <v/>
      </c>
      <c r="F19" s="77" t="str">
        <f aca="false">IF($A19="","",D19+E19)</f>
        <v/>
      </c>
      <c r="G19" s="77" t="str">
        <f aca="false">IF($A19="","",D19*(1-'كشف المطالبة'!$D$5))</f>
        <v/>
      </c>
      <c r="H19" s="77" t="str">
        <f aca="false">IF($A19="","",E19*(1-'كشف المطالبة'!$D$6))</f>
        <v/>
      </c>
      <c r="I19" s="77" t="str">
        <f aca="false">IF($A19="","",G19+H19)</f>
        <v/>
      </c>
      <c r="J19" s="78" t="str">
        <f aca="false">IF($A19="","",0)</f>
        <v/>
      </c>
      <c r="K19" s="77" t="str">
        <f aca="false">IF($A19="","",F19*J19+INDEX(BAHARY!$N$2:$N$901,177))</f>
        <v/>
      </c>
      <c r="L19" s="79" t="str">
        <f aca="false">IF($A19="","",I19-K19)</f>
        <v/>
      </c>
    </row>
    <row r="20" customFormat="false" ht="15" hidden="false" customHeight="true" outlineLevel="0" collapsed="false">
      <c r="A20" s="75" t="str">
        <f aca="false">IF(178&lt;=Check!$C$4,INDEX(BAHARY!$A$2:$A$901,178),"")</f>
        <v/>
      </c>
      <c r="B20" s="76" t="str">
        <f aca="false">IF($A20="","",INDEX(BAHARY!$B$2:$B$901,178))</f>
        <v/>
      </c>
      <c r="C20" s="76" t="str">
        <f aca="false">IF($A20="","",INDEX(BAHARY!$C$2:$C$901,178))</f>
        <v/>
      </c>
      <c r="D20" s="77" t="str">
        <f aca="false">IF($A20="","",INDEX(BAHARY!$H$2:$H$901,178))</f>
        <v/>
      </c>
      <c r="E20" s="77" t="str">
        <f aca="false">IF($A20="","",INDEX(BAHARY!$E$2:$E$901,178))</f>
        <v/>
      </c>
      <c r="F20" s="77" t="str">
        <f aca="false">IF($A20="","",D20+E20)</f>
        <v/>
      </c>
      <c r="G20" s="77" t="str">
        <f aca="false">IF($A20="","",D20*(1-'كشف المطالبة'!$D$5))</f>
        <v/>
      </c>
      <c r="H20" s="77" t="str">
        <f aca="false">IF($A20="","",E20*(1-'كشف المطالبة'!$D$6))</f>
        <v/>
      </c>
      <c r="I20" s="77" t="str">
        <f aca="false">IF($A20="","",G20+H20)</f>
        <v/>
      </c>
      <c r="J20" s="78" t="str">
        <f aca="false">IF($A20="","",0)</f>
        <v/>
      </c>
      <c r="K20" s="77" t="str">
        <f aca="false">IF($A20="","",F20*J20+INDEX(BAHARY!$N$2:$N$901,178))</f>
        <v/>
      </c>
      <c r="L20" s="79" t="str">
        <f aca="false">IF($A20="","",I20-K20)</f>
        <v/>
      </c>
    </row>
    <row r="21" customFormat="false" ht="15" hidden="false" customHeight="true" outlineLevel="0" collapsed="false">
      <c r="A21" s="75" t="str">
        <f aca="false">IF(179&lt;=Check!$C$4,INDEX(BAHARY!$A$2:$A$901,179),"")</f>
        <v/>
      </c>
      <c r="B21" s="76" t="str">
        <f aca="false">IF($A21="","",INDEX(BAHARY!$B$2:$B$901,179))</f>
        <v/>
      </c>
      <c r="C21" s="76" t="str">
        <f aca="false">IF($A21="","",INDEX(BAHARY!$C$2:$C$901,179))</f>
        <v/>
      </c>
      <c r="D21" s="77" t="str">
        <f aca="false">IF($A21="","",INDEX(BAHARY!$H$2:$H$901,179))</f>
        <v/>
      </c>
      <c r="E21" s="77" t="str">
        <f aca="false">IF($A21="","",INDEX(BAHARY!$E$2:$E$901,179))</f>
        <v/>
      </c>
      <c r="F21" s="77" t="str">
        <f aca="false">IF($A21="","",D21+E21)</f>
        <v/>
      </c>
      <c r="G21" s="77" t="str">
        <f aca="false">IF($A21="","",D21*(1-'كشف المطالبة'!$D$5))</f>
        <v/>
      </c>
      <c r="H21" s="77" t="str">
        <f aca="false">IF($A21="","",E21*(1-'كشف المطالبة'!$D$6))</f>
        <v/>
      </c>
      <c r="I21" s="77" t="str">
        <f aca="false">IF($A21="","",G21+H21)</f>
        <v/>
      </c>
      <c r="J21" s="78" t="str">
        <f aca="false">IF($A21="","",0)</f>
        <v/>
      </c>
      <c r="K21" s="77" t="str">
        <f aca="false">IF($A21="","",F21*J21+INDEX(BAHARY!$N$2:$N$901,179))</f>
        <v/>
      </c>
      <c r="L21" s="79" t="str">
        <f aca="false">IF($A21="","",I21-K21)</f>
        <v/>
      </c>
    </row>
    <row r="22" customFormat="false" ht="15" hidden="false" customHeight="true" outlineLevel="0" collapsed="false">
      <c r="A22" s="75" t="str">
        <f aca="false">IF(180&lt;=Check!$C$4,INDEX(BAHARY!$A$2:$A$901,180),"")</f>
        <v/>
      </c>
      <c r="B22" s="76" t="str">
        <f aca="false">IF($A22="","",INDEX(BAHARY!$B$2:$B$901,180))</f>
        <v/>
      </c>
      <c r="C22" s="76" t="str">
        <f aca="false">IF($A22="","",INDEX(BAHARY!$C$2:$C$901,180))</f>
        <v/>
      </c>
      <c r="D22" s="77" t="str">
        <f aca="false">IF($A22="","",INDEX(BAHARY!$H$2:$H$901,180))</f>
        <v/>
      </c>
      <c r="E22" s="77" t="str">
        <f aca="false">IF($A22="","",INDEX(BAHARY!$E$2:$E$901,180))</f>
        <v/>
      </c>
      <c r="F22" s="77" t="str">
        <f aca="false">IF($A22="","",D22+E22)</f>
        <v/>
      </c>
      <c r="G22" s="77" t="str">
        <f aca="false">IF($A22="","",D22*(1-'كشف المطالبة'!$D$5))</f>
        <v/>
      </c>
      <c r="H22" s="77" t="str">
        <f aca="false">IF($A22="","",E22*(1-'كشف المطالبة'!$D$6))</f>
        <v/>
      </c>
      <c r="I22" s="77" t="str">
        <f aca="false">IF($A22="","",G22+H22)</f>
        <v/>
      </c>
      <c r="J22" s="78" t="str">
        <f aca="false">IF($A22="","",0)</f>
        <v/>
      </c>
      <c r="K22" s="77" t="str">
        <f aca="false">IF($A22="","",F22*J22+INDEX(BAHARY!$N$2:$N$901,180))</f>
        <v/>
      </c>
      <c r="L22" s="79" t="str">
        <f aca="false">IF($A22="","",I22-K22)</f>
        <v/>
      </c>
    </row>
    <row r="23" customFormat="false" ht="15" hidden="false" customHeight="true" outlineLevel="0" collapsed="false">
      <c r="A23" s="75" t="str">
        <f aca="false">IF(181&lt;=Check!$C$4,INDEX(BAHARY!$A$2:$A$901,181),"")</f>
        <v/>
      </c>
      <c r="B23" s="76" t="str">
        <f aca="false">IF($A23="","",INDEX(BAHARY!$B$2:$B$901,181))</f>
        <v/>
      </c>
      <c r="C23" s="76" t="str">
        <f aca="false">IF($A23="","",INDEX(BAHARY!$C$2:$C$901,181))</f>
        <v/>
      </c>
      <c r="D23" s="77" t="str">
        <f aca="false">IF($A23="","",INDEX(BAHARY!$H$2:$H$901,181))</f>
        <v/>
      </c>
      <c r="E23" s="77" t="str">
        <f aca="false">IF($A23="","",INDEX(BAHARY!$E$2:$E$901,181))</f>
        <v/>
      </c>
      <c r="F23" s="77" t="str">
        <f aca="false">IF($A23="","",D23+E23)</f>
        <v/>
      </c>
      <c r="G23" s="77" t="str">
        <f aca="false">IF($A23="","",D23*(1-'كشف المطالبة'!$D$5))</f>
        <v/>
      </c>
      <c r="H23" s="77" t="str">
        <f aca="false">IF($A23="","",E23*(1-'كشف المطالبة'!$D$6))</f>
        <v/>
      </c>
      <c r="I23" s="77" t="str">
        <f aca="false">IF($A23="","",G23+H23)</f>
        <v/>
      </c>
      <c r="J23" s="78" t="str">
        <f aca="false">IF($A23="","",0)</f>
        <v/>
      </c>
      <c r="K23" s="77" t="str">
        <f aca="false">IF($A23="","",F23*J23+INDEX(BAHARY!$N$2:$N$901,181))</f>
        <v/>
      </c>
      <c r="L23" s="79" t="str">
        <f aca="false">IF($A23="","",I23-K23)</f>
        <v/>
      </c>
    </row>
    <row r="24" customFormat="false" ht="15" hidden="false" customHeight="true" outlineLevel="0" collapsed="false">
      <c r="A24" s="75" t="str">
        <f aca="false">IF(182&lt;=Check!$C$4,INDEX(BAHARY!$A$2:$A$901,182),"")</f>
        <v/>
      </c>
      <c r="B24" s="76" t="str">
        <f aca="false">IF($A24="","",INDEX(BAHARY!$B$2:$B$901,182))</f>
        <v/>
      </c>
      <c r="C24" s="76" t="str">
        <f aca="false">IF($A24="","",INDEX(BAHARY!$C$2:$C$901,182))</f>
        <v/>
      </c>
      <c r="D24" s="77" t="str">
        <f aca="false">IF($A24="","",INDEX(BAHARY!$H$2:$H$901,182))</f>
        <v/>
      </c>
      <c r="E24" s="77" t="str">
        <f aca="false">IF($A24="","",INDEX(BAHARY!$E$2:$E$901,182))</f>
        <v/>
      </c>
      <c r="F24" s="77" t="str">
        <f aca="false">IF($A24="","",D24+E24)</f>
        <v/>
      </c>
      <c r="G24" s="77" t="str">
        <f aca="false">IF($A24="","",D24*(1-'كشف المطالبة'!$D$5))</f>
        <v/>
      </c>
      <c r="H24" s="77" t="str">
        <f aca="false">IF($A24="","",E24*(1-'كشف المطالبة'!$D$6))</f>
        <v/>
      </c>
      <c r="I24" s="77" t="str">
        <f aca="false">IF($A24="","",G24+H24)</f>
        <v/>
      </c>
      <c r="J24" s="78" t="str">
        <f aca="false">IF($A24="","",0)</f>
        <v/>
      </c>
      <c r="K24" s="77" t="str">
        <f aca="false">IF($A24="","",F24*J24+INDEX(BAHARY!$N$2:$N$901,182))</f>
        <v/>
      </c>
      <c r="L24" s="79" t="str">
        <f aca="false">IF($A24="","",I24-K24)</f>
        <v/>
      </c>
    </row>
    <row r="25" customFormat="false" ht="15" hidden="false" customHeight="true" outlineLevel="0" collapsed="false">
      <c r="A25" s="75" t="str">
        <f aca="false">IF(183&lt;=Check!$C$4,INDEX(BAHARY!$A$2:$A$901,183),"")</f>
        <v/>
      </c>
      <c r="B25" s="76" t="str">
        <f aca="false">IF($A25="","",INDEX(BAHARY!$B$2:$B$901,183))</f>
        <v/>
      </c>
      <c r="C25" s="76" t="str">
        <f aca="false">IF($A25="","",INDEX(BAHARY!$C$2:$C$901,183))</f>
        <v/>
      </c>
      <c r="D25" s="77" t="str">
        <f aca="false">IF($A25="","",INDEX(BAHARY!$H$2:$H$901,183))</f>
        <v/>
      </c>
      <c r="E25" s="77" t="str">
        <f aca="false">IF($A25="","",INDEX(BAHARY!$E$2:$E$901,183))</f>
        <v/>
      </c>
      <c r="F25" s="77" t="str">
        <f aca="false">IF($A25="","",D25+E25)</f>
        <v/>
      </c>
      <c r="G25" s="77" t="str">
        <f aca="false">IF($A25="","",D25*(1-'كشف المطالبة'!$D$5))</f>
        <v/>
      </c>
      <c r="H25" s="77" t="str">
        <f aca="false">IF($A25="","",E25*(1-'كشف المطالبة'!$D$6))</f>
        <v/>
      </c>
      <c r="I25" s="77" t="str">
        <f aca="false">IF($A25="","",G25+H25)</f>
        <v/>
      </c>
      <c r="J25" s="78" t="str">
        <f aca="false">IF($A25="","",0)</f>
        <v/>
      </c>
      <c r="K25" s="77" t="str">
        <f aca="false">IF($A25="","",F25*J25+INDEX(BAHARY!$N$2:$N$901,183))</f>
        <v/>
      </c>
      <c r="L25" s="79" t="str">
        <f aca="false">IF($A25="","",I25-K25)</f>
        <v/>
      </c>
    </row>
    <row r="26" customFormat="false" ht="15" hidden="false" customHeight="true" outlineLevel="0" collapsed="false">
      <c r="A26" s="75" t="str">
        <f aca="false">IF(184&lt;=Check!$C$4,INDEX(BAHARY!$A$2:$A$901,184),"")</f>
        <v/>
      </c>
      <c r="B26" s="76" t="str">
        <f aca="false">IF($A26="","",INDEX(BAHARY!$B$2:$B$901,184))</f>
        <v/>
      </c>
      <c r="C26" s="76" t="str">
        <f aca="false">IF($A26="","",INDEX(BAHARY!$C$2:$C$901,184))</f>
        <v/>
      </c>
      <c r="D26" s="77" t="str">
        <f aca="false">IF($A26="","",INDEX(BAHARY!$H$2:$H$901,184))</f>
        <v/>
      </c>
      <c r="E26" s="77" t="str">
        <f aca="false">IF($A26="","",INDEX(BAHARY!$E$2:$E$901,184))</f>
        <v/>
      </c>
      <c r="F26" s="77" t="str">
        <f aca="false">IF($A26="","",D26+E26)</f>
        <v/>
      </c>
      <c r="G26" s="77" t="str">
        <f aca="false">IF($A26="","",D26*(1-'كشف المطالبة'!$D$5))</f>
        <v/>
      </c>
      <c r="H26" s="77" t="str">
        <f aca="false">IF($A26="","",E26*(1-'كشف المطالبة'!$D$6))</f>
        <v/>
      </c>
      <c r="I26" s="77" t="str">
        <f aca="false">IF($A26="","",G26+H26)</f>
        <v/>
      </c>
      <c r="J26" s="78" t="str">
        <f aca="false">IF($A26="","",0)</f>
        <v/>
      </c>
      <c r="K26" s="77" t="str">
        <f aca="false">IF($A26="","",F26*J26+INDEX(BAHARY!$N$2:$N$901,184))</f>
        <v/>
      </c>
      <c r="L26" s="79" t="str">
        <f aca="false">IF($A26="","",I26-K26)</f>
        <v/>
      </c>
    </row>
    <row r="27" customFormat="false" ht="15" hidden="false" customHeight="true" outlineLevel="0" collapsed="false">
      <c r="A27" s="75" t="str">
        <f aca="false">IF(185&lt;=Check!$C$4,INDEX(BAHARY!$A$2:$A$901,185),"")</f>
        <v/>
      </c>
      <c r="B27" s="76" t="str">
        <f aca="false">IF($A27="","",INDEX(BAHARY!$B$2:$B$901,185))</f>
        <v/>
      </c>
      <c r="C27" s="76" t="str">
        <f aca="false">IF($A27="","",INDEX(BAHARY!$C$2:$C$901,185))</f>
        <v/>
      </c>
      <c r="D27" s="77" t="str">
        <f aca="false">IF($A27="","",INDEX(BAHARY!$H$2:$H$901,185))</f>
        <v/>
      </c>
      <c r="E27" s="77" t="str">
        <f aca="false">IF($A27="","",INDEX(BAHARY!$E$2:$E$901,185))</f>
        <v/>
      </c>
      <c r="F27" s="77" t="str">
        <f aca="false">IF($A27="","",D27+E27)</f>
        <v/>
      </c>
      <c r="G27" s="77" t="str">
        <f aca="false">IF($A27="","",D27*(1-'كشف المطالبة'!$D$5))</f>
        <v/>
      </c>
      <c r="H27" s="77" t="str">
        <f aca="false">IF($A27="","",E27*(1-'كشف المطالبة'!$D$6))</f>
        <v/>
      </c>
      <c r="I27" s="77" t="str">
        <f aca="false">IF($A27="","",G27+H27)</f>
        <v/>
      </c>
      <c r="J27" s="78" t="str">
        <f aca="false">IF($A27="","",0)</f>
        <v/>
      </c>
      <c r="K27" s="77" t="str">
        <f aca="false">IF($A27="","",F27*J27+INDEX(BAHARY!$N$2:$N$901,185))</f>
        <v/>
      </c>
      <c r="L27" s="79" t="str">
        <f aca="false">IF($A27="","",I27-K27)</f>
        <v/>
      </c>
    </row>
    <row r="28" customFormat="false" ht="15" hidden="false" customHeight="true" outlineLevel="0" collapsed="false">
      <c r="A28" s="75" t="str">
        <f aca="false">IF(186&lt;=Check!$C$4,INDEX(BAHARY!$A$2:$A$901,186),"")</f>
        <v/>
      </c>
      <c r="B28" s="76" t="str">
        <f aca="false">IF($A28="","",INDEX(BAHARY!$B$2:$B$901,186))</f>
        <v/>
      </c>
      <c r="C28" s="76" t="str">
        <f aca="false">IF($A28="","",INDEX(BAHARY!$C$2:$C$901,186))</f>
        <v/>
      </c>
      <c r="D28" s="77" t="str">
        <f aca="false">IF($A28="","",INDEX(BAHARY!$H$2:$H$901,186))</f>
        <v/>
      </c>
      <c r="E28" s="77" t="str">
        <f aca="false">IF($A28="","",INDEX(BAHARY!$E$2:$E$901,186))</f>
        <v/>
      </c>
      <c r="F28" s="77" t="str">
        <f aca="false">IF($A28="","",D28+E28)</f>
        <v/>
      </c>
      <c r="G28" s="77" t="str">
        <f aca="false">IF($A28="","",D28*(1-'كشف المطالبة'!$D$5))</f>
        <v/>
      </c>
      <c r="H28" s="77" t="str">
        <f aca="false">IF($A28="","",E28*(1-'كشف المطالبة'!$D$6))</f>
        <v/>
      </c>
      <c r="I28" s="77" t="str">
        <f aca="false">IF($A28="","",G28+H28)</f>
        <v/>
      </c>
      <c r="J28" s="78" t="str">
        <f aca="false">IF($A28="","",0)</f>
        <v/>
      </c>
      <c r="K28" s="77" t="str">
        <f aca="false">IF($A28="","",F28*J28+INDEX(BAHARY!$N$2:$N$901,186))</f>
        <v/>
      </c>
      <c r="L28" s="79" t="str">
        <f aca="false">IF($A28="","",I28-K28)</f>
        <v/>
      </c>
    </row>
    <row r="29" customFormat="false" ht="15" hidden="false" customHeight="true" outlineLevel="0" collapsed="false">
      <c r="A29" s="75" t="str">
        <f aca="false">IF(187&lt;=Check!$C$4,INDEX(BAHARY!$A$2:$A$901,187),"")</f>
        <v/>
      </c>
      <c r="B29" s="76" t="str">
        <f aca="false">IF($A29="","",INDEX(BAHARY!$B$2:$B$901,187))</f>
        <v/>
      </c>
      <c r="C29" s="76" t="str">
        <f aca="false">IF($A29="","",INDEX(BAHARY!$C$2:$C$901,187))</f>
        <v/>
      </c>
      <c r="D29" s="77" t="str">
        <f aca="false">IF($A29="","",INDEX(BAHARY!$H$2:$H$901,187))</f>
        <v/>
      </c>
      <c r="E29" s="77" t="str">
        <f aca="false">IF($A29="","",INDEX(BAHARY!$E$2:$E$901,187))</f>
        <v/>
      </c>
      <c r="F29" s="77" t="str">
        <f aca="false">IF($A29="","",D29+E29)</f>
        <v/>
      </c>
      <c r="G29" s="77" t="str">
        <f aca="false">IF($A29="","",D29*(1-'كشف المطالبة'!$D$5))</f>
        <v/>
      </c>
      <c r="H29" s="77" t="str">
        <f aca="false">IF($A29="","",E29*(1-'كشف المطالبة'!$D$6))</f>
        <v/>
      </c>
      <c r="I29" s="77" t="str">
        <f aca="false">IF($A29="","",G29+H29)</f>
        <v/>
      </c>
      <c r="J29" s="78" t="str">
        <f aca="false">IF($A29="","",0)</f>
        <v/>
      </c>
      <c r="K29" s="77" t="str">
        <f aca="false">IF($A29="","",F29*J29+INDEX(BAHARY!$N$2:$N$901,187))</f>
        <v/>
      </c>
      <c r="L29" s="79" t="str">
        <f aca="false">IF($A29="","",I29-K29)</f>
        <v/>
      </c>
    </row>
    <row r="30" customFormat="false" ht="15" hidden="false" customHeight="true" outlineLevel="0" collapsed="false">
      <c r="A30" s="75" t="str">
        <f aca="false">IF(188&lt;=Check!$C$4,INDEX(BAHARY!$A$2:$A$901,188),"")</f>
        <v/>
      </c>
      <c r="B30" s="76" t="str">
        <f aca="false">IF($A30="","",INDEX(BAHARY!$B$2:$B$901,188))</f>
        <v/>
      </c>
      <c r="C30" s="76" t="str">
        <f aca="false">IF($A30="","",INDEX(BAHARY!$C$2:$C$901,188))</f>
        <v/>
      </c>
      <c r="D30" s="77" t="str">
        <f aca="false">IF($A30="","",INDEX(BAHARY!$H$2:$H$901,188))</f>
        <v/>
      </c>
      <c r="E30" s="77" t="str">
        <f aca="false">IF($A30="","",INDEX(BAHARY!$E$2:$E$901,188))</f>
        <v/>
      </c>
      <c r="F30" s="77" t="str">
        <f aca="false">IF($A30="","",D30+E30)</f>
        <v/>
      </c>
      <c r="G30" s="77" t="str">
        <f aca="false">IF($A30="","",D30*(1-'كشف المطالبة'!$D$5))</f>
        <v/>
      </c>
      <c r="H30" s="77" t="str">
        <f aca="false">IF($A30="","",E30*(1-'كشف المطالبة'!$D$6))</f>
        <v/>
      </c>
      <c r="I30" s="77" t="str">
        <f aca="false">IF($A30="","",G30+H30)</f>
        <v/>
      </c>
      <c r="J30" s="78" t="str">
        <f aca="false">IF($A30="","",0)</f>
        <v/>
      </c>
      <c r="K30" s="77" t="str">
        <f aca="false">IF($A30="","",F30*J30+INDEX(BAHARY!$N$2:$N$901,188))</f>
        <v/>
      </c>
      <c r="L30" s="79" t="str">
        <f aca="false">IF($A30="","",I30-K30)</f>
        <v/>
      </c>
    </row>
    <row r="31" customFormat="false" ht="15" hidden="false" customHeight="true" outlineLevel="0" collapsed="false">
      <c r="A31" s="75" t="str">
        <f aca="false">IF(189&lt;=Check!$C$4,INDEX(BAHARY!$A$2:$A$901,189),"")</f>
        <v/>
      </c>
      <c r="B31" s="76" t="str">
        <f aca="false">IF($A31="","",INDEX(BAHARY!$B$2:$B$901,189))</f>
        <v/>
      </c>
      <c r="C31" s="76" t="str">
        <f aca="false">IF($A31="","",INDEX(BAHARY!$C$2:$C$901,189))</f>
        <v/>
      </c>
      <c r="D31" s="77" t="str">
        <f aca="false">IF($A31="","",INDEX(BAHARY!$H$2:$H$901,189))</f>
        <v/>
      </c>
      <c r="E31" s="77" t="str">
        <f aca="false">IF($A31="","",INDEX(BAHARY!$E$2:$E$901,189))</f>
        <v/>
      </c>
      <c r="F31" s="77" t="str">
        <f aca="false">IF($A31="","",D31+E31)</f>
        <v/>
      </c>
      <c r="G31" s="77" t="str">
        <f aca="false">IF($A31="","",D31*(1-'كشف المطالبة'!$D$5))</f>
        <v/>
      </c>
      <c r="H31" s="77" t="str">
        <f aca="false">IF($A31="","",E31*(1-'كشف المطالبة'!$D$6))</f>
        <v/>
      </c>
      <c r="I31" s="77" t="str">
        <f aca="false">IF($A31="","",G31+H31)</f>
        <v/>
      </c>
      <c r="J31" s="78" t="str">
        <f aca="false">IF($A31="","",0)</f>
        <v/>
      </c>
      <c r="K31" s="77" t="str">
        <f aca="false">IF($A31="","",F31*J31+INDEX(BAHARY!$N$2:$N$901,189))</f>
        <v/>
      </c>
      <c r="L31" s="79" t="str">
        <f aca="false">IF($A31="","",I31-K31)</f>
        <v/>
      </c>
    </row>
    <row r="32" customFormat="false" ht="15" hidden="false" customHeight="true" outlineLevel="0" collapsed="false">
      <c r="A32" s="75" t="str">
        <f aca="false">IF(190&lt;=Check!$C$4,INDEX(BAHARY!$A$2:$A$901,190),"")</f>
        <v/>
      </c>
      <c r="B32" s="76" t="str">
        <f aca="false">IF($A32="","",INDEX(BAHARY!$B$2:$B$901,190))</f>
        <v/>
      </c>
      <c r="C32" s="76" t="str">
        <f aca="false">IF($A32="","",INDEX(BAHARY!$C$2:$C$901,190))</f>
        <v/>
      </c>
      <c r="D32" s="77" t="str">
        <f aca="false">IF($A32="","",INDEX(BAHARY!$H$2:$H$901,190))</f>
        <v/>
      </c>
      <c r="E32" s="77" t="str">
        <f aca="false">IF($A32="","",INDEX(BAHARY!$E$2:$E$901,190))</f>
        <v/>
      </c>
      <c r="F32" s="77" t="str">
        <f aca="false">IF($A32="","",D32+E32)</f>
        <v/>
      </c>
      <c r="G32" s="77" t="str">
        <f aca="false">IF($A32="","",D32*(1-'كشف المطالبة'!$D$5))</f>
        <v/>
      </c>
      <c r="H32" s="77" t="str">
        <f aca="false">IF($A32="","",E32*(1-'كشف المطالبة'!$D$6))</f>
        <v/>
      </c>
      <c r="I32" s="77" t="str">
        <f aca="false">IF($A32="","",G32+H32)</f>
        <v/>
      </c>
      <c r="J32" s="78" t="str">
        <f aca="false">IF($A32="","",0)</f>
        <v/>
      </c>
      <c r="K32" s="77" t="str">
        <f aca="false">IF($A32="","",F32*J32+INDEX(BAHARY!$N$2:$N$901,190))</f>
        <v/>
      </c>
      <c r="L32" s="79" t="str">
        <f aca="false">IF($A32="","",I32-K32)</f>
        <v/>
      </c>
    </row>
    <row r="33" customFormat="false" ht="15" hidden="false" customHeight="true" outlineLevel="0" collapsed="false">
      <c r="A33" s="75" t="str">
        <f aca="false">IF(191&lt;=Check!$C$4,INDEX(BAHARY!$A$2:$A$901,191),"")</f>
        <v/>
      </c>
      <c r="B33" s="76" t="str">
        <f aca="false">IF($A33="","",INDEX(BAHARY!$B$2:$B$901,191))</f>
        <v/>
      </c>
      <c r="C33" s="76" t="str">
        <f aca="false">IF($A33="","",INDEX(BAHARY!$C$2:$C$901,191))</f>
        <v/>
      </c>
      <c r="D33" s="77" t="str">
        <f aca="false">IF($A33="","",INDEX(BAHARY!$H$2:$H$901,191))</f>
        <v/>
      </c>
      <c r="E33" s="77" t="str">
        <f aca="false">IF($A33="","",INDEX(BAHARY!$E$2:$E$901,191))</f>
        <v/>
      </c>
      <c r="F33" s="77" t="str">
        <f aca="false">IF($A33="","",D33+E33)</f>
        <v/>
      </c>
      <c r="G33" s="77" t="str">
        <f aca="false">IF($A33="","",D33*(1-'كشف المطالبة'!$D$5))</f>
        <v/>
      </c>
      <c r="H33" s="77" t="str">
        <f aca="false">IF($A33="","",E33*(1-'كشف المطالبة'!$D$6))</f>
        <v/>
      </c>
      <c r="I33" s="77" t="str">
        <f aca="false">IF($A33="","",G33+H33)</f>
        <v/>
      </c>
      <c r="J33" s="78" t="str">
        <f aca="false">IF($A33="","",0)</f>
        <v/>
      </c>
      <c r="K33" s="77" t="str">
        <f aca="false">IF($A33="","",F33*J33+INDEX(BAHARY!$N$2:$N$901,191))</f>
        <v/>
      </c>
      <c r="L33" s="79" t="str">
        <f aca="false">IF($A33="","",I33-K33)</f>
        <v/>
      </c>
    </row>
    <row r="34" customFormat="false" ht="15" hidden="false" customHeight="true" outlineLevel="0" collapsed="false">
      <c r="A34" s="75" t="str">
        <f aca="false">IF(192&lt;=Check!$C$4,INDEX(BAHARY!$A$2:$A$901,192),"")</f>
        <v/>
      </c>
      <c r="B34" s="76" t="str">
        <f aca="false">IF($A34="","",INDEX(BAHARY!$B$2:$B$901,192))</f>
        <v/>
      </c>
      <c r="C34" s="76" t="str">
        <f aca="false">IF($A34="","",INDEX(BAHARY!$C$2:$C$901,192))</f>
        <v/>
      </c>
      <c r="D34" s="77" t="str">
        <f aca="false">IF($A34="","",INDEX(BAHARY!$H$2:$H$901,192))</f>
        <v/>
      </c>
      <c r="E34" s="77" t="str">
        <f aca="false">IF($A34="","",INDEX(BAHARY!$E$2:$E$901,192))</f>
        <v/>
      </c>
      <c r="F34" s="77" t="str">
        <f aca="false">IF($A34="","",D34+E34)</f>
        <v/>
      </c>
      <c r="G34" s="77" t="str">
        <f aca="false">IF($A34="","",D34*(1-'كشف المطالبة'!$D$5))</f>
        <v/>
      </c>
      <c r="H34" s="77" t="str">
        <f aca="false">IF($A34="","",E34*(1-'كشف المطالبة'!$D$6))</f>
        <v/>
      </c>
      <c r="I34" s="77" t="str">
        <f aca="false">IF($A34="","",G34+H34)</f>
        <v/>
      </c>
      <c r="J34" s="78" t="str">
        <f aca="false">IF($A34="","",0)</f>
        <v/>
      </c>
      <c r="K34" s="77" t="str">
        <f aca="false">IF($A34="","",F34*J34+INDEX(BAHARY!$N$2:$N$901,192))</f>
        <v/>
      </c>
      <c r="L34" s="79" t="str">
        <f aca="false">IF($A34="","",I34-K34)</f>
        <v/>
      </c>
    </row>
    <row r="35" customFormat="false" ht="15" hidden="false" customHeight="true" outlineLevel="0" collapsed="false">
      <c r="A35" s="75" t="str">
        <f aca="false">IF(193&lt;=Check!$C$4,INDEX(BAHARY!$A$2:$A$901,193),"")</f>
        <v/>
      </c>
      <c r="B35" s="76" t="str">
        <f aca="false">IF($A35="","",INDEX(BAHARY!$B$2:$B$901,193))</f>
        <v/>
      </c>
      <c r="C35" s="76" t="str">
        <f aca="false">IF($A35="","",INDEX(BAHARY!$C$2:$C$901,193))</f>
        <v/>
      </c>
      <c r="D35" s="77" t="str">
        <f aca="false">IF($A35="","",INDEX(BAHARY!$H$2:$H$901,193))</f>
        <v/>
      </c>
      <c r="E35" s="77" t="str">
        <f aca="false">IF($A35="","",INDEX(BAHARY!$E$2:$E$901,193))</f>
        <v/>
      </c>
      <c r="F35" s="77" t="str">
        <f aca="false">IF($A35="","",D35+E35)</f>
        <v/>
      </c>
      <c r="G35" s="77" t="str">
        <f aca="false">IF($A35="","",D35*(1-'كشف المطالبة'!$D$5))</f>
        <v/>
      </c>
      <c r="H35" s="77" t="str">
        <f aca="false">IF($A35="","",E35*(1-'كشف المطالبة'!$D$6))</f>
        <v/>
      </c>
      <c r="I35" s="77" t="str">
        <f aca="false">IF($A35="","",G35+H35)</f>
        <v/>
      </c>
      <c r="J35" s="78" t="str">
        <f aca="false">IF($A35="","",0)</f>
        <v/>
      </c>
      <c r="K35" s="77" t="str">
        <f aca="false">IF($A35="","",F35*J35+INDEX(BAHARY!$N$2:$N$901,193))</f>
        <v/>
      </c>
      <c r="L35" s="79" t="str">
        <f aca="false">IF($A35="","",I35-K35)</f>
        <v/>
      </c>
    </row>
    <row r="36" customFormat="false" ht="15" hidden="false" customHeight="true" outlineLevel="0" collapsed="false">
      <c r="A36" s="75" t="str">
        <f aca="false">IF(194&lt;=Check!$C$4,INDEX(BAHARY!$A$2:$A$901,194),"")</f>
        <v/>
      </c>
      <c r="B36" s="76" t="str">
        <f aca="false">IF($A36="","",INDEX(BAHARY!$B$2:$B$901,194))</f>
        <v/>
      </c>
      <c r="C36" s="76" t="str">
        <f aca="false">IF($A36="","",INDEX(BAHARY!$C$2:$C$901,194))</f>
        <v/>
      </c>
      <c r="D36" s="77" t="str">
        <f aca="false">IF($A36="","",INDEX(BAHARY!$H$2:$H$901,194))</f>
        <v/>
      </c>
      <c r="E36" s="77" t="str">
        <f aca="false">IF($A36="","",INDEX(BAHARY!$E$2:$E$901,194))</f>
        <v/>
      </c>
      <c r="F36" s="77" t="str">
        <f aca="false">IF($A36="","",D36+E36)</f>
        <v/>
      </c>
      <c r="G36" s="77" t="str">
        <f aca="false">IF($A36="","",D36*(1-'كشف المطالبة'!$D$5))</f>
        <v/>
      </c>
      <c r="H36" s="77" t="str">
        <f aca="false">IF($A36="","",E36*(1-'كشف المطالبة'!$D$6))</f>
        <v/>
      </c>
      <c r="I36" s="77" t="str">
        <f aca="false">IF($A36="","",G36+H36)</f>
        <v/>
      </c>
      <c r="J36" s="78" t="str">
        <f aca="false">IF($A36="","",0)</f>
        <v/>
      </c>
      <c r="K36" s="77" t="str">
        <f aca="false">IF($A36="","",F36*J36+INDEX(BAHARY!$N$2:$N$901,194))</f>
        <v/>
      </c>
      <c r="L36" s="79" t="str">
        <f aca="false">IF($A36="","",I36-K36)</f>
        <v/>
      </c>
    </row>
    <row r="37" customFormat="false" ht="15" hidden="false" customHeight="true" outlineLevel="0" collapsed="false">
      <c r="A37" s="75" t="str">
        <f aca="false">IF(195&lt;=Check!$C$4,INDEX(BAHARY!$A$2:$A$901,195),"")</f>
        <v/>
      </c>
      <c r="B37" s="76" t="str">
        <f aca="false">IF($A37="","",INDEX(BAHARY!$B$2:$B$901,195))</f>
        <v/>
      </c>
      <c r="C37" s="76" t="str">
        <f aca="false">IF($A37="","",INDEX(BAHARY!$C$2:$C$901,195))</f>
        <v/>
      </c>
      <c r="D37" s="77" t="str">
        <f aca="false">IF($A37="","",INDEX(BAHARY!$H$2:$H$901,195))</f>
        <v/>
      </c>
      <c r="E37" s="77" t="str">
        <f aca="false">IF($A37="","",INDEX(BAHARY!$E$2:$E$901,195))</f>
        <v/>
      </c>
      <c r="F37" s="77" t="str">
        <f aca="false">IF($A37="","",D37+E37)</f>
        <v/>
      </c>
      <c r="G37" s="88" t="str">
        <f aca="false">IF($A37="","",D37*(1-'كشف المطالبة'!$D$5))</f>
        <v/>
      </c>
      <c r="H37" s="77" t="str">
        <f aca="false">IF($A37="","",E37*(1-'كشف المطالبة'!$D$6))</f>
        <v/>
      </c>
      <c r="I37" s="77" t="str">
        <f aca="false">IF($A37="","",G37+H37)</f>
        <v/>
      </c>
      <c r="J37" s="78" t="str">
        <f aca="false">IF($A37="","",0)</f>
        <v/>
      </c>
      <c r="K37" s="77" t="str">
        <f aca="false">IF($A37="","",F37*J37+INDEX(BAHARY!$N$2:$N$901,195))</f>
        <v/>
      </c>
      <c r="L37" s="79" t="str">
        <f aca="false">IF($A37="","",I37-K37)</f>
        <v/>
      </c>
    </row>
    <row r="38" customFormat="false" ht="15" hidden="false" customHeight="true" outlineLevel="0" collapsed="false">
      <c r="A38" s="75" t="str">
        <f aca="false">IF(196&lt;=Check!$C$4,INDEX(BAHARY!$A$2:$A$901,196),"")</f>
        <v/>
      </c>
      <c r="B38" s="76" t="str">
        <f aca="false">IF($A38="","",INDEX(BAHARY!$B$2:$B$901,196))</f>
        <v/>
      </c>
      <c r="C38" s="76" t="str">
        <f aca="false">IF($A38="","",INDEX(BAHARY!$C$2:$C$901,196))</f>
        <v/>
      </c>
      <c r="D38" s="77" t="str">
        <f aca="false">IF($A38="","",INDEX(BAHARY!$H$2:$H$901,196))</f>
        <v/>
      </c>
      <c r="E38" s="77" t="str">
        <f aca="false">IF($A38="","",INDEX(BAHARY!$E$2:$E$901,196))</f>
        <v/>
      </c>
      <c r="F38" s="77" t="str">
        <f aca="false">IF($A38="","",D38+E38)</f>
        <v/>
      </c>
      <c r="G38" s="77" t="str">
        <f aca="false">IF($A38="","",D38*(1-'كشف المطالبة'!$D$5))</f>
        <v/>
      </c>
      <c r="H38" s="77" t="str">
        <f aca="false">IF($A38="","",E38*(1-'كشف المطالبة'!$D$6))</f>
        <v/>
      </c>
      <c r="I38" s="77" t="str">
        <f aca="false">IF($A38="","",G38+H38)</f>
        <v/>
      </c>
      <c r="J38" s="78" t="str">
        <f aca="false">IF($A38="","",0)</f>
        <v/>
      </c>
      <c r="K38" s="77" t="str">
        <f aca="false">IF($A38="","",F38*J38+INDEX(BAHARY!$N$2:$N$901,196))</f>
        <v/>
      </c>
      <c r="L38" s="79" t="str">
        <f aca="false">IF($A38="","",I38-K38)</f>
        <v/>
      </c>
    </row>
    <row r="39" customFormat="false" ht="15" hidden="false" customHeight="true" outlineLevel="0" collapsed="false">
      <c r="A39" s="75" t="str">
        <f aca="false">IF(197&lt;=Check!$C$4,INDEX(BAHARY!$A$2:$A$901,197),"")</f>
        <v/>
      </c>
      <c r="B39" s="76" t="str">
        <f aca="false">IF($A39="","",INDEX(BAHARY!$B$2:$B$901,197))</f>
        <v/>
      </c>
      <c r="C39" s="76" t="str">
        <f aca="false">IF($A39="","",INDEX(BAHARY!$C$2:$C$901,197))</f>
        <v/>
      </c>
      <c r="D39" s="77" t="str">
        <f aca="false">IF($A39="","",INDEX(BAHARY!$H$2:$H$901,197))</f>
        <v/>
      </c>
      <c r="E39" s="77" t="str">
        <f aca="false">IF($A39="","",INDEX(BAHARY!$E$2:$E$901,197))</f>
        <v/>
      </c>
      <c r="F39" s="77" t="str">
        <f aca="false">IF($A39="","",D39+E39)</f>
        <v/>
      </c>
      <c r="G39" s="77" t="str">
        <f aca="false">IF($A39="","",D39*(1-'كشف المطالبة'!$D$5))</f>
        <v/>
      </c>
      <c r="H39" s="77" t="str">
        <f aca="false">IF($A39="","",E39*(1-'كشف المطالبة'!$D$6))</f>
        <v/>
      </c>
      <c r="I39" s="77" t="str">
        <f aca="false">IF($A39="","",G39+H39)</f>
        <v/>
      </c>
      <c r="J39" s="78" t="str">
        <f aca="false">IF($A39="","",0)</f>
        <v/>
      </c>
      <c r="K39" s="77" t="str">
        <f aca="false">IF($A39="","",F39*J39+INDEX(BAHARY!$N$2:$N$901,197))</f>
        <v/>
      </c>
      <c r="L39" s="79" t="str">
        <f aca="false">IF($A39="","",I39-K39)</f>
        <v/>
      </c>
    </row>
    <row r="40" customFormat="false" ht="15" hidden="false" customHeight="true" outlineLevel="0" collapsed="false">
      <c r="A40" s="75" t="str">
        <f aca="false">IF(198&lt;=Check!$C$4,INDEX(BAHARY!$A$2:$A$901,198),"")</f>
        <v/>
      </c>
      <c r="B40" s="76" t="str">
        <f aca="false">IF($A40="","",INDEX(BAHARY!$B$2:$B$901,198))</f>
        <v/>
      </c>
      <c r="C40" s="76" t="str">
        <f aca="false">IF($A40="","",INDEX(BAHARY!$C$2:$C$901,198))</f>
        <v/>
      </c>
      <c r="D40" s="77" t="str">
        <f aca="false">IF($A40="","",INDEX(BAHARY!$H$2:$H$901,198))</f>
        <v/>
      </c>
      <c r="E40" s="77" t="str">
        <f aca="false">IF($A40="","",INDEX(BAHARY!$E$2:$E$901,198))</f>
        <v/>
      </c>
      <c r="F40" s="77" t="str">
        <f aca="false">IF($A40="","",D40+E40)</f>
        <v/>
      </c>
      <c r="G40" s="77" t="str">
        <f aca="false">IF($A40="","",D40*(1-'كشف المطالبة'!$D$5))</f>
        <v/>
      </c>
      <c r="H40" s="77" t="str">
        <f aca="false">IF($A40="","",E40*(1-'كشف المطالبة'!$D$6))</f>
        <v/>
      </c>
      <c r="I40" s="77" t="str">
        <f aca="false">IF($A40="","",G40+H40)</f>
        <v/>
      </c>
      <c r="J40" s="78" t="str">
        <f aca="false">IF($A40="","",0)</f>
        <v/>
      </c>
      <c r="K40" s="77" t="str">
        <f aca="false">IF($A40="","",F40*J40+INDEX(BAHARY!$N$2:$N$901,198))</f>
        <v/>
      </c>
      <c r="L40" s="79" t="str">
        <f aca="false">IF($A40="","",I40-K40)</f>
        <v/>
      </c>
    </row>
    <row r="41" customFormat="false" ht="15" hidden="false" customHeight="true" outlineLevel="0" collapsed="false">
      <c r="A41" s="75" t="str">
        <f aca="false">IF(199&lt;=Check!$C$4,INDEX(BAHARY!$A$2:$A$901,199),"")</f>
        <v/>
      </c>
      <c r="B41" s="76" t="str">
        <f aca="false">IF($A41="","",INDEX(BAHARY!$B$2:$B$901,199))</f>
        <v/>
      </c>
      <c r="C41" s="76" t="str">
        <f aca="false">IF($A41="","",INDEX(BAHARY!$C$2:$C$901,199))</f>
        <v/>
      </c>
      <c r="D41" s="77" t="str">
        <f aca="false">IF($A41="","",INDEX(BAHARY!$H$2:$H$901,199))</f>
        <v/>
      </c>
      <c r="E41" s="77" t="str">
        <f aca="false">IF($A41="","",INDEX(BAHARY!$E$2:$E$901,199))</f>
        <v/>
      </c>
      <c r="F41" s="77" t="str">
        <f aca="false">IF($A41="","",D41+E41)</f>
        <v/>
      </c>
      <c r="G41" s="77" t="str">
        <f aca="false">IF($A41="","",D41*(1-'كشف المطالبة'!$D$5))</f>
        <v/>
      </c>
      <c r="H41" s="77" t="str">
        <f aca="false">IF($A41="","",E41*(1-'كشف المطالبة'!$D$6))</f>
        <v/>
      </c>
      <c r="I41" s="77" t="str">
        <f aca="false">IF($A41="","",G41+H41)</f>
        <v/>
      </c>
      <c r="J41" s="78" t="str">
        <f aca="false">IF($A41="","",0)</f>
        <v/>
      </c>
      <c r="K41" s="77" t="str">
        <f aca="false">IF($A41="","",F41*J41+INDEX(BAHARY!$N$2:$N$901,199))</f>
        <v/>
      </c>
      <c r="L41" s="79" t="str">
        <f aca="false">IF($A41="","",I41-K41)</f>
        <v/>
      </c>
    </row>
    <row r="42" customFormat="false" ht="15" hidden="false" customHeight="true" outlineLevel="0" collapsed="false">
      <c r="A42" s="75" t="str">
        <f aca="false">IF(200&lt;=Check!$C$4,INDEX(BAHARY!$A$2:$A$901,200),"")</f>
        <v/>
      </c>
      <c r="B42" s="76" t="str">
        <f aca="false">IF($A42="","",INDEX(BAHARY!$B$2:$B$901,200))</f>
        <v/>
      </c>
      <c r="C42" s="76" t="str">
        <f aca="false">IF($A42="","",INDEX(BAHARY!$C$2:$C$901,200))</f>
        <v/>
      </c>
      <c r="D42" s="77" t="str">
        <f aca="false">IF($A42="","",INDEX(BAHARY!$H$2:$H$901,200))</f>
        <v/>
      </c>
      <c r="E42" s="77" t="str">
        <f aca="false">IF($A42="","",INDEX(BAHARY!$E$2:$E$901,200))</f>
        <v/>
      </c>
      <c r="F42" s="77" t="str">
        <f aca="false">IF($A42="","",D42+E42)</f>
        <v/>
      </c>
      <c r="G42" s="77" t="str">
        <f aca="false">IF($A42="","",D42*(1-'كشف المطالبة'!$D$5))</f>
        <v/>
      </c>
      <c r="H42" s="77" t="str">
        <f aca="false">IF($A42="","",E42*(1-'كشف المطالبة'!$D$6))</f>
        <v/>
      </c>
      <c r="I42" s="77" t="str">
        <f aca="false">IF($A42="","",G42+H42)</f>
        <v/>
      </c>
      <c r="J42" s="78" t="str">
        <f aca="false">IF($A42="","",0)</f>
        <v/>
      </c>
      <c r="K42" s="77" t="str">
        <f aca="false">IF($A42="","",F42*J42+INDEX(BAHARY!$N$2:$N$901,200))</f>
        <v/>
      </c>
      <c r="L42" s="79" t="str">
        <f aca="false">IF($A42="","",I42-K42)</f>
        <v/>
      </c>
    </row>
    <row r="44" customFormat="false" ht="15" hidden="false" customHeight="true" outlineLevel="0" collapsed="false"/>
    <row r="45" s="86" customFormat="true" ht="15.75" hidden="false" customHeight="true" outlineLevel="0" collapsed="false">
      <c r="A45" s="81" t="s">
        <v>114</v>
      </c>
      <c r="B45" s="81"/>
      <c r="C45" s="81"/>
      <c r="D45" s="82" t="n">
        <f aca="false">SUM(D3:D42)</f>
        <v>0</v>
      </c>
      <c r="E45" s="82" t="n">
        <f aca="false">SUM(E3:E42)</f>
        <v>0</v>
      </c>
      <c r="F45" s="82" t="n">
        <f aca="false">SUM(F3:F42)</f>
        <v>0</v>
      </c>
      <c r="G45" s="82" t="n">
        <f aca="false">SUM(G3:G42)</f>
        <v>0</v>
      </c>
      <c r="H45" s="82" t="n">
        <f aca="false">SUM(H3:H42)</f>
        <v>0</v>
      </c>
      <c r="I45" s="82" t="n">
        <f aca="false">SUM(I3:I42)</f>
        <v>0</v>
      </c>
      <c r="J45" s="83"/>
      <c r="K45" s="82" t="n">
        <f aca="false">SUM(K3:K42)</f>
        <v>0</v>
      </c>
      <c r="L45" s="84" t="n">
        <f aca="false">SUM(L3:L42)</f>
        <v>0</v>
      </c>
      <c r="M45" s="85" t="n">
        <v>5</v>
      </c>
    </row>
  </sheetData>
  <mergeCells count="4">
    <mergeCell ref="A1:B1"/>
    <mergeCell ref="E1:G1"/>
    <mergeCell ref="K1:L1"/>
    <mergeCell ref="A45:C45"/>
  </mergeCells>
  <conditionalFormatting sqref="A3:A42 D3:L42">
    <cfRule type="expression" priority="2" aboveAverage="0" equalAverage="0" bottom="0" percent="0" rank="0" text="" dxfId="6">
      <formula>ISODD(ROW())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8" activeCellId="0" sqref="C8"/>
    </sheetView>
  </sheetViews>
  <sheetFormatPr defaultColWidth="14.453125" defaultRowHeight="14.25" zeroHeight="false" outlineLevelRow="0" outlineLevelCol="0"/>
  <cols>
    <col collapsed="false" customWidth="true" hidden="false" outlineLevel="0" max="1" min="1" style="0" width="3.27"/>
    <col collapsed="false" customWidth="true" hidden="false" outlineLevel="0" max="2" min="2" style="0" width="43.18"/>
    <col collapsed="false" customWidth="true" hidden="false" outlineLevel="0" max="3" min="3" style="0" width="7"/>
    <col collapsed="false" customWidth="true" hidden="false" outlineLevel="0" max="4" min="4" style="0" width="12.45"/>
    <col collapsed="false" customWidth="true" hidden="false" outlineLevel="0" max="5" min="5" style="0" width="12"/>
    <col collapsed="false" customWidth="true" hidden="false" outlineLevel="0" max="6" min="6" style="0" width="13.45"/>
    <col collapsed="false" customWidth="true" hidden="false" outlineLevel="0" max="7" min="7" style="0" width="17"/>
    <col collapsed="false" customWidth="true" hidden="false" outlineLevel="0" max="8" min="8" style="0" width="13"/>
    <col collapsed="false" customWidth="true" hidden="false" outlineLevel="0" max="9" min="9" style="0" width="13.73"/>
    <col collapsed="false" customWidth="true" hidden="false" outlineLevel="0" max="10" min="10" style="0" width="8.27"/>
    <col collapsed="false" customWidth="true" hidden="false" outlineLevel="0" max="11" min="11" style="0" width="9"/>
    <col collapsed="false" customWidth="true" hidden="false" outlineLevel="0" max="12" min="12" style="0" width="13.73"/>
    <col collapsed="false" customWidth="true" hidden="false" outlineLevel="0" max="13" min="13" style="0" width="2.18"/>
    <col collapsed="false" customWidth="true" hidden="false" outlineLevel="0" max="26" min="14" style="0" width="8.73"/>
  </cols>
  <sheetData>
    <row r="1" customFormat="false" ht="18.75" hidden="false" customHeight="true" outlineLevel="0" collapsed="false">
      <c r="A1" s="68" t="s">
        <v>105</v>
      </c>
      <c r="B1" s="68"/>
      <c r="C1" s="69"/>
      <c r="D1" s="69"/>
      <c r="E1" s="54" t="s">
        <v>112</v>
      </c>
      <c r="F1" s="54"/>
      <c r="G1" s="54"/>
      <c r="H1" s="69" t="n">
        <f aca="false">'كشف المطالبة'!E2</f>
        <v>0</v>
      </c>
      <c r="I1" s="69" t="str">
        <f aca="false">'كشف المطالبة'!E3</f>
        <v>الجزء الاول</v>
      </c>
      <c r="J1" s="69"/>
      <c r="K1" s="70" t="str">
        <f aca="false">'كشف المطالبة'!E4</f>
        <v>عاملين</v>
      </c>
      <c r="L1" s="70"/>
    </row>
    <row r="2" customFormat="false" ht="72" hidden="false" customHeight="true" outlineLevel="0" collapsed="false">
      <c r="A2" s="71" t="s">
        <v>106</v>
      </c>
      <c r="B2" s="72" t="s">
        <v>35</v>
      </c>
      <c r="C2" s="72" t="s">
        <v>36</v>
      </c>
      <c r="D2" s="72" t="s">
        <v>107</v>
      </c>
      <c r="E2" s="72" t="s">
        <v>38</v>
      </c>
      <c r="F2" s="72" t="s">
        <v>108</v>
      </c>
      <c r="G2" s="72" t="str">
        <f aca="false">"محلى بعد خصم "&amp;ROUND('كشف المطالبة'!$D$5*100,2)&amp;"%"</f>
        <v>محلى بعد خصم 14%</v>
      </c>
      <c r="H2" s="72" t="str">
        <f aca="false">"مستورد بعد خصم "&amp;ROUND('كشف المطالبة'!$D$6*100,2)&amp;"%"</f>
        <v>مستورد بعد خصم 7%</v>
      </c>
      <c r="I2" s="72" t="s">
        <v>109</v>
      </c>
      <c r="J2" s="73" t="s">
        <v>113</v>
      </c>
      <c r="K2" s="72" t="s">
        <v>110</v>
      </c>
      <c r="L2" s="74" t="s">
        <v>111</v>
      </c>
    </row>
    <row r="3" customFormat="false" ht="15" hidden="false" customHeight="true" outlineLevel="0" collapsed="false">
      <c r="A3" s="75" t="str">
        <f aca="false">IF(201&lt;=Check!$C$4,INDEX(BAHARY!$A$2:$A$901,201),"")</f>
        <v/>
      </c>
      <c r="B3" s="76" t="str">
        <f aca="false">IF($A3="","",INDEX(BAHARY!$B$2:$B$901,201))</f>
        <v/>
      </c>
      <c r="C3" s="76" t="str">
        <f aca="false">IF($A3="","",INDEX(BAHARY!$C$2:$C$901,201))</f>
        <v/>
      </c>
      <c r="D3" s="77" t="str">
        <f aca="false">IF($A3="","",INDEX(BAHARY!$H$2:$H$901,201))</f>
        <v/>
      </c>
      <c r="E3" s="77" t="str">
        <f aca="false">IF($A3="","",INDEX(BAHARY!$E$2:$E$901,201))</f>
        <v/>
      </c>
      <c r="F3" s="77" t="str">
        <f aca="false">IF($A3="","",D3+E3)</f>
        <v/>
      </c>
      <c r="G3" s="77" t="str">
        <f aca="false">IF($A3="","",D3*(1-'كشف المطالبة'!$D$5))</f>
        <v/>
      </c>
      <c r="H3" s="77" t="str">
        <f aca="false">IF($A3="","",E3*(1-'كشف المطالبة'!$D$6))</f>
        <v/>
      </c>
      <c r="I3" s="77" t="str">
        <f aca="false">IF($A3="","",G3+H3)</f>
        <v/>
      </c>
      <c r="J3" s="78" t="str">
        <f aca="false">IF($A3="","",0)</f>
        <v/>
      </c>
      <c r="K3" s="77" t="str">
        <f aca="false">IF($A3="","",F3*J3+INDEX(BAHARY!$N$2:$N$901,201))</f>
        <v/>
      </c>
      <c r="L3" s="79" t="str">
        <f aca="false">IF($A3="","",I3-K3)</f>
        <v/>
      </c>
    </row>
    <row r="4" customFormat="false" ht="15" hidden="false" customHeight="true" outlineLevel="0" collapsed="false">
      <c r="A4" s="75" t="str">
        <f aca="false">IF(202&lt;=Check!$C$4,INDEX(BAHARY!$A$2:$A$901,202),"")</f>
        <v/>
      </c>
      <c r="B4" s="76" t="str">
        <f aca="false">IF($A4="","",INDEX(BAHARY!$B$2:$B$901,202))</f>
        <v/>
      </c>
      <c r="C4" s="76" t="str">
        <f aca="false">IF($A4="","",INDEX(BAHARY!$C$2:$C$901,202))</f>
        <v/>
      </c>
      <c r="D4" s="77" t="str">
        <f aca="false">IF($A4="","",INDEX(BAHARY!$H$2:$H$901,202))</f>
        <v/>
      </c>
      <c r="E4" s="77" t="str">
        <f aca="false">IF($A4="","",INDEX(BAHARY!$E$2:$E$901,202))</f>
        <v/>
      </c>
      <c r="F4" s="77" t="str">
        <f aca="false">IF($A4="","",D4+E4)</f>
        <v/>
      </c>
      <c r="G4" s="77" t="str">
        <f aca="false">IF($A4="","",D4*(1-'كشف المطالبة'!$D$5))</f>
        <v/>
      </c>
      <c r="H4" s="77" t="str">
        <f aca="false">IF($A4="","",E4*(1-'كشف المطالبة'!$D$6))</f>
        <v/>
      </c>
      <c r="I4" s="77" t="str">
        <f aca="false">IF($A4="","",G4+H4)</f>
        <v/>
      </c>
      <c r="J4" s="78" t="str">
        <f aca="false">IF($A4="","",0)</f>
        <v/>
      </c>
      <c r="K4" s="77" t="str">
        <f aca="false">IF($A4="","",F4*J4+INDEX(BAHARY!$N$2:$N$901,202))</f>
        <v/>
      </c>
      <c r="L4" s="79" t="str">
        <f aca="false">IF($A4="","",I4-K4)</f>
        <v/>
      </c>
    </row>
    <row r="5" customFormat="false" ht="15" hidden="false" customHeight="true" outlineLevel="0" collapsed="false">
      <c r="A5" s="75" t="str">
        <f aca="false">IF(203&lt;=Check!$C$4,INDEX(BAHARY!$A$2:$A$901,203),"")</f>
        <v/>
      </c>
      <c r="B5" s="76" t="str">
        <f aca="false">IF($A5="","",INDEX(BAHARY!$B$2:$B$901,203))</f>
        <v/>
      </c>
      <c r="C5" s="76" t="str">
        <f aca="false">IF($A5="","",INDEX(BAHARY!$C$2:$C$901,203))</f>
        <v/>
      </c>
      <c r="D5" s="77" t="str">
        <f aca="false">IF($A5="","",INDEX(BAHARY!$H$2:$H$901,203))</f>
        <v/>
      </c>
      <c r="E5" s="77" t="str">
        <f aca="false">IF($A5="","",INDEX(BAHARY!$E$2:$E$901,203))</f>
        <v/>
      </c>
      <c r="F5" s="77" t="str">
        <f aca="false">IF($A5="","",D5+E5)</f>
        <v/>
      </c>
      <c r="G5" s="77" t="str">
        <f aca="false">IF($A5="","",D5*(1-'كشف المطالبة'!$D$5))</f>
        <v/>
      </c>
      <c r="H5" s="77" t="str">
        <f aca="false">IF($A5="","",E5*(1-'كشف المطالبة'!$D$6))</f>
        <v/>
      </c>
      <c r="I5" s="77" t="str">
        <f aca="false">IF($A5="","",G5+H5)</f>
        <v/>
      </c>
      <c r="J5" s="78" t="str">
        <f aca="false">IF($A5="","",0)</f>
        <v/>
      </c>
      <c r="K5" s="77" t="str">
        <f aca="false">IF($A5="","",F5*J5+INDEX(BAHARY!$N$2:$N$901,203))</f>
        <v/>
      </c>
      <c r="L5" s="79" t="str">
        <f aca="false">IF($A5="","",I5-K5)</f>
        <v/>
      </c>
    </row>
    <row r="6" customFormat="false" ht="15" hidden="false" customHeight="true" outlineLevel="0" collapsed="false">
      <c r="A6" s="75" t="str">
        <f aca="false">IF(204&lt;=Check!$C$4,INDEX(BAHARY!$A$2:$A$901,204),"")</f>
        <v/>
      </c>
      <c r="B6" s="76" t="str">
        <f aca="false">IF($A6="","",INDEX(BAHARY!$B$2:$B$901,204))</f>
        <v/>
      </c>
      <c r="C6" s="76" t="str">
        <f aca="false">IF($A6="","",INDEX(BAHARY!$C$2:$C$901,204))</f>
        <v/>
      </c>
      <c r="D6" s="77" t="str">
        <f aca="false">IF($A6="","",INDEX(BAHARY!$H$2:$H$901,204))</f>
        <v/>
      </c>
      <c r="E6" s="77" t="str">
        <f aca="false">IF($A6="","",INDEX(BAHARY!$E$2:$E$901,204))</f>
        <v/>
      </c>
      <c r="F6" s="77" t="str">
        <f aca="false">IF($A6="","",D6+E6)</f>
        <v/>
      </c>
      <c r="G6" s="77" t="str">
        <f aca="false">IF($A6="","",D6*(1-'كشف المطالبة'!$D$5))</f>
        <v/>
      </c>
      <c r="H6" s="77" t="str">
        <f aca="false">IF($A6="","",E6*(1-'كشف المطالبة'!$D$6))</f>
        <v/>
      </c>
      <c r="I6" s="77" t="str">
        <f aca="false">IF($A6="","",G6+H6)</f>
        <v/>
      </c>
      <c r="J6" s="78" t="str">
        <f aca="false">IF($A6="","",0)</f>
        <v/>
      </c>
      <c r="K6" s="77" t="str">
        <f aca="false">IF($A6="","",F6*J6+INDEX(BAHARY!$N$2:$N$901,204))</f>
        <v/>
      </c>
      <c r="L6" s="79" t="str">
        <f aca="false">IF($A6="","",I6-K6)</f>
        <v/>
      </c>
    </row>
    <row r="7" customFormat="false" ht="15" hidden="false" customHeight="true" outlineLevel="0" collapsed="false">
      <c r="A7" s="75" t="str">
        <f aca="false">IF(205&lt;=Check!$C$4,INDEX(BAHARY!$A$2:$A$901,205),"")</f>
        <v/>
      </c>
      <c r="B7" s="76" t="str">
        <f aca="false">IF($A7="","",INDEX(BAHARY!$B$2:$B$901,205))</f>
        <v/>
      </c>
      <c r="C7" s="76" t="str">
        <f aca="false">IF($A7="","",INDEX(BAHARY!$C$2:$C$901,205))</f>
        <v/>
      </c>
      <c r="D7" s="77" t="str">
        <f aca="false">IF($A7="","",INDEX(BAHARY!$H$2:$H$901,205))</f>
        <v/>
      </c>
      <c r="E7" s="77" t="str">
        <f aca="false">IF($A7="","",INDEX(BAHARY!$E$2:$E$901,205))</f>
        <v/>
      </c>
      <c r="F7" s="77" t="str">
        <f aca="false">IF($A7="","",D7+E7)</f>
        <v/>
      </c>
      <c r="G7" s="77" t="str">
        <f aca="false">IF($A7="","",D7*(1-'كشف المطالبة'!$D$5))</f>
        <v/>
      </c>
      <c r="H7" s="77" t="str">
        <f aca="false">IF($A7="","",E7*(1-'كشف المطالبة'!$D$6))</f>
        <v/>
      </c>
      <c r="I7" s="77" t="str">
        <f aca="false">IF($A7="","",G7+H7)</f>
        <v/>
      </c>
      <c r="J7" s="78" t="str">
        <f aca="false">IF($A7="","",0)</f>
        <v/>
      </c>
      <c r="K7" s="77" t="str">
        <f aca="false">IF($A7="","",F7*J7+INDEX(BAHARY!$N$2:$N$901,205))</f>
        <v/>
      </c>
      <c r="L7" s="79" t="str">
        <f aca="false">IF($A7="","",I7-K7)</f>
        <v/>
      </c>
    </row>
    <row r="8" customFormat="false" ht="18" hidden="false" customHeight="true" outlineLevel="0" collapsed="false">
      <c r="A8" s="75" t="str">
        <f aca="false">IF(206&lt;=Check!$C$4,INDEX(BAHARY!$A$2:$A$901,206),"")</f>
        <v/>
      </c>
      <c r="B8" s="76" t="str">
        <f aca="false">IF($A8="","",INDEX(BAHARY!$B$2:$B$901,206))</f>
        <v/>
      </c>
      <c r="C8" s="76" t="str">
        <f aca="false">IF($A8="","",INDEX(BAHARY!$C$2:$C$901,206))</f>
        <v/>
      </c>
      <c r="D8" s="77" t="str">
        <f aca="false">IF($A8="","",INDEX(BAHARY!$H$2:$H$901,206))</f>
        <v/>
      </c>
      <c r="E8" s="77" t="str">
        <f aca="false">IF($A8="","",INDEX(BAHARY!$E$2:$E$901,206))</f>
        <v/>
      </c>
      <c r="F8" s="77" t="str">
        <f aca="false">IF($A8="","",D8+E8)</f>
        <v/>
      </c>
      <c r="G8" s="77" t="str">
        <f aca="false">IF($A8="","",D8*(1-'كشف المطالبة'!$D$5))</f>
        <v/>
      </c>
      <c r="H8" s="77" t="str">
        <f aca="false">IF($A8="","",E8*(1-'كشف المطالبة'!$D$6))</f>
        <v/>
      </c>
      <c r="I8" s="77" t="str">
        <f aca="false">IF($A8="","",G8+H8)</f>
        <v/>
      </c>
      <c r="J8" s="78" t="str">
        <f aca="false">IF($A8="","",0)</f>
        <v/>
      </c>
      <c r="K8" s="77" t="str">
        <f aca="false">IF($A8="","",F8*J8+INDEX(BAHARY!$N$2:$N$901,206))</f>
        <v/>
      </c>
      <c r="L8" s="79" t="str">
        <f aca="false">IF($A8="","",I8-K8)</f>
        <v/>
      </c>
    </row>
    <row r="9" customFormat="false" ht="15" hidden="false" customHeight="true" outlineLevel="0" collapsed="false">
      <c r="A9" s="75" t="str">
        <f aca="false">IF(207&lt;=Check!$C$4,INDEX(BAHARY!$A$2:$A$901,207),"")</f>
        <v/>
      </c>
      <c r="B9" s="80" t="str">
        <f aca="false">IF($A9="","",INDEX(BAHARY!$B$2:$B$901,207))</f>
        <v/>
      </c>
      <c r="C9" s="76" t="str">
        <f aca="false">IF($A9="","",INDEX(BAHARY!$C$2:$C$901,207))</f>
        <v/>
      </c>
      <c r="D9" s="77" t="str">
        <f aca="false">IF($A9="","",INDEX(BAHARY!$H$2:$H$901,207))</f>
        <v/>
      </c>
      <c r="E9" s="77" t="str">
        <f aca="false">IF($A9="","",INDEX(BAHARY!$E$2:$E$901,207))</f>
        <v/>
      </c>
      <c r="F9" s="77" t="str">
        <f aca="false">IF($A9="","",D9+E9)</f>
        <v/>
      </c>
      <c r="G9" s="77" t="str">
        <f aca="false">IF($A9="","",D9*(1-'كشف المطالبة'!$D$5))</f>
        <v/>
      </c>
      <c r="H9" s="77" t="str">
        <f aca="false">IF($A9="","",E9*(1-'كشف المطالبة'!$D$6))</f>
        <v/>
      </c>
      <c r="I9" s="77" t="str">
        <f aca="false">IF($A9="","",G9+H9)</f>
        <v/>
      </c>
      <c r="J9" s="78" t="str">
        <f aca="false">IF($A9="","",0)</f>
        <v/>
      </c>
      <c r="K9" s="77" t="str">
        <f aca="false">IF($A9="","",F9*J9+INDEX(BAHARY!$N$2:$N$901,207))</f>
        <v/>
      </c>
      <c r="L9" s="79" t="str">
        <f aca="false">IF($A9="","",I9-K9)</f>
        <v/>
      </c>
    </row>
    <row r="10" customFormat="false" ht="15" hidden="false" customHeight="true" outlineLevel="0" collapsed="false">
      <c r="A10" s="75" t="str">
        <f aca="false">IF(208&lt;=Check!$C$4,INDEX(BAHARY!$A$2:$A$901,208),"")</f>
        <v/>
      </c>
      <c r="B10" s="76" t="str">
        <f aca="false">IF($A10="","",INDEX(BAHARY!$B$2:$B$901,208))</f>
        <v/>
      </c>
      <c r="C10" s="76" t="str">
        <f aca="false">IF($A10="","",INDEX(BAHARY!$C$2:$C$901,208))</f>
        <v/>
      </c>
      <c r="D10" s="77" t="str">
        <f aca="false">IF($A10="","",INDEX(BAHARY!$H$2:$H$901,208))</f>
        <v/>
      </c>
      <c r="E10" s="77" t="str">
        <f aca="false">IF($A10="","",INDEX(BAHARY!$E$2:$E$901,208))</f>
        <v/>
      </c>
      <c r="F10" s="77" t="str">
        <f aca="false">IF($A10="","",D10+E10)</f>
        <v/>
      </c>
      <c r="G10" s="77" t="str">
        <f aca="false">IF($A10="","",D10*(1-'كشف المطالبة'!$D$5))</f>
        <v/>
      </c>
      <c r="H10" s="77" t="str">
        <f aca="false">IF($A10="","",E10*(1-'كشف المطالبة'!$D$6))</f>
        <v/>
      </c>
      <c r="I10" s="77" t="str">
        <f aca="false">IF($A10="","",G10+H10)</f>
        <v/>
      </c>
      <c r="J10" s="78" t="str">
        <f aca="false">IF($A10="","",0)</f>
        <v/>
      </c>
      <c r="K10" s="77" t="str">
        <f aca="false">IF($A10="","",F10*J10+INDEX(BAHARY!$N$2:$N$901,208))</f>
        <v/>
      </c>
      <c r="L10" s="79" t="str">
        <f aca="false">IF($A10="","",I10-K10)</f>
        <v/>
      </c>
    </row>
    <row r="11" customFormat="false" ht="15" hidden="false" customHeight="true" outlineLevel="0" collapsed="false">
      <c r="A11" s="75" t="str">
        <f aca="false">IF(209&lt;=Check!$C$4,INDEX(BAHARY!$A$2:$A$901,209),"")</f>
        <v/>
      </c>
      <c r="B11" s="76" t="str">
        <f aca="false">IF($A11="","",INDEX(BAHARY!$B$2:$B$901,209))</f>
        <v/>
      </c>
      <c r="C11" s="76" t="str">
        <f aca="false">IF($A11="","",INDEX(BAHARY!$C$2:$C$901,209))</f>
        <v/>
      </c>
      <c r="D11" s="77" t="str">
        <f aca="false">IF($A11="","",INDEX(BAHARY!$H$2:$H$901,209))</f>
        <v/>
      </c>
      <c r="E11" s="77" t="str">
        <f aca="false">IF($A11="","",INDEX(BAHARY!$E$2:$E$901,209))</f>
        <v/>
      </c>
      <c r="F11" s="77" t="str">
        <f aca="false">IF($A11="","",D11+E11)</f>
        <v/>
      </c>
      <c r="G11" s="77" t="str">
        <f aca="false">IF($A11="","",D11*(1-'كشف المطالبة'!$D$5))</f>
        <v/>
      </c>
      <c r="H11" s="77" t="str">
        <f aca="false">IF($A11="","",E11*(1-'كشف المطالبة'!$D$6))</f>
        <v/>
      </c>
      <c r="I11" s="77" t="str">
        <f aca="false">IF($A11="","",G11+H11)</f>
        <v/>
      </c>
      <c r="J11" s="78" t="str">
        <f aca="false">IF($A11="","",0)</f>
        <v/>
      </c>
      <c r="K11" s="77" t="str">
        <f aca="false">IF($A11="","",F11*J11+INDEX(BAHARY!$N$2:$N$901,209))</f>
        <v/>
      </c>
      <c r="L11" s="79" t="str">
        <f aca="false">IF($A11="","",I11-K11)</f>
        <v/>
      </c>
    </row>
    <row r="12" customFormat="false" ht="15" hidden="false" customHeight="true" outlineLevel="0" collapsed="false">
      <c r="A12" s="75" t="str">
        <f aca="false">IF(210&lt;=Check!$C$4,INDEX(BAHARY!$A$2:$A$901,210),"")</f>
        <v/>
      </c>
      <c r="B12" s="76" t="str">
        <f aca="false">IF($A12="","",INDEX(BAHARY!$B$2:$B$901,210))</f>
        <v/>
      </c>
      <c r="C12" s="76" t="str">
        <f aca="false">IF($A12="","",INDEX(BAHARY!$C$2:$C$901,210))</f>
        <v/>
      </c>
      <c r="D12" s="77" t="str">
        <f aca="false">IF($A12="","",INDEX(BAHARY!$H$2:$H$901,210))</f>
        <v/>
      </c>
      <c r="E12" s="77" t="str">
        <f aca="false">IF($A12="","",INDEX(BAHARY!$E$2:$E$901,210))</f>
        <v/>
      </c>
      <c r="F12" s="77" t="str">
        <f aca="false">IF($A12="","",D12+E12)</f>
        <v/>
      </c>
      <c r="G12" s="77" t="str">
        <f aca="false">IF($A12="","",D12*(1-'كشف المطالبة'!$D$5))</f>
        <v/>
      </c>
      <c r="H12" s="77" t="str">
        <f aca="false">IF($A12="","",E12*(1-'كشف المطالبة'!$D$6))</f>
        <v/>
      </c>
      <c r="I12" s="77" t="str">
        <f aca="false">IF($A12="","",G12+H12)</f>
        <v/>
      </c>
      <c r="J12" s="78" t="str">
        <f aca="false">IF($A12="","",0)</f>
        <v/>
      </c>
      <c r="K12" s="77" t="str">
        <f aca="false">IF($A12="","",F12*J12+INDEX(BAHARY!$N$2:$N$901,210))</f>
        <v/>
      </c>
      <c r="L12" s="79" t="str">
        <f aca="false">IF($A12="","",I12-K12)</f>
        <v/>
      </c>
    </row>
    <row r="13" customFormat="false" ht="15" hidden="false" customHeight="true" outlineLevel="0" collapsed="false">
      <c r="A13" s="75" t="str">
        <f aca="false">IF(211&lt;=Check!$C$4,INDEX(BAHARY!$A$2:$A$901,211),"")</f>
        <v/>
      </c>
      <c r="B13" s="76" t="str">
        <f aca="false">IF($A13="","",INDEX(BAHARY!$B$2:$B$901,211))</f>
        <v/>
      </c>
      <c r="C13" s="76" t="str">
        <f aca="false">IF($A13="","",INDEX(BAHARY!$C$2:$C$901,211))</f>
        <v/>
      </c>
      <c r="D13" s="77" t="str">
        <f aca="false">IF($A13="","",INDEX(BAHARY!$H$2:$H$901,211))</f>
        <v/>
      </c>
      <c r="E13" s="77" t="str">
        <f aca="false">IF($A13="","",INDEX(BAHARY!$E$2:$E$901,211))</f>
        <v/>
      </c>
      <c r="F13" s="77" t="str">
        <f aca="false">IF($A13="","",D13+E13)</f>
        <v/>
      </c>
      <c r="G13" s="77" t="str">
        <f aca="false">IF($A13="","",D13*(1-'كشف المطالبة'!$D$5))</f>
        <v/>
      </c>
      <c r="H13" s="77" t="str">
        <f aca="false">IF($A13="","",E13*(1-'كشف المطالبة'!$D$6))</f>
        <v/>
      </c>
      <c r="I13" s="77" t="str">
        <f aca="false">IF($A13="","",G13+H13)</f>
        <v/>
      </c>
      <c r="J13" s="78" t="str">
        <f aca="false">IF($A13="","",0)</f>
        <v/>
      </c>
      <c r="K13" s="77" t="str">
        <f aca="false">IF($A13="","",F13*J13+INDEX(BAHARY!$N$2:$N$901,211))</f>
        <v/>
      </c>
      <c r="L13" s="79" t="str">
        <f aca="false">IF($A13="","",I13-K13)</f>
        <v/>
      </c>
    </row>
    <row r="14" customFormat="false" ht="15" hidden="false" customHeight="true" outlineLevel="0" collapsed="false">
      <c r="A14" s="75" t="str">
        <f aca="false">IF(212&lt;=Check!$C$4,INDEX(BAHARY!$A$2:$A$901,212),"")</f>
        <v/>
      </c>
      <c r="B14" s="76" t="str">
        <f aca="false">IF($A14="","",INDEX(BAHARY!$B$2:$B$901,212))</f>
        <v/>
      </c>
      <c r="C14" s="76" t="str">
        <f aca="false">IF($A14="","",INDEX(BAHARY!$C$2:$C$901,212))</f>
        <v/>
      </c>
      <c r="D14" s="77" t="str">
        <f aca="false">IF($A14="","",INDEX(BAHARY!$H$2:$H$901,212))</f>
        <v/>
      </c>
      <c r="E14" s="77" t="str">
        <f aca="false">IF($A14="","",INDEX(BAHARY!$E$2:$E$901,212))</f>
        <v/>
      </c>
      <c r="F14" s="77" t="str">
        <f aca="false">IF($A14="","",D14+E14)</f>
        <v/>
      </c>
      <c r="G14" s="77" t="str">
        <f aca="false">IF($A14="","",D14*(1-'كشف المطالبة'!$D$5))</f>
        <v/>
      </c>
      <c r="H14" s="77" t="str">
        <f aca="false">IF($A14="","",E14*(1-'كشف المطالبة'!$D$6))</f>
        <v/>
      </c>
      <c r="I14" s="77" t="str">
        <f aca="false">IF($A14="","",G14+H14)</f>
        <v/>
      </c>
      <c r="J14" s="78" t="str">
        <f aca="false">IF($A14="","",0)</f>
        <v/>
      </c>
      <c r="K14" s="77" t="str">
        <f aca="false">IF($A14="","",F14*J14+INDEX(BAHARY!$N$2:$N$901,212))</f>
        <v/>
      </c>
      <c r="L14" s="79" t="str">
        <f aca="false">IF($A14="","",I14-K14)</f>
        <v/>
      </c>
    </row>
    <row r="15" customFormat="false" ht="15" hidden="false" customHeight="true" outlineLevel="0" collapsed="false">
      <c r="A15" s="75" t="str">
        <f aca="false">IF(213&lt;=Check!$C$4,INDEX(BAHARY!$A$2:$A$901,213),"")</f>
        <v/>
      </c>
      <c r="B15" s="76" t="str">
        <f aca="false">IF($A15="","",INDEX(BAHARY!$B$2:$B$901,213))</f>
        <v/>
      </c>
      <c r="C15" s="76" t="str">
        <f aca="false">IF($A15="","",INDEX(BAHARY!$C$2:$C$901,213))</f>
        <v/>
      </c>
      <c r="D15" s="77" t="str">
        <f aca="false">IF($A15="","",INDEX(BAHARY!$H$2:$H$901,213))</f>
        <v/>
      </c>
      <c r="E15" s="77" t="str">
        <f aca="false">IF($A15="","",INDEX(BAHARY!$E$2:$E$901,213))</f>
        <v/>
      </c>
      <c r="F15" s="77" t="str">
        <f aca="false">IF($A15="","",D15+E15)</f>
        <v/>
      </c>
      <c r="G15" s="77" t="str">
        <f aca="false">IF($A15="","",D15*(1-'كشف المطالبة'!$D$5))</f>
        <v/>
      </c>
      <c r="H15" s="77" t="str">
        <f aca="false">IF($A15="","",E15*(1-'كشف المطالبة'!$D$6))</f>
        <v/>
      </c>
      <c r="I15" s="77" t="str">
        <f aca="false">IF($A15="","",G15+H15)</f>
        <v/>
      </c>
      <c r="J15" s="78" t="str">
        <f aca="false">IF($A15="","",0)</f>
        <v/>
      </c>
      <c r="K15" s="77" t="str">
        <f aca="false">IF($A15="","",F15*J15+INDEX(BAHARY!$N$2:$N$901,213))</f>
        <v/>
      </c>
      <c r="L15" s="79" t="str">
        <f aca="false">IF($A15="","",I15-K15)</f>
        <v/>
      </c>
    </row>
    <row r="16" customFormat="false" ht="15" hidden="false" customHeight="true" outlineLevel="0" collapsed="false">
      <c r="A16" s="75" t="str">
        <f aca="false">IF(214&lt;=Check!$C$4,INDEX(BAHARY!$A$2:$A$901,214),"")</f>
        <v/>
      </c>
      <c r="B16" s="76" t="str">
        <f aca="false">IF($A16="","",INDEX(BAHARY!$B$2:$B$901,214))</f>
        <v/>
      </c>
      <c r="C16" s="76" t="str">
        <f aca="false">IF($A16="","",INDEX(BAHARY!$C$2:$C$901,214))</f>
        <v/>
      </c>
      <c r="D16" s="77" t="str">
        <f aca="false">IF($A16="","",INDEX(BAHARY!$H$2:$H$901,214))</f>
        <v/>
      </c>
      <c r="E16" s="77" t="str">
        <f aca="false">IF($A16="","",INDEX(BAHARY!$E$2:$E$901,214))</f>
        <v/>
      </c>
      <c r="F16" s="77" t="str">
        <f aca="false">IF($A16="","",D16+E16)</f>
        <v/>
      </c>
      <c r="G16" s="77" t="str">
        <f aca="false">IF($A16="","",D16*(1-'كشف المطالبة'!$D$5))</f>
        <v/>
      </c>
      <c r="H16" s="77" t="str">
        <f aca="false">IF($A16="","",E16*(1-'كشف المطالبة'!$D$6))</f>
        <v/>
      </c>
      <c r="I16" s="77" t="str">
        <f aca="false">IF($A16="","",G16+H16)</f>
        <v/>
      </c>
      <c r="J16" s="78" t="str">
        <f aca="false">IF($A16="","",0)</f>
        <v/>
      </c>
      <c r="K16" s="77" t="str">
        <f aca="false">IF($A16="","",F16*J16+INDEX(BAHARY!$N$2:$N$901,214))</f>
        <v/>
      </c>
      <c r="L16" s="79" t="str">
        <f aca="false">IF($A16="","",I16-K16)</f>
        <v/>
      </c>
    </row>
    <row r="17" customFormat="false" ht="15" hidden="false" customHeight="true" outlineLevel="0" collapsed="false">
      <c r="A17" s="75" t="str">
        <f aca="false">IF(215&lt;=Check!$C$4,INDEX(BAHARY!$A$2:$A$901,215),"")</f>
        <v/>
      </c>
      <c r="B17" s="76" t="str">
        <f aca="false">IF($A17="","",INDEX(BAHARY!$B$2:$B$901,215))</f>
        <v/>
      </c>
      <c r="C17" s="76" t="str">
        <f aca="false">IF($A17="","",INDEX(BAHARY!$C$2:$C$901,215))</f>
        <v/>
      </c>
      <c r="D17" s="77" t="str">
        <f aca="false">IF($A17="","",INDEX(BAHARY!$H$2:$H$901,215))</f>
        <v/>
      </c>
      <c r="E17" s="77" t="str">
        <f aca="false">IF($A17="","",INDEX(BAHARY!$E$2:$E$901,215))</f>
        <v/>
      </c>
      <c r="F17" s="77" t="str">
        <f aca="false">IF($A17="","",D17+E17)</f>
        <v/>
      </c>
      <c r="G17" s="77" t="str">
        <f aca="false">IF($A17="","",D17*(1-'كشف المطالبة'!$D$5))</f>
        <v/>
      </c>
      <c r="H17" s="77" t="str">
        <f aca="false">IF($A17="","",E17*(1-'كشف المطالبة'!$D$6))</f>
        <v/>
      </c>
      <c r="I17" s="77" t="str">
        <f aca="false">IF($A17="","",G17+H17)</f>
        <v/>
      </c>
      <c r="J17" s="78" t="str">
        <f aca="false">IF($A17="","",0)</f>
        <v/>
      </c>
      <c r="K17" s="77" t="str">
        <f aca="false">IF($A17="","",F17*J17+INDEX(BAHARY!$N$2:$N$901,215))</f>
        <v/>
      </c>
      <c r="L17" s="79" t="str">
        <f aca="false">IF($A17="","",I17-K17)</f>
        <v/>
      </c>
    </row>
    <row r="18" customFormat="false" ht="15" hidden="false" customHeight="true" outlineLevel="0" collapsed="false">
      <c r="A18" s="75" t="str">
        <f aca="false">IF(216&lt;=Check!$C$4,INDEX(BAHARY!$A$2:$A$901,216),"")</f>
        <v/>
      </c>
      <c r="B18" s="80" t="str">
        <f aca="false">IF($A18="","",INDEX(BAHARY!$B$2:$B$901,216))</f>
        <v/>
      </c>
      <c r="C18" s="76" t="str">
        <f aca="false">IF($A18="","",INDEX(BAHARY!$C$2:$C$901,216))</f>
        <v/>
      </c>
      <c r="D18" s="77" t="str">
        <f aca="false">IF($A18="","",INDEX(BAHARY!$H$2:$H$901,216))</f>
        <v/>
      </c>
      <c r="E18" s="77" t="str">
        <f aca="false">IF($A18="","",INDEX(BAHARY!$E$2:$E$901,216))</f>
        <v/>
      </c>
      <c r="F18" s="77" t="str">
        <f aca="false">IF($A18="","",D18+E18)</f>
        <v/>
      </c>
      <c r="G18" s="77" t="str">
        <f aca="false">IF($A18="","",D18*(1-'كشف المطالبة'!$D$5))</f>
        <v/>
      </c>
      <c r="H18" s="77" t="str">
        <f aca="false">IF($A18="","",E18*(1-'كشف المطالبة'!$D$6))</f>
        <v/>
      </c>
      <c r="I18" s="77" t="str">
        <f aca="false">IF($A18="","",G18+H18)</f>
        <v/>
      </c>
      <c r="J18" s="78" t="str">
        <f aca="false">IF($A18="","",0)</f>
        <v/>
      </c>
      <c r="K18" s="77" t="str">
        <f aca="false">IF($A18="","",F18*J18+INDEX(BAHARY!$N$2:$N$901,216))</f>
        <v/>
      </c>
      <c r="L18" s="79" t="str">
        <f aca="false">IF($A18="","",I18-K18)</f>
        <v/>
      </c>
    </row>
    <row r="19" customFormat="false" ht="15" hidden="false" customHeight="true" outlineLevel="0" collapsed="false">
      <c r="A19" s="75" t="str">
        <f aca="false">IF(217&lt;=Check!$C$4,INDEX(BAHARY!$A$2:$A$901,217),"")</f>
        <v/>
      </c>
      <c r="B19" s="76" t="str">
        <f aca="false">IF($A19="","",INDEX(BAHARY!$B$2:$B$901,217))</f>
        <v/>
      </c>
      <c r="C19" s="76" t="str">
        <f aca="false">IF($A19="","",INDEX(BAHARY!$C$2:$C$901,217))</f>
        <v/>
      </c>
      <c r="D19" s="77" t="str">
        <f aca="false">IF($A19="","",INDEX(BAHARY!$H$2:$H$901,217))</f>
        <v/>
      </c>
      <c r="E19" s="77" t="str">
        <f aca="false">IF($A19="","",INDEX(BAHARY!$E$2:$E$901,217))</f>
        <v/>
      </c>
      <c r="F19" s="77" t="str">
        <f aca="false">IF($A19="","",D19+E19)</f>
        <v/>
      </c>
      <c r="G19" s="77" t="str">
        <f aca="false">IF($A19="","",D19*(1-'كشف المطالبة'!$D$5))</f>
        <v/>
      </c>
      <c r="H19" s="77" t="str">
        <f aca="false">IF($A19="","",E19*(1-'كشف المطالبة'!$D$6))</f>
        <v/>
      </c>
      <c r="I19" s="77" t="str">
        <f aca="false">IF($A19="","",G19+H19)</f>
        <v/>
      </c>
      <c r="J19" s="78" t="str">
        <f aca="false">IF($A19="","",0)</f>
        <v/>
      </c>
      <c r="K19" s="77" t="str">
        <f aca="false">IF($A19="","",F19*J19+INDEX(BAHARY!$N$2:$N$901,217))</f>
        <v/>
      </c>
      <c r="L19" s="79" t="str">
        <f aca="false">IF($A19="","",I19-K19)</f>
        <v/>
      </c>
    </row>
    <row r="20" customFormat="false" ht="15" hidden="false" customHeight="true" outlineLevel="0" collapsed="false">
      <c r="A20" s="75" t="str">
        <f aca="false">IF(218&lt;=Check!$C$4,INDEX(BAHARY!$A$2:$A$901,218),"")</f>
        <v/>
      </c>
      <c r="B20" s="76" t="str">
        <f aca="false">IF($A20="","",INDEX(BAHARY!$B$2:$B$901,218))</f>
        <v/>
      </c>
      <c r="C20" s="76" t="str">
        <f aca="false">IF($A20="","",INDEX(BAHARY!$C$2:$C$901,218))</f>
        <v/>
      </c>
      <c r="D20" s="77" t="str">
        <f aca="false">IF($A20="","",INDEX(BAHARY!$H$2:$H$901,218))</f>
        <v/>
      </c>
      <c r="E20" s="77" t="str">
        <f aca="false">IF($A20="","",INDEX(BAHARY!$E$2:$E$901,218))</f>
        <v/>
      </c>
      <c r="F20" s="77" t="str">
        <f aca="false">IF($A20="","",D20+E20)</f>
        <v/>
      </c>
      <c r="G20" s="77" t="str">
        <f aca="false">IF($A20="","",D20*(1-'كشف المطالبة'!$D$5))</f>
        <v/>
      </c>
      <c r="H20" s="77" t="str">
        <f aca="false">IF($A20="","",E20*(1-'كشف المطالبة'!$D$6))</f>
        <v/>
      </c>
      <c r="I20" s="77" t="str">
        <f aca="false">IF($A20="","",G20+H20)</f>
        <v/>
      </c>
      <c r="J20" s="78" t="str">
        <f aca="false">IF($A20="","",0)</f>
        <v/>
      </c>
      <c r="K20" s="77" t="str">
        <f aca="false">IF($A20="","",F20*J20+INDEX(BAHARY!$N$2:$N$901,218))</f>
        <v/>
      </c>
      <c r="L20" s="79" t="str">
        <f aca="false">IF($A20="","",I20-K20)</f>
        <v/>
      </c>
    </row>
    <row r="21" customFormat="false" ht="15" hidden="false" customHeight="true" outlineLevel="0" collapsed="false">
      <c r="A21" s="75" t="str">
        <f aca="false">IF(219&lt;=Check!$C$4,INDEX(BAHARY!$A$2:$A$901,219),"")</f>
        <v/>
      </c>
      <c r="B21" s="76" t="str">
        <f aca="false">IF($A21="","",INDEX(BAHARY!$B$2:$B$901,219))</f>
        <v/>
      </c>
      <c r="C21" s="76" t="str">
        <f aca="false">IF($A21="","",INDEX(BAHARY!$C$2:$C$901,219))</f>
        <v/>
      </c>
      <c r="D21" s="77" t="str">
        <f aca="false">IF($A21="","",INDEX(BAHARY!$H$2:$H$901,219))</f>
        <v/>
      </c>
      <c r="E21" s="77" t="str">
        <f aca="false">IF($A21="","",INDEX(BAHARY!$E$2:$E$901,219))</f>
        <v/>
      </c>
      <c r="F21" s="77" t="str">
        <f aca="false">IF($A21="","",D21+E21)</f>
        <v/>
      </c>
      <c r="G21" s="77" t="str">
        <f aca="false">IF($A21="","",D21*(1-'كشف المطالبة'!$D$5))</f>
        <v/>
      </c>
      <c r="H21" s="77" t="str">
        <f aca="false">IF($A21="","",E21*(1-'كشف المطالبة'!$D$6))</f>
        <v/>
      </c>
      <c r="I21" s="77" t="str">
        <f aca="false">IF($A21="","",G21+H21)</f>
        <v/>
      </c>
      <c r="J21" s="78" t="str">
        <f aca="false">IF($A21="","",0)</f>
        <v/>
      </c>
      <c r="K21" s="77" t="str">
        <f aca="false">IF($A21="","",F21*J21+INDEX(BAHARY!$N$2:$N$901,219))</f>
        <v/>
      </c>
      <c r="L21" s="79" t="str">
        <f aca="false">IF($A21="","",I21-K21)</f>
        <v/>
      </c>
    </row>
    <row r="22" customFormat="false" ht="15" hidden="false" customHeight="true" outlineLevel="0" collapsed="false">
      <c r="A22" s="75" t="str">
        <f aca="false">IF(220&lt;=Check!$C$4,INDEX(BAHARY!$A$2:$A$901,220),"")</f>
        <v/>
      </c>
      <c r="B22" s="76" t="str">
        <f aca="false">IF($A22="","",INDEX(BAHARY!$B$2:$B$901,220))</f>
        <v/>
      </c>
      <c r="C22" s="76" t="str">
        <f aca="false">IF($A22="","",INDEX(BAHARY!$C$2:$C$901,220))</f>
        <v/>
      </c>
      <c r="D22" s="77" t="str">
        <f aca="false">IF($A22="","",INDEX(BAHARY!$H$2:$H$901,220))</f>
        <v/>
      </c>
      <c r="E22" s="77" t="str">
        <f aca="false">IF($A22="","",INDEX(BAHARY!$E$2:$E$901,220))</f>
        <v/>
      </c>
      <c r="F22" s="77" t="str">
        <f aca="false">IF($A22="","",D22+E22)</f>
        <v/>
      </c>
      <c r="G22" s="77" t="str">
        <f aca="false">IF($A22="","",D22*(1-'كشف المطالبة'!$D$5))</f>
        <v/>
      </c>
      <c r="H22" s="77" t="str">
        <f aca="false">IF($A22="","",E22*(1-'كشف المطالبة'!$D$6))</f>
        <v/>
      </c>
      <c r="I22" s="77" t="str">
        <f aca="false">IF($A22="","",G22+H22)</f>
        <v/>
      </c>
      <c r="J22" s="78" t="str">
        <f aca="false">IF($A22="","",0)</f>
        <v/>
      </c>
      <c r="K22" s="77" t="str">
        <f aca="false">IF($A22="","",F22*J22+INDEX(BAHARY!$N$2:$N$901,220))</f>
        <v/>
      </c>
      <c r="L22" s="79" t="str">
        <f aca="false">IF($A22="","",I22-K22)</f>
        <v/>
      </c>
    </row>
    <row r="23" customFormat="false" ht="15" hidden="false" customHeight="true" outlineLevel="0" collapsed="false">
      <c r="A23" s="75" t="str">
        <f aca="false">IF(221&lt;=Check!$C$4,INDEX(BAHARY!$A$2:$A$901,221),"")</f>
        <v/>
      </c>
      <c r="B23" s="76" t="str">
        <f aca="false">IF($A23="","",INDEX(BAHARY!$B$2:$B$901,221))</f>
        <v/>
      </c>
      <c r="C23" s="76" t="str">
        <f aca="false">IF($A23="","",INDEX(BAHARY!$C$2:$C$901,221))</f>
        <v/>
      </c>
      <c r="D23" s="77" t="str">
        <f aca="false">IF($A23="","",INDEX(BAHARY!$H$2:$H$901,221))</f>
        <v/>
      </c>
      <c r="E23" s="77" t="str">
        <f aca="false">IF($A23="","",INDEX(BAHARY!$E$2:$E$901,221))</f>
        <v/>
      </c>
      <c r="F23" s="77" t="str">
        <f aca="false">IF($A23="","",D23+E23)</f>
        <v/>
      </c>
      <c r="G23" s="77" t="str">
        <f aca="false">IF($A23="","",D23*(1-'كشف المطالبة'!$D$5))</f>
        <v/>
      </c>
      <c r="H23" s="77" t="str">
        <f aca="false">IF($A23="","",E23*(1-'كشف المطالبة'!$D$6))</f>
        <v/>
      </c>
      <c r="I23" s="77" t="str">
        <f aca="false">IF($A23="","",G23+H23)</f>
        <v/>
      </c>
      <c r="J23" s="78" t="str">
        <f aca="false">IF($A23="","",0)</f>
        <v/>
      </c>
      <c r="K23" s="77" t="str">
        <f aca="false">IF($A23="","",F23*J23+INDEX(BAHARY!$N$2:$N$901,221))</f>
        <v/>
      </c>
      <c r="L23" s="79" t="str">
        <f aca="false">IF($A23="","",I23-K23)</f>
        <v/>
      </c>
    </row>
    <row r="24" customFormat="false" ht="15" hidden="false" customHeight="true" outlineLevel="0" collapsed="false">
      <c r="A24" s="75" t="str">
        <f aca="false">IF(222&lt;=Check!$C$4,INDEX(BAHARY!$A$2:$A$901,222),"")</f>
        <v/>
      </c>
      <c r="B24" s="76" t="str">
        <f aca="false">IF($A24="","",INDEX(BAHARY!$B$2:$B$901,222))</f>
        <v/>
      </c>
      <c r="C24" s="76" t="str">
        <f aca="false">IF($A24="","",INDEX(BAHARY!$C$2:$C$901,222))</f>
        <v/>
      </c>
      <c r="D24" s="77" t="str">
        <f aca="false">IF($A24="","",INDEX(BAHARY!$H$2:$H$901,222))</f>
        <v/>
      </c>
      <c r="E24" s="77" t="str">
        <f aca="false">IF($A24="","",INDEX(BAHARY!$E$2:$E$901,222))</f>
        <v/>
      </c>
      <c r="F24" s="77" t="str">
        <f aca="false">IF($A24="","",D24+E24)</f>
        <v/>
      </c>
      <c r="G24" s="77" t="str">
        <f aca="false">IF($A24="","",D24*(1-'كشف المطالبة'!$D$5))</f>
        <v/>
      </c>
      <c r="H24" s="77" t="str">
        <f aca="false">IF($A24="","",E24*(1-'كشف المطالبة'!$D$6))</f>
        <v/>
      </c>
      <c r="I24" s="77" t="str">
        <f aca="false">IF($A24="","",G24+H24)</f>
        <v/>
      </c>
      <c r="J24" s="78" t="str">
        <f aca="false">IF($A24="","",0)</f>
        <v/>
      </c>
      <c r="K24" s="77" t="str">
        <f aca="false">IF($A24="","",F24*J24+INDEX(BAHARY!$N$2:$N$901,222))</f>
        <v/>
      </c>
      <c r="L24" s="79" t="str">
        <f aca="false">IF($A24="","",I24-K24)</f>
        <v/>
      </c>
    </row>
    <row r="25" customFormat="false" ht="15" hidden="false" customHeight="true" outlineLevel="0" collapsed="false">
      <c r="A25" s="75" t="str">
        <f aca="false">IF(223&lt;=Check!$C$4,INDEX(BAHARY!$A$2:$A$901,223),"")</f>
        <v/>
      </c>
      <c r="B25" s="76" t="str">
        <f aca="false">IF($A25="","",INDEX(BAHARY!$B$2:$B$901,223))</f>
        <v/>
      </c>
      <c r="C25" s="76" t="str">
        <f aca="false">IF($A25="","",INDEX(BAHARY!$C$2:$C$901,223))</f>
        <v/>
      </c>
      <c r="D25" s="77" t="str">
        <f aca="false">IF($A25="","",INDEX(BAHARY!$H$2:$H$901,223))</f>
        <v/>
      </c>
      <c r="E25" s="77" t="str">
        <f aca="false">IF($A25="","",INDEX(BAHARY!$E$2:$E$901,223))</f>
        <v/>
      </c>
      <c r="F25" s="77" t="str">
        <f aca="false">IF($A25="","",D25+E25)</f>
        <v/>
      </c>
      <c r="G25" s="77" t="str">
        <f aca="false">IF($A25="","",D25*(1-'كشف المطالبة'!$D$5))</f>
        <v/>
      </c>
      <c r="H25" s="77" t="str">
        <f aca="false">IF($A25="","",E25*(1-'كشف المطالبة'!$D$6))</f>
        <v/>
      </c>
      <c r="I25" s="77" t="str">
        <f aca="false">IF($A25="","",G25+H25)</f>
        <v/>
      </c>
      <c r="J25" s="78" t="str">
        <f aca="false">IF($A25="","",0)</f>
        <v/>
      </c>
      <c r="K25" s="77" t="str">
        <f aca="false">IF($A25="","",F25*J25+INDEX(BAHARY!$N$2:$N$901,223))</f>
        <v/>
      </c>
      <c r="L25" s="79" t="str">
        <f aca="false">IF($A25="","",I25-K25)</f>
        <v/>
      </c>
    </row>
    <row r="26" customFormat="false" ht="15" hidden="false" customHeight="true" outlineLevel="0" collapsed="false">
      <c r="A26" s="75" t="str">
        <f aca="false">IF(224&lt;=Check!$C$4,INDEX(BAHARY!$A$2:$A$901,224),"")</f>
        <v/>
      </c>
      <c r="B26" s="76" t="str">
        <f aca="false">IF($A26="","",INDEX(BAHARY!$B$2:$B$901,224))</f>
        <v/>
      </c>
      <c r="C26" s="76" t="str">
        <f aca="false">IF($A26="","",INDEX(BAHARY!$C$2:$C$901,224))</f>
        <v/>
      </c>
      <c r="D26" s="77" t="str">
        <f aca="false">IF($A26="","",INDEX(BAHARY!$H$2:$H$901,224))</f>
        <v/>
      </c>
      <c r="E26" s="77" t="str">
        <f aca="false">IF($A26="","",INDEX(BAHARY!$E$2:$E$901,224))</f>
        <v/>
      </c>
      <c r="F26" s="77" t="str">
        <f aca="false">IF($A26="","",D26+E26)</f>
        <v/>
      </c>
      <c r="G26" s="77" t="str">
        <f aca="false">IF($A26="","",D26*(1-'كشف المطالبة'!$D$5))</f>
        <v/>
      </c>
      <c r="H26" s="77" t="str">
        <f aca="false">IF($A26="","",E26*(1-'كشف المطالبة'!$D$6))</f>
        <v/>
      </c>
      <c r="I26" s="77" t="str">
        <f aca="false">IF($A26="","",G26+H26)</f>
        <v/>
      </c>
      <c r="J26" s="78" t="str">
        <f aca="false">IF($A26="","",0)</f>
        <v/>
      </c>
      <c r="K26" s="77" t="str">
        <f aca="false">IF($A26="","",F26*J26+INDEX(BAHARY!$N$2:$N$901,224))</f>
        <v/>
      </c>
      <c r="L26" s="79" t="str">
        <f aca="false">IF($A26="","",I26-K26)</f>
        <v/>
      </c>
    </row>
    <row r="27" customFormat="false" ht="15" hidden="false" customHeight="true" outlineLevel="0" collapsed="false">
      <c r="A27" s="75" t="str">
        <f aca="false">IF(225&lt;=Check!$C$4,INDEX(BAHARY!$A$2:$A$901,225),"")</f>
        <v/>
      </c>
      <c r="B27" s="76" t="str">
        <f aca="false">IF($A27="","",INDEX(BAHARY!$B$2:$B$901,225))</f>
        <v/>
      </c>
      <c r="C27" s="76" t="str">
        <f aca="false">IF($A27="","",INDEX(BAHARY!$C$2:$C$901,225))</f>
        <v/>
      </c>
      <c r="D27" s="77" t="str">
        <f aca="false">IF($A27="","",INDEX(BAHARY!$H$2:$H$901,225))</f>
        <v/>
      </c>
      <c r="E27" s="77" t="str">
        <f aca="false">IF($A27="","",INDEX(BAHARY!$E$2:$E$901,225))</f>
        <v/>
      </c>
      <c r="F27" s="77" t="str">
        <f aca="false">IF($A27="","",D27+E27)</f>
        <v/>
      </c>
      <c r="G27" s="77" t="str">
        <f aca="false">IF($A27="","",D27*(1-'كشف المطالبة'!$D$5))</f>
        <v/>
      </c>
      <c r="H27" s="77" t="str">
        <f aca="false">IF($A27="","",E27*(1-'كشف المطالبة'!$D$6))</f>
        <v/>
      </c>
      <c r="I27" s="77" t="str">
        <f aca="false">IF($A27="","",G27+H27)</f>
        <v/>
      </c>
      <c r="J27" s="78" t="str">
        <f aca="false">IF($A27="","",0)</f>
        <v/>
      </c>
      <c r="K27" s="77" t="str">
        <f aca="false">IF($A27="","",F27*J27+INDEX(BAHARY!$N$2:$N$901,225))</f>
        <v/>
      </c>
      <c r="L27" s="79" t="str">
        <f aca="false">IF($A27="","",I27-K27)</f>
        <v/>
      </c>
    </row>
    <row r="28" customFormat="false" ht="15" hidden="false" customHeight="true" outlineLevel="0" collapsed="false">
      <c r="A28" s="75" t="str">
        <f aca="false">IF(226&lt;=Check!$C$4,INDEX(BAHARY!$A$2:$A$901,226),"")</f>
        <v/>
      </c>
      <c r="B28" s="76" t="str">
        <f aca="false">IF($A28="","",INDEX(BAHARY!$B$2:$B$901,226))</f>
        <v/>
      </c>
      <c r="C28" s="76" t="str">
        <f aca="false">IF($A28="","",INDEX(BAHARY!$C$2:$C$901,226))</f>
        <v/>
      </c>
      <c r="D28" s="77" t="str">
        <f aca="false">IF($A28="","",INDEX(BAHARY!$H$2:$H$901,226))</f>
        <v/>
      </c>
      <c r="E28" s="77" t="str">
        <f aca="false">IF($A28="","",INDEX(BAHARY!$E$2:$E$901,226))</f>
        <v/>
      </c>
      <c r="F28" s="77" t="str">
        <f aca="false">IF($A28="","",D28+E28)</f>
        <v/>
      </c>
      <c r="G28" s="77" t="str">
        <f aca="false">IF($A28="","",D28*(1-'كشف المطالبة'!$D$5))</f>
        <v/>
      </c>
      <c r="H28" s="77" t="str">
        <f aca="false">IF($A28="","",E28*(1-'كشف المطالبة'!$D$6))</f>
        <v/>
      </c>
      <c r="I28" s="77" t="str">
        <f aca="false">IF($A28="","",G28+H28)</f>
        <v/>
      </c>
      <c r="J28" s="78" t="str">
        <f aca="false">IF($A28="","",0)</f>
        <v/>
      </c>
      <c r="K28" s="77" t="str">
        <f aca="false">IF($A28="","",F28*J28+INDEX(BAHARY!$N$2:$N$901,226))</f>
        <v/>
      </c>
      <c r="L28" s="79" t="str">
        <f aca="false">IF($A28="","",I28-K28)</f>
        <v/>
      </c>
    </row>
    <row r="29" customFormat="false" ht="15" hidden="false" customHeight="true" outlineLevel="0" collapsed="false">
      <c r="A29" s="75" t="str">
        <f aca="false">IF(227&lt;=Check!$C$4,INDEX(BAHARY!$A$2:$A$901,227),"")</f>
        <v/>
      </c>
      <c r="B29" s="76" t="str">
        <f aca="false">IF($A29="","",INDEX(BAHARY!$B$2:$B$901,227))</f>
        <v/>
      </c>
      <c r="C29" s="76" t="str">
        <f aca="false">IF($A29="","",INDEX(BAHARY!$C$2:$C$901,227))</f>
        <v/>
      </c>
      <c r="D29" s="77" t="str">
        <f aca="false">IF($A29="","",INDEX(BAHARY!$H$2:$H$901,227))</f>
        <v/>
      </c>
      <c r="E29" s="77" t="str">
        <f aca="false">IF($A29="","",INDEX(BAHARY!$E$2:$E$901,227))</f>
        <v/>
      </c>
      <c r="F29" s="77" t="str">
        <f aca="false">IF($A29="","",D29+E29)</f>
        <v/>
      </c>
      <c r="G29" s="77" t="str">
        <f aca="false">IF($A29="","",D29*(1-'كشف المطالبة'!$D$5))</f>
        <v/>
      </c>
      <c r="H29" s="77" t="str">
        <f aca="false">IF($A29="","",E29*(1-'كشف المطالبة'!$D$6))</f>
        <v/>
      </c>
      <c r="I29" s="77" t="str">
        <f aca="false">IF($A29="","",G29+H29)</f>
        <v/>
      </c>
      <c r="J29" s="78" t="str">
        <f aca="false">IF($A29="","",0)</f>
        <v/>
      </c>
      <c r="K29" s="77" t="str">
        <f aca="false">IF($A29="","",F29*J29+INDEX(BAHARY!$N$2:$N$901,227))</f>
        <v/>
      </c>
      <c r="L29" s="79" t="str">
        <f aca="false">IF($A29="","",I29-K29)</f>
        <v/>
      </c>
    </row>
    <row r="30" customFormat="false" ht="15" hidden="false" customHeight="true" outlineLevel="0" collapsed="false">
      <c r="A30" s="75" t="str">
        <f aca="false">IF(228&lt;=Check!$C$4,INDEX(BAHARY!$A$2:$A$901,228),"")</f>
        <v/>
      </c>
      <c r="B30" s="76" t="str">
        <f aca="false">IF($A30="","",INDEX(BAHARY!$B$2:$B$901,228))</f>
        <v/>
      </c>
      <c r="C30" s="76" t="str">
        <f aca="false">IF($A30="","",INDEX(BAHARY!$C$2:$C$901,228))</f>
        <v/>
      </c>
      <c r="D30" s="77" t="str">
        <f aca="false">IF($A30="","",INDEX(BAHARY!$H$2:$H$901,228))</f>
        <v/>
      </c>
      <c r="E30" s="77" t="str">
        <f aca="false">IF($A30="","",INDEX(BAHARY!$E$2:$E$901,228))</f>
        <v/>
      </c>
      <c r="F30" s="77" t="str">
        <f aca="false">IF($A30="","",D30+E30)</f>
        <v/>
      </c>
      <c r="G30" s="77" t="str">
        <f aca="false">IF($A30="","",D30*(1-'كشف المطالبة'!$D$5))</f>
        <v/>
      </c>
      <c r="H30" s="77" t="str">
        <f aca="false">IF($A30="","",E30*(1-'كشف المطالبة'!$D$6))</f>
        <v/>
      </c>
      <c r="I30" s="77" t="str">
        <f aca="false">IF($A30="","",G30+H30)</f>
        <v/>
      </c>
      <c r="J30" s="78" t="str">
        <f aca="false">IF($A30="","",0)</f>
        <v/>
      </c>
      <c r="K30" s="77" t="str">
        <f aca="false">IF($A30="","",F30*J30+INDEX(BAHARY!$N$2:$N$901,228))</f>
        <v/>
      </c>
      <c r="L30" s="79" t="str">
        <f aca="false">IF($A30="","",I30-K30)</f>
        <v/>
      </c>
    </row>
    <row r="31" customFormat="false" ht="15" hidden="false" customHeight="true" outlineLevel="0" collapsed="false">
      <c r="A31" s="75" t="str">
        <f aca="false">IF(229&lt;=Check!$C$4,INDEX(BAHARY!$A$2:$A$901,229),"")</f>
        <v/>
      </c>
      <c r="B31" s="76" t="str">
        <f aca="false">IF($A31="","",INDEX(BAHARY!$B$2:$B$901,229))</f>
        <v/>
      </c>
      <c r="C31" s="76" t="str">
        <f aca="false">IF($A31="","",INDEX(BAHARY!$C$2:$C$901,229))</f>
        <v/>
      </c>
      <c r="D31" s="77" t="str">
        <f aca="false">IF($A31="","",INDEX(BAHARY!$H$2:$H$901,229))</f>
        <v/>
      </c>
      <c r="E31" s="77" t="str">
        <f aca="false">IF($A31="","",INDEX(BAHARY!$E$2:$E$901,229))</f>
        <v/>
      </c>
      <c r="F31" s="77" t="str">
        <f aca="false">IF($A31="","",D31+E31)</f>
        <v/>
      </c>
      <c r="G31" s="77" t="str">
        <f aca="false">IF($A31="","",D31*(1-'كشف المطالبة'!$D$5))</f>
        <v/>
      </c>
      <c r="H31" s="77" t="str">
        <f aca="false">IF($A31="","",E31*(1-'كشف المطالبة'!$D$6))</f>
        <v/>
      </c>
      <c r="I31" s="77" t="str">
        <f aca="false">IF($A31="","",G31+H31)</f>
        <v/>
      </c>
      <c r="J31" s="78" t="str">
        <f aca="false">IF($A31="","",0)</f>
        <v/>
      </c>
      <c r="K31" s="77" t="str">
        <f aca="false">IF($A31="","",F31*J31+INDEX(BAHARY!$N$2:$N$901,229))</f>
        <v/>
      </c>
      <c r="L31" s="79" t="str">
        <f aca="false">IF($A31="","",I31-K31)</f>
        <v/>
      </c>
    </row>
    <row r="32" customFormat="false" ht="15" hidden="false" customHeight="true" outlineLevel="0" collapsed="false">
      <c r="A32" s="75" t="str">
        <f aca="false">IF(230&lt;=Check!$C$4,INDEX(BAHARY!$A$2:$A$901,230),"")</f>
        <v/>
      </c>
      <c r="B32" s="76" t="str">
        <f aca="false">IF($A32="","",INDEX(BAHARY!$B$2:$B$901,230))</f>
        <v/>
      </c>
      <c r="C32" s="76" t="str">
        <f aca="false">IF($A32="","",INDEX(BAHARY!$C$2:$C$901,230))</f>
        <v/>
      </c>
      <c r="D32" s="77" t="str">
        <f aca="false">IF($A32="","",INDEX(BAHARY!$H$2:$H$901,230))</f>
        <v/>
      </c>
      <c r="E32" s="77" t="str">
        <f aca="false">IF($A32="","",INDEX(BAHARY!$E$2:$E$901,230))</f>
        <v/>
      </c>
      <c r="F32" s="77" t="str">
        <f aca="false">IF($A32="","",D32+E32)</f>
        <v/>
      </c>
      <c r="G32" s="77" t="str">
        <f aca="false">IF($A32="","",D32*(1-'كشف المطالبة'!$D$5))</f>
        <v/>
      </c>
      <c r="H32" s="77" t="str">
        <f aca="false">IF($A32="","",E32*(1-'كشف المطالبة'!$D$6))</f>
        <v/>
      </c>
      <c r="I32" s="77" t="str">
        <f aca="false">IF($A32="","",G32+H32)</f>
        <v/>
      </c>
      <c r="J32" s="78" t="str">
        <f aca="false">IF($A32="","",0)</f>
        <v/>
      </c>
      <c r="K32" s="77" t="str">
        <f aca="false">IF($A32="","",F32*J32+INDEX(BAHARY!$N$2:$N$901,230))</f>
        <v/>
      </c>
      <c r="L32" s="79" t="str">
        <f aca="false">IF($A32="","",I32-K32)</f>
        <v/>
      </c>
    </row>
    <row r="33" customFormat="false" ht="15" hidden="false" customHeight="true" outlineLevel="0" collapsed="false">
      <c r="A33" s="75" t="str">
        <f aca="false">IF(231&lt;=Check!$C$4,INDEX(BAHARY!$A$2:$A$901,231),"")</f>
        <v/>
      </c>
      <c r="B33" s="76" t="str">
        <f aca="false">IF($A33="","",INDEX(BAHARY!$B$2:$B$901,231))</f>
        <v/>
      </c>
      <c r="C33" s="76" t="str">
        <f aca="false">IF($A33="","",INDEX(BAHARY!$C$2:$C$901,231))</f>
        <v/>
      </c>
      <c r="D33" s="77" t="str">
        <f aca="false">IF($A33="","",INDEX(BAHARY!$H$2:$H$901,231))</f>
        <v/>
      </c>
      <c r="E33" s="77" t="str">
        <f aca="false">IF($A33="","",INDEX(BAHARY!$E$2:$E$901,231))</f>
        <v/>
      </c>
      <c r="F33" s="77" t="str">
        <f aca="false">IF($A33="","",D33+E33)</f>
        <v/>
      </c>
      <c r="G33" s="77" t="str">
        <f aca="false">IF($A33="","",D33*(1-'كشف المطالبة'!$D$5))</f>
        <v/>
      </c>
      <c r="H33" s="77" t="str">
        <f aca="false">IF($A33="","",E33*(1-'كشف المطالبة'!$D$6))</f>
        <v/>
      </c>
      <c r="I33" s="77" t="str">
        <f aca="false">IF($A33="","",G33+H33)</f>
        <v/>
      </c>
      <c r="J33" s="78" t="str">
        <f aca="false">IF($A33="","",0)</f>
        <v/>
      </c>
      <c r="K33" s="77" t="str">
        <f aca="false">IF($A33="","",F33*J33+INDEX(BAHARY!$N$2:$N$901,231))</f>
        <v/>
      </c>
      <c r="L33" s="79" t="str">
        <f aca="false">IF($A33="","",I33-K33)</f>
        <v/>
      </c>
    </row>
    <row r="34" customFormat="false" ht="15" hidden="false" customHeight="true" outlineLevel="0" collapsed="false">
      <c r="A34" s="75" t="str">
        <f aca="false">IF(232&lt;=Check!$C$4,INDEX(BAHARY!$A$2:$A$901,232),"")</f>
        <v/>
      </c>
      <c r="B34" s="76" t="str">
        <f aca="false">IF($A34="","",INDEX(BAHARY!$B$2:$B$901,232))</f>
        <v/>
      </c>
      <c r="C34" s="76" t="str">
        <f aca="false">IF($A34="","",INDEX(BAHARY!$C$2:$C$901,232))</f>
        <v/>
      </c>
      <c r="D34" s="77" t="str">
        <f aca="false">IF($A34="","",INDEX(BAHARY!$H$2:$H$901,232))</f>
        <v/>
      </c>
      <c r="E34" s="77" t="str">
        <f aca="false">IF($A34="","",INDEX(BAHARY!$E$2:$E$901,232))</f>
        <v/>
      </c>
      <c r="F34" s="77" t="str">
        <f aca="false">IF($A34="","",D34+E34)</f>
        <v/>
      </c>
      <c r="G34" s="77" t="str">
        <f aca="false">IF($A34="","",D34*(1-'كشف المطالبة'!$D$5))</f>
        <v/>
      </c>
      <c r="H34" s="77" t="str">
        <f aca="false">IF($A34="","",E34*(1-'كشف المطالبة'!$D$6))</f>
        <v/>
      </c>
      <c r="I34" s="77" t="str">
        <f aca="false">IF($A34="","",G34+H34)</f>
        <v/>
      </c>
      <c r="J34" s="78" t="str">
        <f aca="false">IF($A34="","",0)</f>
        <v/>
      </c>
      <c r="K34" s="77" t="str">
        <f aca="false">IF($A34="","",F34*J34+INDEX(BAHARY!$N$2:$N$901,232))</f>
        <v/>
      </c>
      <c r="L34" s="79" t="str">
        <f aca="false">IF($A34="","",I34-K34)</f>
        <v/>
      </c>
    </row>
    <row r="35" customFormat="false" ht="15" hidden="false" customHeight="true" outlineLevel="0" collapsed="false">
      <c r="A35" s="75" t="str">
        <f aca="false">IF(233&lt;=Check!$C$4,INDEX(BAHARY!$A$2:$A$901,233),"")</f>
        <v/>
      </c>
      <c r="B35" s="76" t="str">
        <f aca="false">IF($A35="","",INDEX(BAHARY!$B$2:$B$901,233))</f>
        <v/>
      </c>
      <c r="C35" s="76" t="str">
        <f aca="false">IF($A35="","",INDEX(BAHARY!$C$2:$C$901,233))</f>
        <v/>
      </c>
      <c r="D35" s="77" t="str">
        <f aca="false">IF($A35="","",INDEX(BAHARY!$H$2:$H$901,233))</f>
        <v/>
      </c>
      <c r="E35" s="77" t="str">
        <f aca="false">IF($A35="","",INDEX(BAHARY!$E$2:$E$901,233))</f>
        <v/>
      </c>
      <c r="F35" s="77" t="str">
        <f aca="false">IF($A35="","",D35+E35)</f>
        <v/>
      </c>
      <c r="G35" s="77" t="str">
        <f aca="false">IF($A35="","",D35*(1-'كشف المطالبة'!$D$5))</f>
        <v/>
      </c>
      <c r="H35" s="77" t="str">
        <f aca="false">IF($A35="","",E35*(1-'كشف المطالبة'!$D$6))</f>
        <v/>
      </c>
      <c r="I35" s="77" t="str">
        <f aca="false">IF($A35="","",G35+H35)</f>
        <v/>
      </c>
      <c r="J35" s="78" t="str">
        <f aca="false">IF($A35="","",0)</f>
        <v/>
      </c>
      <c r="K35" s="77" t="str">
        <f aca="false">IF($A35="","",F35*J35+INDEX(BAHARY!$N$2:$N$901,233))</f>
        <v/>
      </c>
      <c r="L35" s="79" t="str">
        <f aca="false">IF($A35="","",I35-K35)</f>
        <v/>
      </c>
    </row>
    <row r="36" customFormat="false" ht="15" hidden="false" customHeight="true" outlineLevel="0" collapsed="false">
      <c r="A36" s="75" t="str">
        <f aca="false">IF(234&lt;=Check!$C$4,INDEX(BAHARY!$A$2:$A$901,234),"")</f>
        <v/>
      </c>
      <c r="B36" s="76" t="str">
        <f aca="false">IF($A36="","",INDEX(BAHARY!$B$2:$B$901,234))</f>
        <v/>
      </c>
      <c r="C36" s="76" t="str">
        <f aca="false">IF($A36="","",INDEX(BAHARY!$C$2:$C$901,234))</f>
        <v/>
      </c>
      <c r="D36" s="77" t="str">
        <f aca="false">IF($A36="","",INDEX(BAHARY!$H$2:$H$901,234))</f>
        <v/>
      </c>
      <c r="E36" s="77" t="str">
        <f aca="false">IF($A36="","",INDEX(BAHARY!$E$2:$E$901,234))</f>
        <v/>
      </c>
      <c r="F36" s="77" t="str">
        <f aca="false">IF($A36="","",D36+E36)</f>
        <v/>
      </c>
      <c r="G36" s="77" t="str">
        <f aca="false">IF($A36="","",D36*(1-'كشف المطالبة'!$D$5))</f>
        <v/>
      </c>
      <c r="H36" s="77" t="str">
        <f aca="false">IF($A36="","",E36*(1-'كشف المطالبة'!$D$6))</f>
        <v/>
      </c>
      <c r="I36" s="77" t="str">
        <f aca="false">IF($A36="","",G36+H36)</f>
        <v/>
      </c>
      <c r="J36" s="78" t="str">
        <f aca="false">IF($A36="","",0)</f>
        <v/>
      </c>
      <c r="K36" s="77" t="str">
        <f aca="false">IF($A36="","",F36*J36+INDEX(BAHARY!$N$2:$N$901,234))</f>
        <v/>
      </c>
      <c r="L36" s="79" t="str">
        <f aca="false">IF($A36="","",I36-K36)</f>
        <v/>
      </c>
    </row>
    <row r="37" customFormat="false" ht="15" hidden="false" customHeight="true" outlineLevel="0" collapsed="false">
      <c r="A37" s="75" t="str">
        <f aca="false">IF(235&lt;=Check!$C$4,INDEX(BAHARY!$A$2:$A$901,235),"")</f>
        <v/>
      </c>
      <c r="B37" s="76" t="str">
        <f aca="false">IF($A37="","",INDEX(BAHARY!$B$2:$B$901,235))</f>
        <v/>
      </c>
      <c r="C37" s="76" t="str">
        <f aca="false">IF($A37="","",INDEX(BAHARY!$C$2:$C$901,235))</f>
        <v/>
      </c>
      <c r="D37" s="77" t="str">
        <f aca="false">IF($A37="","",INDEX(BAHARY!$H$2:$H$901,235))</f>
        <v/>
      </c>
      <c r="E37" s="77" t="str">
        <f aca="false">IF($A37="","",INDEX(BAHARY!$E$2:$E$901,235))</f>
        <v/>
      </c>
      <c r="F37" s="77" t="str">
        <f aca="false">IF($A37="","",D37+E37)</f>
        <v/>
      </c>
      <c r="G37" s="77" t="str">
        <f aca="false">IF($A37="","",D37*(1-'كشف المطالبة'!$D$5))</f>
        <v/>
      </c>
      <c r="H37" s="77" t="str">
        <f aca="false">IF($A37="","",E37*(1-'كشف المطالبة'!$D$6))</f>
        <v/>
      </c>
      <c r="I37" s="77" t="str">
        <f aca="false">IF($A37="","",G37+H37)</f>
        <v/>
      </c>
      <c r="J37" s="78" t="str">
        <f aca="false">IF($A37="","",0)</f>
        <v/>
      </c>
      <c r="K37" s="77" t="str">
        <f aca="false">IF($A37="","",F37*J37+INDEX(BAHARY!$N$2:$N$901,235))</f>
        <v/>
      </c>
      <c r="L37" s="79" t="str">
        <f aca="false">IF($A37="","",I37-K37)</f>
        <v/>
      </c>
    </row>
    <row r="38" customFormat="false" ht="15" hidden="false" customHeight="true" outlineLevel="0" collapsed="false">
      <c r="A38" s="75" t="str">
        <f aca="false">IF(236&lt;=Check!$C$4,INDEX(BAHARY!$A$2:$A$901,236),"")</f>
        <v/>
      </c>
      <c r="B38" s="76" t="str">
        <f aca="false">IF($A38="","",INDEX(BAHARY!$B$2:$B$901,236))</f>
        <v/>
      </c>
      <c r="C38" s="76" t="str">
        <f aca="false">IF($A38="","",INDEX(BAHARY!$C$2:$C$901,236))</f>
        <v/>
      </c>
      <c r="D38" s="77" t="str">
        <f aca="false">IF($A38="","",INDEX(BAHARY!$H$2:$H$901,236))</f>
        <v/>
      </c>
      <c r="E38" s="77" t="str">
        <f aca="false">IF($A38="","",INDEX(BAHARY!$E$2:$E$901,236))</f>
        <v/>
      </c>
      <c r="F38" s="77" t="str">
        <f aca="false">IF($A38="","",D38+E38)</f>
        <v/>
      </c>
      <c r="G38" s="77" t="str">
        <f aca="false">IF($A38="","",D38*(1-'كشف المطالبة'!$D$5))</f>
        <v/>
      </c>
      <c r="H38" s="77" t="str">
        <f aca="false">IF($A38="","",E38*(1-'كشف المطالبة'!$D$6))</f>
        <v/>
      </c>
      <c r="I38" s="77" t="str">
        <f aca="false">IF($A38="","",G38+H38)</f>
        <v/>
      </c>
      <c r="J38" s="78" t="str">
        <f aca="false">IF($A38="","",0)</f>
        <v/>
      </c>
      <c r="K38" s="77" t="str">
        <f aca="false">IF($A38="","",F38*J38+INDEX(BAHARY!$N$2:$N$901,236))</f>
        <v/>
      </c>
      <c r="L38" s="79" t="str">
        <f aca="false">IF($A38="","",I38-K38)</f>
        <v/>
      </c>
    </row>
    <row r="39" customFormat="false" ht="15" hidden="false" customHeight="true" outlineLevel="0" collapsed="false">
      <c r="A39" s="75" t="str">
        <f aca="false">IF(237&lt;=Check!$C$4,INDEX(BAHARY!$A$2:$A$901,237),"")</f>
        <v/>
      </c>
      <c r="B39" s="76" t="str">
        <f aca="false">IF($A39="","",INDEX(BAHARY!$B$2:$B$901,237))</f>
        <v/>
      </c>
      <c r="C39" s="76" t="str">
        <f aca="false">IF($A39="","",INDEX(BAHARY!$C$2:$C$901,237))</f>
        <v/>
      </c>
      <c r="D39" s="77" t="str">
        <f aca="false">IF($A39="","",INDEX(BAHARY!$H$2:$H$901,237))</f>
        <v/>
      </c>
      <c r="E39" s="77" t="str">
        <f aca="false">IF($A39="","",INDEX(BAHARY!$E$2:$E$901,237))</f>
        <v/>
      </c>
      <c r="F39" s="77" t="str">
        <f aca="false">IF($A39="","",D39+E39)</f>
        <v/>
      </c>
      <c r="G39" s="77" t="str">
        <f aca="false">IF($A39="","",D39*(1-'كشف المطالبة'!$D$5))</f>
        <v/>
      </c>
      <c r="H39" s="77" t="str">
        <f aca="false">IF($A39="","",E39*(1-'كشف المطالبة'!$D$6))</f>
        <v/>
      </c>
      <c r="I39" s="77" t="str">
        <f aca="false">IF($A39="","",G39+H39)</f>
        <v/>
      </c>
      <c r="J39" s="78" t="str">
        <f aca="false">IF($A39="","",0)</f>
        <v/>
      </c>
      <c r="K39" s="77" t="str">
        <f aca="false">IF($A39="","",F39*J39+INDEX(BAHARY!$N$2:$N$901,237))</f>
        <v/>
      </c>
      <c r="L39" s="79" t="str">
        <f aca="false">IF($A39="","",I39-K39)</f>
        <v/>
      </c>
    </row>
    <row r="40" customFormat="false" ht="15" hidden="false" customHeight="true" outlineLevel="0" collapsed="false">
      <c r="A40" s="75" t="str">
        <f aca="false">IF(238&lt;=Check!$C$4,INDEX(BAHARY!$A$2:$A$901,238),"")</f>
        <v/>
      </c>
      <c r="B40" s="76" t="str">
        <f aca="false">IF($A40="","",INDEX(BAHARY!$B$2:$B$901,238))</f>
        <v/>
      </c>
      <c r="C40" s="76" t="str">
        <f aca="false">IF($A40="","",INDEX(BAHARY!$C$2:$C$901,238))</f>
        <v/>
      </c>
      <c r="D40" s="77" t="str">
        <f aca="false">IF($A40="","",INDEX(BAHARY!$H$2:$H$901,238))</f>
        <v/>
      </c>
      <c r="E40" s="77" t="str">
        <f aca="false">IF($A40="","",INDEX(BAHARY!$E$2:$E$901,238))</f>
        <v/>
      </c>
      <c r="F40" s="77" t="str">
        <f aca="false">IF($A40="","",D40+E40)</f>
        <v/>
      </c>
      <c r="G40" s="77" t="str">
        <f aca="false">IF($A40="","",D40*(1-'كشف المطالبة'!$D$5))</f>
        <v/>
      </c>
      <c r="H40" s="77" t="str">
        <f aca="false">IF($A40="","",E40*(1-'كشف المطالبة'!$D$6))</f>
        <v/>
      </c>
      <c r="I40" s="77" t="str">
        <f aca="false">IF($A40="","",G40+H40)</f>
        <v/>
      </c>
      <c r="J40" s="78" t="str">
        <f aca="false">IF($A40="","",0)</f>
        <v/>
      </c>
      <c r="K40" s="77" t="str">
        <f aca="false">IF($A40="","",F40*J40+INDEX(BAHARY!$N$2:$N$901,238))</f>
        <v/>
      </c>
      <c r="L40" s="79" t="str">
        <f aca="false">IF($A40="","",I40-K40)</f>
        <v/>
      </c>
    </row>
    <row r="41" customFormat="false" ht="15" hidden="false" customHeight="true" outlineLevel="0" collapsed="false">
      <c r="A41" s="75" t="str">
        <f aca="false">IF(239&lt;=Check!$C$4,INDEX(BAHARY!$A$2:$A$901,239),"")</f>
        <v/>
      </c>
      <c r="B41" s="76" t="str">
        <f aca="false">IF($A41="","",INDEX(BAHARY!$B$2:$B$901,239))</f>
        <v/>
      </c>
      <c r="C41" s="76" t="str">
        <f aca="false">IF($A41="","",INDEX(BAHARY!$C$2:$C$901,239))</f>
        <v/>
      </c>
      <c r="D41" s="77" t="str">
        <f aca="false">IF($A41="","",INDEX(BAHARY!$H$2:$H$901,239))</f>
        <v/>
      </c>
      <c r="E41" s="77" t="str">
        <f aca="false">IF($A41="","",INDEX(BAHARY!$E$2:$E$901,239))</f>
        <v/>
      </c>
      <c r="F41" s="77" t="str">
        <f aca="false">IF($A41="","",D41+E41)</f>
        <v/>
      </c>
      <c r="G41" s="77" t="str">
        <f aca="false">IF($A41="","",D41*(1-'كشف المطالبة'!$D$5))</f>
        <v/>
      </c>
      <c r="H41" s="77" t="str">
        <f aca="false">IF($A41="","",E41*(1-'كشف المطالبة'!$D$6))</f>
        <v/>
      </c>
      <c r="I41" s="77" t="str">
        <f aca="false">IF($A41="","",G41+H41)</f>
        <v/>
      </c>
      <c r="J41" s="78" t="str">
        <f aca="false">IF($A41="","",0)</f>
        <v/>
      </c>
      <c r="K41" s="77" t="str">
        <f aca="false">IF($A41="","",F41*J41+INDEX(BAHARY!$N$2:$N$901,239))</f>
        <v/>
      </c>
      <c r="L41" s="79" t="str">
        <f aca="false">IF($A41="","",I41-K41)</f>
        <v/>
      </c>
    </row>
    <row r="42" customFormat="false" ht="15" hidden="false" customHeight="true" outlineLevel="0" collapsed="false">
      <c r="A42" s="75" t="str">
        <f aca="false">IF(240&lt;=Check!$C$4,INDEX(BAHARY!$A$2:$A$901,240),"")</f>
        <v/>
      </c>
      <c r="B42" s="76" t="str">
        <f aca="false">IF($A42="","",INDEX(BAHARY!$B$2:$B$901,240))</f>
        <v/>
      </c>
      <c r="C42" s="76" t="str">
        <f aca="false">IF($A42="","",INDEX(BAHARY!$C$2:$C$901,240))</f>
        <v/>
      </c>
      <c r="D42" s="77" t="str">
        <f aca="false">IF($A42="","",INDEX(BAHARY!$H$2:$H$901,240))</f>
        <v/>
      </c>
      <c r="E42" s="77" t="str">
        <f aca="false">IF($A42="","",INDEX(BAHARY!$E$2:$E$901,240))</f>
        <v/>
      </c>
      <c r="F42" s="77" t="str">
        <f aca="false">IF($A42="","",D42+E42)</f>
        <v/>
      </c>
      <c r="G42" s="77" t="str">
        <f aca="false">IF($A42="","",D42*(1-'كشف المطالبة'!$D$5))</f>
        <v/>
      </c>
      <c r="H42" s="77" t="str">
        <f aca="false">IF($A42="","",E42*(1-'كشف المطالبة'!$D$6))</f>
        <v/>
      </c>
      <c r="I42" s="77" t="str">
        <f aca="false">IF($A42="","",G42+H42)</f>
        <v/>
      </c>
      <c r="J42" s="78" t="str">
        <f aca="false">IF($A42="","",0)</f>
        <v/>
      </c>
      <c r="K42" s="77" t="str">
        <f aca="false">IF($A42="","",F42*J42+INDEX(BAHARY!$N$2:$N$901,240))</f>
        <v/>
      </c>
      <c r="L42" s="79" t="str">
        <f aca="false">IF($A42="","",I42-K42)</f>
        <v/>
      </c>
    </row>
    <row r="44" customFormat="false" ht="15" hidden="false" customHeight="true" outlineLevel="0" collapsed="false"/>
    <row r="45" s="86" customFormat="true" ht="15.75" hidden="false" customHeight="true" outlineLevel="0" collapsed="false">
      <c r="A45" s="81" t="s">
        <v>114</v>
      </c>
      <c r="B45" s="81"/>
      <c r="C45" s="81"/>
      <c r="D45" s="82" t="n">
        <f aca="false">SUM(D3:D42)</f>
        <v>0</v>
      </c>
      <c r="E45" s="82" t="n">
        <f aca="false">SUM(E3:E42)</f>
        <v>0</v>
      </c>
      <c r="F45" s="82" t="n">
        <f aca="false">SUM(F3:F42)</f>
        <v>0</v>
      </c>
      <c r="G45" s="82" t="n">
        <f aca="false">SUM(G3:G42)</f>
        <v>0</v>
      </c>
      <c r="H45" s="82" t="n">
        <f aca="false">SUM(H3:H42)</f>
        <v>0</v>
      </c>
      <c r="I45" s="82" t="n">
        <f aca="false">SUM(I3:I42)</f>
        <v>0</v>
      </c>
      <c r="J45" s="83"/>
      <c r="K45" s="82" t="n">
        <f aca="false">SUM(K3:K42)</f>
        <v>0</v>
      </c>
      <c r="L45" s="84" t="n">
        <f aca="false">SUM(L3:L42)</f>
        <v>0</v>
      </c>
      <c r="M45" s="85" t="n">
        <v>6</v>
      </c>
    </row>
  </sheetData>
  <mergeCells count="4">
    <mergeCell ref="A1:B1"/>
    <mergeCell ref="E1:G1"/>
    <mergeCell ref="K1:L1"/>
    <mergeCell ref="A45:C45"/>
  </mergeCells>
  <conditionalFormatting sqref="A3:A42 D3:L42">
    <cfRule type="expression" priority="2" aboveAverage="0" equalAverage="0" bottom="0" percent="0" rank="0" text="" dxfId="6">
      <formula>ISODD(ROW())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39E90"/>
    <pageSetUpPr fitToPage="false"/>
  </sheetPr>
  <dimension ref="A1:M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53125" defaultRowHeight="14.25" zeroHeight="false" outlineLevelRow="0" outlineLevelCol="0"/>
  <cols>
    <col collapsed="false" customWidth="true" hidden="false" outlineLevel="0" max="1" min="1" style="0" width="3.27"/>
    <col collapsed="false" customWidth="true" hidden="false" outlineLevel="0" max="2" min="2" style="0" width="43.18"/>
    <col collapsed="false" customWidth="true" hidden="false" outlineLevel="0" max="3" min="3" style="0" width="7"/>
    <col collapsed="false" customWidth="true" hidden="false" outlineLevel="0" max="4" min="4" style="0" width="12.45"/>
    <col collapsed="false" customWidth="true" hidden="false" outlineLevel="0" max="5" min="5" style="0" width="12"/>
    <col collapsed="false" customWidth="true" hidden="false" outlineLevel="0" max="6" min="6" style="0" width="13.45"/>
    <col collapsed="false" customWidth="true" hidden="false" outlineLevel="0" max="7" min="7" style="0" width="17"/>
    <col collapsed="false" customWidth="true" hidden="false" outlineLevel="0" max="8" min="8" style="0" width="13"/>
    <col collapsed="false" customWidth="true" hidden="false" outlineLevel="0" max="9" min="9" style="0" width="13.73"/>
    <col collapsed="false" customWidth="true" hidden="false" outlineLevel="0" max="10" min="10" style="0" width="8.27"/>
    <col collapsed="false" customWidth="true" hidden="false" outlineLevel="0" max="11" min="11" style="0" width="9"/>
    <col collapsed="false" customWidth="true" hidden="false" outlineLevel="0" max="12" min="12" style="0" width="13.73"/>
    <col collapsed="false" customWidth="true" hidden="false" outlineLevel="0" max="13" min="13" style="0" width="2.18"/>
    <col collapsed="false" customWidth="true" hidden="false" outlineLevel="0" max="26" min="14" style="0" width="8.73"/>
  </cols>
  <sheetData>
    <row r="1" customFormat="false" ht="18" hidden="false" customHeight="true" outlineLevel="0" collapsed="false">
      <c r="A1" s="68" t="s">
        <v>105</v>
      </c>
      <c r="B1" s="68"/>
      <c r="C1" s="69"/>
      <c r="D1" s="69"/>
      <c r="E1" s="54" t="s">
        <v>112</v>
      </c>
      <c r="F1" s="54"/>
      <c r="G1" s="54"/>
      <c r="H1" s="69" t="n">
        <f aca="false">'كشف المطالبة'!E2</f>
        <v>0</v>
      </c>
      <c r="I1" s="69" t="str">
        <f aca="false">'كشف المطالبة'!E3</f>
        <v>الجزء الاول</v>
      </c>
      <c r="J1" s="69"/>
      <c r="K1" s="70" t="str">
        <f aca="false">'كشف المطالبة'!E4</f>
        <v>عاملين</v>
      </c>
      <c r="L1" s="70"/>
    </row>
    <row r="2" customFormat="false" ht="44.25" hidden="false" customHeight="true" outlineLevel="0" collapsed="false">
      <c r="A2" s="71" t="s">
        <v>106</v>
      </c>
      <c r="B2" s="72" t="s">
        <v>35</v>
      </c>
      <c r="C2" s="72" t="s">
        <v>36</v>
      </c>
      <c r="D2" s="72" t="s">
        <v>107</v>
      </c>
      <c r="E2" s="72" t="s">
        <v>38</v>
      </c>
      <c r="F2" s="72" t="s">
        <v>108</v>
      </c>
      <c r="G2" s="72" t="str">
        <f aca="false">"محلى بعد خصم "&amp;ROUND('كشف المطالبة'!$D$5*100,2)&amp;"%"</f>
        <v>محلى بعد خصم 14%</v>
      </c>
      <c r="H2" s="72" t="str">
        <f aca="false">"مستورد بعد خصم "&amp;ROUND('كشف المطالبة'!$D$6*100,2)&amp;"%"</f>
        <v>مستورد بعد خصم 7%</v>
      </c>
      <c r="I2" s="72" t="s">
        <v>109</v>
      </c>
      <c r="J2" s="73" t="s">
        <v>113</v>
      </c>
      <c r="K2" s="72" t="s">
        <v>110</v>
      </c>
      <c r="L2" s="74" t="s">
        <v>111</v>
      </c>
    </row>
    <row r="3" customFormat="false" ht="15" hidden="false" customHeight="true" outlineLevel="0" collapsed="false">
      <c r="A3" s="75" t="str">
        <f aca="false">IF(241&lt;=Check!$C$4,INDEX(BAHARY!$A$2:$A$901,241),"")</f>
        <v/>
      </c>
      <c r="B3" s="76" t="str">
        <f aca="false">IF($A3="","",INDEX(BAHARY!$B$2:$B$901,241))</f>
        <v/>
      </c>
      <c r="C3" s="76" t="str">
        <f aca="false">IF($A3="","",INDEX(BAHARY!$C$2:$C$901,241))</f>
        <v/>
      </c>
      <c r="D3" s="77" t="str">
        <f aca="false">IF($A3="","",INDEX(BAHARY!$H$2:$H$901,241))</f>
        <v/>
      </c>
      <c r="E3" s="77" t="str">
        <f aca="false">IF($A3="","",INDEX(BAHARY!$E$2:$E$901,241))</f>
        <v/>
      </c>
      <c r="F3" s="77" t="str">
        <f aca="false">IF($A3="","",D3+E3)</f>
        <v/>
      </c>
      <c r="G3" s="77" t="str">
        <f aca="false">IF($A3="","",D3*(1-'كشف المطالبة'!$D$5))</f>
        <v/>
      </c>
      <c r="H3" s="77" t="str">
        <f aca="false">IF($A3="","",E3*(1-'كشف المطالبة'!$D$6))</f>
        <v/>
      </c>
      <c r="I3" s="77" t="str">
        <f aca="false">IF($A3="","",G3+H3)</f>
        <v/>
      </c>
      <c r="J3" s="78" t="str">
        <f aca="false">IF($A3="","",0)</f>
        <v/>
      </c>
      <c r="K3" s="77" t="str">
        <f aca="false">IF($A3="","",F3*J3+INDEX(BAHARY!$N$2:$N$901,241))</f>
        <v/>
      </c>
      <c r="L3" s="79" t="str">
        <f aca="false">IF($A3="","",I3-K3)</f>
        <v/>
      </c>
    </row>
    <row r="4" customFormat="false" ht="15" hidden="false" customHeight="true" outlineLevel="0" collapsed="false">
      <c r="A4" s="75" t="str">
        <f aca="false">IF(242&lt;=Check!$C$4,INDEX(BAHARY!$A$2:$A$901,242),"")</f>
        <v/>
      </c>
      <c r="B4" s="76" t="str">
        <f aca="false">IF($A4="","",INDEX(BAHARY!$B$2:$B$901,242))</f>
        <v/>
      </c>
      <c r="C4" s="76" t="str">
        <f aca="false">IF($A4="","",INDEX(BAHARY!$C$2:$C$901,242))</f>
        <v/>
      </c>
      <c r="D4" s="77" t="str">
        <f aca="false">IF($A4="","",INDEX(BAHARY!$H$2:$H$901,242))</f>
        <v/>
      </c>
      <c r="E4" s="77" t="str">
        <f aca="false">IF($A4="","",INDEX(BAHARY!$E$2:$E$901,242))</f>
        <v/>
      </c>
      <c r="F4" s="77" t="str">
        <f aca="false">IF($A4="","",D4+E4)</f>
        <v/>
      </c>
      <c r="G4" s="77" t="str">
        <f aca="false">IF($A4="","",D4*(1-'كشف المطالبة'!$D$5))</f>
        <v/>
      </c>
      <c r="H4" s="77" t="str">
        <f aca="false">IF($A4="","",E4*(1-'كشف المطالبة'!$D$6))</f>
        <v/>
      </c>
      <c r="I4" s="77" t="str">
        <f aca="false">IF($A4="","",G4+H4)</f>
        <v/>
      </c>
      <c r="J4" s="78" t="str">
        <f aca="false">IF($A4="","",0)</f>
        <v/>
      </c>
      <c r="K4" s="77" t="str">
        <f aca="false">IF($A4="","",F4*J4+INDEX(BAHARY!$N$2:$N$901,242))</f>
        <v/>
      </c>
      <c r="L4" s="79" t="str">
        <f aca="false">IF($A4="","",I4-K4)</f>
        <v/>
      </c>
    </row>
    <row r="5" customFormat="false" ht="15" hidden="false" customHeight="true" outlineLevel="0" collapsed="false">
      <c r="A5" s="75" t="str">
        <f aca="false">IF(243&lt;=Check!$C$4,INDEX(BAHARY!$A$2:$A$901,243),"")</f>
        <v/>
      </c>
      <c r="B5" s="76" t="str">
        <f aca="false">IF($A5="","",INDEX(BAHARY!$B$2:$B$901,243))</f>
        <v/>
      </c>
      <c r="C5" s="76" t="str">
        <f aca="false">IF($A5="","",INDEX(BAHARY!$C$2:$C$901,243))</f>
        <v/>
      </c>
      <c r="D5" s="77" t="str">
        <f aca="false">IF($A5="","",INDEX(BAHARY!$H$2:$H$901,243))</f>
        <v/>
      </c>
      <c r="E5" s="77" t="str">
        <f aca="false">IF($A5="","",INDEX(BAHARY!$E$2:$E$901,243))</f>
        <v/>
      </c>
      <c r="F5" s="77" t="str">
        <f aca="false">IF($A5="","",D5+E5)</f>
        <v/>
      </c>
      <c r="G5" s="77" t="str">
        <f aca="false">IF($A5="","",D5*(1-'كشف المطالبة'!$D$5))</f>
        <v/>
      </c>
      <c r="H5" s="77" t="str">
        <f aca="false">IF($A5="","",E5*(1-'كشف المطالبة'!$D$6))</f>
        <v/>
      </c>
      <c r="I5" s="77" t="str">
        <f aca="false">IF($A5="","",G5+H5)</f>
        <v/>
      </c>
      <c r="J5" s="78" t="str">
        <f aca="false">IF($A5="","",0)</f>
        <v/>
      </c>
      <c r="K5" s="77" t="str">
        <f aca="false">IF($A5="","",F5*J5+INDEX(BAHARY!$N$2:$N$901,243))</f>
        <v/>
      </c>
      <c r="L5" s="79" t="str">
        <f aca="false">IF($A5="","",I5-K5)</f>
        <v/>
      </c>
    </row>
    <row r="6" customFormat="false" ht="15" hidden="false" customHeight="true" outlineLevel="0" collapsed="false">
      <c r="A6" s="75" t="str">
        <f aca="false">IF(244&lt;=Check!$C$4,INDEX(BAHARY!$A$2:$A$901,244),"")</f>
        <v/>
      </c>
      <c r="B6" s="76" t="str">
        <f aca="false">IF($A6="","",INDEX(BAHARY!$B$2:$B$901,244))</f>
        <v/>
      </c>
      <c r="C6" s="76" t="str">
        <f aca="false">IF($A6="","",INDEX(BAHARY!$C$2:$C$901,244))</f>
        <v/>
      </c>
      <c r="D6" s="77" t="str">
        <f aca="false">IF($A6="","",INDEX(BAHARY!$H$2:$H$901,244))</f>
        <v/>
      </c>
      <c r="E6" s="77" t="str">
        <f aca="false">IF($A6="","",INDEX(BAHARY!$E$2:$E$901,244))</f>
        <v/>
      </c>
      <c r="F6" s="77" t="str">
        <f aca="false">IF($A6="","",D6+E6)</f>
        <v/>
      </c>
      <c r="G6" s="77" t="str">
        <f aca="false">IF($A6="","",D6*(1-'كشف المطالبة'!$D$5))</f>
        <v/>
      </c>
      <c r="H6" s="77" t="str">
        <f aca="false">IF($A6="","",E6*(1-'كشف المطالبة'!$D$6))</f>
        <v/>
      </c>
      <c r="I6" s="77" t="str">
        <f aca="false">IF($A6="","",G6+H6)</f>
        <v/>
      </c>
      <c r="J6" s="78" t="str">
        <f aca="false">IF($A6="","",0)</f>
        <v/>
      </c>
      <c r="K6" s="77" t="str">
        <f aca="false">IF($A6="","",F6*J6+INDEX(BAHARY!$N$2:$N$901,244))</f>
        <v/>
      </c>
      <c r="L6" s="79" t="str">
        <f aca="false">IF($A6="","",I6-K6)</f>
        <v/>
      </c>
    </row>
    <row r="7" customFormat="false" ht="15" hidden="false" customHeight="true" outlineLevel="0" collapsed="false">
      <c r="A7" s="75" t="str">
        <f aca="false">IF(245&lt;=Check!$C$4,INDEX(BAHARY!$A$2:$A$901,245),"")</f>
        <v/>
      </c>
      <c r="B7" s="76" t="str">
        <f aca="false">IF($A7="","",INDEX(BAHARY!$B$2:$B$901,245))</f>
        <v/>
      </c>
      <c r="C7" s="76" t="str">
        <f aca="false">IF($A7="","",INDEX(BAHARY!$C$2:$C$901,245))</f>
        <v/>
      </c>
      <c r="D7" s="77" t="str">
        <f aca="false">IF($A7="","",INDEX(BAHARY!$H$2:$H$901,245))</f>
        <v/>
      </c>
      <c r="E7" s="77" t="str">
        <f aca="false">IF($A7="","",INDEX(BAHARY!$E$2:$E$901,245))</f>
        <v/>
      </c>
      <c r="F7" s="77" t="str">
        <f aca="false">IF($A7="","",D7+E7)</f>
        <v/>
      </c>
      <c r="G7" s="77" t="str">
        <f aca="false">IF($A7="","",D7*(1-'كشف المطالبة'!$D$5))</f>
        <v/>
      </c>
      <c r="H7" s="77" t="str">
        <f aca="false">IF($A7="","",E7*(1-'كشف المطالبة'!$D$6))</f>
        <v/>
      </c>
      <c r="I7" s="77" t="str">
        <f aca="false">IF($A7="","",G7+H7)</f>
        <v/>
      </c>
      <c r="J7" s="78" t="str">
        <f aca="false">IF($A7="","",0)</f>
        <v/>
      </c>
      <c r="K7" s="77" t="str">
        <f aca="false">IF($A7="","",F7*J7+INDEX(BAHARY!$N$2:$N$901,245))</f>
        <v/>
      </c>
      <c r="L7" s="79" t="str">
        <f aca="false">IF($A7="","",I7-K7)</f>
        <v/>
      </c>
    </row>
    <row r="8" customFormat="false" ht="15" hidden="false" customHeight="true" outlineLevel="0" collapsed="false">
      <c r="A8" s="75" t="str">
        <f aca="false">IF(246&lt;=Check!$C$4,INDEX(BAHARY!$A$2:$A$901,246),"")</f>
        <v/>
      </c>
      <c r="B8" s="76" t="str">
        <f aca="false">IF($A8="","",INDEX(BAHARY!$B$2:$B$901,246))</f>
        <v/>
      </c>
      <c r="C8" s="76" t="str">
        <f aca="false">IF($A8="","",INDEX(BAHARY!$C$2:$C$901,246))</f>
        <v/>
      </c>
      <c r="D8" s="77" t="str">
        <f aca="false">IF($A8="","",INDEX(BAHARY!$H$2:$H$901,246))</f>
        <v/>
      </c>
      <c r="E8" s="77" t="str">
        <f aca="false">IF($A8="","",INDEX(BAHARY!$E$2:$E$901,246))</f>
        <v/>
      </c>
      <c r="F8" s="77" t="str">
        <f aca="false">IF($A8="","",D8+E8)</f>
        <v/>
      </c>
      <c r="G8" s="77" t="str">
        <f aca="false">IF($A8="","",D8*(1-'كشف المطالبة'!$D$5))</f>
        <v/>
      </c>
      <c r="H8" s="77" t="str">
        <f aca="false">IF($A8="","",E8*(1-'كشف المطالبة'!$D$6))</f>
        <v/>
      </c>
      <c r="I8" s="77" t="str">
        <f aca="false">IF($A8="","",G8+H8)</f>
        <v/>
      </c>
      <c r="J8" s="78" t="str">
        <f aca="false">IF($A8="","",0)</f>
        <v/>
      </c>
      <c r="K8" s="77" t="str">
        <f aca="false">IF($A8="","",F8*J8+INDEX(BAHARY!$N$2:$N$901,246))</f>
        <v/>
      </c>
      <c r="L8" s="79" t="str">
        <f aca="false">IF($A8="","",I8-K8)</f>
        <v/>
      </c>
    </row>
    <row r="9" customFormat="false" ht="15" hidden="false" customHeight="true" outlineLevel="0" collapsed="false">
      <c r="A9" s="75" t="str">
        <f aca="false">IF(247&lt;=Check!$C$4,INDEX(BAHARY!$A$2:$A$901,247),"")</f>
        <v/>
      </c>
      <c r="B9" s="80" t="str">
        <f aca="false">IF($A9="","",INDEX(BAHARY!$B$2:$B$901,247))</f>
        <v/>
      </c>
      <c r="C9" s="76" t="str">
        <f aca="false">IF($A9="","",INDEX(BAHARY!$C$2:$C$901,247))</f>
        <v/>
      </c>
      <c r="D9" s="77" t="str">
        <f aca="false">IF($A9="","",INDEX(BAHARY!$H$2:$H$901,247))</f>
        <v/>
      </c>
      <c r="E9" s="77" t="str">
        <f aca="false">IF($A9="","",INDEX(BAHARY!$E$2:$E$901,247))</f>
        <v/>
      </c>
      <c r="F9" s="77" t="str">
        <f aca="false">IF($A9="","",D9+E9)</f>
        <v/>
      </c>
      <c r="G9" s="77" t="str">
        <f aca="false">IF($A9="","",D9*(1-'كشف المطالبة'!$D$5))</f>
        <v/>
      </c>
      <c r="H9" s="77" t="str">
        <f aca="false">IF($A9="","",E9*(1-'كشف المطالبة'!$D$6))</f>
        <v/>
      </c>
      <c r="I9" s="77" t="str">
        <f aca="false">IF($A9="","",G9+H9)</f>
        <v/>
      </c>
      <c r="J9" s="78" t="str">
        <f aca="false">IF($A9="","",0)</f>
        <v/>
      </c>
      <c r="K9" s="77" t="str">
        <f aca="false">IF($A9="","",F9*J9+INDEX(BAHARY!$N$2:$N$901,247))</f>
        <v/>
      </c>
      <c r="L9" s="79" t="str">
        <f aca="false">IF($A9="","",I9-K9)</f>
        <v/>
      </c>
    </row>
    <row r="10" customFormat="false" ht="15" hidden="false" customHeight="true" outlineLevel="0" collapsed="false">
      <c r="A10" s="75" t="str">
        <f aca="false">IF(248&lt;=Check!$C$4,INDEX(BAHARY!$A$2:$A$901,248),"")</f>
        <v/>
      </c>
      <c r="B10" s="76" t="str">
        <f aca="false">IF($A10="","",INDEX(BAHARY!$B$2:$B$901,248))</f>
        <v/>
      </c>
      <c r="C10" s="76" t="str">
        <f aca="false">IF($A10="","",INDEX(BAHARY!$C$2:$C$901,248))</f>
        <v/>
      </c>
      <c r="D10" s="77" t="str">
        <f aca="false">IF($A10="","",INDEX(BAHARY!$H$2:$H$901,248))</f>
        <v/>
      </c>
      <c r="E10" s="77" t="str">
        <f aca="false">IF($A10="","",INDEX(BAHARY!$E$2:$E$901,248))</f>
        <v/>
      </c>
      <c r="F10" s="77" t="str">
        <f aca="false">IF($A10="","",D10+E10)</f>
        <v/>
      </c>
      <c r="G10" s="77" t="str">
        <f aca="false">IF($A10="","",D10*(1-'كشف المطالبة'!$D$5))</f>
        <v/>
      </c>
      <c r="H10" s="77" t="str">
        <f aca="false">IF($A10="","",E10*(1-'كشف المطالبة'!$D$6))</f>
        <v/>
      </c>
      <c r="I10" s="77" t="str">
        <f aca="false">IF($A10="","",G10+H10)</f>
        <v/>
      </c>
      <c r="J10" s="78" t="str">
        <f aca="false">IF($A10="","",0)</f>
        <v/>
      </c>
      <c r="K10" s="77" t="str">
        <f aca="false">IF($A10="","",F10*J10+INDEX(BAHARY!$N$2:$N$901,248))</f>
        <v/>
      </c>
      <c r="L10" s="79" t="str">
        <f aca="false">IF($A10="","",I10-K10)</f>
        <v/>
      </c>
    </row>
    <row r="11" customFormat="false" ht="15" hidden="false" customHeight="true" outlineLevel="0" collapsed="false">
      <c r="A11" s="75" t="str">
        <f aca="false">IF(249&lt;=Check!$C$4,INDEX(BAHARY!$A$2:$A$901,249),"")</f>
        <v/>
      </c>
      <c r="B11" s="76" t="str">
        <f aca="false">IF($A11="","",INDEX(BAHARY!$B$2:$B$901,249))</f>
        <v/>
      </c>
      <c r="C11" s="76" t="str">
        <f aca="false">IF($A11="","",INDEX(BAHARY!$C$2:$C$901,249))</f>
        <v/>
      </c>
      <c r="D11" s="77" t="str">
        <f aca="false">IF($A11="","",INDEX(BAHARY!$H$2:$H$901,249))</f>
        <v/>
      </c>
      <c r="E11" s="77" t="str">
        <f aca="false">IF($A11="","",INDEX(BAHARY!$E$2:$E$901,249))</f>
        <v/>
      </c>
      <c r="F11" s="77" t="str">
        <f aca="false">IF($A11="","",D11+E11)</f>
        <v/>
      </c>
      <c r="G11" s="77" t="str">
        <f aca="false">IF($A11="","",D11*(1-'كشف المطالبة'!$D$5))</f>
        <v/>
      </c>
      <c r="H11" s="77" t="str">
        <f aca="false">IF($A11="","",E11*(1-'كشف المطالبة'!$D$6))</f>
        <v/>
      </c>
      <c r="I11" s="77" t="str">
        <f aca="false">IF($A11="","",G11+H11)</f>
        <v/>
      </c>
      <c r="J11" s="78" t="str">
        <f aca="false">IF($A11="","",0)</f>
        <v/>
      </c>
      <c r="K11" s="77" t="str">
        <f aca="false">IF($A11="","",F11*J11+INDEX(BAHARY!$N$2:$N$901,249))</f>
        <v/>
      </c>
      <c r="L11" s="79" t="str">
        <f aca="false">IF($A11="","",I11-K11)</f>
        <v/>
      </c>
    </row>
    <row r="12" customFormat="false" ht="15" hidden="false" customHeight="true" outlineLevel="0" collapsed="false">
      <c r="A12" s="75" t="str">
        <f aca="false">IF(250&lt;=Check!$C$4,INDEX(BAHARY!$A$2:$A$901,250),"")</f>
        <v/>
      </c>
      <c r="B12" s="76" t="str">
        <f aca="false">IF($A12="","",INDEX(BAHARY!$B$2:$B$901,250))</f>
        <v/>
      </c>
      <c r="C12" s="76" t="str">
        <f aca="false">IF($A12="","",INDEX(BAHARY!$C$2:$C$901,250))</f>
        <v/>
      </c>
      <c r="D12" s="77" t="str">
        <f aca="false">IF($A12="","",INDEX(BAHARY!$H$2:$H$901,250))</f>
        <v/>
      </c>
      <c r="E12" s="77" t="str">
        <f aca="false">IF($A12="","",INDEX(BAHARY!$E$2:$E$901,250))</f>
        <v/>
      </c>
      <c r="F12" s="77" t="str">
        <f aca="false">IF($A12="","",D12+E12)</f>
        <v/>
      </c>
      <c r="G12" s="77" t="str">
        <f aca="false">IF($A12="","",D12*(1-'كشف المطالبة'!$D$5))</f>
        <v/>
      </c>
      <c r="H12" s="77" t="str">
        <f aca="false">IF($A12="","",E12*(1-'كشف المطالبة'!$D$6))</f>
        <v/>
      </c>
      <c r="I12" s="77" t="str">
        <f aca="false">IF($A12="","",G12+H12)</f>
        <v/>
      </c>
      <c r="J12" s="78" t="str">
        <f aca="false">IF($A12="","",0)</f>
        <v/>
      </c>
      <c r="K12" s="77" t="str">
        <f aca="false">IF($A12="","",F12*J12+INDEX(BAHARY!$N$2:$N$901,250))</f>
        <v/>
      </c>
      <c r="L12" s="79" t="str">
        <f aca="false">IF($A12="","",I12-K12)</f>
        <v/>
      </c>
    </row>
    <row r="13" customFormat="false" ht="15" hidden="false" customHeight="true" outlineLevel="0" collapsed="false">
      <c r="A13" s="75" t="str">
        <f aca="false">IF(251&lt;=Check!$C$4,INDEX(BAHARY!$A$2:$A$901,251),"")</f>
        <v/>
      </c>
      <c r="B13" s="76" t="str">
        <f aca="false">IF($A13="","",INDEX(BAHARY!$B$2:$B$901,251))</f>
        <v/>
      </c>
      <c r="C13" s="76" t="str">
        <f aca="false">IF($A13="","",INDEX(BAHARY!$C$2:$C$901,251))</f>
        <v/>
      </c>
      <c r="D13" s="77" t="str">
        <f aca="false">IF($A13="","",INDEX(BAHARY!$H$2:$H$901,251))</f>
        <v/>
      </c>
      <c r="E13" s="77" t="str">
        <f aca="false">IF($A13="","",INDEX(BAHARY!$E$2:$E$901,251))</f>
        <v/>
      </c>
      <c r="F13" s="77" t="str">
        <f aca="false">IF($A13="","",D13+E13)</f>
        <v/>
      </c>
      <c r="G13" s="77" t="str">
        <f aca="false">IF($A13="","",D13*(1-'كشف المطالبة'!$D$5))</f>
        <v/>
      </c>
      <c r="H13" s="77" t="str">
        <f aca="false">IF($A13="","",E13*(1-'كشف المطالبة'!$D$6))</f>
        <v/>
      </c>
      <c r="I13" s="77" t="str">
        <f aca="false">IF($A13="","",G13+H13)</f>
        <v/>
      </c>
      <c r="J13" s="78" t="str">
        <f aca="false">IF($A13="","",0)</f>
        <v/>
      </c>
      <c r="K13" s="77" t="str">
        <f aca="false">IF($A13="","",F13*J13+INDEX(BAHARY!$N$2:$N$901,251))</f>
        <v/>
      </c>
      <c r="L13" s="79" t="str">
        <f aca="false">IF($A13="","",I13-K13)</f>
        <v/>
      </c>
    </row>
    <row r="14" customFormat="false" ht="15" hidden="false" customHeight="true" outlineLevel="0" collapsed="false">
      <c r="A14" s="75" t="str">
        <f aca="false">IF(252&lt;=Check!$C$4,INDEX(BAHARY!$A$2:$A$901,252),"")</f>
        <v/>
      </c>
      <c r="B14" s="76" t="str">
        <f aca="false">IF($A14="","",INDEX(BAHARY!$B$2:$B$901,252))</f>
        <v/>
      </c>
      <c r="C14" s="76" t="str">
        <f aca="false">IF($A14="","",INDEX(BAHARY!$C$2:$C$901,252))</f>
        <v/>
      </c>
      <c r="D14" s="77" t="str">
        <f aca="false">IF($A14="","",INDEX(BAHARY!$H$2:$H$901,252))</f>
        <v/>
      </c>
      <c r="E14" s="77" t="str">
        <f aca="false">IF($A14="","",INDEX(BAHARY!$E$2:$E$901,252))</f>
        <v/>
      </c>
      <c r="F14" s="77" t="str">
        <f aca="false">IF($A14="","",D14+E14)</f>
        <v/>
      </c>
      <c r="G14" s="77" t="str">
        <f aca="false">IF($A14="","",D14*(1-'كشف المطالبة'!$D$5))</f>
        <v/>
      </c>
      <c r="H14" s="77" t="str">
        <f aca="false">IF($A14="","",E14*(1-'كشف المطالبة'!$D$6))</f>
        <v/>
      </c>
      <c r="I14" s="77" t="str">
        <f aca="false">IF($A14="","",G14+H14)</f>
        <v/>
      </c>
      <c r="J14" s="78" t="str">
        <f aca="false">IF($A14="","",0)</f>
        <v/>
      </c>
      <c r="K14" s="77" t="str">
        <f aca="false">IF($A14="","",F14*J14+INDEX(BAHARY!$N$2:$N$901,252))</f>
        <v/>
      </c>
      <c r="L14" s="79" t="str">
        <f aca="false">IF($A14="","",I14-K14)</f>
        <v/>
      </c>
    </row>
    <row r="15" customFormat="false" ht="15" hidden="false" customHeight="true" outlineLevel="0" collapsed="false">
      <c r="A15" s="75" t="str">
        <f aca="false">IF(253&lt;=Check!$C$4,INDEX(BAHARY!$A$2:$A$901,253),"")</f>
        <v/>
      </c>
      <c r="B15" s="76" t="str">
        <f aca="false">IF($A15="","",INDEX(BAHARY!$B$2:$B$901,253))</f>
        <v/>
      </c>
      <c r="C15" s="76" t="str">
        <f aca="false">IF($A15="","",INDEX(BAHARY!$C$2:$C$901,253))</f>
        <v/>
      </c>
      <c r="D15" s="77" t="str">
        <f aca="false">IF($A15="","",INDEX(BAHARY!$H$2:$H$901,253))</f>
        <v/>
      </c>
      <c r="E15" s="77" t="str">
        <f aca="false">IF($A15="","",INDEX(BAHARY!$E$2:$E$901,253))</f>
        <v/>
      </c>
      <c r="F15" s="77" t="str">
        <f aca="false">IF($A15="","",D15+E15)</f>
        <v/>
      </c>
      <c r="G15" s="77" t="str">
        <f aca="false">IF($A15="","",D15*(1-'كشف المطالبة'!$D$5))</f>
        <v/>
      </c>
      <c r="H15" s="77" t="str">
        <f aca="false">IF($A15="","",E15*(1-'كشف المطالبة'!$D$6))</f>
        <v/>
      </c>
      <c r="I15" s="77" t="str">
        <f aca="false">IF($A15="","",G15+H15)</f>
        <v/>
      </c>
      <c r="J15" s="78" t="str">
        <f aca="false">IF($A15="","",0)</f>
        <v/>
      </c>
      <c r="K15" s="77" t="str">
        <f aca="false">IF($A15="","",F15*J15+INDEX(BAHARY!$N$2:$N$901,253))</f>
        <v/>
      </c>
      <c r="L15" s="79" t="str">
        <f aca="false">IF($A15="","",I15-K15)</f>
        <v/>
      </c>
    </row>
    <row r="16" customFormat="false" ht="15" hidden="false" customHeight="true" outlineLevel="0" collapsed="false">
      <c r="A16" s="75" t="str">
        <f aca="false">IF(254&lt;=Check!$C$4,INDEX(BAHARY!$A$2:$A$901,254),"")</f>
        <v/>
      </c>
      <c r="B16" s="76" t="str">
        <f aca="false">IF($A16="","",INDEX(BAHARY!$B$2:$B$901,254))</f>
        <v/>
      </c>
      <c r="C16" s="76" t="str">
        <f aca="false">IF($A16="","",INDEX(BAHARY!$C$2:$C$901,254))</f>
        <v/>
      </c>
      <c r="D16" s="77" t="str">
        <f aca="false">IF($A16="","",INDEX(BAHARY!$H$2:$H$901,254))</f>
        <v/>
      </c>
      <c r="E16" s="77" t="str">
        <f aca="false">IF($A16="","",INDEX(BAHARY!$E$2:$E$901,254))</f>
        <v/>
      </c>
      <c r="F16" s="77" t="str">
        <f aca="false">IF($A16="","",D16+E16)</f>
        <v/>
      </c>
      <c r="G16" s="77" t="str">
        <f aca="false">IF($A16="","",D16*(1-'كشف المطالبة'!$D$5))</f>
        <v/>
      </c>
      <c r="H16" s="77" t="str">
        <f aca="false">IF($A16="","",E16*(1-'كشف المطالبة'!$D$6))</f>
        <v/>
      </c>
      <c r="I16" s="77" t="str">
        <f aca="false">IF($A16="","",G16+H16)</f>
        <v/>
      </c>
      <c r="J16" s="78" t="str">
        <f aca="false">IF($A16="","",0)</f>
        <v/>
      </c>
      <c r="K16" s="77" t="str">
        <f aca="false">IF($A16="","",F16*J16+INDEX(BAHARY!$N$2:$N$901,254))</f>
        <v/>
      </c>
      <c r="L16" s="79" t="str">
        <f aca="false">IF($A16="","",I16-K16)</f>
        <v/>
      </c>
    </row>
    <row r="17" customFormat="false" ht="15" hidden="false" customHeight="true" outlineLevel="0" collapsed="false">
      <c r="A17" s="75" t="str">
        <f aca="false">IF(255&lt;=Check!$C$4,INDEX(BAHARY!$A$2:$A$901,255),"")</f>
        <v/>
      </c>
      <c r="B17" s="76" t="str">
        <f aca="false">IF($A17="","",INDEX(BAHARY!$B$2:$B$901,255))</f>
        <v/>
      </c>
      <c r="C17" s="76" t="str">
        <f aca="false">IF($A17="","",INDEX(BAHARY!$C$2:$C$901,255))</f>
        <v/>
      </c>
      <c r="D17" s="77" t="str">
        <f aca="false">IF($A17="","",INDEX(BAHARY!$H$2:$H$901,255))</f>
        <v/>
      </c>
      <c r="E17" s="77" t="str">
        <f aca="false">IF($A17="","",INDEX(BAHARY!$E$2:$E$901,255))</f>
        <v/>
      </c>
      <c r="F17" s="77" t="str">
        <f aca="false">IF($A17="","",D17+E17)</f>
        <v/>
      </c>
      <c r="G17" s="77" t="str">
        <f aca="false">IF($A17="","",D17*(1-'كشف المطالبة'!$D$5))</f>
        <v/>
      </c>
      <c r="H17" s="77" t="str">
        <f aca="false">IF($A17="","",E17*(1-'كشف المطالبة'!$D$6))</f>
        <v/>
      </c>
      <c r="I17" s="77" t="str">
        <f aca="false">IF($A17="","",G17+H17)</f>
        <v/>
      </c>
      <c r="J17" s="78" t="str">
        <f aca="false">IF($A17="","",0)</f>
        <v/>
      </c>
      <c r="K17" s="77" t="str">
        <f aca="false">IF($A17="","",F17*J17+INDEX(BAHARY!$N$2:$N$901,255))</f>
        <v/>
      </c>
      <c r="L17" s="79" t="str">
        <f aca="false">IF($A17="","",I17-K17)</f>
        <v/>
      </c>
    </row>
    <row r="18" customFormat="false" ht="15" hidden="false" customHeight="true" outlineLevel="0" collapsed="false">
      <c r="A18" s="75" t="str">
        <f aca="false">IF(256&lt;=Check!$C$4,INDEX(BAHARY!$A$2:$A$901,256),"")</f>
        <v/>
      </c>
      <c r="B18" s="80" t="str">
        <f aca="false">IF($A18="","",INDEX(BAHARY!$B$2:$B$901,256))</f>
        <v/>
      </c>
      <c r="C18" s="76" t="str">
        <f aca="false">IF($A18="","",INDEX(BAHARY!$C$2:$C$901,256))</f>
        <v/>
      </c>
      <c r="D18" s="77" t="str">
        <f aca="false">IF($A18="","",INDEX(BAHARY!$H$2:$H$901,256))</f>
        <v/>
      </c>
      <c r="E18" s="77" t="str">
        <f aca="false">IF($A18="","",INDEX(BAHARY!$E$2:$E$901,256))</f>
        <v/>
      </c>
      <c r="F18" s="77" t="str">
        <f aca="false">IF($A18="","",D18+E18)</f>
        <v/>
      </c>
      <c r="G18" s="77" t="str">
        <f aca="false">IF($A18="","",D18*(1-'كشف المطالبة'!$D$5))</f>
        <v/>
      </c>
      <c r="H18" s="77" t="str">
        <f aca="false">IF($A18="","",E18*(1-'كشف المطالبة'!$D$6))</f>
        <v/>
      </c>
      <c r="I18" s="77" t="str">
        <f aca="false">IF($A18="","",G18+H18)</f>
        <v/>
      </c>
      <c r="J18" s="78" t="str">
        <f aca="false">IF($A18="","",0)</f>
        <v/>
      </c>
      <c r="K18" s="77" t="str">
        <f aca="false">IF($A18="","",F18*J18+INDEX(BAHARY!$N$2:$N$901,256))</f>
        <v/>
      </c>
      <c r="L18" s="79" t="str">
        <f aca="false">IF($A18="","",I18-K18)</f>
        <v/>
      </c>
    </row>
    <row r="19" customFormat="false" ht="15" hidden="false" customHeight="true" outlineLevel="0" collapsed="false">
      <c r="A19" s="75" t="str">
        <f aca="false">IF(257&lt;=Check!$C$4,INDEX(BAHARY!$A$2:$A$901,257),"")</f>
        <v/>
      </c>
      <c r="B19" s="76" t="str">
        <f aca="false">IF($A19="","",INDEX(BAHARY!$B$2:$B$901,257))</f>
        <v/>
      </c>
      <c r="C19" s="76" t="str">
        <f aca="false">IF($A19="","",INDEX(BAHARY!$C$2:$C$901,257))</f>
        <v/>
      </c>
      <c r="D19" s="77" t="str">
        <f aca="false">IF($A19="","",INDEX(BAHARY!$H$2:$H$901,257))</f>
        <v/>
      </c>
      <c r="E19" s="77" t="str">
        <f aca="false">IF($A19="","",INDEX(BAHARY!$E$2:$E$901,257))</f>
        <v/>
      </c>
      <c r="F19" s="77" t="str">
        <f aca="false">IF($A19="","",D19+E19)</f>
        <v/>
      </c>
      <c r="G19" s="77" t="str">
        <f aca="false">IF($A19="","",D19*(1-'كشف المطالبة'!$D$5))</f>
        <v/>
      </c>
      <c r="H19" s="77" t="str">
        <f aca="false">IF($A19="","",E19*(1-'كشف المطالبة'!$D$6))</f>
        <v/>
      </c>
      <c r="I19" s="77" t="str">
        <f aca="false">IF($A19="","",G19+H19)</f>
        <v/>
      </c>
      <c r="J19" s="78" t="str">
        <f aca="false">IF($A19="","",0)</f>
        <v/>
      </c>
      <c r="K19" s="77" t="str">
        <f aca="false">IF($A19="","",F19*J19+INDEX(BAHARY!$N$2:$N$901,257))</f>
        <v/>
      </c>
      <c r="L19" s="79" t="str">
        <f aca="false">IF($A19="","",I19-K19)</f>
        <v/>
      </c>
    </row>
    <row r="20" customFormat="false" ht="15" hidden="false" customHeight="true" outlineLevel="0" collapsed="false">
      <c r="A20" s="75" t="str">
        <f aca="false">IF(258&lt;=Check!$C$4,INDEX(BAHARY!$A$2:$A$901,258),"")</f>
        <v/>
      </c>
      <c r="B20" s="76" t="str">
        <f aca="false">IF($A20="","",INDEX(BAHARY!$B$2:$B$901,258))</f>
        <v/>
      </c>
      <c r="C20" s="76" t="str">
        <f aca="false">IF($A20="","",INDEX(BAHARY!$C$2:$C$901,258))</f>
        <v/>
      </c>
      <c r="D20" s="77" t="str">
        <f aca="false">IF($A20="","",INDEX(BAHARY!$H$2:$H$901,258))</f>
        <v/>
      </c>
      <c r="E20" s="77" t="str">
        <f aca="false">IF($A20="","",INDEX(BAHARY!$E$2:$E$901,258))</f>
        <v/>
      </c>
      <c r="F20" s="77" t="str">
        <f aca="false">IF($A20="","",D20+E20)</f>
        <v/>
      </c>
      <c r="G20" s="77" t="str">
        <f aca="false">IF($A20="","",D20*(1-'كشف المطالبة'!$D$5))</f>
        <v/>
      </c>
      <c r="H20" s="77" t="str">
        <f aca="false">IF($A20="","",E20*(1-'كشف المطالبة'!$D$6))</f>
        <v/>
      </c>
      <c r="I20" s="77" t="str">
        <f aca="false">IF($A20="","",G20+H20)</f>
        <v/>
      </c>
      <c r="J20" s="78" t="str">
        <f aca="false">IF($A20="","",0)</f>
        <v/>
      </c>
      <c r="K20" s="77" t="str">
        <f aca="false">IF($A20="","",F20*J20+INDEX(BAHARY!$N$2:$N$901,258))</f>
        <v/>
      </c>
      <c r="L20" s="79" t="str">
        <f aca="false">IF($A20="","",I20-K20)</f>
        <v/>
      </c>
    </row>
    <row r="21" customFormat="false" ht="15" hidden="false" customHeight="true" outlineLevel="0" collapsed="false">
      <c r="A21" s="75" t="str">
        <f aca="false">IF(259&lt;=Check!$C$4,INDEX(BAHARY!$A$2:$A$901,259),"")</f>
        <v/>
      </c>
      <c r="B21" s="76" t="str">
        <f aca="false">IF($A21="","",INDEX(BAHARY!$B$2:$B$901,259))</f>
        <v/>
      </c>
      <c r="C21" s="76" t="str">
        <f aca="false">IF($A21="","",INDEX(BAHARY!$C$2:$C$901,259))</f>
        <v/>
      </c>
      <c r="D21" s="77" t="str">
        <f aca="false">IF($A21="","",INDEX(BAHARY!$H$2:$H$901,259))</f>
        <v/>
      </c>
      <c r="E21" s="77" t="str">
        <f aca="false">IF($A21="","",INDEX(BAHARY!$E$2:$E$901,259))</f>
        <v/>
      </c>
      <c r="F21" s="77" t="str">
        <f aca="false">IF($A21="","",D21+E21)</f>
        <v/>
      </c>
      <c r="G21" s="77" t="str">
        <f aca="false">IF($A21="","",D21*(1-'كشف المطالبة'!$D$5))</f>
        <v/>
      </c>
      <c r="H21" s="77" t="str">
        <f aca="false">IF($A21="","",E21*(1-'كشف المطالبة'!$D$6))</f>
        <v/>
      </c>
      <c r="I21" s="77" t="str">
        <f aca="false">IF($A21="","",G21+H21)</f>
        <v/>
      </c>
      <c r="J21" s="78" t="str">
        <f aca="false">IF($A21="","",0)</f>
        <v/>
      </c>
      <c r="K21" s="77" t="str">
        <f aca="false">IF($A21="","",F21*J21+INDEX(BAHARY!$N$2:$N$901,259))</f>
        <v/>
      </c>
      <c r="L21" s="79" t="str">
        <f aca="false">IF($A21="","",I21-K21)</f>
        <v/>
      </c>
    </row>
    <row r="22" customFormat="false" ht="15" hidden="false" customHeight="true" outlineLevel="0" collapsed="false">
      <c r="A22" s="75" t="str">
        <f aca="false">IF(260&lt;=Check!$C$4,INDEX(BAHARY!$A$2:$A$901,260),"")</f>
        <v/>
      </c>
      <c r="B22" s="76" t="str">
        <f aca="false">IF($A22="","",INDEX(BAHARY!$B$2:$B$901,260))</f>
        <v/>
      </c>
      <c r="C22" s="76" t="str">
        <f aca="false">IF($A22="","",INDEX(BAHARY!$C$2:$C$901,260))</f>
        <v/>
      </c>
      <c r="D22" s="77" t="str">
        <f aca="false">IF($A22="","",INDEX(BAHARY!$H$2:$H$901,260))</f>
        <v/>
      </c>
      <c r="E22" s="77" t="str">
        <f aca="false">IF($A22="","",INDEX(BAHARY!$E$2:$E$901,260))</f>
        <v/>
      </c>
      <c r="F22" s="77" t="str">
        <f aca="false">IF($A22="","",D22+E22)</f>
        <v/>
      </c>
      <c r="G22" s="77" t="str">
        <f aca="false">IF($A22="","",D22*(1-'كشف المطالبة'!$D$5))</f>
        <v/>
      </c>
      <c r="H22" s="77" t="str">
        <f aca="false">IF($A22="","",E22*(1-'كشف المطالبة'!$D$6))</f>
        <v/>
      </c>
      <c r="I22" s="77" t="str">
        <f aca="false">IF($A22="","",G22+H22)</f>
        <v/>
      </c>
      <c r="J22" s="78" t="str">
        <f aca="false">IF($A22="","",0)</f>
        <v/>
      </c>
      <c r="K22" s="77" t="str">
        <f aca="false">IF($A22="","",F22*J22+INDEX(BAHARY!$N$2:$N$901,260))</f>
        <v/>
      </c>
      <c r="L22" s="79" t="str">
        <f aca="false">IF($A22="","",I22-K22)</f>
        <v/>
      </c>
    </row>
    <row r="23" customFormat="false" ht="15" hidden="false" customHeight="true" outlineLevel="0" collapsed="false">
      <c r="A23" s="75" t="str">
        <f aca="false">IF(261&lt;=Check!$C$4,INDEX(BAHARY!$A$2:$A$901,261),"")</f>
        <v/>
      </c>
      <c r="B23" s="76" t="str">
        <f aca="false">IF($A23="","",INDEX(BAHARY!$B$2:$B$901,261))</f>
        <v/>
      </c>
      <c r="C23" s="76" t="str">
        <f aca="false">IF($A23="","",INDEX(BAHARY!$C$2:$C$901,261))</f>
        <v/>
      </c>
      <c r="D23" s="77" t="str">
        <f aca="false">IF($A23="","",INDEX(BAHARY!$H$2:$H$901,261))</f>
        <v/>
      </c>
      <c r="E23" s="77" t="str">
        <f aca="false">IF($A23="","",INDEX(BAHARY!$E$2:$E$901,261))</f>
        <v/>
      </c>
      <c r="F23" s="77" t="str">
        <f aca="false">IF($A23="","",D23+E23)</f>
        <v/>
      </c>
      <c r="G23" s="77" t="str">
        <f aca="false">IF($A23="","",D23*(1-'كشف المطالبة'!$D$5))</f>
        <v/>
      </c>
      <c r="H23" s="77" t="str">
        <f aca="false">IF($A23="","",E23*(1-'كشف المطالبة'!$D$6))</f>
        <v/>
      </c>
      <c r="I23" s="77" t="str">
        <f aca="false">IF($A23="","",G23+H23)</f>
        <v/>
      </c>
      <c r="J23" s="78" t="str">
        <f aca="false">IF($A23="","",0)</f>
        <v/>
      </c>
      <c r="K23" s="77" t="str">
        <f aca="false">IF($A23="","",F23*J23+INDEX(BAHARY!$N$2:$N$901,261))</f>
        <v/>
      </c>
      <c r="L23" s="79" t="str">
        <f aca="false">IF($A23="","",I23-K23)</f>
        <v/>
      </c>
    </row>
    <row r="24" customFormat="false" ht="15" hidden="false" customHeight="true" outlineLevel="0" collapsed="false">
      <c r="A24" s="75" t="str">
        <f aca="false">IF(262&lt;=Check!$C$4,INDEX(BAHARY!$A$2:$A$901,262),"")</f>
        <v/>
      </c>
      <c r="B24" s="76" t="str">
        <f aca="false">IF($A24="","",INDEX(BAHARY!$B$2:$B$901,262))</f>
        <v/>
      </c>
      <c r="C24" s="76" t="str">
        <f aca="false">IF($A24="","",INDEX(BAHARY!$C$2:$C$901,262))</f>
        <v/>
      </c>
      <c r="D24" s="77" t="str">
        <f aca="false">IF($A24="","",INDEX(BAHARY!$H$2:$H$901,262))</f>
        <v/>
      </c>
      <c r="E24" s="77" t="str">
        <f aca="false">IF($A24="","",INDEX(BAHARY!$E$2:$E$901,262))</f>
        <v/>
      </c>
      <c r="F24" s="77" t="str">
        <f aca="false">IF($A24="","",D24+E24)</f>
        <v/>
      </c>
      <c r="G24" s="77" t="str">
        <f aca="false">IF($A24="","",D24*(1-'كشف المطالبة'!$D$5))</f>
        <v/>
      </c>
      <c r="H24" s="77" t="str">
        <f aca="false">IF($A24="","",E24*(1-'كشف المطالبة'!$D$6))</f>
        <v/>
      </c>
      <c r="I24" s="77" t="str">
        <f aca="false">IF($A24="","",G24+H24)</f>
        <v/>
      </c>
      <c r="J24" s="78" t="str">
        <f aca="false">IF($A24="","",0)</f>
        <v/>
      </c>
      <c r="K24" s="77" t="str">
        <f aca="false">IF($A24="","",F24*J24+INDEX(BAHARY!$N$2:$N$901,262))</f>
        <v/>
      </c>
      <c r="L24" s="79" t="str">
        <f aca="false">IF($A24="","",I24-K24)</f>
        <v/>
      </c>
    </row>
    <row r="25" customFormat="false" ht="15" hidden="false" customHeight="true" outlineLevel="0" collapsed="false">
      <c r="A25" s="75" t="str">
        <f aca="false">IF(263&lt;=Check!$C$4,INDEX(BAHARY!$A$2:$A$901,263),"")</f>
        <v/>
      </c>
      <c r="B25" s="76" t="str">
        <f aca="false">IF($A25="","",INDEX(BAHARY!$B$2:$B$901,263))</f>
        <v/>
      </c>
      <c r="C25" s="76" t="str">
        <f aca="false">IF($A25="","",INDEX(BAHARY!$C$2:$C$901,263))</f>
        <v/>
      </c>
      <c r="D25" s="77" t="str">
        <f aca="false">IF($A25="","",INDEX(BAHARY!$H$2:$H$901,263))</f>
        <v/>
      </c>
      <c r="E25" s="77" t="str">
        <f aca="false">IF($A25="","",INDEX(BAHARY!$E$2:$E$901,263))</f>
        <v/>
      </c>
      <c r="F25" s="77" t="str">
        <f aca="false">IF($A25="","",D25+E25)</f>
        <v/>
      </c>
      <c r="G25" s="77" t="str">
        <f aca="false">IF($A25="","",D25*(1-'كشف المطالبة'!$D$5))</f>
        <v/>
      </c>
      <c r="H25" s="77" t="str">
        <f aca="false">IF($A25="","",E25*(1-'كشف المطالبة'!$D$6))</f>
        <v/>
      </c>
      <c r="I25" s="77" t="str">
        <f aca="false">IF($A25="","",G25+H25)</f>
        <v/>
      </c>
      <c r="J25" s="78" t="str">
        <f aca="false">IF($A25="","",0)</f>
        <v/>
      </c>
      <c r="K25" s="77" t="str">
        <f aca="false">IF($A25="","",F25*J25+INDEX(BAHARY!$N$2:$N$901,263))</f>
        <v/>
      </c>
      <c r="L25" s="79" t="str">
        <f aca="false">IF($A25="","",I25-K25)</f>
        <v/>
      </c>
    </row>
    <row r="26" customFormat="false" ht="15" hidden="false" customHeight="true" outlineLevel="0" collapsed="false">
      <c r="A26" s="75" t="str">
        <f aca="false">IF(264&lt;=Check!$C$4,INDEX(BAHARY!$A$2:$A$901,264),"")</f>
        <v/>
      </c>
      <c r="B26" s="76" t="str">
        <f aca="false">IF($A26="","",INDEX(BAHARY!$B$2:$B$901,264))</f>
        <v/>
      </c>
      <c r="C26" s="76" t="str">
        <f aca="false">IF($A26="","",INDEX(BAHARY!$C$2:$C$901,264))</f>
        <v/>
      </c>
      <c r="D26" s="77" t="str">
        <f aca="false">IF($A26="","",INDEX(BAHARY!$H$2:$H$901,264))</f>
        <v/>
      </c>
      <c r="E26" s="77" t="str">
        <f aca="false">IF($A26="","",INDEX(BAHARY!$E$2:$E$901,264))</f>
        <v/>
      </c>
      <c r="F26" s="77" t="str">
        <f aca="false">IF($A26="","",D26+E26)</f>
        <v/>
      </c>
      <c r="G26" s="77" t="str">
        <f aca="false">IF($A26="","",D26*(1-'كشف المطالبة'!$D$5))</f>
        <v/>
      </c>
      <c r="H26" s="77" t="str">
        <f aca="false">IF($A26="","",E26*(1-'كشف المطالبة'!$D$6))</f>
        <v/>
      </c>
      <c r="I26" s="77" t="str">
        <f aca="false">IF($A26="","",G26+H26)</f>
        <v/>
      </c>
      <c r="J26" s="78" t="str">
        <f aca="false">IF($A26="","",0)</f>
        <v/>
      </c>
      <c r="K26" s="77" t="str">
        <f aca="false">IF($A26="","",F26*J26+INDEX(BAHARY!$N$2:$N$901,264))</f>
        <v/>
      </c>
      <c r="L26" s="79" t="str">
        <f aca="false">IF($A26="","",I26-K26)</f>
        <v/>
      </c>
    </row>
    <row r="27" customFormat="false" ht="15" hidden="false" customHeight="true" outlineLevel="0" collapsed="false">
      <c r="A27" s="75" t="str">
        <f aca="false">IF(265&lt;=Check!$C$4,INDEX(BAHARY!$A$2:$A$901,265),"")</f>
        <v/>
      </c>
      <c r="B27" s="76" t="str">
        <f aca="false">IF($A27="","",INDEX(BAHARY!$B$2:$B$901,265))</f>
        <v/>
      </c>
      <c r="C27" s="76" t="str">
        <f aca="false">IF($A27="","",INDEX(BAHARY!$C$2:$C$901,265))</f>
        <v/>
      </c>
      <c r="D27" s="77" t="str">
        <f aca="false">IF($A27="","",INDEX(BAHARY!$H$2:$H$901,265))</f>
        <v/>
      </c>
      <c r="E27" s="77" t="str">
        <f aca="false">IF($A27="","",INDEX(BAHARY!$E$2:$E$901,265))</f>
        <v/>
      </c>
      <c r="F27" s="77" t="str">
        <f aca="false">IF($A27="","",D27+E27)</f>
        <v/>
      </c>
      <c r="G27" s="77" t="str">
        <f aca="false">IF($A27="","",D27*(1-'كشف المطالبة'!$D$5))</f>
        <v/>
      </c>
      <c r="H27" s="77" t="str">
        <f aca="false">IF($A27="","",E27*(1-'كشف المطالبة'!$D$6))</f>
        <v/>
      </c>
      <c r="I27" s="77" t="str">
        <f aca="false">IF($A27="","",G27+H27)</f>
        <v/>
      </c>
      <c r="J27" s="78" t="str">
        <f aca="false">IF($A27="","",0)</f>
        <v/>
      </c>
      <c r="K27" s="77" t="str">
        <f aca="false">IF($A27="","",F27*J27+INDEX(BAHARY!$N$2:$N$901,265))</f>
        <v/>
      </c>
      <c r="L27" s="79" t="str">
        <f aca="false">IF($A27="","",I27-K27)</f>
        <v/>
      </c>
    </row>
    <row r="28" customFormat="false" ht="15" hidden="false" customHeight="true" outlineLevel="0" collapsed="false">
      <c r="A28" s="75" t="str">
        <f aca="false">IF(266&lt;=Check!$C$4,INDEX(BAHARY!$A$2:$A$901,266),"")</f>
        <v/>
      </c>
      <c r="B28" s="76" t="str">
        <f aca="false">IF($A28="","",INDEX(BAHARY!$B$2:$B$901,266))</f>
        <v/>
      </c>
      <c r="C28" s="76" t="str">
        <f aca="false">IF($A28="","",INDEX(BAHARY!$C$2:$C$901,266))</f>
        <v/>
      </c>
      <c r="D28" s="77" t="str">
        <f aca="false">IF($A28="","",INDEX(BAHARY!$H$2:$H$901,266))</f>
        <v/>
      </c>
      <c r="E28" s="77" t="str">
        <f aca="false">IF($A28="","",INDEX(BAHARY!$E$2:$E$901,266))</f>
        <v/>
      </c>
      <c r="F28" s="77" t="str">
        <f aca="false">IF($A28="","",D28+E28)</f>
        <v/>
      </c>
      <c r="G28" s="77" t="str">
        <f aca="false">IF($A28="","",D28*(1-'كشف المطالبة'!$D$5))</f>
        <v/>
      </c>
      <c r="H28" s="77" t="str">
        <f aca="false">IF($A28="","",E28*(1-'كشف المطالبة'!$D$6))</f>
        <v/>
      </c>
      <c r="I28" s="77" t="str">
        <f aca="false">IF($A28="","",G28+H28)</f>
        <v/>
      </c>
      <c r="J28" s="78" t="str">
        <f aca="false">IF($A28="","",0)</f>
        <v/>
      </c>
      <c r="K28" s="77" t="str">
        <f aca="false">IF($A28="","",F28*J28+INDEX(BAHARY!$N$2:$N$901,266))</f>
        <v/>
      </c>
      <c r="L28" s="79" t="str">
        <f aca="false">IF($A28="","",I28-K28)</f>
        <v/>
      </c>
    </row>
    <row r="29" customFormat="false" ht="15" hidden="false" customHeight="true" outlineLevel="0" collapsed="false">
      <c r="A29" s="75" t="str">
        <f aca="false">IF(267&lt;=Check!$C$4,INDEX(BAHARY!$A$2:$A$901,267),"")</f>
        <v/>
      </c>
      <c r="B29" s="76" t="str">
        <f aca="false">IF($A29="","",INDEX(BAHARY!$B$2:$B$901,267))</f>
        <v/>
      </c>
      <c r="C29" s="76" t="str">
        <f aca="false">IF($A29="","",INDEX(BAHARY!$C$2:$C$901,267))</f>
        <v/>
      </c>
      <c r="D29" s="77" t="str">
        <f aca="false">IF($A29="","",INDEX(BAHARY!$H$2:$H$901,267))</f>
        <v/>
      </c>
      <c r="E29" s="77" t="str">
        <f aca="false">IF($A29="","",INDEX(BAHARY!$E$2:$E$901,267))</f>
        <v/>
      </c>
      <c r="F29" s="77" t="str">
        <f aca="false">IF($A29="","",D29+E29)</f>
        <v/>
      </c>
      <c r="G29" s="77" t="str">
        <f aca="false">IF($A29="","",D29*(1-'كشف المطالبة'!$D$5))</f>
        <v/>
      </c>
      <c r="H29" s="77" t="str">
        <f aca="false">IF($A29="","",E29*(1-'كشف المطالبة'!$D$6))</f>
        <v/>
      </c>
      <c r="I29" s="77" t="str">
        <f aca="false">IF($A29="","",G29+H29)</f>
        <v/>
      </c>
      <c r="J29" s="78" t="str">
        <f aca="false">IF($A29="","",0)</f>
        <v/>
      </c>
      <c r="K29" s="77" t="str">
        <f aca="false">IF($A29="","",F29*J29+INDEX(BAHARY!$N$2:$N$901,267))</f>
        <v/>
      </c>
      <c r="L29" s="79" t="str">
        <f aca="false">IF($A29="","",I29-K29)</f>
        <v/>
      </c>
    </row>
    <row r="30" customFormat="false" ht="15" hidden="false" customHeight="true" outlineLevel="0" collapsed="false">
      <c r="A30" s="75" t="str">
        <f aca="false">IF(268&lt;=Check!$C$4,INDEX(BAHARY!$A$2:$A$901,268),"")</f>
        <v/>
      </c>
      <c r="B30" s="76" t="str">
        <f aca="false">IF($A30="","",INDEX(BAHARY!$B$2:$B$901,268))</f>
        <v/>
      </c>
      <c r="C30" s="76" t="str">
        <f aca="false">IF($A30="","",INDEX(BAHARY!$C$2:$C$901,268))</f>
        <v/>
      </c>
      <c r="D30" s="77" t="str">
        <f aca="false">IF($A30="","",INDEX(BAHARY!$H$2:$H$901,268))</f>
        <v/>
      </c>
      <c r="E30" s="77" t="str">
        <f aca="false">IF($A30="","",INDEX(BAHARY!$E$2:$E$901,268))</f>
        <v/>
      </c>
      <c r="F30" s="77" t="str">
        <f aca="false">IF($A30="","",D30+E30)</f>
        <v/>
      </c>
      <c r="G30" s="77" t="str">
        <f aca="false">IF($A30="","",D30*(1-'كشف المطالبة'!$D$5))</f>
        <v/>
      </c>
      <c r="H30" s="77" t="str">
        <f aca="false">IF($A30="","",E30*(1-'كشف المطالبة'!$D$6))</f>
        <v/>
      </c>
      <c r="I30" s="77" t="str">
        <f aca="false">IF($A30="","",G30+H30)</f>
        <v/>
      </c>
      <c r="J30" s="78" t="str">
        <f aca="false">IF($A30="","",0)</f>
        <v/>
      </c>
      <c r="K30" s="77" t="str">
        <f aca="false">IF($A30="","",F30*J30+INDEX(BAHARY!$N$2:$N$901,268))</f>
        <v/>
      </c>
      <c r="L30" s="79" t="str">
        <f aca="false">IF($A30="","",I30-K30)</f>
        <v/>
      </c>
    </row>
    <row r="31" customFormat="false" ht="15" hidden="false" customHeight="true" outlineLevel="0" collapsed="false">
      <c r="A31" s="75" t="str">
        <f aca="false">IF(269&lt;=Check!$C$4,INDEX(BAHARY!$A$2:$A$901,269),"")</f>
        <v/>
      </c>
      <c r="B31" s="76" t="str">
        <f aca="false">IF($A31="","",INDEX(BAHARY!$B$2:$B$901,269))</f>
        <v/>
      </c>
      <c r="C31" s="76" t="str">
        <f aca="false">IF($A31="","",INDEX(BAHARY!$C$2:$C$901,269))</f>
        <v/>
      </c>
      <c r="D31" s="77" t="str">
        <f aca="false">IF($A31="","",INDEX(BAHARY!$H$2:$H$901,269))</f>
        <v/>
      </c>
      <c r="E31" s="77" t="str">
        <f aca="false">IF($A31="","",INDEX(BAHARY!$E$2:$E$901,269))</f>
        <v/>
      </c>
      <c r="F31" s="77" t="str">
        <f aca="false">IF($A31="","",D31+E31)</f>
        <v/>
      </c>
      <c r="G31" s="77" t="str">
        <f aca="false">IF($A31="","",D31*(1-'كشف المطالبة'!$D$5))</f>
        <v/>
      </c>
      <c r="H31" s="77" t="str">
        <f aca="false">IF($A31="","",E31*(1-'كشف المطالبة'!$D$6))</f>
        <v/>
      </c>
      <c r="I31" s="77" t="str">
        <f aca="false">IF($A31="","",G31+H31)</f>
        <v/>
      </c>
      <c r="J31" s="78" t="str">
        <f aca="false">IF($A31="","",0)</f>
        <v/>
      </c>
      <c r="K31" s="77" t="str">
        <f aca="false">IF($A31="","",F31*J31+INDEX(BAHARY!$N$2:$N$901,269))</f>
        <v/>
      </c>
      <c r="L31" s="79" t="str">
        <f aca="false">IF($A31="","",I31-K31)</f>
        <v/>
      </c>
    </row>
    <row r="32" customFormat="false" ht="15" hidden="false" customHeight="true" outlineLevel="0" collapsed="false">
      <c r="A32" s="75" t="str">
        <f aca="false">IF(270&lt;=Check!$C$4,INDEX(BAHARY!$A$2:$A$901,270),"")</f>
        <v/>
      </c>
      <c r="B32" s="76" t="str">
        <f aca="false">IF($A32="","",INDEX(BAHARY!$B$2:$B$901,270))</f>
        <v/>
      </c>
      <c r="C32" s="76" t="str">
        <f aca="false">IF($A32="","",INDEX(BAHARY!$C$2:$C$901,270))</f>
        <v/>
      </c>
      <c r="D32" s="77" t="str">
        <f aca="false">IF($A32="","",INDEX(BAHARY!$H$2:$H$901,270))</f>
        <v/>
      </c>
      <c r="E32" s="77" t="str">
        <f aca="false">IF($A32="","",INDEX(BAHARY!$E$2:$E$901,270))</f>
        <v/>
      </c>
      <c r="F32" s="77" t="str">
        <f aca="false">IF($A32="","",D32+E32)</f>
        <v/>
      </c>
      <c r="G32" s="77" t="str">
        <f aca="false">IF($A32="","",D32*(1-'كشف المطالبة'!$D$5))</f>
        <v/>
      </c>
      <c r="H32" s="77" t="str">
        <f aca="false">IF($A32="","",E32*(1-'كشف المطالبة'!$D$6))</f>
        <v/>
      </c>
      <c r="I32" s="77" t="str">
        <f aca="false">IF($A32="","",G32+H32)</f>
        <v/>
      </c>
      <c r="J32" s="78" t="str">
        <f aca="false">IF($A32="","",0)</f>
        <v/>
      </c>
      <c r="K32" s="77" t="str">
        <f aca="false">IF($A32="","",F32*J32+INDEX(BAHARY!$N$2:$N$901,270))</f>
        <v/>
      </c>
      <c r="L32" s="79" t="str">
        <f aca="false">IF($A32="","",I32-K32)</f>
        <v/>
      </c>
    </row>
    <row r="33" customFormat="false" ht="15" hidden="false" customHeight="true" outlineLevel="0" collapsed="false">
      <c r="A33" s="75" t="str">
        <f aca="false">IF(271&lt;=Check!$C$4,INDEX(BAHARY!$A$2:$A$901,271),"")</f>
        <v/>
      </c>
      <c r="B33" s="76" t="str">
        <f aca="false">IF($A33="","",INDEX(BAHARY!$B$2:$B$901,271))</f>
        <v/>
      </c>
      <c r="C33" s="76" t="str">
        <f aca="false">IF($A33="","",INDEX(BAHARY!$C$2:$C$901,271))</f>
        <v/>
      </c>
      <c r="D33" s="77" t="str">
        <f aca="false">IF($A33="","",INDEX(BAHARY!$H$2:$H$901,271))</f>
        <v/>
      </c>
      <c r="E33" s="77" t="str">
        <f aca="false">IF($A33="","",INDEX(BAHARY!$E$2:$E$901,271))</f>
        <v/>
      </c>
      <c r="F33" s="77" t="str">
        <f aca="false">IF($A33="","",D33+E33)</f>
        <v/>
      </c>
      <c r="G33" s="77" t="str">
        <f aca="false">IF($A33="","",D33*(1-'كشف المطالبة'!$D$5))</f>
        <v/>
      </c>
      <c r="H33" s="77" t="str">
        <f aca="false">IF($A33="","",E33*(1-'كشف المطالبة'!$D$6))</f>
        <v/>
      </c>
      <c r="I33" s="77" t="str">
        <f aca="false">IF($A33="","",G33+H33)</f>
        <v/>
      </c>
      <c r="J33" s="78" t="str">
        <f aca="false">IF($A33="","",0)</f>
        <v/>
      </c>
      <c r="K33" s="77" t="str">
        <f aca="false">IF($A33="","",F33*J33+INDEX(BAHARY!$N$2:$N$901,271))</f>
        <v/>
      </c>
      <c r="L33" s="79" t="str">
        <f aca="false">IF($A33="","",I33-K33)</f>
        <v/>
      </c>
    </row>
    <row r="34" customFormat="false" ht="15" hidden="false" customHeight="true" outlineLevel="0" collapsed="false">
      <c r="A34" s="75" t="str">
        <f aca="false">IF(272&lt;=Check!$C$4,INDEX(BAHARY!$A$2:$A$901,272),"")</f>
        <v/>
      </c>
      <c r="B34" s="76" t="str">
        <f aca="false">IF($A34="","",INDEX(BAHARY!$B$2:$B$901,272))</f>
        <v/>
      </c>
      <c r="C34" s="76" t="str">
        <f aca="false">IF($A34="","",INDEX(BAHARY!$C$2:$C$901,272))</f>
        <v/>
      </c>
      <c r="D34" s="77" t="str">
        <f aca="false">IF($A34="","",INDEX(BAHARY!$H$2:$H$901,272))</f>
        <v/>
      </c>
      <c r="E34" s="77" t="str">
        <f aca="false">IF($A34="","",INDEX(BAHARY!$E$2:$E$901,272))</f>
        <v/>
      </c>
      <c r="F34" s="77" t="str">
        <f aca="false">IF($A34="","",D34+E34)</f>
        <v/>
      </c>
      <c r="G34" s="77" t="str">
        <f aca="false">IF($A34="","",D34*(1-'كشف المطالبة'!$D$5))</f>
        <v/>
      </c>
      <c r="H34" s="77" t="str">
        <f aca="false">IF($A34="","",E34*(1-'كشف المطالبة'!$D$6))</f>
        <v/>
      </c>
      <c r="I34" s="77" t="str">
        <f aca="false">IF($A34="","",G34+H34)</f>
        <v/>
      </c>
      <c r="J34" s="78" t="str">
        <f aca="false">IF($A34="","",0)</f>
        <v/>
      </c>
      <c r="K34" s="77" t="str">
        <f aca="false">IF($A34="","",F34*J34+INDEX(BAHARY!$N$2:$N$901,272))</f>
        <v/>
      </c>
      <c r="L34" s="79" t="str">
        <f aca="false">IF($A34="","",I34-K34)</f>
        <v/>
      </c>
    </row>
    <row r="35" customFormat="false" ht="15" hidden="false" customHeight="true" outlineLevel="0" collapsed="false">
      <c r="A35" s="75" t="str">
        <f aca="false">IF(273&lt;=Check!$C$4,INDEX(BAHARY!$A$2:$A$901,273),"")</f>
        <v/>
      </c>
      <c r="B35" s="76" t="str">
        <f aca="false">IF($A35="","",INDEX(BAHARY!$B$2:$B$901,273))</f>
        <v/>
      </c>
      <c r="C35" s="76" t="str">
        <f aca="false">IF($A35="","",INDEX(BAHARY!$C$2:$C$901,273))</f>
        <v/>
      </c>
      <c r="D35" s="77" t="str">
        <f aca="false">IF($A35="","",INDEX(BAHARY!$H$2:$H$901,273))</f>
        <v/>
      </c>
      <c r="E35" s="77" t="str">
        <f aca="false">IF($A35="","",INDEX(BAHARY!$E$2:$E$901,273))</f>
        <v/>
      </c>
      <c r="F35" s="77" t="str">
        <f aca="false">IF($A35="","",D35+E35)</f>
        <v/>
      </c>
      <c r="G35" s="77" t="str">
        <f aca="false">IF($A35="","",D35*(1-'كشف المطالبة'!$D$5))</f>
        <v/>
      </c>
      <c r="H35" s="77" t="str">
        <f aca="false">IF($A35="","",E35*(1-'كشف المطالبة'!$D$6))</f>
        <v/>
      </c>
      <c r="I35" s="77" t="str">
        <f aca="false">IF($A35="","",G35+H35)</f>
        <v/>
      </c>
      <c r="J35" s="78" t="str">
        <f aca="false">IF($A35="","",0)</f>
        <v/>
      </c>
      <c r="K35" s="77" t="str">
        <f aca="false">IF($A35="","",F35*J35+INDEX(BAHARY!$N$2:$N$901,273))</f>
        <v/>
      </c>
      <c r="L35" s="79" t="str">
        <f aca="false">IF($A35="","",I35-K35)</f>
        <v/>
      </c>
    </row>
    <row r="36" customFormat="false" ht="15" hidden="false" customHeight="true" outlineLevel="0" collapsed="false">
      <c r="A36" s="75" t="str">
        <f aca="false">IF(274&lt;=Check!$C$4,INDEX(BAHARY!$A$2:$A$901,274),"")</f>
        <v/>
      </c>
      <c r="B36" s="76" t="str">
        <f aca="false">IF($A36="","",INDEX(BAHARY!$B$2:$B$901,274))</f>
        <v/>
      </c>
      <c r="C36" s="76" t="str">
        <f aca="false">IF($A36="","",INDEX(BAHARY!$C$2:$C$901,274))</f>
        <v/>
      </c>
      <c r="D36" s="77" t="str">
        <f aca="false">IF($A36="","",INDEX(BAHARY!$H$2:$H$901,274))</f>
        <v/>
      </c>
      <c r="E36" s="77" t="str">
        <f aca="false">IF($A36="","",INDEX(BAHARY!$E$2:$E$901,274))</f>
        <v/>
      </c>
      <c r="F36" s="77" t="str">
        <f aca="false">IF($A36="","",D36+E36)</f>
        <v/>
      </c>
      <c r="G36" s="77" t="str">
        <f aca="false">IF($A36="","",D36*(1-'كشف المطالبة'!$D$5))</f>
        <v/>
      </c>
      <c r="H36" s="77" t="str">
        <f aca="false">IF($A36="","",E36*(1-'كشف المطالبة'!$D$6))</f>
        <v/>
      </c>
      <c r="I36" s="77" t="str">
        <f aca="false">IF($A36="","",G36+H36)</f>
        <v/>
      </c>
      <c r="J36" s="78" t="str">
        <f aca="false">IF($A36="","",0)</f>
        <v/>
      </c>
      <c r="K36" s="77" t="str">
        <f aca="false">IF($A36="","",F36*J36+INDEX(BAHARY!$N$2:$N$901,274))</f>
        <v/>
      </c>
      <c r="L36" s="79" t="str">
        <f aca="false">IF($A36="","",I36-K36)</f>
        <v/>
      </c>
    </row>
    <row r="37" customFormat="false" ht="15" hidden="false" customHeight="true" outlineLevel="0" collapsed="false">
      <c r="A37" s="75" t="str">
        <f aca="false">IF(275&lt;=Check!$C$4,INDEX(BAHARY!$A$2:$A$901,275),"")</f>
        <v/>
      </c>
      <c r="B37" s="76" t="str">
        <f aca="false">IF($A37="","",INDEX(BAHARY!$B$2:$B$901,275))</f>
        <v/>
      </c>
      <c r="C37" s="76" t="str">
        <f aca="false">IF($A37="","",INDEX(BAHARY!$C$2:$C$901,275))</f>
        <v/>
      </c>
      <c r="D37" s="77" t="str">
        <f aca="false">IF($A37="","",INDEX(BAHARY!$H$2:$H$901,275))</f>
        <v/>
      </c>
      <c r="E37" s="77" t="str">
        <f aca="false">IF($A37="","",INDEX(BAHARY!$E$2:$E$901,275))</f>
        <v/>
      </c>
      <c r="F37" s="77" t="str">
        <f aca="false">IF($A37="","",D37+E37)</f>
        <v/>
      </c>
      <c r="G37" s="77" t="str">
        <f aca="false">IF($A37="","",D37*(1-'كشف المطالبة'!$D$5))</f>
        <v/>
      </c>
      <c r="H37" s="77" t="str">
        <f aca="false">IF($A37="","",E37*(1-'كشف المطالبة'!$D$6))</f>
        <v/>
      </c>
      <c r="I37" s="77" t="str">
        <f aca="false">IF($A37="","",G37+H37)</f>
        <v/>
      </c>
      <c r="J37" s="78" t="str">
        <f aca="false">IF($A37="","",0)</f>
        <v/>
      </c>
      <c r="K37" s="77" t="str">
        <f aca="false">IF($A37="","",F37*J37+INDEX(BAHARY!$N$2:$N$901,275))</f>
        <v/>
      </c>
      <c r="L37" s="79" t="str">
        <f aca="false">IF($A37="","",I37-K37)</f>
        <v/>
      </c>
    </row>
    <row r="38" customFormat="false" ht="15" hidden="false" customHeight="true" outlineLevel="0" collapsed="false">
      <c r="A38" s="75" t="str">
        <f aca="false">IF(276&lt;=Check!$C$4,INDEX(BAHARY!$A$2:$A$901,276),"")</f>
        <v/>
      </c>
      <c r="B38" s="76" t="str">
        <f aca="false">IF($A38="","",INDEX(BAHARY!$B$2:$B$901,276))</f>
        <v/>
      </c>
      <c r="C38" s="76" t="str">
        <f aca="false">IF($A38="","",INDEX(BAHARY!$C$2:$C$901,276))</f>
        <v/>
      </c>
      <c r="D38" s="77" t="str">
        <f aca="false">IF($A38="","",INDEX(BAHARY!$H$2:$H$901,276))</f>
        <v/>
      </c>
      <c r="E38" s="77" t="str">
        <f aca="false">IF($A38="","",INDEX(BAHARY!$E$2:$E$901,276))</f>
        <v/>
      </c>
      <c r="F38" s="77" t="str">
        <f aca="false">IF($A38="","",D38+E38)</f>
        <v/>
      </c>
      <c r="G38" s="77" t="str">
        <f aca="false">IF($A38="","",D38*(1-'كشف المطالبة'!$D$5))</f>
        <v/>
      </c>
      <c r="H38" s="77" t="str">
        <f aca="false">IF($A38="","",E38*(1-'كشف المطالبة'!$D$6))</f>
        <v/>
      </c>
      <c r="I38" s="77" t="str">
        <f aca="false">IF($A38="","",G38+H38)</f>
        <v/>
      </c>
      <c r="J38" s="78" t="str">
        <f aca="false">IF($A38="","",0)</f>
        <v/>
      </c>
      <c r="K38" s="77" t="str">
        <f aca="false">IF($A38="","",F38*J38+INDEX(BAHARY!$N$2:$N$901,276))</f>
        <v/>
      </c>
      <c r="L38" s="79" t="str">
        <f aca="false">IF($A38="","",I38-K38)</f>
        <v/>
      </c>
    </row>
    <row r="39" customFormat="false" ht="15" hidden="false" customHeight="true" outlineLevel="0" collapsed="false">
      <c r="A39" s="75" t="str">
        <f aca="false">IF(277&lt;=Check!$C$4,INDEX(BAHARY!$A$2:$A$901,277),"")</f>
        <v/>
      </c>
      <c r="B39" s="76" t="str">
        <f aca="false">IF($A39="","",INDEX(BAHARY!$B$2:$B$901,277))</f>
        <v/>
      </c>
      <c r="C39" s="76" t="str">
        <f aca="false">IF($A39="","",INDEX(BAHARY!$C$2:$C$901,277))</f>
        <v/>
      </c>
      <c r="D39" s="77" t="str">
        <f aca="false">IF($A39="","",INDEX(BAHARY!$H$2:$H$901,277))</f>
        <v/>
      </c>
      <c r="E39" s="77" t="str">
        <f aca="false">IF($A39="","",INDEX(BAHARY!$E$2:$E$901,277))</f>
        <v/>
      </c>
      <c r="F39" s="77" t="str">
        <f aca="false">IF($A39="","",D39+E39)</f>
        <v/>
      </c>
      <c r="G39" s="77" t="str">
        <f aca="false">IF($A39="","",D39*(1-'كشف المطالبة'!$D$5))</f>
        <v/>
      </c>
      <c r="H39" s="77" t="str">
        <f aca="false">IF($A39="","",E39*(1-'كشف المطالبة'!$D$6))</f>
        <v/>
      </c>
      <c r="I39" s="77" t="str">
        <f aca="false">IF($A39="","",G39+H39)</f>
        <v/>
      </c>
      <c r="J39" s="78" t="str">
        <f aca="false">IF($A39="","",0)</f>
        <v/>
      </c>
      <c r="K39" s="77" t="str">
        <f aca="false">IF($A39="","",F39*J39+INDEX(BAHARY!$N$2:$N$901,277))</f>
        <v/>
      </c>
      <c r="L39" s="79" t="str">
        <f aca="false">IF($A39="","",I39-K39)</f>
        <v/>
      </c>
    </row>
    <row r="40" customFormat="false" ht="15" hidden="false" customHeight="true" outlineLevel="0" collapsed="false">
      <c r="A40" s="75" t="str">
        <f aca="false">IF(278&lt;=Check!$C$4,INDEX(BAHARY!$A$2:$A$901,278),"")</f>
        <v/>
      </c>
      <c r="B40" s="76" t="str">
        <f aca="false">IF($A40="","",INDEX(BAHARY!$B$2:$B$901,278))</f>
        <v/>
      </c>
      <c r="C40" s="76" t="str">
        <f aca="false">IF($A40="","",INDEX(BAHARY!$C$2:$C$901,278))</f>
        <v/>
      </c>
      <c r="D40" s="77" t="str">
        <f aca="false">IF($A40="","",INDEX(BAHARY!$H$2:$H$901,278))</f>
        <v/>
      </c>
      <c r="E40" s="77" t="str">
        <f aca="false">IF($A40="","",INDEX(BAHARY!$E$2:$E$901,278))</f>
        <v/>
      </c>
      <c r="F40" s="77" t="str">
        <f aca="false">IF($A40="","",D40+E40)</f>
        <v/>
      </c>
      <c r="G40" s="77" t="str">
        <f aca="false">IF($A40="","",D40*(1-'كشف المطالبة'!$D$5))</f>
        <v/>
      </c>
      <c r="H40" s="77" t="str">
        <f aca="false">IF($A40="","",E40*(1-'كشف المطالبة'!$D$6))</f>
        <v/>
      </c>
      <c r="I40" s="77" t="str">
        <f aca="false">IF($A40="","",G40+H40)</f>
        <v/>
      </c>
      <c r="J40" s="78" t="str">
        <f aca="false">IF($A40="","",0)</f>
        <v/>
      </c>
      <c r="K40" s="77" t="str">
        <f aca="false">IF($A40="","",F40*J40+INDEX(BAHARY!$N$2:$N$901,278))</f>
        <v/>
      </c>
      <c r="L40" s="79" t="str">
        <f aca="false">IF($A40="","",I40-K40)</f>
        <v/>
      </c>
    </row>
    <row r="41" customFormat="false" ht="15" hidden="false" customHeight="true" outlineLevel="0" collapsed="false">
      <c r="A41" s="75" t="str">
        <f aca="false">IF(279&lt;=Check!$C$4,INDEX(BAHARY!$A$2:$A$901,279),"")</f>
        <v/>
      </c>
      <c r="B41" s="76" t="str">
        <f aca="false">IF($A41="","",INDEX(BAHARY!$B$2:$B$901,279))</f>
        <v/>
      </c>
      <c r="C41" s="76" t="str">
        <f aca="false">IF($A41="","",INDEX(BAHARY!$C$2:$C$901,279))</f>
        <v/>
      </c>
      <c r="D41" s="77" t="str">
        <f aca="false">IF($A41="","",INDEX(BAHARY!$H$2:$H$901,279))</f>
        <v/>
      </c>
      <c r="E41" s="77" t="str">
        <f aca="false">IF($A41="","",INDEX(BAHARY!$E$2:$E$901,279))</f>
        <v/>
      </c>
      <c r="F41" s="77" t="str">
        <f aca="false">IF($A41="","",D41+E41)</f>
        <v/>
      </c>
      <c r="G41" s="77" t="str">
        <f aca="false">IF($A41="","",D41*(1-'كشف المطالبة'!$D$5))</f>
        <v/>
      </c>
      <c r="H41" s="77" t="str">
        <f aca="false">IF($A41="","",E41*(1-'كشف المطالبة'!$D$6))</f>
        <v/>
      </c>
      <c r="I41" s="77" t="str">
        <f aca="false">IF($A41="","",G41+H41)</f>
        <v/>
      </c>
      <c r="J41" s="78" t="str">
        <f aca="false">IF($A41="","",0)</f>
        <v/>
      </c>
      <c r="K41" s="77" t="str">
        <f aca="false">IF($A41="","",F41*J41+INDEX(BAHARY!$N$2:$N$901,279))</f>
        <v/>
      </c>
      <c r="L41" s="79" t="str">
        <f aca="false">IF($A41="","",I41-K41)</f>
        <v/>
      </c>
    </row>
    <row r="42" customFormat="false" ht="15" hidden="false" customHeight="true" outlineLevel="0" collapsed="false">
      <c r="A42" s="75" t="str">
        <f aca="false">IF(280&lt;=Check!$C$4,INDEX(BAHARY!$A$2:$A$901,280),"")</f>
        <v/>
      </c>
      <c r="B42" s="76" t="str">
        <f aca="false">IF($A42="","",INDEX(BAHARY!$B$2:$B$901,280))</f>
        <v/>
      </c>
      <c r="C42" s="76" t="str">
        <f aca="false">IF($A42="","",INDEX(BAHARY!$C$2:$C$901,280))</f>
        <v/>
      </c>
      <c r="D42" s="77" t="str">
        <f aca="false">IF($A42="","",INDEX(BAHARY!$H$2:$H$901,280))</f>
        <v/>
      </c>
      <c r="E42" s="77" t="str">
        <f aca="false">IF($A42="","",INDEX(BAHARY!$E$2:$E$901,280))</f>
        <v/>
      </c>
      <c r="F42" s="77" t="str">
        <f aca="false">IF($A42="","",D42+E42)</f>
        <v/>
      </c>
      <c r="G42" s="77" t="str">
        <f aca="false">IF($A42="","",D42*(1-'كشف المطالبة'!$D$5))</f>
        <v/>
      </c>
      <c r="H42" s="77" t="str">
        <f aca="false">IF($A42="","",E42*(1-'كشف المطالبة'!$D$6))</f>
        <v/>
      </c>
      <c r="I42" s="77" t="str">
        <f aca="false">IF($A42="","",G42+H42)</f>
        <v/>
      </c>
      <c r="J42" s="78" t="str">
        <f aca="false">IF($A42="","",0)</f>
        <v/>
      </c>
      <c r="K42" s="77" t="str">
        <f aca="false">IF($A42="","",F42*J42+INDEX(BAHARY!$N$2:$N$901,280))</f>
        <v/>
      </c>
      <c r="L42" s="79" t="str">
        <f aca="false">IF($A42="","",I42-K42)</f>
        <v/>
      </c>
    </row>
    <row r="44" customFormat="false" ht="15" hidden="false" customHeight="true" outlineLevel="0" collapsed="false"/>
    <row r="45" s="86" customFormat="true" ht="15.75" hidden="false" customHeight="true" outlineLevel="0" collapsed="false">
      <c r="A45" s="81" t="s">
        <v>114</v>
      </c>
      <c r="B45" s="81"/>
      <c r="C45" s="81"/>
      <c r="D45" s="82" t="n">
        <f aca="false">SUM(D3:D42)</f>
        <v>0</v>
      </c>
      <c r="E45" s="82" t="n">
        <f aca="false">SUM(E3:E42)</f>
        <v>0</v>
      </c>
      <c r="F45" s="82" t="n">
        <f aca="false">SUM(F3:F42)</f>
        <v>0</v>
      </c>
      <c r="G45" s="82" t="n">
        <f aca="false">SUM(G3:G42)</f>
        <v>0</v>
      </c>
      <c r="H45" s="82" t="n">
        <f aca="false">SUM(H3:H42)</f>
        <v>0</v>
      </c>
      <c r="I45" s="82" t="n">
        <f aca="false">SUM(I3:I42)</f>
        <v>0</v>
      </c>
      <c r="J45" s="83"/>
      <c r="K45" s="82" t="n">
        <f aca="false">SUM(K3:K42)</f>
        <v>0</v>
      </c>
      <c r="L45" s="84" t="n">
        <f aca="false">SUM(L3:L42)</f>
        <v>0</v>
      </c>
      <c r="M45" s="85" t="n">
        <v>7</v>
      </c>
    </row>
  </sheetData>
  <mergeCells count="4">
    <mergeCell ref="A1:B1"/>
    <mergeCell ref="E1:G1"/>
    <mergeCell ref="K1:L1"/>
    <mergeCell ref="A45:C45"/>
  </mergeCells>
  <conditionalFormatting sqref="A3:A42 D3:L42">
    <cfRule type="expression" priority="2" aboveAverage="0" equalAverage="0" bottom="0" percent="0" rank="0" text="" dxfId="6">
      <formula>ISODD(ROW())</formula>
    </cfRule>
  </conditionalFormatting>
  <printOptions headings="false" gridLines="false" gridLinesSet="true" horizontalCentered="false" verticalCentered="false"/>
  <pageMargins left="0.279861111111111" right="0.279861111111111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39E90"/>
    <pageSetUpPr fitToPage="false"/>
  </sheetPr>
  <dimension ref="A1:M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53125" defaultRowHeight="14.25" zeroHeight="false" outlineLevelRow="0" outlineLevelCol="0"/>
  <cols>
    <col collapsed="false" customWidth="true" hidden="false" outlineLevel="0" max="1" min="1" style="0" width="3.27"/>
    <col collapsed="false" customWidth="true" hidden="false" outlineLevel="0" max="2" min="2" style="0" width="43.18"/>
    <col collapsed="false" customWidth="true" hidden="false" outlineLevel="0" max="3" min="3" style="0" width="7"/>
    <col collapsed="false" customWidth="true" hidden="false" outlineLevel="0" max="4" min="4" style="0" width="12.45"/>
    <col collapsed="false" customWidth="true" hidden="false" outlineLevel="0" max="5" min="5" style="0" width="12"/>
    <col collapsed="false" customWidth="true" hidden="false" outlineLevel="0" max="6" min="6" style="0" width="13.45"/>
    <col collapsed="false" customWidth="true" hidden="false" outlineLevel="0" max="7" min="7" style="0" width="17"/>
    <col collapsed="false" customWidth="true" hidden="false" outlineLevel="0" max="8" min="8" style="0" width="13"/>
    <col collapsed="false" customWidth="true" hidden="false" outlineLevel="0" max="9" min="9" style="0" width="13.73"/>
    <col collapsed="false" customWidth="true" hidden="false" outlineLevel="0" max="10" min="10" style="0" width="8.27"/>
    <col collapsed="false" customWidth="true" hidden="false" outlineLevel="0" max="11" min="11" style="0" width="9"/>
    <col collapsed="false" customWidth="true" hidden="false" outlineLevel="0" max="12" min="12" style="0" width="13.73"/>
    <col collapsed="false" customWidth="true" hidden="false" outlineLevel="0" max="13" min="13" style="0" width="2.18"/>
    <col collapsed="false" customWidth="true" hidden="false" outlineLevel="0" max="26" min="14" style="0" width="8.73"/>
  </cols>
  <sheetData>
    <row r="1" customFormat="false" ht="18" hidden="false" customHeight="true" outlineLevel="0" collapsed="false">
      <c r="A1" s="68" t="s">
        <v>105</v>
      </c>
      <c r="B1" s="68"/>
      <c r="C1" s="69"/>
      <c r="D1" s="69"/>
      <c r="E1" s="54" t="s">
        <v>112</v>
      </c>
      <c r="F1" s="54"/>
      <c r="G1" s="54"/>
      <c r="H1" s="69" t="n">
        <f aca="false">'كشف المطالبة'!E2</f>
        <v>0</v>
      </c>
      <c r="I1" s="69" t="str">
        <f aca="false">'كشف المطالبة'!E3</f>
        <v>الجزء الاول</v>
      </c>
      <c r="J1" s="69"/>
      <c r="K1" s="70" t="str">
        <f aca="false">'كشف المطالبة'!E4</f>
        <v>عاملين</v>
      </c>
      <c r="L1" s="70"/>
    </row>
    <row r="2" customFormat="false" ht="44.25" hidden="false" customHeight="true" outlineLevel="0" collapsed="false">
      <c r="A2" s="71" t="s">
        <v>106</v>
      </c>
      <c r="B2" s="72" t="s">
        <v>35</v>
      </c>
      <c r="C2" s="72" t="s">
        <v>36</v>
      </c>
      <c r="D2" s="72" t="s">
        <v>107</v>
      </c>
      <c r="E2" s="72" t="s">
        <v>38</v>
      </c>
      <c r="F2" s="72" t="s">
        <v>108</v>
      </c>
      <c r="G2" s="72" t="str">
        <f aca="false">"محلى بعد خصم "&amp;ROUND('كشف المطالبة'!$D$5*100,2)&amp;"%"</f>
        <v>محلى بعد خصم 14%</v>
      </c>
      <c r="H2" s="72" t="str">
        <f aca="false">"مستورد بعد خصم "&amp;ROUND('كشف المطالبة'!$D$6*100,2)&amp;"%"</f>
        <v>مستورد بعد خصم 7%</v>
      </c>
      <c r="I2" s="72" t="s">
        <v>109</v>
      </c>
      <c r="J2" s="73" t="s">
        <v>113</v>
      </c>
      <c r="K2" s="72" t="s">
        <v>110</v>
      </c>
      <c r="L2" s="74" t="s">
        <v>111</v>
      </c>
    </row>
    <row r="3" customFormat="false" ht="15" hidden="false" customHeight="true" outlineLevel="0" collapsed="false">
      <c r="A3" s="75" t="str">
        <f aca="false">IF(281&lt;=Check!$C$4,INDEX(BAHARY!$A$2:$A$901,281),"")</f>
        <v/>
      </c>
      <c r="B3" s="76" t="str">
        <f aca="false">IF($A3="","",INDEX(BAHARY!$B$2:$B$901,281))</f>
        <v/>
      </c>
      <c r="C3" s="76" t="str">
        <f aca="false">IF($A3="","",INDEX(BAHARY!$C$2:$C$901,281))</f>
        <v/>
      </c>
      <c r="D3" s="77" t="str">
        <f aca="false">IF($A3="","",INDEX(BAHARY!$H$2:$H$901,281))</f>
        <v/>
      </c>
      <c r="E3" s="77" t="str">
        <f aca="false">IF($A3="","",INDEX(BAHARY!$E$2:$E$901,281))</f>
        <v/>
      </c>
      <c r="F3" s="77" t="str">
        <f aca="false">IF($A3="","",D3+E3)</f>
        <v/>
      </c>
      <c r="G3" s="77" t="str">
        <f aca="false">IF($A3="","",D3*(1-'كشف المطالبة'!$D$5))</f>
        <v/>
      </c>
      <c r="H3" s="77" t="str">
        <f aca="false">IF($A3="","",E3*(1-'كشف المطالبة'!$D$6))</f>
        <v/>
      </c>
      <c r="I3" s="77" t="str">
        <f aca="false">IF($A3="","",G3+H3)</f>
        <v/>
      </c>
      <c r="J3" s="78" t="str">
        <f aca="false">IF($A3="","",0)</f>
        <v/>
      </c>
      <c r="K3" s="77" t="str">
        <f aca="false">IF($A3="","",F3*J3+INDEX(BAHARY!$N$2:$N$901,281))</f>
        <v/>
      </c>
      <c r="L3" s="79" t="str">
        <f aca="false">IF($A3="","",I3-K3)</f>
        <v/>
      </c>
    </row>
    <row r="4" customFormat="false" ht="15" hidden="false" customHeight="true" outlineLevel="0" collapsed="false">
      <c r="A4" s="75" t="str">
        <f aca="false">IF(282&lt;=Check!$C$4,INDEX(BAHARY!$A$2:$A$901,282),"")</f>
        <v/>
      </c>
      <c r="B4" s="76" t="str">
        <f aca="false">IF($A4="","",INDEX(BAHARY!$B$2:$B$901,282))</f>
        <v/>
      </c>
      <c r="C4" s="76" t="str">
        <f aca="false">IF($A4="","",INDEX(BAHARY!$C$2:$C$901,282))</f>
        <v/>
      </c>
      <c r="D4" s="77" t="str">
        <f aca="false">IF($A4="","",INDEX(BAHARY!$H$2:$H$901,282))</f>
        <v/>
      </c>
      <c r="E4" s="77" t="str">
        <f aca="false">IF($A4="","",INDEX(BAHARY!$E$2:$E$901,282))</f>
        <v/>
      </c>
      <c r="F4" s="77" t="str">
        <f aca="false">IF($A4="","",D4+E4)</f>
        <v/>
      </c>
      <c r="G4" s="77" t="str">
        <f aca="false">IF($A4="","",D4*(1-'كشف المطالبة'!$D$5))</f>
        <v/>
      </c>
      <c r="H4" s="77" t="str">
        <f aca="false">IF($A4="","",E4*(1-'كشف المطالبة'!$D$6))</f>
        <v/>
      </c>
      <c r="I4" s="77" t="str">
        <f aca="false">IF($A4="","",G4+H4)</f>
        <v/>
      </c>
      <c r="J4" s="78" t="str">
        <f aca="false">IF($A4="","",0)</f>
        <v/>
      </c>
      <c r="K4" s="77" t="str">
        <f aca="false">IF($A4="","",F4*J4+INDEX(BAHARY!$N$2:$N$901,282))</f>
        <v/>
      </c>
      <c r="L4" s="79" t="str">
        <f aca="false">IF($A4="","",I4-K4)</f>
        <v/>
      </c>
    </row>
    <row r="5" customFormat="false" ht="15" hidden="false" customHeight="true" outlineLevel="0" collapsed="false">
      <c r="A5" s="75" t="str">
        <f aca="false">IF(283&lt;=Check!$C$4,INDEX(BAHARY!$A$2:$A$901,283),"")</f>
        <v/>
      </c>
      <c r="B5" s="76" t="str">
        <f aca="false">IF($A5="","",INDEX(BAHARY!$B$2:$B$901,283))</f>
        <v/>
      </c>
      <c r="C5" s="76" t="str">
        <f aca="false">IF($A5="","",INDEX(BAHARY!$C$2:$C$901,283))</f>
        <v/>
      </c>
      <c r="D5" s="77" t="str">
        <f aca="false">IF($A5="","",INDEX(BAHARY!$H$2:$H$901,283))</f>
        <v/>
      </c>
      <c r="E5" s="77" t="str">
        <f aca="false">IF($A5="","",INDEX(BAHARY!$E$2:$E$901,283))</f>
        <v/>
      </c>
      <c r="F5" s="77" t="str">
        <f aca="false">IF($A5="","",D5+E5)</f>
        <v/>
      </c>
      <c r="G5" s="77" t="str">
        <f aca="false">IF($A5="","",D5*(1-'كشف المطالبة'!$D$5))</f>
        <v/>
      </c>
      <c r="H5" s="77" t="str">
        <f aca="false">IF($A5="","",E5*(1-'كشف المطالبة'!$D$6))</f>
        <v/>
      </c>
      <c r="I5" s="77" t="str">
        <f aca="false">IF($A5="","",G5+H5)</f>
        <v/>
      </c>
      <c r="J5" s="78" t="str">
        <f aca="false">IF($A5="","",0)</f>
        <v/>
      </c>
      <c r="K5" s="77" t="str">
        <f aca="false">IF($A5="","",F5*J5+INDEX(BAHARY!$N$2:$N$901,283))</f>
        <v/>
      </c>
      <c r="L5" s="79" t="str">
        <f aca="false">IF($A5="","",I5-K5)</f>
        <v/>
      </c>
    </row>
    <row r="6" customFormat="false" ht="15" hidden="false" customHeight="true" outlineLevel="0" collapsed="false">
      <c r="A6" s="75" t="str">
        <f aca="false">IF(284&lt;=Check!$C$4,INDEX(BAHARY!$A$2:$A$901,284),"")</f>
        <v/>
      </c>
      <c r="B6" s="76" t="str">
        <f aca="false">IF($A6="","",INDEX(BAHARY!$B$2:$B$901,284))</f>
        <v/>
      </c>
      <c r="C6" s="76" t="str">
        <f aca="false">IF($A6="","",INDEX(BAHARY!$C$2:$C$901,284))</f>
        <v/>
      </c>
      <c r="D6" s="77" t="str">
        <f aca="false">IF($A6="","",INDEX(BAHARY!$H$2:$H$901,284))</f>
        <v/>
      </c>
      <c r="E6" s="77" t="str">
        <f aca="false">IF($A6="","",INDEX(BAHARY!$E$2:$E$901,284))</f>
        <v/>
      </c>
      <c r="F6" s="77" t="str">
        <f aca="false">IF($A6="","",D6+E6)</f>
        <v/>
      </c>
      <c r="G6" s="77" t="str">
        <f aca="false">IF($A6="","",D6*(1-'كشف المطالبة'!$D$5))</f>
        <v/>
      </c>
      <c r="H6" s="77" t="str">
        <f aca="false">IF($A6="","",E6*(1-'كشف المطالبة'!$D$6))</f>
        <v/>
      </c>
      <c r="I6" s="77" t="str">
        <f aca="false">IF($A6="","",G6+H6)</f>
        <v/>
      </c>
      <c r="J6" s="78" t="str">
        <f aca="false">IF($A6="","",0)</f>
        <v/>
      </c>
      <c r="K6" s="77" t="str">
        <f aca="false">IF($A6="","",F6*J6+INDEX(BAHARY!$N$2:$N$901,284))</f>
        <v/>
      </c>
      <c r="L6" s="79" t="str">
        <f aca="false">IF($A6="","",I6-K6)</f>
        <v/>
      </c>
    </row>
    <row r="7" customFormat="false" ht="15" hidden="false" customHeight="true" outlineLevel="0" collapsed="false">
      <c r="A7" s="75" t="str">
        <f aca="false">IF(285&lt;=Check!$C$4,INDEX(BAHARY!$A$2:$A$901,285),"")</f>
        <v/>
      </c>
      <c r="B7" s="76" t="str">
        <f aca="false">IF($A7="","",INDEX(BAHARY!$B$2:$B$901,285))</f>
        <v/>
      </c>
      <c r="C7" s="76" t="str">
        <f aca="false">IF($A7="","",INDEX(BAHARY!$C$2:$C$901,285))</f>
        <v/>
      </c>
      <c r="D7" s="77" t="str">
        <f aca="false">IF($A7="","",INDEX(BAHARY!$H$2:$H$901,285))</f>
        <v/>
      </c>
      <c r="E7" s="77" t="str">
        <f aca="false">IF($A7="","",INDEX(BAHARY!$E$2:$E$901,285))</f>
        <v/>
      </c>
      <c r="F7" s="77" t="str">
        <f aca="false">IF($A7="","",D7+E7)</f>
        <v/>
      </c>
      <c r="G7" s="77" t="str">
        <f aca="false">IF($A7="","",D7*(1-'كشف المطالبة'!$D$5))</f>
        <v/>
      </c>
      <c r="H7" s="77" t="str">
        <f aca="false">IF($A7="","",E7*(1-'كشف المطالبة'!$D$6))</f>
        <v/>
      </c>
      <c r="I7" s="77" t="str">
        <f aca="false">IF($A7="","",G7+H7)</f>
        <v/>
      </c>
      <c r="J7" s="78" t="str">
        <f aca="false">IF($A7="","",0)</f>
        <v/>
      </c>
      <c r="K7" s="77" t="str">
        <f aca="false">IF($A7="","",F7*J7+INDEX(BAHARY!$N$2:$N$901,285))</f>
        <v/>
      </c>
      <c r="L7" s="79" t="str">
        <f aca="false">IF($A7="","",I7-K7)</f>
        <v/>
      </c>
    </row>
    <row r="8" customFormat="false" ht="15" hidden="false" customHeight="true" outlineLevel="0" collapsed="false">
      <c r="A8" s="75" t="str">
        <f aca="false">IF(286&lt;=Check!$C$4,INDEX(BAHARY!$A$2:$A$901,286),"")</f>
        <v/>
      </c>
      <c r="B8" s="76" t="str">
        <f aca="false">IF($A8="","",INDEX(BAHARY!$B$2:$B$901,286))</f>
        <v/>
      </c>
      <c r="C8" s="76" t="str">
        <f aca="false">IF($A8="","",INDEX(BAHARY!$C$2:$C$901,286))</f>
        <v/>
      </c>
      <c r="D8" s="77" t="str">
        <f aca="false">IF($A8="","",INDEX(BAHARY!$H$2:$H$901,286))</f>
        <v/>
      </c>
      <c r="E8" s="77" t="str">
        <f aca="false">IF($A8="","",INDEX(BAHARY!$E$2:$E$901,286))</f>
        <v/>
      </c>
      <c r="F8" s="77" t="str">
        <f aca="false">IF($A8="","",D8+E8)</f>
        <v/>
      </c>
      <c r="G8" s="77" t="str">
        <f aca="false">IF($A8="","",D8*(1-'كشف المطالبة'!$D$5))</f>
        <v/>
      </c>
      <c r="H8" s="77" t="str">
        <f aca="false">IF($A8="","",E8*(1-'كشف المطالبة'!$D$6))</f>
        <v/>
      </c>
      <c r="I8" s="77" t="str">
        <f aca="false">IF($A8="","",G8+H8)</f>
        <v/>
      </c>
      <c r="J8" s="78" t="str">
        <f aca="false">IF($A8="","",0)</f>
        <v/>
      </c>
      <c r="K8" s="77" t="str">
        <f aca="false">IF($A8="","",F8*J8+INDEX(BAHARY!$N$2:$N$901,286))</f>
        <v/>
      </c>
      <c r="L8" s="79" t="str">
        <f aca="false">IF($A8="","",I8-K8)</f>
        <v/>
      </c>
    </row>
    <row r="9" customFormat="false" ht="15" hidden="false" customHeight="true" outlineLevel="0" collapsed="false">
      <c r="A9" s="75" t="str">
        <f aca="false">IF(287&lt;=Check!$C$4,INDEX(BAHARY!$A$2:$A$901,287),"")</f>
        <v/>
      </c>
      <c r="B9" s="80" t="str">
        <f aca="false">IF($A9="","",INDEX(BAHARY!$B$2:$B$901,287))</f>
        <v/>
      </c>
      <c r="C9" s="76" t="str">
        <f aca="false">IF($A9="","",INDEX(BAHARY!$C$2:$C$901,287))</f>
        <v/>
      </c>
      <c r="D9" s="77" t="str">
        <f aca="false">IF($A9="","",INDEX(BAHARY!$H$2:$H$901,287))</f>
        <v/>
      </c>
      <c r="E9" s="77" t="str">
        <f aca="false">IF($A9="","",INDEX(BAHARY!$E$2:$E$901,287))</f>
        <v/>
      </c>
      <c r="F9" s="77" t="str">
        <f aca="false">IF($A9="","",D9+E9)</f>
        <v/>
      </c>
      <c r="G9" s="77" t="str">
        <f aca="false">IF($A9="","",D9*(1-'كشف المطالبة'!$D$5))</f>
        <v/>
      </c>
      <c r="H9" s="77" t="str">
        <f aca="false">IF($A9="","",E9*(1-'كشف المطالبة'!$D$6))</f>
        <v/>
      </c>
      <c r="I9" s="77" t="str">
        <f aca="false">IF($A9="","",G9+H9)</f>
        <v/>
      </c>
      <c r="J9" s="78" t="str">
        <f aca="false">IF($A9="","",0)</f>
        <v/>
      </c>
      <c r="K9" s="77" t="str">
        <f aca="false">IF($A9="","",F9*J9+INDEX(BAHARY!$N$2:$N$901,287))</f>
        <v/>
      </c>
      <c r="L9" s="79" t="str">
        <f aca="false">IF($A9="","",I9-K9)</f>
        <v/>
      </c>
    </row>
    <row r="10" customFormat="false" ht="15" hidden="false" customHeight="true" outlineLevel="0" collapsed="false">
      <c r="A10" s="75" t="str">
        <f aca="false">IF(288&lt;=Check!$C$4,INDEX(BAHARY!$A$2:$A$901,288),"")</f>
        <v/>
      </c>
      <c r="B10" s="76" t="str">
        <f aca="false">IF($A10="","",INDEX(BAHARY!$B$2:$B$901,288))</f>
        <v/>
      </c>
      <c r="C10" s="76" t="str">
        <f aca="false">IF($A10="","",INDEX(BAHARY!$C$2:$C$901,288))</f>
        <v/>
      </c>
      <c r="D10" s="77" t="str">
        <f aca="false">IF($A10="","",INDEX(BAHARY!$H$2:$H$901,288))</f>
        <v/>
      </c>
      <c r="E10" s="77" t="str">
        <f aca="false">IF($A10="","",INDEX(BAHARY!$E$2:$E$901,288))</f>
        <v/>
      </c>
      <c r="F10" s="77" t="str">
        <f aca="false">IF($A10="","",D10+E10)</f>
        <v/>
      </c>
      <c r="G10" s="77" t="str">
        <f aca="false">IF($A10="","",D10*(1-'كشف المطالبة'!$D$5))</f>
        <v/>
      </c>
      <c r="H10" s="77" t="str">
        <f aca="false">IF($A10="","",E10*(1-'كشف المطالبة'!$D$6))</f>
        <v/>
      </c>
      <c r="I10" s="77" t="str">
        <f aca="false">IF($A10="","",G10+H10)</f>
        <v/>
      </c>
      <c r="J10" s="78" t="str">
        <f aca="false">IF($A10="","",0)</f>
        <v/>
      </c>
      <c r="K10" s="77" t="str">
        <f aca="false">IF($A10="","",F10*J10+INDEX(BAHARY!$N$2:$N$901,288))</f>
        <v/>
      </c>
      <c r="L10" s="79" t="str">
        <f aca="false">IF($A10="","",I10-K10)</f>
        <v/>
      </c>
    </row>
    <row r="11" customFormat="false" ht="15" hidden="false" customHeight="true" outlineLevel="0" collapsed="false">
      <c r="A11" s="75" t="str">
        <f aca="false">IF(289&lt;=Check!$C$4,INDEX(BAHARY!$A$2:$A$901,289),"")</f>
        <v/>
      </c>
      <c r="B11" s="76" t="str">
        <f aca="false">IF($A11="","",INDEX(BAHARY!$B$2:$B$901,289))</f>
        <v/>
      </c>
      <c r="C11" s="76" t="str">
        <f aca="false">IF($A11="","",INDEX(BAHARY!$C$2:$C$901,289))</f>
        <v/>
      </c>
      <c r="D11" s="77" t="str">
        <f aca="false">IF($A11="","",INDEX(BAHARY!$H$2:$H$901,289))</f>
        <v/>
      </c>
      <c r="E11" s="77" t="str">
        <f aca="false">IF($A11="","",INDEX(BAHARY!$E$2:$E$901,289))</f>
        <v/>
      </c>
      <c r="F11" s="77" t="str">
        <f aca="false">IF($A11="","",D11+E11)</f>
        <v/>
      </c>
      <c r="G11" s="77" t="str">
        <f aca="false">IF($A11="","",D11*(1-'كشف المطالبة'!$D$5))</f>
        <v/>
      </c>
      <c r="H11" s="77" t="str">
        <f aca="false">IF($A11="","",E11*(1-'كشف المطالبة'!$D$6))</f>
        <v/>
      </c>
      <c r="I11" s="77" t="str">
        <f aca="false">IF($A11="","",G11+H11)</f>
        <v/>
      </c>
      <c r="J11" s="78" t="str">
        <f aca="false">IF($A11="","",0)</f>
        <v/>
      </c>
      <c r="K11" s="77" t="str">
        <f aca="false">IF($A11="","",F11*J11+INDEX(BAHARY!$N$2:$N$901,289))</f>
        <v/>
      </c>
      <c r="L11" s="79" t="str">
        <f aca="false">IF($A11="","",I11-K11)</f>
        <v/>
      </c>
    </row>
    <row r="12" customFormat="false" ht="15" hidden="false" customHeight="true" outlineLevel="0" collapsed="false">
      <c r="A12" s="75" t="str">
        <f aca="false">IF(290&lt;=Check!$C$4,INDEX(BAHARY!$A$2:$A$901,290),"")</f>
        <v/>
      </c>
      <c r="B12" s="76" t="str">
        <f aca="false">IF($A12="","",INDEX(BAHARY!$B$2:$B$901,290))</f>
        <v/>
      </c>
      <c r="C12" s="76" t="str">
        <f aca="false">IF($A12="","",INDEX(BAHARY!$C$2:$C$901,290))</f>
        <v/>
      </c>
      <c r="D12" s="77" t="str">
        <f aca="false">IF($A12="","",INDEX(BAHARY!$H$2:$H$901,290))</f>
        <v/>
      </c>
      <c r="E12" s="77" t="str">
        <f aca="false">IF($A12="","",INDEX(BAHARY!$E$2:$E$901,290))</f>
        <v/>
      </c>
      <c r="F12" s="77" t="str">
        <f aca="false">IF($A12="","",D12+E12)</f>
        <v/>
      </c>
      <c r="G12" s="77" t="str">
        <f aca="false">IF($A12="","",D12*(1-'كشف المطالبة'!$D$5))</f>
        <v/>
      </c>
      <c r="H12" s="77" t="str">
        <f aca="false">IF($A12="","",E12*(1-'كشف المطالبة'!$D$6))</f>
        <v/>
      </c>
      <c r="I12" s="77" t="str">
        <f aca="false">IF($A12="","",G12+H12)</f>
        <v/>
      </c>
      <c r="J12" s="78" t="str">
        <f aca="false">IF($A12="","",0)</f>
        <v/>
      </c>
      <c r="K12" s="77" t="str">
        <f aca="false">IF($A12="","",F12*J12+INDEX(BAHARY!$N$2:$N$901,290))</f>
        <v/>
      </c>
      <c r="L12" s="79" t="str">
        <f aca="false">IF($A12="","",I12-K12)</f>
        <v/>
      </c>
    </row>
    <row r="13" customFormat="false" ht="15" hidden="false" customHeight="true" outlineLevel="0" collapsed="false">
      <c r="A13" s="75" t="str">
        <f aca="false">IF(291&lt;=Check!$C$4,INDEX(BAHARY!$A$2:$A$901,291),"")</f>
        <v/>
      </c>
      <c r="B13" s="76" t="str">
        <f aca="false">IF($A13="","",INDEX(BAHARY!$B$2:$B$901,291))</f>
        <v/>
      </c>
      <c r="C13" s="76" t="str">
        <f aca="false">IF($A13="","",INDEX(BAHARY!$C$2:$C$901,291))</f>
        <v/>
      </c>
      <c r="D13" s="77" t="str">
        <f aca="false">IF($A13="","",INDEX(BAHARY!$H$2:$H$901,291))</f>
        <v/>
      </c>
      <c r="E13" s="77" t="str">
        <f aca="false">IF($A13="","",INDEX(BAHARY!$E$2:$E$901,291))</f>
        <v/>
      </c>
      <c r="F13" s="77" t="str">
        <f aca="false">IF($A13="","",D13+E13)</f>
        <v/>
      </c>
      <c r="G13" s="77" t="str">
        <f aca="false">IF($A13="","",D13*(1-'كشف المطالبة'!$D$5))</f>
        <v/>
      </c>
      <c r="H13" s="77" t="str">
        <f aca="false">IF($A13="","",E13*(1-'كشف المطالبة'!$D$6))</f>
        <v/>
      </c>
      <c r="I13" s="77" t="str">
        <f aca="false">IF($A13="","",G13+H13)</f>
        <v/>
      </c>
      <c r="J13" s="78" t="str">
        <f aca="false">IF($A13="","",0)</f>
        <v/>
      </c>
      <c r="K13" s="77" t="str">
        <f aca="false">IF($A13="","",F13*J13+INDEX(BAHARY!$N$2:$N$901,291))</f>
        <v/>
      </c>
      <c r="L13" s="79" t="str">
        <f aca="false">IF($A13="","",I13-K13)</f>
        <v/>
      </c>
    </row>
    <row r="14" customFormat="false" ht="15" hidden="false" customHeight="true" outlineLevel="0" collapsed="false">
      <c r="A14" s="75" t="str">
        <f aca="false">IF(292&lt;=Check!$C$4,INDEX(BAHARY!$A$2:$A$901,292),"")</f>
        <v/>
      </c>
      <c r="B14" s="76" t="str">
        <f aca="false">IF($A14="","",INDEX(BAHARY!$B$2:$B$901,292))</f>
        <v/>
      </c>
      <c r="C14" s="76" t="str">
        <f aca="false">IF($A14="","",INDEX(BAHARY!$C$2:$C$901,292))</f>
        <v/>
      </c>
      <c r="D14" s="77" t="str">
        <f aca="false">IF($A14="","",INDEX(BAHARY!$H$2:$H$901,292))</f>
        <v/>
      </c>
      <c r="E14" s="77" t="str">
        <f aca="false">IF($A14="","",INDEX(BAHARY!$E$2:$E$901,292))</f>
        <v/>
      </c>
      <c r="F14" s="77" t="str">
        <f aca="false">IF($A14="","",D14+E14)</f>
        <v/>
      </c>
      <c r="G14" s="77" t="str">
        <f aca="false">IF($A14="","",D14*(1-'كشف المطالبة'!$D$5))</f>
        <v/>
      </c>
      <c r="H14" s="77" t="str">
        <f aca="false">IF($A14="","",E14*(1-'كشف المطالبة'!$D$6))</f>
        <v/>
      </c>
      <c r="I14" s="77" t="str">
        <f aca="false">IF($A14="","",G14+H14)</f>
        <v/>
      </c>
      <c r="J14" s="78" t="str">
        <f aca="false">IF($A14="","",0)</f>
        <v/>
      </c>
      <c r="K14" s="77" t="str">
        <f aca="false">IF($A14="","",F14*J14+INDEX(BAHARY!$N$2:$N$901,292))</f>
        <v/>
      </c>
      <c r="L14" s="79" t="str">
        <f aca="false">IF($A14="","",I14-K14)</f>
        <v/>
      </c>
    </row>
    <row r="15" customFormat="false" ht="15" hidden="false" customHeight="true" outlineLevel="0" collapsed="false">
      <c r="A15" s="75" t="str">
        <f aca="false">IF(293&lt;=Check!$C$4,INDEX(BAHARY!$A$2:$A$901,293),"")</f>
        <v/>
      </c>
      <c r="B15" s="76" t="str">
        <f aca="false">IF($A15="","",INDEX(BAHARY!$B$2:$B$901,293))</f>
        <v/>
      </c>
      <c r="C15" s="76" t="str">
        <f aca="false">IF($A15="","",INDEX(BAHARY!$C$2:$C$901,293))</f>
        <v/>
      </c>
      <c r="D15" s="77" t="str">
        <f aca="false">IF($A15="","",INDEX(BAHARY!$H$2:$H$901,293))</f>
        <v/>
      </c>
      <c r="E15" s="77" t="str">
        <f aca="false">IF($A15="","",INDEX(BAHARY!$E$2:$E$901,293))</f>
        <v/>
      </c>
      <c r="F15" s="77" t="str">
        <f aca="false">IF($A15="","",D15+E15)</f>
        <v/>
      </c>
      <c r="G15" s="77" t="str">
        <f aca="false">IF($A15="","",D15*(1-'كشف المطالبة'!$D$5))</f>
        <v/>
      </c>
      <c r="H15" s="77" t="str">
        <f aca="false">IF($A15="","",E15*(1-'كشف المطالبة'!$D$6))</f>
        <v/>
      </c>
      <c r="I15" s="77" t="str">
        <f aca="false">IF($A15="","",G15+H15)</f>
        <v/>
      </c>
      <c r="J15" s="78" t="str">
        <f aca="false">IF($A15="","",0)</f>
        <v/>
      </c>
      <c r="K15" s="77" t="str">
        <f aca="false">IF($A15="","",F15*J15+INDEX(BAHARY!$N$2:$N$901,293))</f>
        <v/>
      </c>
      <c r="L15" s="79" t="str">
        <f aca="false">IF($A15="","",I15-K15)</f>
        <v/>
      </c>
    </row>
    <row r="16" customFormat="false" ht="15" hidden="false" customHeight="true" outlineLevel="0" collapsed="false">
      <c r="A16" s="75" t="str">
        <f aca="false">IF(294&lt;=Check!$C$4,INDEX(BAHARY!$A$2:$A$901,294),"")</f>
        <v/>
      </c>
      <c r="B16" s="76" t="str">
        <f aca="false">IF($A16="","",INDEX(BAHARY!$B$2:$B$901,294))</f>
        <v/>
      </c>
      <c r="C16" s="76" t="str">
        <f aca="false">IF($A16="","",INDEX(BAHARY!$C$2:$C$901,294))</f>
        <v/>
      </c>
      <c r="D16" s="77" t="str">
        <f aca="false">IF($A16="","",INDEX(BAHARY!$H$2:$H$901,294))</f>
        <v/>
      </c>
      <c r="E16" s="77" t="str">
        <f aca="false">IF($A16="","",INDEX(BAHARY!$E$2:$E$901,294))</f>
        <v/>
      </c>
      <c r="F16" s="77" t="str">
        <f aca="false">IF($A16="","",D16+E16)</f>
        <v/>
      </c>
      <c r="G16" s="77" t="str">
        <f aca="false">IF($A16="","",D16*(1-'كشف المطالبة'!$D$5))</f>
        <v/>
      </c>
      <c r="H16" s="77" t="str">
        <f aca="false">IF($A16="","",E16*(1-'كشف المطالبة'!$D$6))</f>
        <v/>
      </c>
      <c r="I16" s="77" t="str">
        <f aca="false">IF($A16="","",G16+H16)</f>
        <v/>
      </c>
      <c r="J16" s="78" t="str">
        <f aca="false">IF($A16="","",0)</f>
        <v/>
      </c>
      <c r="K16" s="77" t="str">
        <f aca="false">IF($A16="","",F16*J16+INDEX(BAHARY!$N$2:$N$901,294))</f>
        <v/>
      </c>
      <c r="L16" s="79" t="str">
        <f aca="false">IF($A16="","",I16-K16)</f>
        <v/>
      </c>
    </row>
    <row r="17" customFormat="false" ht="15" hidden="false" customHeight="true" outlineLevel="0" collapsed="false">
      <c r="A17" s="75" t="str">
        <f aca="false">IF(295&lt;=Check!$C$4,INDEX(BAHARY!$A$2:$A$901,295),"")</f>
        <v/>
      </c>
      <c r="B17" s="76" t="str">
        <f aca="false">IF($A17="","",INDEX(BAHARY!$B$2:$B$901,295))</f>
        <v/>
      </c>
      <c r="C17" s="76" t="str">
        <f aca="false">IF($A17="","",INDEX(BAHARY!$C$2:$C$901,295))</f>
        <v/>
      </c>
      <c r="D17" s="77" t="str">
        <f aca="false">IF($A17="","",INDEX(BAHARY!$H$2:$H$901,295))</f>
        <v/>
      </c>
      <c r="E17" s="77" t="str">
        <f aca="false">IF($A17="","",INDEX(BAHARY!$E$2:$E$901,295))</f>
        <v/>
      </c>
      <c r="F17" s="77" t="str">
        <f aca="false">IF($A17="","",D17+E17)</f>
        <v/>
      </c>
      <c r="G17" s="77" t="str">
        <f aca="false">IF($A17="","",D17*(1-'كشف المطالبة'!$D$5))</f>
        <v/>
      </c>
      <c r="H17" s="77" t="str">
        <f aca="false">IF($A17="","",E17*(1-'كشف المطالبة'!$D$6))</f>
        <v/>
      </c>
      <c r="I17" s="77" t="str">
        <f aca="false">IF($A17="","",G17+H17)</f>
        <v/>
      </c>
      <c r="J17" s="78" t="str">
        <f aca="false">IF($A17="","",0)</f>
        <v/>
      </c>
      <c r="K17" s="77" t="str">
        <f aca="false">IF($A17="","",F17*J17+INDEX(BAHARY!$N$2:$N$901,295))</f>
        <v/>
      </c>
      <c r="L17" s="79" t="str">
        <f aca="false">IF($A17="","",I17-K17)</f>
        <v/>
      </c>
    </row>
    <row r="18" customFormat="false" ht="15" hidden="false" customHeight="true" outlineLevel="0" collapsed="false">
      <c r="A18" s="75" t="str">
        <f aca="false">IF(296&lt;=Check!$C$4,INDEX(BAHARY!$A$2:$A$901,296),"")</f>
        <v/>
      </c>
      <c r="B18" s="80" t="str">
        <f aca="false">IF($A18="","",INDEX(BAHARY!$B$2:$B$901,296))</f>
        <v/>
      </c>
      <c r="C18" s="76" t="str">
        <f aca="false">IF($A18="","",INDEX(BAHARY!$C$2:$C$901,296))</f>
        <v/>
      </c>
      <c r="D18" s="77" t="str">
        <f aca="false">IF($A18="","",INDEX(BAHARY!$H$2:$H$901,296))</f>
        <v/>
      </c>
      <c r="E18" s="77" t="str">
        <f aca="false">IF($A18="","",INDEX(BAHARY!$E$2:$E$901,296))</f>
        <v/>
      </c>
      <c r="F18" s="77" t="str">
        <f aca="false">IF($A18="","",D18+E18)</f>
        <v/>
      </c>
      <c r="G18" s="77" t="str">
        <f aca="false">IF($A18="","",D18*(1-'كشف المطالبة'!$D$5))</f>
        <v/>
      </c>
      <c r="H18" s="77" t="str">
        <f aca="false">IF($A18="","",E18*(1-'كشف المطالبة'!$D$6))</f>
        <v/>
      </c>
      <c r="I18" s="77" t="str">
        <f aca="false">IF($A18="","",G18+H18)</f>
        <v/>
      </c>
      <c r="J18" s="78" t="str">
        <f aca="false">IF($A18="","",0)</f>
        <v/>
      </c>
      <c r="K18" s="77" t="str">
        <f aca="false">IF($A18="","",F18*J18+INDEX(BAHARY!$N$2:$N$901,296))</f>
        <v/>
      </c>
      <c r="L18" s="79" t="str">
        <f aca="false">IF($A18="","",I18-K18)</f>
        <v/>
      </c>
    </row>
    <row r="19" customFormat="false" ht="15" hidden="false" customHeight="true" outlineLevel="0" collapsed="false">
      <c r="A19" s="75" t="str">
        <f aca="false">IF(297&lt;=Check!$C$4,INDEX(BAHARY!$A$2:$A$901,297),"")</f>
        <v/>
      </c>
      <c r="B19" s="76" t="str">
        <f aca="false">IF($A19="","",INDEX(BAHARY!$B$2:$B$901,297))</f>
        <v/>
      </c>
      <c r="C19" s="76" t="str">
        <f aca="false">IF($A19="","",INDEX(BAHARY!$C$2:$C$901,297))</f>
        <v/>
      </c>
      <c r="D19" s="77" t="str">
        <f aca="false">IF($A19="","",INDEX(BAHARY!$H$2:$H$901,297))</f>
        <v/>
      </c>
      <c r="E19" s="77" t="str">
        <f aca="false">IF($A19="","",INDEX(BAHARY!$E$2:$E$901,297))</f>
        <v/>
      </c>
      <c r="F19" s="77" t="str">
        <f aca="false">IF($A19="","",D19+E19)</f>
        <v/>
      </c>
      <c r="G19" s="77" t="str">
        <f aca="false">IF($A19="","",D19*(1-'كشف المطالبة'!$D$5))</f>
        <v/>
      </c>
      <c r="H19" s="77" t="str">
        <f aca="false">IF($A19="","",E19*(1-'كشف المطالبة'!$D$6))</f>
        <v/>
      </c>
      <c r="I19" s="77" t="str">
        <f aca="false">IF($A19="","",G19+H19)</f>
        <v/>
      </c>
      <c r="J19" s="78" t="str">
        <f aca="false">IF($A19="","",0)</f>
        <v/>
      </c>
      <c r="K19" s="77" t="str">
        <f aca="false">IF($A19="","",F19*J19+INDEX(BAHARY!$N$2:$N$901,297))</f>
        <v/>
      </c>
      <c r="L19" s="79" t="str">
        <f aca="false">IF($A19="","",I19-K19)</f>
        <v/>
      </c>
    </row>
    <row r="20" customFormat="false" ht="15" hidden="false" customHeight="true" outlineLevel="0" collapsed="false">
      <c r="A20" s="75" t="str">
        <f aca="false">IF(298&lt;=Check!$C$4,INDEX(BAHARY!$A$2:$A$901,298),"")</f>
        <v/>
      </c>
      <c r="B20" s="76" t="str">
        <f aca="false">IF($A20="","",INDEX(BAHARY!$B$2:$B$901,298))</f>
        <v/>
      </c>
      <c r="C20" s="76" t="str">
        <f aca="false">IF($A20="","",INDEX(BAHARY!$C$2:$C$901,298))</f>
        <v/>
      </c>
      <c r="D20" s="77" t="str">
        <f aca="false">IF($A20="","",INDEX(BAHARY!$H$2:$H$901,298))</f>
        <v/>
      </c>
      <c r="E20" s="77" t="str">
        <f aca="false">IF($A20="","",INDEX(BAHARY!$E$2:$E$901,298))</f>
        <v/>
      </c>
      <c r="F20" s="77" t="str">
        <f aca="false">IF($A20="","",D20+E20)</f>
        <v/>
      </c>
      <c r="G20" s="77" t="str">
        <f aca="false">IF($A20="","",D20*(1-'كشف المطالبة'!$D$5))</f>
        <v/>
      </c>
      <c r="H20" s="77" t="str">
        <f aca="false">IF($A20="","",E20*(1-'كشف المطالبة'!$D$6))</f>
        <v/>
      </c>
      <c r="I20" s="77" t="str">
        <f aca="false">IF($A20="","",G20+H20)</f>
        <v/>
      </c>
      <c r="J20" s="78" t="str">
        <f aca="false">IF($A20="","",0)</f>
        <v/>
      </c>
      <c r="K20" s="77" t="str">
        <f aca="false">IF($A20="","",F20*J20+INDEX(BAHARY!$N$2:$N$901,298))</f>
        <v/>
      </c>
      <c r="L20" s="79" t="str">
        <f aca="false">IF($A20="","",I20-K20)</f>
        <v/>
      </c>
    </row>
    <row r="21" customFormat="false" ht="15" hidden="false" customHeight="true" outlineLevel="0" collapsed="false">
      <c r="A21" s="75" t="str">
        <f aca="false">IF(299&lt;=Check!$C$4,INDEX(BAHARY!$A$2:$A$901,299),"")</f>
        <v/>
      </c>
      <c r="B21" s="76" t="str">
        <f aca="false">IF($A21="","",INDEX(BAHARY!$B$2:$B$901,299))</f>
        <v/>
      </c>
      <c r="C21" s="76" t="str">
        <f aca="false">IF($A21="","",INDEX(BAHARY!$C$2:$C$901,299))</f>
        <v/>
      </c>
      <c r="D21" s="77" t="str">
        <f aca="false">IF($A21="","",INDEX(BAHARY!$H$2:$H$901,299))</f>
        <v/>
      </c>
      <c r="E21" s="77" t="str">
        <f aca="false">IF($A21="","",INDEX(BAHARY!$E$2:$E$901,299))</f>
        <v/>
      </c>
      <c r="F21" s="77" t="str">
        <f aca="false">IF($A21="","",D21+E21)</f>
        <v/>
      </c>
      <c r="G21" s="77" t="str">
        <f aca="false">IF($A21="","",D21*(1-'كشف المطالبة'!$D$5))</f>
        <v/>
      </c>
      <c r="H21" s="77" t="str">
        <f aca="false">IF($A21="","",E21*(1-'كشف المطالبة'!$D$6))</f>
        <v/>
      </c>
      <c r="I21" s="77" t="str">
        <f aca="false">IF($A21="","",G21+H21)</f>
        <v/>
      </c>
      <c r="J21" s="78" t="str">
        <f aca="false">IF($A21="","",0)</f>
        <v/>
      </c>
      <c r="K21" s="77" t="str">
        <f aca="false">IF($A21="","",F21*J21+INDEX(BAHARY!$N$2:$N$901,299))</f>
        <v/>
      </c>
      <c r="L21" s="79" t="str">
        <f aca="false">IF($A21="","",I21-K21)</f>
        <v/>
      </c>
    </row>
    <row r="22" customFormat="false" ht="15" hidden="false" customHeight="true" outlineLevel="0" collapsed="false">
      <c r="A22" s="75" t="str">
        <f aca="false">IF(300&lt;=Check!$C$4,INDEX(BAHARY!$A$2:$A$901,300),"")</f>
        <v/>
      </c>
      <c r="B22" s="76" t="str">
        <f aca="false">IF($A22="","",INDEX(BAHARY!$B$2:$B$901,300))</f>
        <v/>
      </c>
      <c r="C22" s="76" t="str">
        <f aca="false">IF($A22="","",INDEX(BAHARY!$C$2:$C$901,300))</f>
        <v/>
      </c>
      <c r="D22" s="77" t="str">
        <f aca="false">IF($A22="","",INDEX(BAHARY!$H$2:$H$901,300))</f>
        <v/>
      </c>
      <c r="E22" s="77" t="str">
        <f aca="false">IF($A22="","",INDEX(BAHARY!$E$2:$E$901,300))</f>
        <v/>
      </c>
      <c r="F22" s="77" t="str">
        <f aca="false">IF($A22="","",D22+E22)</f>
        <v/>
      </c>
      <c r="G22" s="77" t="str">
        <f aca="false">IF($A22="","",D22*(1-'كشف المطالبة'!$D$5))</f>
        <v/>
      </c>
      <c r="H22" s="77" t="str">
        <f aca="false">IF($A22="","",E22*(1-'كشف المطالبة'!$D$6))</f>
        <v/>
      </c>
      <c r="I22" s="77" t="str">
        <f aca="false">IF($A22="","",G22+H22)</f>
        <v/>
      </c>
      <c r="J22" s="78" t="str">
        <f aca="false">IF($A22="","",0)</f>
        <v/>
      </c>
      <c r="K22" s="77" t="str">
        <f aca="false">IF($A22="","",F22*J22+INDEX(BAHARY!$N$2:$N$901,300))</f>
        <v/>
      </c>
      <c r="L22" s="79" t="str">
        <f aca="false">IF($A22="","",I22-K22)</f>
        <v/>
      </c>
    </row>
    <row r="23" customFormat="false" ht="15" hidden="false" customHeight="true" outlineLevel="0" collapsed="false">
      <c r="A23" s="75" t="str">
        <f aca="false">IF(301&lt;=Check!$C$4,INDEX(BAHARY!$A$2:$A$901,301),"")</f>
        <v/>
      </c>
      <c r="B23" s="76" t="str">
        <f aca="false">IF($A23="","",INDEX(BAHARY!$B$2:$B$901,301))</f>
        <v/>
      </c>
      <c r="C23" s="76" t="str">
        <f aca="false">IF($A23="","",INDEX(BAHARY!$C$2:$C$901,301))</f>
        <v/>
      </c>
      <c r="D23" s="77" t="str">
        <f aca="false">IF($A23="","",INDEX(BAHARY!$H$2:$H$901,301))</f>
        <v/>
      </c>
      <c r="E23" s="77" t="str">
        <f aca="false">IF($A23="","",INDEX(BAHARY!$E$2:$E$901,301))</f>
        <v/>
      </c>
      <c r="F23" s="77" t="str">
        <f aca="false">IF($A23="","",D23+E23)</f>
        <v/>
      </c>
      <c r="G23" s="77" t="str">
        <f aca="false">IF($A23="","",D23*(1-'كشف المطالبة'!$D$5))</f>
        <v/>
      </c>
      <c r="H23" s="77" t="str">
        <f aca="false">IF($A23="","",E23*(1-'كشف المطالبة'!$D$6))</f>
        <v/>
      </c>
      <c r="I23" s="77" t="str">
        <f aca="false">IF($A23="","",G23+H23)</f>
        <v/>
      </c>
      <c r="J23" s="78" t="str">
        <f aca="false">IF($A23="","",0)</f>
        <v/>
      </c>
      <c r="K23" s="77" t="str">
        <f aca="false">IF($A23="","",F23*J23+INDEX(BAHARY!$N$2:$N$901,301))</f>
        <v/>
      </c>
      <c r="L23" s="79" t="str">
        <f aca="false">IF($A23="","",I23-K23)</f>
        <v/>
      </c>
    </row>
    <row r="24" customFormat="false" ht="15" hidden="false" customHeight="true" outlineLevel="0" collapsed="false">
      <c r="A24" s="75" t="str">
        <f aca="false">IF(302&lt;=Check!$C$4,INDEX(BAHARY!$A$2:$A$901,302),"")</f>
        <v/>
      </c>
      <c r="B24" s="76" t="str">
        <f aca="false">IF($A24="","",INDEX(BAHARY!$B$2:$B$901,302))</f>
        <v/>
      </c>
      <c r="C24" s="76" t="str">
        <f aca="false">IF($A24="","",INDEX(BAHARY!$C$2:$C$901,302))</f>
        <v/>
      </c>
      <c r="D24" s="77" t="str">
        <f aca="false">IF($A24="","",INDEX(BAHARY!$H$2:$H$901,302))</f>
        <v/>
      </c>
      <c r="E24" s="77" t="str">
        <f aca="false">IF($A24="","",INDEX(BAHARY!$E$2:$E$901,302))</f>
        <v/>
      </c>
      <c r="F24" s="77" t="str">
        <f aca="false">IF($A24="","",D24+E24)</f>
        <v/>
      </c>
      <c r="G24" s="77" t="str">
        <f aca="false">IF($A24="","",D24*(1-'كشف المطالبة'!$D$5))</f>
        <v/>
      </c>
      <c r="H24" s="77" t="str">
        <f aca="false">IF($A24="","",E24*(1-'كشف المطالبة'!$D$6))</f>
        <v/>
      </c>
      <c r="I24" s="77" t="str">
        <f aca="false">IF($A24="","",G24+H24)</f>
        <v/>
      </c>
      <c r="J24" s="78" t="str">
        <f aca="false">IF($A24="","",0)</f>
        <v/>
      </c>
      <c r="K24" s="77" t="str">
        <f aca="false">IF($A24="","",F24*J24+INDEX(BAHARY!$N$2:$N$901,302))</f>
        <v/>
      </c>
      <c r="L24" s="79" t="str">
        <f aca="false">IF($A24="","",I24-K24)</f>
        <v/>
      </c>
    </row>
    <row r="25" customFormat="false" ht="15" hidden="false" customHeight="true" outlineLevel="0" collapsed="false">
      <c r="A25" s="75" t="str">
        <f aca="false">IF(303&lt;=Check!$C$4,INDEX(BAHARY!$A$2:$A$901,303),"")</f>
        <v/>
      </c>
      <c r="B25" s="76" t="str">
        <f aca="false">IF($A25="","",INDEX(BAHARY!$B$2:$B$901,303))</f>
        <v/>
      </c>
      <c r="C25" s="76" t="str">
        <f aca="false">IF($A25="","",INDEX(BAHARY!$C$2:$C$901,303))</f>
        <v/>
      </c>
      <c r="D25" s="77" t="str">
        <f aca="false">IF($A25="","",INDEX(BAHARY!$H$2:$H$901,303))</f>
        <v/>
      </c>
      <c r="E25" s="77" t="str">
        <f aca="false">IF($A25="","",INDEX(BAHARY!$E$2:$E$901,303))</f>
        <v/>
      </c>
      <c r="F25" s="77" t="str">
        <f aca="false">IF($A25="","",D25+E25)</f>
        <v/>
      </c>
      <c r="G25" s="77" t="str">
        <f aca="false">IF($A25="","",D25*(1-'كشف المطالبة'!$D$5))</f>
        <v/>
      </c>
      <c r="H25" s="77" t="str">
        <f aca="false">IF($A25="","",E25*(1-'كشف المطالبة'!$D$6))</f>
        <v/>
      </c>
      <c r="I25" s="77" t="str">
        <f aca="false">IF($A25="","",G25+H25)</f>
        <v/>
      </c>
      <c r="J25" s="78" t="str">
        <f aca="false">IF($A25="","",0)</f>
        <v/>
      </c>
      <c r="K25" s="77" t="str">
        <f aca="false">IF($A25="","",F25*J25+INDEX(BAHARY!$N$2:$N$901,303))</f>
        <v/>
      </c>
      <c r="L25" s="79" t="str">
        <f aca="false">IF($A25="","",I25-K25)</f>
        <v/>
      </c>
    </row>
    <row r="26" customFormat="false" ht="15" hidden="false" customHeight="true" outlineLevel="0" collapsed="false">
      <c r="A26" s="75" t="str">
        <f aca="false">IF(304&lt;=Check!$C$4,INDEX(BAHARY!$A$2:$A$901,304),"")</f>
        <v/>
      </c>
      <c r="B26" s="76" t="str">
        <f aca="false">IF($A26="","",INDEX(BAHARY!$B$2:$B$901,304))</f>
        <v/>
      </c>
      <c r="C26" s="76" t="str">
        <f aca="false">IF($A26="","",INDEX(BAHARY!$C$2:$C$901,304))</f>
        <v/>
      </c>
      <c r="D26" s="77" t="str">
        <f aca="false">IF($A26="","",INDEX(BAHARY!$H$2:$H$901,304))</f>
        <v/>
      </c>
      <c r="E26" s="77" t="str">
        <f aca="false">IF($A26="","",INDEX(BAHARY!$E$2:$E$901,304))</f>
        <v/>
      </c>
      <c r="F26" s="77" t="str">
        <f aca="false">IF($A26="","",D26+E26)</f>
        <v/>
      </c>
      <c r="G26" s="77" t="str">
        <f aca="false">IF($A26="","",D26*(1-'كشف المطالبة'!$D$5))</f>
        <v/>
      </c>
      <c r="H26" s="77" t="str">
        <f aca="false">IF($A26="","",E26*(1-'كشف المطالبة'!$D$6))</f>
        <v/>
      </c>
      <c r="I26" s="77" t="str">
        <f aca="false">IF($A26="","",G26+H26)</f>
        <v/>
      </c>
      <c r="J26" s="78" t="str">
        <f aca="false">IF($A26="","",0)</f>
        <v/>
      </c>
      <c r="K26" s="77" t="str">
        <f aca="false">IF($A26="","",F26*J26+INDEX(BAHARY!$N$2:$N$901,304))</f>
        <v/>
      </c>
      <c r="L26" s="79" t="str">
        <f aca="false">IF($A26="","",I26-K26)</f>
        <v/>
      </c>
    </row>
    <row r="27" customFormat="false" ht="15" hidden="false" customHeight="true" outlineLevel="0" collapsed="false">
      <c r="A27" s="75" t="str">
        <f aca="false">IF(305&lt;=Check!$C$4,INDEX(BAHARY!$A$2:$A$901,305),"")</f>
        <v/>
      </c>
      <c r="B27" s="76" t="str">
        <f aca="false">IF($A27="","",INDEX(BAHARY!$B$2:$B$901,305))</f>
        <v/>
      </c>
      <c r="C27" s="76" t="str">
        <f aca="false">IF($A27="","",INDEX(BAHARY!$C$2:$C$901,305))</f>
        <v/>
      </c>
      <c r="D27" s="77" t="str">
        <f aca="false">IF($A27="","",INDEX(BAHARY!$H$2:$H$901,305))</f>
        <v/>
      </c>
      <c r="E27" s="77" t="str">
        <f aca="false">IF($A27="","",INDEX(BAHARY!$E$2:$E$901,305))</f>
        <v/>
      </c>
      <c r="F27" s="77" t="str">
        <f aca="false">IF($A27="","",D27+E27)</f>
        <v/>
      </c>
      <c r="G27" s="77" t="str">
        <f aca="false">IF($A27="","",D27*(1-'كشف المطالبة'!$D$5))</f>
        <v/>
      </c>
      <c r="H27" s="77" t="str">
        <f aca="false">IF($A27="","",E27*(1-'كشف المطالبة'!$D$6))</f>
        <v/>
      </c>
      <c r="I27" s="77" t="str">
        <f aca="false">IF($A27="","",G27+H27)</f>
        <v/>
      </c>
      <c r="J27" s="78" t="str">
        <f aca="false">IF($A27="","",0)</f>
        <v/>
      </c>
      <c r="K27" s="77" t="str">
        <f aca="false">IF($A27="","",F27*J27+INDEX(BAHARY!$N$2:$N$901,305))</f>
        <v/>
      </c>
      <c r="L27" s="79" t="str">
        <f aca="false">IF($A27="","",I27-K27)</f>
        <v/>
      </c>
    </row>
    <row r="28" customFormat="false" ht="15" hidden="false" customHeight="true" outlineLevel="0" collapsed="false">
      <c r="A28" s="75" t="str">
        <f aca="false">IF(306&lt;=Check!$C$4,INDEX(BAHARY!$A$2:$A$901,306),"")</f>
        <v/>
      </c>
      <c r="B28" s="76" t="str">
        <f aca="false">IF($A28="","",INDEX(BAHARY!$B$2:$B$901,306))</f>
        <v/>
      </c>
      <c r="C28" s="76" t="str">
        <f aca="false">IF($A28="","",INDEX(BAHARY!$C$2:$C$901,306))</f>
        <v/>
      </c>
      <c r="D28" s="77" t="str">
        <f aca="false">IF($A28="","",INDEX(BAHARY!$H$2:$H$901,306))</f>
        <v/>
      </c>
      <c r="E28" s="77" t="str">
        <f aca="false">IF($A28="","",INDEX(BAHARY!$E$2:$E$901,306))</f>
        <v/>
      </c>
      <c r="F28" s="77" t="str">
        <f aca="false">IF($A28="","",D28+E28)</f>
        <v/>
      </c>
      <c r="G28" s="77" t="str">
        <f aca="false">IF($A28="","",D28*(1-'كشف المطالبة'!$D$5))</f>
        <v/>
      </c>
      <c r="H28" s="77" t="str">
        <f aca="false">IF($A28="","",E28*(1-'كشف المطالبة'!$D$6))</f>
        <v/>
      </c>
      <c r="I28" s="77" t="str">
        <f aca="false">IF($A28="","",G28+H28)</f>
        <v/>
      </c>
      <c r="J28" s="78" t="str">
        <f aca="false">IF($A28="","",0)</f>
        <v/>
      </c>
      <c r="K28" s="77" t="str">
        <f aca="false">IF($A28="","",F28*J28+INDEX(BAHARY!$N$2:$N$901,306))</f>
        <v/>
      </c>
      <c r="L28" s="79" t="str">
        <f aca="false">IF($A28="","",I28-K28)</f>
        <v/>
      </c>
    </row>
    <row r="29" customFormat="false" ht="15" hidden="false" customHeight="true" outlineLevel="0" collapsed="false">
      <c r="A29" s="75" t="str">
        <f aca="false">IF(307&lt;=Check!$C$4,INDEX(BAHARY!$A$2:$A$901,307),"")</f>
        <v/>
      </c>
      <c r="B29" s="76" t="str">
        <f aca="false">IF($A29="","",INDEX(BAHARY!$B$2:$B$901,307))</f>
        <v/>
      </c>
      <c r="C29" s="76" t="str">
        <f aca="false">IF($A29="","",INDEX(BAHARY!$C$2:$C$901,307))</f>
        <v/>
      </c>
      <c r="D29" s="77" t="str">
        <f aca="false">IF($A29="","",INDEX(BAHARY!$H$2:$H$901,307))</f>
        <v/>
      </c>
      <c r="E29" s="77" t="str">
        <f aca="false">IF($A29="","",INDEX(BAHARY!$E$2:$E$901,307))</f>
        <v/>
      </c>
      <c r="F29" s="77" t="str">
        <f aca="false">IF($A29="","",D29+E29)</f>
        <v/>
      </c>
      <c r="G29" s="77" t="str">
        <f aca="false">IF($A29="","",D29*(1-'كشف المطالبة'!$D$5))</f>
        <v/>
      </c>
      <c r="H29" s="77" t="str">
        <f aca="false">IF($A29="","",E29*(1-'كشف المطالبة'!$D$6))</f>
        <v/>
      </c>
      <c r="I29" s="77" t="str">
        <f aca="false">IF($A29="","",G29+H29)</f>
        <v/>
      </c>
      <c r="J29" s="78" t="str">
        <f aca="false">IF($A29="","",0)</f>
        <v/>
      </c>
      <c r="K29" s="77" t="str">
        <f aca="false">IF($A29="","",F29*J29+INDEX(BAHARY!$N$2:$N$901,307))</f>
        <v/>
      </c>
      <c r="L29" s="79" t="str">
        <f aca="false">IF($A29="","",I29-K29)</f>
        <v/>
      </c>
    </row>
    <row r="30" customFormat="false" ht="15" hidden="false" customHeight="true" outlineLevel="0" collapsed="false">
      <c r="A30" s="75" t="str">
        <f aca="false">IF(308&lt;=Check!$C$4,INDEX(BAHARY!$A$2:$A$901,308),"")</f>
        <v/>
      </c>
      <c r="B30" s="76" t="str">
        <f aca="false">IF($A30="","",INDEX(BAHARY!$B$2:$B$901,308))</f>
        <v/>
      </c>
      <c r="C30" s="76" t="str">
        <f aca="false">IF($A30="","",INDEX(BAHARY!$C$2:$C$901,308))</f>
        <v/>
      </c>
      <c r="D30" s="77" t="str">
        <f aca="false">IF($A30="","",INDEX(BAHARY!$H$2:$H$901,308))</f>
        <v/>
      </c>
      <c r="E30" s="77" t="str">
        <f aca="false">IF($A30="","",INDEX(BAHARY!$E$2:$E$901,308))</f>
        <v/>
      </c>
      <c r="F30" s="77" t="str">
        <f aca="false">IF($A30="","",D30+E30)</f>
        <v/>
      </c>
      <c r="G30" s="77" t="str">
        <f aca="false">IF($A30="","",D30*(1-'كشف المطالبة'!$D$5))</f>
        <v/>
      </c>
      <c r="H30" s="77" t="str">
        <f aca="false">IF($A30="","",E30*(1-'كشف المطالبة'!$D$6))</f>
        <v/>
      </c>
      <c r="I30" s="77" t="str">
        <f aca="false">IF($A30="","",G30+H30)</f>
        <v/>
      </c>
      <c r="J30" s="78" t="str">
        <f aca="false">IF($A30="","",0)</f>
        <v/>
      </c>
      <c r="K30" s="77" t="str">
        <f aca="false">IF($A30="","",F30*J30+INDEX(BAHARY!$N$2:$N$901,308))</f>
        <v/>
      </c>
      <c r="L30" s="79" t="str">
        <f aca="false">IF($A30="","",I30-K30)</f>
        <v/>
      </c>
    </row>
    <row r="31" customFormat="false" ht="15" hidden="false" customHeight="true" outlineLevel="0" collapsed="false">
      <c r="A31" s="75" t="str">
        <f aca="false">IF(309&lt;=Check!$C$4,INDEX(BAHARY!$A$2:$A$901,309),"")</f>
        <v/>
      </c>
      <c r="B31" s="76" t="str">
        <f aca="false">IF($A31="","",INDEX(BAHARY!$B$2:$B$901,309))</f>
        <v/>
      </c>
      <c r="C31" s="76" t="str">
        <f aca="false">IF($A31="","",INDEX(BAHARY!$C$2:$C$901,309))</f>
        <v/>
      </c>
      <c r="D31" s="77" t="str">
        <f aca="false">IF($A31="","",INDEX(BAHARY!$H$2:$H$901,309))</f>
        <v/>
      </c>
      <c r="E31" s="77" t="str">
        <f aca="false">IF($A31="","",INDEX(BAHARY!$E$2:$E$901,309))</f>
        <v/>
      </c>
      <c r="F31" s="77" t="str">
        <f aca="false">IF($A31="","",D31+E31)</f>
        <v/>
      </c>
      <c r="G31" s="77" t="str">
        <f aca="false">IF($A31="","",D31*(1-'كشف المطالبة'!$D$5))</f>
        <v/>
      </c>
      <c r="H31" s="77" t="str">
        <f aca="false">IF($A31="","",E31*(1-'كشف المطالبة'!$D$6))</f>
        <v/>
      </c>
      <c r="I31" s="77" t="str">
        <f aca="false">IF($A31="","",G31+H31)</f>
        <v/>
      </c>
      <c r="J31" s="78" t="str">
        <f aca="false">IF($A31="","",0)</f>
        <v/>
      </c>
      <c r="K31" s="77" t="str">
        <f aca="false">IF($A31="","",F31*J31+INDEX(BAHARY!$N$2:$N$901,309))</f>
        <v/>
      </c>
      <c r="L31" s="79" t="str">
        <f aca="false">IF($A31="","",I31-K31)</f>
        <v/>
      </c>
    </row>
    <row r="32" customFormat="false" ht="15" hidden="false" customHeight="true" outlineLevel="0" collapsed="false">
      <c r="A32" s="75" t="str">
        <f aca="false">IF(310&lt;=Check!$C$4,INDEX(BAHARY!$A$2:$A$901,310),"")</f>
        <v/>
      </c>
      <c r="B32" s="76" t="str">
        <f aca="false">IF($A32="","",INDEX(BAHARY!$B$2:$B$901,310))</f>
        <v/>
      </c>
      <c r="C32" s="76" t="str">
        <f aca="false">IF($A32="","",INDEX(BAHARY!$C$2:$C$901,310))</f>
        <v/>
      </c>
      <c r="D32" s="77" t="str">
        <f aca="false">IF($A32="","",INDEX(BAHARY!$H$2:$H$901,310))</f>
        <v/>
      </c>
      <c r="E32" s="77" t="str">
        <f aca="false">IF($A32="","",INDEX(BAHARY!$E$2:$E$901,310))</f>
        <v/>
      </c>
      <c r="F32" s="77" t="str">
        <f aca="false">IF($A32="","",D32+E32)</f>
        <v/>
      </c>
      <c r="G32" s="77" t="str">
        <f aca="false">IF($A32="","",D32*(1-'كشف المطالبة'!$D$5))</f>
        <v/>
      </c>
      <c r="H32" s="77" t="str">
        <f aca="false">IF($A32="","",E32*(1-'كشف المطالبة'!$D$6))</f>
        <v/>
      </c>
      <c r="I32" s="77" t="str">
        <f aca="false">IF($A32="","",G32+H32)</f>
        <v/>
      </c>
      <c r="J32" s="78" t="str">
        <f aca="false">IF($A32="","",0)</f>
        <v/>
      </c>
      <c r="K32" s="77" t="str">
        <f aca="false">IF($A32="","",F32*J32+INDEX(BAHARY!$N$2:$N$901,310))</f>
        <v/>
      </c>
      <c r="L32" s="79" t="str">
        <f aca="false">IF($A32="","",I32-K32)</f>
        <v/>
      </c>
    </row>
    <row r="33" customFormat="false" ht="15" hidden="false" customHeight="true" outlineLevel="0" collapsed="false">
      <c r="A33" s="75" t="str">
        <f aca="false">IF(311&lt;=Check!$C$4,INDEX(BAHARY!$A$2:$A$901,311),"")</f>
        <v/>
      </c>
      <c r="B33" s="76" t="str">
        <f aca="false">IF($A33="","",INDEX(BAHARY!$B$2:$B$901,311))</f>
        <v/>
      </c>
      <c r="C33" s="76" t="str">
        <f aca="false">IF($A33="","",INDEX(BAHARY!$C$2:$C$901,311))</f>
        <v/>
      </c>
      <c r="D33" s="77" t="str">
        <f aca="false">IF($A33="","",INDEX(BAHARY!$H$2:$H$901,311))</f>
        <v/>
      </c>
      <c r="E33" s="77" t="str">
        <f aca="false">IF($A33="","",INDEX(BAHARY!$E$2:$E$901,311))</f>
        <v/>
      </c>
      <c r="F33" s="77" t="str">
        <f aca="false">IF($A33="","",D33+E33)</f>
        <v/>
      </c>
      <c r="G33" s="77" t="str">
        <f aca="false">IF($A33="","",D33*(1-'كشف المطالبة'!$D$5))</f>
        <v/>
      </c>
      <c r="H33" s="77" t="str">
        <f aca="false">IF($A33="","",E33*(1-'كشف المطالبة'!$D$6))</f>
        <v/>
      </c>
      <c r="I33" s="77" t="str">
        <f aca="false">IF($A33="","",G33+H33)</f>
        <v/>
      </c>
      <c r="J33" s="78" t="str">
        <f aca="false">IF($A33="","",0)</f>
        <v/>
      </c>
      <c r="K33" s="77" t="str">
        <f aca="false">IF($A33="","",F33*J33+INDEX(BAHARY!$N$2:$N$901,311))</f>
        <v/>
      </c>
      <c r="L33" s="79" t="str">
        <f aca="false">IF($A33="","",I33-K33)</f>
        <v/>
      </c>
    </row>
    <row r="34" customFormat="false" ht="15" hidden="false" customHeight="true" outlineLevel="0" collapsed="false">
      <c r="A34" s="75" t="str">
        <f aca="false">IF(312&lt;=Check!$C$4,INDEX(BAHARY!$A$2:$A$901,312),"")</f>
        <v/>
      </c>
      <c r="B34" s="76" t="str">
        <f aca="false">IF($A34="","",INDEX(BAHARY!$B$2:$B$901,312))</f>
        <v/>
      </c>
      <c r="C34" s="76" t="str">
        <f aca="false">IF($A34="","",INDEX(BAHARY!$C$2:$C$901,312))</f>
        <v/>
      </c>
      <c r="D34" s="77" t="str">
        <f aca="false">IF($A34="","",INDEX(BAHARY!$H$2:$H$901,312))</f>
        <v/>
      </c>
      <c r="E34" s="77" t="str">
        <f aca="false">IF($A34="","",INDEX(BAHARY!$E$2:$E$901,312))</f>
        <v/>
      </c>
      <c r="F34" s="77" t="str">
        <f aca="false">IF($A34="","",D34+E34)</f>
        <v/>
      </c>
      <c r="G34" s="77" t="str">
        <f aca="false">IF($A34="","",D34*(1-'كشف المطالبة'!$D$5))</f>
        <v/>
      </c>
      <c r="H34" s="77" t="str">
        <f aca="false">IF($A34="","",E34*(1-'كشف المطالبة'!$D$6))</f>
        <v/>
      </c>
      <c r="I34" s="77" t="str">
        <f aca="false">IF($A34="","",G34+H34)</f>
        <v/>
      </c>
      <c r="J34" s="78" t="str">
        <f aca="false">IF($A34="","",0)</f>
        <v/>
      </c>
      <c r="K34" s="77" t="str">
        <f aca="false">IF($A34="","",F34*J34+INDEX(BAHARY!$N$2:$N$901,312))</f>
        <v/>
      </c>
      <c r="L34" s="79" t="str">
        <f aca="false">IF($A34="","",I34-K34)</f>
        <v/>
      </c>
    </row>
    <row r="35" customFormat="false" ht="15" hidden="false" customHeight="true" outlineLevel="0" collapsed="false">
      <c r="A35" s="75" t="str">
        <f aca="false">IF(313&lt;=Check!$C$4,INDEX(BAHARY!$A$2:$A$901,313),"")</f>
        <v/>
      </c>
      <c r="B35" s="76" t="str">
        <f aca="false">IF($A35="","",INDEX(BAHARY!$B$2:$B$901,313))</f>
        <v/>
      </c>
      <c r="C35" s="76" t="str">
        <f aca="false">IF($A35="","",INDEX(BAHARY!$C$2:$C$901,313))</f>
        <v/>
      </c>
      <c r="D35" s="77" t="str">
        <f aca="false">IF($A35="","",INDEX(BAHARY!$H$2:$H$901,313))</f>
        <v/>
      </c>
      <c r="E35" s="77" t="str">
        <f aca="false">IF($A35="","",INDEX(BAHARY!$E$2:$E$901,313))</f>
        <v/>
      </c>
      <c r="F35" s="77" t="str">
        <f aca="false">IF($A35="","",D35+E35)</f>
        <v/>
      </c>
      <c r="G35" s="77" t="str">
        <f aca="false">IF($A35="","",D35*(1-'كشف المطالبة'!$D$5))</f>
        <v/>
      </c>
      <c r="H35" s="77" t="str">
        <f aca="false">IF($A35="","",E35*(1-'كشف المطالبة'!$D$6))</f>
        <v/>
      </c>
      <c r="I35" s="77" t="str">
        <f aca="false">IF($A35="","",G35+H35)</f>
        <v/>
      </c>
      <c r="J35" s="78" t="str">
        <f aca="false">IF($A35="","",0)</f>
        <v/>
      </c>
      <c r="K35" s="77" t="str">
        <f aca="false">IF($A35="","",F35*J35+INDEX(BAHARY!$N$2:$N$901,313))</f>
        <v/>
      </c>
      <c r="L35" s="79" t="str">
        <f aca="false">IF($A35="","",I35-K35)</f>
        <v/>
      </c>
    </row>
    <row r="36" customFormat="false" ht="15" hidden="false" customHeight="true" outlineLevel="0" collapsed="false">
      <c r="A36" s="75" t="str">
        <f aca="false">IF(314&lt;=Check!$C$4,INDEX(BAHARY!$A$2:$A$901,314),"")</f>
        <v/>
      </c>
      <c r="B36" s="76" t="str">
        <f aca="false">IF($A36="","",INDEX(BAHARY!$B$2:$B$901,314))</f>
        <v/>
      </c>
      <c r="C36" s="76" t="str">
        <f aca="false">IF($A36="","",INDEX(BAHARY!$C$2:$C$901,314))</f>
        <v/>
      </c>
      <c r="D36" s="77" t="str">
        <f aca="false">IF($A36="","",INDEX(BAHARY!$H$2:$H$901,314))</f>
        <v/>
      </c>
      <c r="E36" s="77" t="str">
        <f aca="false">IF($A36="","",INDEX(BAHARY!$E$2:$E$901,314))</f>
        <v/>
      </c>
      <c r="F36" s="77" t="str">
        <f aca="false">IF($A36="","",D36+E36)</f>
        <v/>
      </c>
      <c r="G36" s="77" t="str">
        <f aca="false">IF($A36="","",D36*(1-'كشف المطالبة'!$D$5))</f>
        <v/>
      </c>
      <c r="H36" s="77" t="str">
        <f aca="false">IF($A36="","",E36*(1-'كشف المطالبة'!$D$6))</f>
        <v/>
      </c>
      <c r="I36" s="77" t="str">
        <f aca="false">IF($A36="","",G36+H36)</f>
        <v/>
      </c>
      <c r="J36" s="78" t="str">
        <f aca="false">IF($A36="","",0)</f>
        <v/>
      </c>
      <c r="K36" s="77" t="str">
        <f aca="false">IF($A36="","",F36*J36+INDEX(BAHARY!$N$2:$N$901,314))</f>
        <v/>
      </c>
      <c r="L36" s="79" t="str">
        <f aca="false">IF($A36="","",I36-K36)</f>
        <v/>
      </c>
    </row>
    <row r="37" customFormat="false" ht="15" hidden="false" customHeight="true" outlineLevel="0" collapsed="false">
      <c r="A37" s="75" t="str">
        <f aca="false">IF(315&lt;=Check!$C$4,INDEX(BAHARY!$A$2:$A$901,315),"")</f>
        <v/>
      </c>
      <c r="B37" s="76" t="str">
        <f aca="false">IF($A37="","",INDEX(BAHARY!$B$2:$B$901,315))</f>
        <v/>
      </c>
      <c r="C37" s="76" t="str">
        <f aca="false">IF($A37="","",INDEX(BAHARY!$C$2:$C$901,315))</f>
        <v/>
      </c>
      <c r="D37" s="77" t="str">
        <f aca="false">IF($A37="","",INDEX(BAHARY!$H$2:$H$901,315))</f>
        <v/>
      </c>
      <c r="E37" s="77" t="str">
        <f aca="false">IF($A37="","",INDEX(BAHARY!$E$2:$E$901,315))</f>
        <v/>
      </c>
      <c r="F37" s="77" t="str">
        <f aca="false">IF($A37="","",D37+E37)</f>
        <v/>
      </c>
      <c r="G37" s="77" t="str">
        <f aca="false">IF($A37="","",D37*(1-'كشف المطالبة'!$D$5))</f>
        <v/>
      </c>
      <c r="H37" s="77" t="str">
        <f aca="false">IF($A37="","",E37*(1-'كشف المطالبة'!$D$6))</f>
        <v/>
      </c>
      <c r="I37" s="77" t="str">
        <f aca="false">IF($A37="","",G37+H37)</f>
        <v/>
      </c>
      <c r="J37" s="78" t="str">
        <f aca="false">IF($A37="","",0)</f>
        <v/>
      </c>
      <c r="K37" s="77" t="str">
        <f aca="false">IF($A37="","",F37*J37+INDEX(BAHARY!$N$2:$N$901,315))</f>
        <v/>
      </c>
      <c r="L37" s="79" t="str">
        <f aca="false">IF($A37="","",I37-K37)</f>
        <v/>
      </c>
    </row>
    <row r="38" customFormat="false" ht="15" hidden="false" customHeight="true" outlineLevel="0" collapsed="false">
      <c r="A38" s="75" t="str">
        <f aca="false">IF(316&lt;=Check!$C$4,INDEX(BAHARY!$A$2:$A$901,316),"")</f>
        <v/>
      </c>
      <c r="B38" s="76" t="str">
        <f aca="false">IF($A38="","",INDEX(BAHARY!$B$2:$B$901,316))</f>
        <v/>
      </c>
      <c r="C38" s="76" t="str">
        <f aca="false">IF($A38="","",INDEX(BAHARY!$C$2:$C$901,316))</f>
        <v/>
      </c>
      <c r="D38" s="77" t="str">
        <f aca="false">IF($A38="","",INDEX(BAHARY!$H$2:$H$901,316))</f>
        <v/>
      </c>
      <c r="E38" s="77" t="str">
        <f aca="false">IF($A38="","",INDEX(BAHARY!$E$2:$E$901,316))</f>
        <v/>
      </c>
      <c r="F38" s="77" t="str">
        <f aca="false">IF($A38="","",D38+E38)</f>
        <v/>
      </c>
      <c r="G38" s="77" t="str">
        <f aca="false">IF($A38="","",D38*(1-'كشف المطالبة'!$D$5))</f>
        <v/>
      </c>
      <c r="H38" s="77" t="str">
        <f aca="false">IF($A38="","",E38*(1-'كشف المطالبة'!$D$6))</f>
        <v/>
      </c>
      <c r="I38" s="77" t="str">
        <f aca="false">IF($A38="","",G38+H38)</f>
        <v/>
      </c>
      <c r="J38" s="78" t="str">
        <f aca="false">IF($A38="","",0)</f>
        <v/>
      </c>
      <c r="K38" s="77" t="str">
        <f aca="false">IF($A38="","",F38*J38+INDEX(BAHARY!$N$2:$N$901,316))</f>
        <v/>
      </c>
      <c r="L38" s="79" t="str">
        <f aca="false">IF($A38="","",I38-K38)</f>
        <v/>
      </c>
    </row>
    <row r="39" customFormat="false" ht="15" hidden="false" customHeight="true" outlineLevel="0" collapsed="false">
      <c r="A39" s="75" t="str">
        <f aca="false">IF(317&lt;=Check!$C$4,INDEX(BAHARY!$A$2:$A$901,317),"")</f>
        <v/>
      </c>
      <c r="B39" s="76" t="str">
        <f aca="false">IF($A39="","",INDEX(BAHARY!$B$2:$B$901,317))</f>
        <v/>
      </c>
      <c r="C39" s="76" t="str">
        <f aca="false">IF($A39="","",INDEX(BAHARY!$C$2:$C$901,317))</f>
        <v/>
      </c>
      <c r="D39" s="77" t="str">
        <f aca="false">IF($A39="","",INDEX(BAHARY!$H$2:$H$901,317))</f>
        <v/>
      </c>
      <c r="E39" s="77" t="str">
        <f aca="false">IF($A39="","",INDEX(BAHARY!$E$2:$E$901,317))</f>
        <v/>
      </c>
      <c r="F39" s="77" t="str">
        <f aca="false">IF($A39="","",D39+E39)</f>
        <v/>
      </c>
      <c r="G39" s="77" t="str">
        <f aca="false">IF($A39="","",D39*(1-'كشف المطالبة'!$D$5))</f>
        <v/>
      </c>
      <c r="H39" s="77" t="str">
        <f aca="false">IF($A39="","",E39*(1-'كشف المطالبة'!$D$6))</f>
        <v/>
      </c>
      <c r="I39" s="77" t="str">
        <f aca="false">IF($A39="","",G39+H39)</f>
        <v/>
      </c>
      <c r="J39" s="78" t="str">
        <f aca="false">IF($A39="","",0)</f>
        <v/>
      </c>
      <c r="K39" s="77" t="str">
        <f aca="false">IF($A39="","",F39*J39+INDEX(BAHARY!$N$2:$N$901,317))</f>
        <v/>
      </c>
      <c r="L39" s="79" t="str">
        <f aca="false">IF($A39="","",I39-K39)</f>
        <v/>
      </c>
    </row>
    <row r="40" customFormat="false" ht="15" hidden="false" customHeight="true" outlineLevel="0" collapsed="false">
      <c r="A40" s="75" t="str">
        <f aca="false">IF(318&lt;=Check!$C$4,INDEX(BAHARY!$A$2:$A$901,318),"")</f>
        <v/>
      </c>
      <c r="B40" s="76" t="str">
        <f aca="false">IF($A40="","",INDEX(BAHARY!$B$2:$B$901,318))</f>
        <v/>
      </c>
      <c r="C40" s="76" t="str">
        <f aca="false">IF($A40="","",INDEX(BAHARY!$C$2:$C$901,318))</f>
        <v/>
      </c>
      <c r="D40" s="77" t="str">
        <f aca="false">IF($A40="","",INDEX(BAHARY!$H$2:$H$901,318))</f>
        <v/>
      </c>
      <c r="E40" s="77" t="str">
        <f aca="false">IF($A40="","",INDEX(BAHARY!$E$2:$E$901,318))</f>
        <v/>
      </c>
      <c r="F40" s="77" t="str">
        <f aca="false">IF($A40="","",D40+E40)</f>
        <v/>
      </c>
      <c r="G40" s="77" t="str">
        <f aca="false">IF($A40="","",D40*(1-'كشف المطالبة'!$D$5))</f>
        <v/>
      </c>
      <c r="H40" s="77" t="str">
        <f aca="false">IF($A40="","",E40*(1-'كشف المطالبة'!$D$6))</f>
        <v/>
      </c>
      <c r="I40" s="77" t="str">
        <f aca="false">IF($A40="","",G40+H40)</f>
        <v/>
      </c>
      <c r="J40" s="78" t="str">
        <f aca="false">IF($A40="","",0)</f>
        <v/>
      </c>
      <c r="K40" s="77" t="str">
        <f aca="false">IF($A40="","",F40*J40+INDEX(BAHARY!$N$2:$N$901,318))</f>
        <v/>
      </c>
      <c r="L40" s="79" t="str">
        <f aca="false">IF($A40="","",I40-K40)</f>
        <v/>
      </c>
    </row>
    <row r="41" customFormat="false" ht="15" hidden="false" customHeight="true" outlineLevel="0" collapsed="false">
      <c r="A41" s="75" t="str">
        <f aca="false">IF(319&lt;=Check!$C$4,INDEX(BAHARY!$A$2:$A$901,319),"")</f>
        <v/>
      </c>
      <c r="B41" s="76" t="str">
        <f aca="false">IF($A41="","",INDEX(BAHARY!$B$2:$B$901,319))</f>
        <v/>
      </c>
      <c r="C41" s="76" t="str">
        <f aca="false">IF($A41="","",INDEX(BAHARY!$C$2:$C$901,319))</f>
        <v/>
      </c>
      <c r="D41" s="77" t="str">
        <f aca="false">IF($A41="","",INDEX(BAHARY!$H$2:$H$901,319))</f>
        <v/>
      </c>
      <c r="E41" s="77" t="str">
        <f aca="false">IF($A41="","",INDEX(BAHARY!$E$2:$E$901,319))</f>
        <v/>
      </c>
      <c r="F41" s="77" t="str">
        <f aca="false">IF($A41="","",D41+E41)</f>
        <v/>
      </c>
      <c r="G41" s="77" t="str">
        <f aca="false">IF($A41="","",D41*(1-'كشف المطالبة'!$D$5))</f>
        <v/>
      </c>
      <c r="H41" s="77" t="str">
        <f aca="false">IF($A41="","",E41*(1-'كشف المطالبة'!$D$6))</f>
        <v/>
      </c>
      <c r="I41" s="77" t="str">
        <f aca="false">IF($A41="","",G41+H41)</f>
        <v/>
      </c>
      <c r="J41" s="78" t="str">
        <f aca="false">IF($A41="","",0)</f>
        <v/>
      </c>
      <c r="K41" s="77" t="str">
        <f aca="false">IF($A41="","",F41*J41+INDEX(BAHARY!$N$2:$N$901,319))</f>
        <v/>
      </c>
      <c r="L41" s="79" t="str">
        <f aca="false">IF($A41="","",I41-K41)</f>
        <v/>
      </c>
    </row>
    <row r="42" customFormat="false" ht="15" hidden="false" customHeight="true" outlineLevel="0" collapsed="false">
      <c r="A42" s="75" t="str">
        <f aca="false">IF(320&lt;=Check!$C$4,INDEX(BAHARY!$A$2:$A$901,320),"")</f>
        <v/>
      </c>
      <c r="B42" s="76" t="str">
        <f aca="false">IF($A42="","",INDEX(BAHARY!$B$2:$B$901,320))</f>
        <v/>
      </c>
      <c r="C42" s="76" t="str">
        <f aca="false">IF($A42="","",INDEX(BAHARY!$C$2:$C$901,320))</f>
        <v/>
      </c>
      <c r="D42" s="77" t="str">
        <f aca="false">IF($A42="","",INDEX(BAHARY!$H$2:$H$901,320))</f>
        <v/>
      </c>
      <c r="E42" s="77" t="str">
        <f aca="false">IF($A42="","",INDEX(BAHARY!$E$2:$E$901,320))</f>
        <v/>
      </c>
      <c r="F42" s="77" t="str">
        <f aca="false">IF($A42="","",D42+E42)</f>
        <v/>
      </c>
      <c r="G42" s="77" t="str">
        <f aca="false">IF($A42="","",D42*(1-'كشف المطالبة'!$D$5))</f>
        <v/>
      </c>
      <c r="H42" s="77" t="str">
        <f aca="false">IF($A42="","",E42*(1-'كشف المطالبة'!$D$6))</f>
        <v/>
      </c>
      <c r="I42" s="77" t="str">
        <f aca="false">IF($A42="","",G42+H42)</f>
        <v/>
      </c>
      <c r="J42" s="78" t="str">
        <f aca="false">IF($A42="","",0)</f>
        <v/>
      </c>
      <c r="K42" s="77" t="str">
        <f aca="false">IF($A42="","",F42*J42+INDEX(BAHARY!$N$2:$N$901,320))</f>
        <v/>
      </c>
      <c r="L42" s="79" t="str">
        <f aca="false">IF($A42="","",I42-K42)</f>
        <v/>
      </c>
    </row>
    <row r="44" customFormat="false" ht="15" hidden="false" customHeight="true" outlineLevel="0" collapsed="false"/>
    <row r="45" s="86" customFormat="true" ht="15.75" hidden="false" customHeight="true" outlineLevel="0" collapsed="false">
      <c r="A45" s="81" t="s">
        <v>114</v>
      </c>
      <c r="B45" s="81"/>
      <c r="C45" s="81"/>
      <c r="D45" s="82" t="n">
        <f aca="false">SUM(D3:D42)</f>
        <v>0</v>
      </c>
      <c r="E45" s="82" t="n">
        <f aca="false">SUM(E3:E42)</f>
        <v>0</v>
      </c>
      <c r="F45" s="82" t="n">
        <f aca="false">SUM(F3:F42)</f>
        <v>0</v>
      </c>
      <c r="G45" s="82" t="n">
        <f aca="false">SUM(G3:G42)</f>
        <v>0</v>
      </c>
      <c r="H45" s="82" t="n">
        <f aca="false">SUM(H3:H42)</f>
        <v>0</v>
      </c>
      <c r="I45" s="82" t="n">
        <f aca="false">SUM(I3:I42)</f>
        <v>0</v>
      </c>
      <c r="J45" s="83"/>
      <c r="K45" s="82" t="n">
        <f aca="false">SUM(K3:K42)</f>
        <v>0</v>
      </c>
      <c r="L45" s="84" t="n">
        <f aca="false">SUM(L3:L42)</f>
        <v>0</v>
      </c>
      <c r="M45" s="85" t="n">
        <v>8</v>
      </c>
    </row>
  </sheetData>
  <mergeCells count="4">
    <mergeCell ref="A1:B1"/>
    <mergeCell ref="E1:G1"/>
    <mergeCell ref="K1:L1"/>
    <mergeCell ref="A45:C45"/>
  </mergeCells>
  <conditionalFormatting sqref="A3:A42 D3:L42">
    <cfRule type="expression" priority="2" aboveAverage="0" equalAverage="0" bottom="0" percent="0" rank="0" text="" dxfId="6">
      <formula>ISODD(ROW())</formula>
    </cfRule>
  </conditionalFormatting>
  <printOptions headings="false" gridLines="false" gridLinesSet="true" horizontalCentered="false" verticalCentered="false"/>
  <pageMargins left="0.279861111111111" right="0.279861111111111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39E90"/>
    <pageSetUpPr fitToPage="false"/>
  </sheetPr>
  <dimension ref="A1:M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53125" defaultRowHeight="14.25" zeroHeight="false" outlineLevelRow="0" outlineLevelCol="0"/>
  <cols>
    <col collapsed="false" customWidth="true" hidden="false" outlineLevel="0" max="1" min="1" style="0" width="3.27"/>
    <col collapsed="false" customWidth="true" hidden="false" outlineLevel="0" max="2" min="2" style="0" width="43.18"/>
    <col collapsed="false" customWidth="true" hidden="false" outlineLevel="0" max="3" min="3" style="0" width="7"/>
    <col collapsed="false" customWidth="true" hidden="false" outlineLevel="0" max="4" min="4" style="0" width="12.45"/>
    <col collapsed="false" customWidth="true" hidden="false" outlineLevel="0" max="5" min="5" style="0" width="12"/>
    <col collapsed="false" customWidth="true" hidden="false" outlineLevel="0" max="6" min="6" style="0" width="13.45"/>
    <col collapsed="false" customWidth="true" hidden="false" outlineLevel="0" max="7" min="7" style="0" width="17"/>
    <col collapsed="false" customWidth="true" hidden="false" outlineLevel="0" max="8" min="8" style="0" width="13"/>
    <col collapsed="false" customWidth="true" hidden="false" outlineLevel="0" max="9" min="9" style="0" width="13.73"/>
    <col collapsed="false" customWidth="true" hidden="false" outlineLevel="0" max="10" min="10" style="0" width="8.27"/>
    <col collapsed="false" customWidth="true" hidden="false" outlineLevel="0" max="11" min="11" style="0" width="9"/>
    <col collapsed="false" customWidth="true" hidden="false" outlineLevel="0" max="12" min="12" style="0" width="13.73"/>
    <col collapsed="false" customWidth="true" hidden="false" outlineLevel="0" max="13" min="13" style="0" width="2.18"/>
    <col collapsed="false" customWidth="true" hidden="false" outlineLevel="0" max="26" min="14" style="0" width="8.73"/>
  </cols>
  <sheetData>
    <row r="1" customFormat="false" ht="18" hidden="false" customHeight="true" outlineLevel="0" collapsed="false">
      <c r="A1" s="68" t="s">
        <v>105</v>
      </c>
      <c r="B1" s="68"/>
      <c r="C1" s="69"/>
      <c r="D1" s="69"/>
      <c r="E1" s="54" t="s">
        <v>112</v>
      </c>
      <c r="F1" s="54"/>
      <c r="G1" s="54"/>
      <c r="H1" s="69" t="n">
        <f aca="false">'كشف المطالبة'!E2</f>
        <v>0</v>
      </c>
      <c r="I1" s="69" t="str">
        <f aca="false">'كشف المطالبة'!E3</f>
        <v>الجزء الاول</v>
      </c>
      <c r="J1" s="69"/>
      <c r="K1" s="70" t="str">
        <f aca="false">'كشف المطالبة'!E4</f>
        <v>عاملين</v>
      </c>
      <c r="L1" s="70"/>
    </row>
    <row r="2" customFormat="false" ht="44.25" hidden="false" customHeight="true" outlineLevel="0" collapsed="false">
      <c r="A2" s="71" t="s">
        <v>106</v>
      </c>
      <c r="B2" s="72" t="s">
        <v>35</v>
      </c>
      <c r="C2" s="72" t="s">
        <v>36</v>
      </c>
      <c r="D2" s="72" t="s">
        <v>107</v>
      </c>
      <c r="E2" s="72" t="s">
        <v>38</v>
      </c>
      <c r="F2" s="72" t="s">
        <v>108</v>
      </c>
      <c r="G2" s="72" t="str">
        <f aca="false">"محلى بعد خصم "&amp;ROUND('كشف المطالبة'!$D$5*100,2)&amp;"%"</f>
        <v>محلى بعد خصم 14%</v>
      </c>
      <c r="H2" s="72" t="str">
        <f aca="false">"مستورد بعد خصم "&amp;ROUND('كشف المطالبة'!$D$6*100,2)&amp;"%"</f>
        <v>مستورد بعد خصم 7%</v>
      </c>
      <c r="I2" s="72" t="s">
        <v>109</v>
      </c>
      <c r="J2" s="73" t="s">
        <v>113</v>
      </c>
      <c r="K2" s="72" t="s">
        <v>110</v>
      </c>
      <c r="L2" s="74" t="s">
        <v>111</v>
      </c>
    </row>
    <row r="3" customFormat="false" ht="15" hidden="false" customHeight="true" outlineLevel="0" collapsed="false">
      <c r="A3" s="75" t="str">
        <f aca="false">IF(321&lt;=Check!$C$4,INDEX(BAHARY!$A$2:$A$901,321),"")</f>
        <v/>
      </c>
      <c r="B3" s="76" t="str">
        <f aca="false">IF($A3="","",INDEX(BAHARY!$B$2:$B$901,321))</f>
        <v/>
      </c>
      <c r="C3" s="76" t="str">
        <f aca="false">IF($A3="","",INDEX(BAHARY!$C$2:$C$901,321))</f>
        <v/>
      </c>
      <c r="D3" s="77" t="str">
        <f aca="false">IF($A3="","",INDEX(BAHARY!$H$2:$H$901,321))</f>
        <v/>
      </c>
      <c r="E3" s="77" t="str">
        <f aca="false">IF($A3="","",INDEX(BAHARY!$E$2:$E$901,321))</f>
        <v/>
      </c>
      <c r="F3" s="77" t="str">
        <f aca="false">IF($A3="","",D3+E3)</f>
        <v/>
      </c>
      <c r="G3" s="77" t="str">
        <f aca="false">IF($A3="","",D3*(1-'كشف المطالبة'!$D$5))</f>
        <v/>
      </c>
      <c r="H3" s="77" t="str">
        <f aca="false">IF($A3="","",E3*(1-'كشف المطالبة'!$D$6))</f>
        <v/>
      </c>
      <c r="I3" s="77" t="str">
        <f aca="false">IF($A3="","",G3+H3)</f>
        <v/>
      </c>
      <c r="J3" s="78" t="str">
        <f aca="false">IF($A3="","",0)</f>
        <v/>
      </c>
      <c r="K3" s="77" t="str">
        <f aca="false">IF($A3="","",F3*J3+INDEX(BAHARY!$N$2:$N$901,321))</f>
        <v/>
      </c>
      <c r="L3" s="79" t="str">
        <f aca="false">IF($A3="","",I3-K3)</f>
        <v/>
      </c>
    </row>
    <row r="4" customFormat="false" ht="15" hidden="false" customHeight="true" outlineLevel="0" collapsed="false">
      <c r="A4" s="75" t="str">
        <f aca="false">IF(322&lt;=Check!$C$4,INDEX(BAHARY!$A$2:$A$901,322),"")</f>
        <v/>
      </c>
      <c r="B4" s="76" t="str">
        <f aca="false">IF($A4="","",INDEX(BAHARY!$B$2:$B$901,322))</f>
        <v/>
      </c>
      <c r="C4" s="76" t="str">
        <f aca="false">IF($A4="","",INDEX(BAHARY!$C$2:$C$901,322))</f>
        <v/>
      </c>
      <c r="D4" s="77" t="str">
        <f aca="false">IF($A4="","",INDEX(BAHARY!$H$2:$H$901,322))</f>
        <v/>
      </c>
      <c r="E4" s="77" t="str">
        <f aca="false">IF($A4="","",INDEX(BAHARY!$E$2:$E$901,322))</f>
        <v/>
      </c>
      <c r="F4" s="77" t="str">
        <f aca="false">IF($A4="","",D4+E4)</f>
        <v/>
      </c>
      <c r="G4" s="77" t="str">
        <f aca="false">IF($A4="","",D4*(1-'كشف المطالبة'!$D$5))</f>
        <v/>
      </c>
      <c r="H4" s="77" t="str">
        <f aca="false">IF($A4="","",E4*(1-'كشف المطالبة'!$D$6))</f>
        <v/>
      </c>
      <c r="I4" s="77" t="str">
        <f aca="false">IF($A4="","",G4+H4)</f>
        <v/>
      </c>
      <c r="J4" s="78" t="str">
        <f aca="false">IF($A4="","",0)</f>
        <v/>
      </c>
      <c r="K4" s="77" t="str">
        <f aca="false">IF($A4="","",F4*J4+INDEX(BAHARY!$N$2:$N$901,322))</f>
        <v/>
      </c>
      <c r="L4" s="79" t="str">
        <f aca="false">IF($A4="","",I4-K4)</f>
        <v/>
      </c>
    </row>
    <row r="5" customFormat="false" ht="15" hidden="false" customHeight="true" outlineLevel="0" collapsed="false">
      <c r="A5" s="75" t="str">
        <f aca="false">IF(323&lt;=Check!$C$4,INDEX(BAHARY!$A$2:$A$901,323),"")</f>
        <v/>
      </c>
      <c r="B5" s="76" t="str">
        <f aca="false">IF($A5="","",INDEX(BAHARY!$B$2:$B$901,323))</f>
        <v/>
      </c>
      <c r="C5" s="76" t="str">
        <f aca="false">IF($A5="","",INDEX(BAHARY!$C$2:$C$901,323))</f>
        <v/>
      </c>
      <c r="D5" s="77" t="str">
        <f aca="false">IF($A5="","",INDEX(BAHARY!$H$2:$H$901,323))</f>
        <v/>
      </c>
      <c r="E5" s="77" t="str">
        <f aca="false">IF($A5="","",INDEX(BAHARY!$E$2:$E$901,323))</f>
        <v/>
      </c>
      <c r="F5" s="77" t="str">
        <f aca="false">IF($A5="","",D5+E5)</f>
        <v/>
      </c>
      <c r="G5" s="77" t="str">
        <f aca="false">IF($A5="","",D5*(1-'كشف المطالبة'!$D$5))</f>
        <v/>
      </c>
      <c r="H5" s="77" t="str">
        <f aca="false">IF($A5="","",E5*(1-'كشف المطالبة'!$D$6))</f>
        <v/>
      </c>
      <c r="I5" s="77" t="str">
        <f aca="false">IF($A5="","",G5+H5)</f>
        <v/>
      </c>
      <c r="J5" s="78" t="str">
        <f aca="false">IF($A5="","",0)</f>
        <v/>
      </c>
      <c r="K5" s="77" t="str">
        <f aca="false">IF($A5="","",F5*J5+INDEX(BAHARY!$N$2:$N$901,323))</f>
        <v/>
      </c>
      <c r="L5" s="79" t="str">
        <f aca="false">IF($A5="","",I5-K5)</f>
        <v/>
      </c>
    </row>
    <row r="6" customFormat="false" ht="15" hidden="false" customHeight="true" outlineLevel="0" collapsed="false">
      <c r="A6" s="75" t="str">
        <f aca="false">IF(324&lt;=Check!$C$4,INDEX(BAHARY!$A$2:$A$901,324),"")</f>
        <v/>
      </c>
      <c r="B6" s="76" t="str">
        <f aca="false">IF($A6="","",INDEX(BAHARY!$B$2:$B$901,324))</f>
        <v/>
      </c>
      <c r="C6" s="76" t="str">
        <f aca="false">IF($A6="","",INDEX(BAHARY!$C$2:$C$901,324))</f>
        <v/>
      </c>
      <c r="D6" s="77" t="str">
        <f aca="false">IF($A6="","",INDEX(BAHARY!$H$2:$H$901,324))</f>
        <v/>
      </c>
      <c r="E6" s="77" t="str">
        <f aca="false">IF($A6="","",INDEX(BAHARY!$E$2:$E$901,324))</f>
        <v/>
      </c>
      <c r="F6" s="77" t="str">
        <f aca="false">IF($A6="","",D6+E6)</f>
        <v/>
      </c>
      <c r="G6" s="77" t="str">
        <f aca="false">IF($A6="","",D6*(1-'كشف المطالبة'!$D$5))</f>
        <v/>
      </c>
      <c r="H6" s="77" t="str">
        <f aca="false">IF($A6="","",E6*(1-'كشف المطالبة'!$D$6))</f>
        <v/>
      </c>
      <c r="I6" s="77" t="str">
        <f aca="false">IF($A6="","",G6+H6)</f>
        <v/>
      </c>
      <c r="J6" s="78" t="str">
        <f aca="false">IF($A6="","",0)</f>
        <v/>
      </c>
      <c r="K6" s="77" t="str">
        <f aca="false">IF($A6="","",F6*J6+INDEX(BAHARY!$N$2:$N$901,324))</f>
        <v/>
      </c>
      <c r="L6" s="79" t="str">
        <f aca="false">IF($A6="","",I6-K6)</f>
        <v/>
      </c>
    </row>
    <row r="7" customFormat="false" ht="15" hidden="false" customHeight="true" outlineLevel="0" collapsed="false">
      <c r="A7" s="75" t="str">
        <f aca="false">IF(325&lt;=Check!$C$4,INDEX(BAHARY!$A$2:$A$901,325),"")</f>
        <v/>
      </c>
      <c r="B7" s="76" t="str">
        <f aca="false">IF($A7="","",INDEX(BAHARY!$B$2:$B$901,325))</f>
        <v/>
      </c>
      <c r="C7" s="76" t="str">
        <f aca="false">IF($A7="","",INDEX(BAHARY!$C$2:$C$901,325))</f>
        <v/>
      </c>
      <c r="D7" s="77" t="str">
        <f aca="false">IF($A7="","",INDEX(BAHARY!$H$2:$H$901,325))</f>
        <v/>
      </c>
      <c r="E7" s="77" t="str">
        <f aca="false">IF($A7="","",INDEX(BAHARY!$E$2:$E$901,325))</f>
        <v/>
      </c>
      <c r="F7" s="77" t="str">
        <f aca="false">IF($A7="","",D7+E7)</f>
        <v/>
      </c>
      <c r="G7" s="77" t="str">
        <f aca="false">IF($A7="","",D7*(1-'كشف المطالبة'!$D$5))</f>
        <v/>
      </c>
      <c r="H7" s="77" t="str">
        <f aca="false">IF($A7="","",E7*(1-'كشف المطالبة'!$D$6))</f>
        <v/>
      </c>
      <c r="I7" s="77" t="str">
        <f aca="false">IF($A7="","",G7+H7)</f>
        <v/>
      </c>
      <c r="J7" s="78" t="str">
        <f aca="false">IF($A7="","",0)</f>
        <v/>
      </c>
      <c r="K7" s="77" t="str">
        <f aca="false">IF($A7="","",F7*J7+INDEX(BAHARY!$N$2:$N$901,325))</f>
        <v/>
      </c>
      <c r="L7" s="79" t="str">
        <f aca="false">IF($A7="","",I7-K7)</f>
        <v/>
      </c>
    </row>
    <row r="8" customFormat="false" ht="15" hidden="false" customHeight="true" outlineLevel="0" collapsed="false">
      <c r="A8" s="75" t="str">
        <f aca="false">IF(326&lt;=Check!$C$4,INDEX(BAHARY!$A$2:$A$901,326),"")</f>
        <v/>
      </c>
      <c r="B8" s="76" t="str">
        <f aca="false">IF($A8="","",INDEX(BAHARY!$B$2:$B$901,326))</f>
        <v/>
      </c>
      <c r="C8" s="76" t="str">
        <f aca="false">IF($A8="","",INDEX(BAHARY!$C$2:$C$901,326))</f>
        <v/>
      </c>
      <c r="D8" s="77" t="str">
        <f aca="false">IF($A8="","",INDEX(BAHARY!$H$2:$H$901,326))</f>
        <v/>
      </c>
      <c r="E8" s="77" t="str">
        <f aca="false">IF($A8="","",INDEX(BAHARY!$E$2:$E$901,326))</f>
        <v/>
      </c>
      <c r="F8" s="77" t="str">
        <f aca="false">IF($A8="","",D8+E8)</f>
        <v/>
      </c>
      <c r="G8" s="77" t="str">
        <f aca="false">IF($A8="","",D8*(1-'كشف المطالبة'!$D$5))</f>
        <v/>
      </c>
      <c r="H8" s="77" t="str">
        <f aca="false">IF($A8="","",E8*(1-'كشف المطالبة'!$D$6))</f>
        <v/>
      </c>
      <c r="I8" s="77" t="str">
        <f aca="false">IF($A8="","",G8+H8)</f>
        <v/>
      </c>
      <c r="J8" s="78" t="str">
        <f aca="false">IF($A8="","",0)</f>
        <v/>
      </c>
      <c r="K8" s="77" t="str">
        <f aca="false">IF($A8="","",F8*J8+INDEX(BAHARY!$N$2:$N$901,326))</f>
        <v/>
      </c>
      <c r="L8" s="79" t="str">
        <f aca="false">IF($A8="","",I8-K8)</f>
        <v/>
      </c>
    </row>
    <row r="9" customFormat="false" ht="15" hidden="false" customHeight="true" outlineLevel="0" collapsed="false">
      <c r="A9" s="75" t="str">
        <f aca="false">IF(327&lt;=Check!$C$4,INDEX(BAHARY!$A$2:$A$901,327),"")</f>
        <v/>
      </c>
      <c r="B9" s="80" t="str">
        <f aca="false">IF($A9="","",INDEX(BAHARY!$B$2:$B$901,327))</f>
        <v/>
      </c>
      <c r="C9" s="76" t="str">
        <f aca="false">IF($A9="","",INDEX(BAHARY!$C$2:$C$901,327))</f>
        <v/>
      </c>
      <c r="D9" s="77" t="str">
        <f aca="false">IF($A9="","",INDEX(BAHARY!$H$2:$H$901,327))</f>
        <v/>
      </c>
      <c r="E9" s="77" t="str">
        <f aca="false">IF($A9="","",INDEX(BAHARY!$E$2:$E$901,327))</f>
        <v/>
      </c>
      <c r="F9" s="77" t="str">
        <f aca="false">IF($A9="","",D9+E9)</f>
        <v/>
      </c>
      <c r="G9" s="77" t="str">
        <f aca="false">IF($A9="","",D9*(1-'كشف المطالبة'!$D$5))</f>
        <v/>
      </c>
      <c r="H9" s="77" t="str">
        <f aca="false">IF($A9="","",E9*(1-'كشف المطالبة'!$D$6))</f>
        <v/>
      </c>
      <c r="I9" s="77" t="str">
        <f aca="false">IF($A9="","",G9+H9)</f>
        <v/>
      </c>
      <c r="J9" s="78" t="str">
        <f aca="false">IF($A9="","",0)</f>
        <v/>
      </c>
      <c r="K9" s="77" t="str">
        <f aca="false">IF($A9="","",F9*J9+INDEX(BAHARY!$N$2:$N$901,327))</f>
        <v/>
      </c>
      <c r="L9" s="79" t="str">
        <f aca="false">IF($A9="","",I9-K9)</f>
        <v/>
      </c>
    </row>
    <row r="10" customFormat="false" ht="15" hidden="false" customHeight="true" outlineLevel="0" collapsed="false">
      <c r="A10" s="75" t="str">
        <f aca="false">IF(328&lt;=Check!$C$4,INDEX(BAHARY!$A$2:$A$901,328),"")</f>
        <v/>
      </c>
      <c r="B10" s="76" t="str">
        <f aca="false">IF($A10="","",INDEX(BAHARY!$B$2:$B$901,328))</f>
        <v/>
      </c>
      <c r="C10" s="76" t="str">
        <f aca="false">IF($A10="","",INDEX(BAHARY!$C$2:$C$901,328))</f>
        <v/>
      </c>
      <c r="D10" s="77" t="str">
        <f aca="false">IF($A10="","",INDEX(BAHARY!$H$2:$H$901,328))</f>
        <v/>
      </c>
      <c r="E10" s="77" t="str">
        <f aca="false">IF($A10="","",INDEX(BAHARY!$E$2:$E$901,328))</f>
        <v/>
      </c>
      <c r="F10" s="77" t="str">
        <f aca="false">IF($A10="","",D10+E10)</f>
        <v/>
      </c>
      <c r="G10" s="77" t="str">
        <f aca="false">IF($A10="","",D10*(1-'كشف المطالبة'!$D$5))</f>
        <v/>
      </c>
      <c r="H10" s="77" t="str">
        <f aca="false">IF($A10="","",E10*(1-'كشف المطالبة'!$D$6))</f>
        <v/>
      </c>
      <c r="I10" s="77" t="str">
        <f aca="false">IF($A10="","",G10+H10)</f>
        <v/>
      </c>
      <c r="J10" s="78" t="str">
        <f aca="false">IF($A10="","",0)</f>
        <v/>
      </c>
      <c r="K10" s="77" t="str">
        <f aca="false">IF($A10="","",F10*J10+INDEX(BAHARY!$N$2:$N$901,328))</f>
        <v/>
      </c>
      <c r="L10" s="79" t="str">
        <f aca="false">IF($A10="","",I10-K10)</f>
        <v/>
      </c>
    </row>
    <row r="11" customFormat="false" ht="15" hidden="false" customHeight="true" outlineLevel="0" collapsed="false">
      <c r="A11" s="75" t="str">
        <f aca="false">IF(329&lt;=Check!$C$4,INDEX(BAHARY!$A$2:$A$901,329),"")</f>
        <v/>
      </c>
      <c r="B11" s="76" t="str">
        <f aca="false">IF($A11="","",INDEX(BAHARY!$B$2:$B$901,329))</f>
        <v/>
      </c>
      <c r="C11" s="76" t="str">
        <f aca="false">IF($A11="","",INDEX(BAHARY!$C$2:$C$901,329))</f>
        <v/>
      </c>
      <c r="D11" s="77" t="str">
        <f aca="false">IF($A11="","",INDEX(BAHARY!$H$2:$H$901,329))</f>
        <v/>
      </c>
      <c r="E11" s="77" t="str">
        <f aca="false">IF($A11="","",INDEX(BAHARY!$E$2:$E$901,329))</f>
        <v/>
      </c>
      <c r="F11" s="77" t="str">
        <f aca="false">IF($A11="","",D11+E11)</f>
        <v/>
      </c>
      <c r="G11" s="77" t="str">
        <f aca="false">IF($A11="","",D11*(1-'كشف المطالبة'!$D$5))</f>
        <v/>
      </c>
      <c r="H11" s="77" t="str">
        <f aca="false">IF($A11="","",E11*(1-'كشف المطالبة'!$D$6))</f>
        <v/>
      </c>
      <c r="I11" s="77" t="str">
        <f aca="false">IF($A11="","",G11+H11)</f>
        <v/>
      </c>
      <c r="J11" s="78" t="str">
        <f aca="false">IF($A11="","",0)</f>
        <v/>
      </c>
      <c r="K11" s="77" t="str">
        <f aca="false">IF($A11="","",F11*J11+INDEX(BAHARY!$N$2:$N$901,329))</f>
        <v/>
      </c>
      <c r="L11" s="79" t="str">
        <f aca="false">IF($A11="","",I11-K11)</f>
        <v/>
      </c>
    </row>
    <row r="12" customFormat="false" ht="15" hidden="false" customHeight="true" outlineLevel="0" collapsed="false">
      <c r="A12" s="75" t="str">
        <f aca="false">IF(330&lt;=Check!$C$4,INDEX(BAHARY!$A$2:$A$901,330),"")</f>
        <v/>
      </c>
      <c r="B12" s="76" t="str">
        <f aca="false">IF($A12="","",INDEX(BAHARY!$B$2:$B$901,330))</f>
        <v/>
      </c>
      <c r="C12" s="76" t="str">
        <f aca="false">IF($A12="","",INDEX(BAHARY!$C$2:$C$901,330))</f>
        <v/>
      </c>
      <c r="D12" s="77" t="str">
        <f aca="false">IF($A12="","",INDEX(BAHARY!$H$2:$H$901,330))</f>
        <v/>
      </c>
      <c r="E12" s="77" t="str">
        <f aca="false">IF($A12="","",INDEX(BAHARY!$E$2:$E$901,330))</f>
        <v/>
      </c>
      <c r="F12" s="77" t="str">
        <f aca="false">IF($A12="","",D12+E12)</f>
        <v/>
      </c>
      <c r="G12" s="77" t="str">
        <f aca="false">IF($A12="","",D12*(1-'كشف المطالبة'!$D$5))</f>
        <v/>
      </c>
      <c r="H12" s="77" t="str">
        <f aca="false">IF($A12="","",E12*(1-'كشف المطالبة'!$D$6))</f>
        <v/>
      </c>
      <c r="I12" s="77" t="str">
        <f aca="false">IF($A12="","",G12+H12)</f>
        <v/>
      </c>
      <c r="J12" s="78" t="str">
        <f aca="false">IF($A12="","",0)</f>
        <v/>
      </c>
      <c r="K12" s="77" t="str">
        <f aca="false">IF($A12="","",F12*J12+INDEX(BAHARY!$N$2:$N$901,330))</f>
        <v/>
      </c>
      <c r="L12" s="79" t="str">
        <f aca="false">IF($A12="","",I12-K12)</f>
        <v/>
      </c>
    </row>
    <row r="13" customFormat="false" ht="15" hidden="false" customHeight="true" outlineLevel="0" collapsed="false">
      <c r="A13" s="75" t="str">
        <f aca="false">IF(331&lt;=Check!$C$4,INDEX(BAHARY!$A$2:$A$901,331),"")</f>
        <v/>
      </c>
      <c r="B13" s="76" t="str">
        <f aca="false">IF($A13="","",INDEX(BAHARY!$B$2:$B$901,331))</f>
        <v/>
      </c>
      <c r="C13" s="76" t="str">
        <f aca="false">IF($A13="","",INDEX(BAHARY!$C$2:$C$901,331))</f>
        <v/>
      </c>
      <c r="D13" s="77" t="str">
        <f aca="false">IF($A13="","",INDEX(BAHARY!$H$2:$H$901,331))</f>
        <v/>
      </c>
      <c r="E13" s="77" t="str">
        <f aca="false">IF($A13="","",INDEX(BAHARY!$E$2:$E$901,331))</f>
        <v/>
      </c>
      <c r="F13" s="77" t="str">
        <f aca="false">IF($A13="","",D13+E13)</f>
        <v/>
      </c>
      <c r="G13" s="77" t="str">
        <f aca="false">IF($A13="","",D13*(1-'كشف المطالبة'!$D$5))</f>
        <v/>
      </c>
      <c r="H13" s="77" t="str">
        <f aca="false">IF($A13="","",E13*(1-'كشف المطالبة'!$D$6))</f>
        <v/>
      </c>
      <c r="I13" s="77" t="str">
        <f aca="false">IF($A13="","",G13+H13)</f>
        <v/>
      </c>
      <c r="J13" s="78" t="str">
        <f aca="false">IF($A13="","",0)</f>
        <v/>
      </c>
      <c r="K13" s="77" t="str">
        <f aca="false">IF($A13="","",F13*J13+INDEX(BAHARY!$N$2:$N$901,331))</f>
        <v/>
      </c>
      <c r="L13" s="79" t="str">
        <f aca="false">IF($A13="","",I13-K13)</f>
        <v/>
      </c>
    </row>
    <row r="14" customFormat="false" ht="15" hidden="false" customHeight="true" outlineLevel="0" collapsed="false">
      <c r="A14" s="75" t="str">
        <f aca="false">IF(332&lt;=Check!$C$4,INDEX(BAHARY!$A$2:$A$901,332),"")</f>
        <v/>
      </c>
      <c r="B14" s="76" t="str">
        <f aca="false">IF($A14="","",INDEX(BAHARY!$B$2:$B$901,332))</f>
        <v/>
      </c>
      <c r="C14" s="76" t="str">
        <f aca="false">IF($A14="","",INDEX(BAHARY!$C$2:$C$901,332))</f>
        <v/>
      </c>
      <c r="D14" s="77" t="str">
        <f aca="false">IF($A14="","",INDEX(BAHARY!$H$2:$H$901,332))</f>
        <v/>
      </c>
      <c r="E14" s="77" t="str">
        <f aca="false">IF($A14="","",INDEX(BAHARY!$E$2:$E$901,332))</f>
        <v/>
      </c>
      <c r="F14" s="77" t="str">
        <f aca="false">IF($A14="","",D14+E14)</f>
        <v/>
      </c>
      <c r="G14" s="77" t="str">
        <f aca="false">IF($A14="","",D14*(1-'كشف المطالبة'!$D$5))</f>
        <v/>
      </c>
      <c r="H14" s="77" t="str">
        <f aca="false">IF($A14="","",E14*(1-'كشف المطالبة'!$D$6))</f>
        <v/>
      </c>
      <c r="I14" s="77" t="str">
        <f aca="false">IF($A14="","",G14+H14)</f>
        <v/>
      </c>
      <c r="J14" s="78" t="str">
        <f aca="false">IF($A14="","",0)</f>
        <v/>
      </c>
      <c r="K14" s="77" t="str">
        <f aca="false">IF($A14="","",F14*J14+INDEX(BAHARY!$N$2:$N$901,332))</f>
        <v/>
      </c>
      <c r="L14" s="79" t="str">
        <f aca="false">IF($A14="","",I14-K14)</f>
        <v/>
      </c>
    </row>
    <row r="15" customFormat="false" ht="15" hidden="false" customHeight="true" outlineLevel="0" collapsed="false">
      <c r="A15" s="75" t="str">
        <f aca="false">IF(333&lt;=Check!$C$4,INDEX(BAHARY!$A$2:$A$901,333),"")</f>
        <v/>
      </c>
      <c r="B15" s="76" t="str">
        <f aca="false">IF($A15="","",INDEX(BAHARY!$B$2:$B$901,333))</f>
        <v/>
      </c>
      <c r="C15" s="76" t="str">
        <f aca="false">IF($A15="","",INDEX(BAHARY!$C$2:$C$901,333))</f>
        <v/>
      </c>
      <c r="D15" s="77" t="str">
        <f aca="false">IF($A15="","",INDEX(BAHARY!$H$2:$H$901,333))</f>
        <v/>
      </c>
      <c r="E15" s="77" t="str">
        <f aca="false">IF($A15="","",INDEX(BAHARY!$E$2:$E$901,333))</f>
        <v/>
      </c>
      <c r="F15" s="77" t="str">
        <f aca="false">IF($A15="","",D15+E15)</f>
        <v/>
      </c>
      <c r="G15" s="77" t="str">
        <f aca="false">IF($A15="","",D15*(1-'كشف المطالبة'!$D$5))</f>
        <v/>
      </c>
      <c r="H15" s="77" t="str">
        <f aca="false">IF($A15="","",E15*(1-'كشف المطالبة'!$D$6))</f>
        <v/>
      </c>
      <c r="I15" s="77" t="str">
        <f aca="false">IF($A15="","",G15+H15)</f>
        <v/>
      </c>
      <c r="J15" s="78" t="str">
        <f aca="false">IF($A15="","",0)</f>
        <v/>
      </c>
      <c r="K15" s="77" t="str">
        <f aca="false">IF($A15="","",F15*J15+INDEX(BAHARY!$N$2:$N$901,333))</f>
        <v/>
      </c>
      <c r="L15" s="79" t="str">
        <f aca="false">IF($A15="","",I15-K15)</f>
        <v/>
      </c>
    </row>
    <row r="16" customFormat="false" ht="15" hidden="false" customHeight="true" outlineLevel="0" collapsed="false">
      <c r="A16" s="75" t="str">
        <f aca="false">IF(334&lt;=Check!$C$4,INDEX(BAHARY!$A$2:$A$901,334),"")</f>
        <v/>
      </c>
      <c r="B16" s="76" t="str">
        <f aca="false">IF($A16="","",INDEX(BAHARY!$B$2:$B$901,334))</f>
        <v/>
      </c>
      <c r="C16" s="76" t="str">
        <f aca="false">IF($A16="","",INDEX(BAHARY!$C$2:$C$901,334))</f>
        <v/>
      </c>
      <c r="D16" s="77" t="str">
        <f aca="false">IF($A16="","",INDEX(BAHARY!$H$2:$H$901,334))</f>
        <v/>
      </c>
      <c r="E16" s="77" t="str">
        <f aca="false">IF($A16="","",INDEX(BAHARY!$E$2:$E$901,334))</f>
        <v/>
      </c>
      <c r="F16" s="77" t="str">
        <f aca="false">IF($A16="","",D16+E16)</f>
        <v/>
      </c>
      <c r="G16" s="77" t="str">
        <f aca="false">IF($A16="","",D16*(1-'كشف المطالبة'!$D$5))</f>
        <v/>
      </c>
      <c r="H16" s="77" t="str">
        <f aca="false">IF($A16="","",E16*(1-'كشف المطالبة'!$D$6))</f>
        <v/>
      </c>
      <c r="I16" s="77" t="str">
        <f aca="false">IF($A16="","",G16+H16)</f>
        <v/>
      </c>
      <c r="J16" s="78" t="str">
        <f aca="false">IF($A16="","",0)</f>
        <v/>
      </c>
      <c r="K16" s="77" t="str">
        <f aca="false">IF($A16="","",F16*J16+INDEX(BAHARY!$N$2:$N$901,334))</f>
        <v/>
      </c>
      <c r="L16" s="79" t="str">
        <f aca="false">IF($A16="","",I16-K16)</f>
        <v/>
      </c>
    </row>
    <row r="17" customFormat="false" ht="15" hidden="false" customHeight="true" outlineLevel="0" collapsed="false">
      <c r="A17" s="75" t="str">
        <f aca="false">IF(335&lt;=Check!$C$4,INDEX(BAHARY!$A$2:$A$901,335),"")</f>
        <v/>
      </c>
      <c r="B17" s="76" t="str">
        <f aca="false">IF($A17="","",INDEX(BAHARY!$B$2:$B$901,335))</f>
        <v/>
      </c>
      <c r="C17" s="76" t="str">
        <f aca="false">IF($A17="","",INDEX(BAHARY!$C$2:$C$901,335))</f>
        <v/>
      </c>
      <c r="D17" s="77" t="str">
        <f aca="false">IF($A17="","",INDEX(BAHARY!$H$2:$H$901,335))</f>
        <v/>
      </c>
      <c r="E17" s="77" t="str">
        <f aca="false">IF($A17="","",INDEX(BAHARY!$E$2:$E$901,335))</f>
        <v/>
      </c>
      <c r="F17" s="77" t="str">
        <f aca="false">IF($A17="","",D17+E17)</f>
        <v/>
      </c>
      <c r="G17" s="77" t="str">
        <f aca="false">IF($A17="","",D17*(1-'كشف المطالبة'!$D$5))</f>
        <v/>
      </c>
      <c r="H17" s="77" t="str">
        <f aca="false">IF($A17="","",E17*(1-'كشف المطالبة'!$D$6))</f>
        <v/>
      </c>
      <c r="I17" s="77" t="str">
        <f aca="false">IF($A17="","",G17+H17)</f>
        <v/>
      </c>
      <c r="J17" s="78" t="str">
        <f aca="false">IF($A17="","",0)</f>
        <v/>
      </c>
      <c r="K17" s="77" t="str">
        <f aca="false">IF($A17="","",F17*J17+INDEX(BAHARY!$N$2:$N$901,335))</f>
        <v/>
      </c>
      <c r="L17" s="79" t="str">
        <f aca="false">IF($A17="","",I17-K17)</f>
        <v/>
      </c>
    </row>
    <row r="18" customFormat="false" ht="15" hidden="false" customHeight="true" outlineLevel="0" collapsed="false">
      <c r="A18" s="75" t="str">
        <f aca="false">IF(336&lt;=Check!$C$4,INDEX(BAHARY!$A$2:$A$901,336),"")</f>
        <v/>
      </c>
      <c r="B18" s="80" t="str">
        <f aca="false">IF($A18="","",INDEX(BAHARY!$B$2:$B$901,336))</f>
        <v/>
      </c>
      <c r="C18" s="76" t="str">
        <f aca="false">IF($A18="","",INDEX(BAHARY!$C$2:$C$901,336))</f>
        <v/>
      </c>
      <c r="D18" s="77" t="str">
        <f aca="false">IF($A18="","",INDEX(BAHARY!$H$2:$H$901,336))</f>
        <v/>
      </c>
      <c r="E18" s="77" t="str">
        <f aca="false">IF($A18="","",INDEX(BAHARY!$E$2:$E$901,336))</f>
        <v/>
      </c>
      <c r="F18" s="77" t="str">
        <f aca="false">IF($A18="","",D18+E18)</f>
        <v/>
      </c>
      <c r="G18" s="77" t="str">
        <f aca="false">IF($A18="","",D18*(1-'كشف المطالبة'!$D$5))</f>
        <v/>
      </c>
      <c r="H18" s="77" t="str">
        <f aca="false">IF($A18="","",E18*(1-'كشف المطالبة'!$D$6))</f>
        <v/>
      </c>
      <c r="I18" s="77" t="str">
        <f aca="false">IF($A18="","",G18+H18)</f>
        <v/>
      </c>
      <c r="J18" s="78" t="str">
        <f aca="false">IF($A18="","",0)</f>
        <v/>
      </c>
      <c r="K18" s="77" t="str">
        <f aca="false">IF($A18="","",F18*J18+INDEX(BAHARY!$N$2:$N$901,336))</f>
        <v/>
      </c>
      <c r="L18" s="79" t="str">
        <f aca="false">IF($A18="","",I18-K18)</f>
        <v/>
      </c>
    </row>
    <row r="19" customFormat="false" ht="15" hidden="false" customHeight="true" outlineLevel="0" collapsed="false">
      <c r="A19" s="75" t="str">
        <f aca="false">IF(337&lt;=Check!$C$4,INDEX(BAHARY!$A$2:$A$901,337),"")</f>
        <v/>
      </c>
      <c r="B19" s="76" t="str">
        <f aca="false">IF($A19="","",INDEX(BAHARY!$B$2:$B$901,337))</f>
        <v/>
      </c>
      <c r="C19" s="76" t="str">
        <f aca="false">IF($A19="","",INDEX(BAHARY!$C$2:$C$901,337))</f>
        <v/>
      </c>
      <c r="D19" s="77" t="str">
        <f aca="false">IF($A19="","",INDEX(BAHARY!$H$2:$H$901,337))</f>
        <v/>
      </c>
      <c r="E19" s="77" t="str">
        <f aca="false">IF($A19="","",INDEX(BAHARY!$E$2:$E$901,337))</f>
        <v/>
      </c>
      <c r="F19" s="77" t="str">
        <f aca="false">IF($A19="","",D19+E19)</f>
        <v/>
      </c>
      <c r="G19" s="77" t="str">
        <f aca="false">IF($A19="","",D19*(1-'كشف المطالبة'!$D$5))</f>
        <v/>
      </c>
      <c r="H19" s="77" t="str">
        <f aca="false">IF($A19="","",E19*(1-'كشف المطالبة'!$D$6))</f>
        <v/>
      </c>
      <c r="I19" s="77" t="str">
        <f aca="false">IF($A19="","",G19+H19)</f>
        <v/>
      </c>
      <c r="J19" s="78" t="str">
        <f aca="false">IF($A19="","",0)</f>
        <v/>
      </c>
      <c r="K19" s="77" t="str">
        <f aca="false">IF($A19="","",F19*J19+INDEX(BAHARY!$N$2:$N$901,337))</f>
        <v/>
      </c>
      <c r="L19" s="79" t="str">
        <f aca="false">IF($A19="","",I19-K19)</f>
        <v/>
      </c>
    </row>
    <row r="20" customFormat="false" ht="15" hidden="false" customHeight="true" outlineLevel="0" collapsed="false">
      <c r="A20" s="75" t="str">
        <f aca="false">IF(338&lt;=Check!$C$4,INDEX(BAHARY!$A$2:$A$901,338),"")</f>
        <v/>
      </c>
      <c r="B20" s="76" t="str">
        <f aca="false">IF($A20="","",INDEX(BAHARY!$B$2:$B$901,338))</f>
        <v/>
      </c>
      <c r="C20" s="76" t="str">
        <f aca="false">IF($A20="","",INDEX(BAHARY!$C$2:$C$901,338))</f>
        <v/>
      </c>
      <c r="D20" s="77" t="str">
        <f aca="false">IF($A20="","",INDEX(BAHARY!$H$2:$H$901,338))</f>
        <v/>
      </c>
      <c r="E20" s="77" t="str">
        <f aca="false">IF($A20="","",INDEX(BAHARY!$E$2:$E$901,338))</f>
        <v/>
      </c>
      <c r="F20" s="77" t="str">
        <f aca="false">IF($A20="","",D20+E20)</f>
        <v/>
      </c>
      <c r="G20" s="77" t="str">
        <f aca="false">IF($A20="","",D20*(1-'كشف المطالبة'!$D$5))</f>
        <v/>
      </c>
      <c r="H20" s="77" t="str">
        <f aca="false">IF($A20="","",E20*(1-'كشف المطالبة'!$D$6))</f>
        <v/>
      </c>
      <c r="I20" s="77" t="str">
        <f aca="false">IF($A20="","",G20+H20)</f>
        <v/>
      </c>
      <c r="J20" s="78" t="str">
        <f aca="false">IF($A20="","",0)</f>
        <v/>
      </c>
      <c r="K20" s="77" t="str">
        <f aca="false">IF($A20="","",F20*J20+INDEX(BAHARY!$N$2:$N$901,338))</f>
        <v/>
      </c>
      <c r="L20" s="79" t="str">
        <f aca="false">IF($A20="","",I20-K20)</f>
        <v/>
      </c>
    </row>
    <row r="21" customFormat="false" ht="15" hidden="false" customHeight="true" outlineLevel="0" collapsed="false">
      <c r="A21" s="75" t="str">
        <f aca="false">IF(339&lt;=Check!$C$4,INDEX(BAHARY!$A$2:$A$901,339),"")</f>
        <v/>
      </c>
      <c r="B21" s="76" t="str">
        <f aca="false">IF($A21="","",INDEX(BAHARY!$B$2:$B$901,339))</f>
        <v/>
      </c>
      <c r="C21" s="76" t="str">
        <f aca="false">IF($A21="","",INDEX(BAHARY!$C$2:$C$901,339))</f>
        <v/>
      </c>
      <c r="D21" s="77" t="str">
        <f aca="false">IF($A21="","",INDEX(BAHARY!$H$2:$H$901,339))</f>
        <v/>
      </c>
      <c r="E21" s="77" t="str">
        <f aca="false">IF($A21="","",INDEX(BAHARY!$E$2:$E$901,339))</f>
        <v/>
      </c>
      <c r="F21" s="77" t="str">
        <f aca="false">IF($A21="","",D21+E21)</f>
        <v/>
      </c>
      <c r="G21" s="77" t="str">
        <f aca="false">IF($A21="","",D21*(1-'كشف المطالبة'!$D$5))</f>
        <v/>
      </c>
      <c r="H21" s="77" t="str">
        <f aca="false">IF($A21="","",E21*(1-'كشف المطالبة'!$D$6))</f>
        <v/>
      </c>
      <c r="I21" s="77" t="str">
        <f aca="false">IF($A21="","",G21+H21)</f>
        <v/>
      </c>
      <c r="J21" s="78" t="str">
        <f aca="false">IF($A21="","",0)</f>
        <v/>
      </c>
      <c r="K21" s="77" t="str">
        <f aca="false">IF($A21="","",F21*J21+INDEX(BAHARY!$N$2:$N$901,339))</f>
        <v/>
      </c>
      <c r="L21" s="79" t="str">
        <f aca="false">IF($A21="","",I21-K21)</f>
        <v/>
      </c>
    </row>
    <row r="22" customFormat="false" ht="15" hidden="false" customHeight="true" outlineLevel="0" collapsed="false">
      <c r="A22" s="75" t="str">
        <f aca="false">IF(340&lt;=Check!$C$4,INDEX(BAHARY!$A$2:$A$901,340),"")</f>
        <v/>
      </c>
      <c r="B22" s="76" t="str">
        <f aca="false">IF($A22="","",INDEX(BAHARY!$B$2:$B$901,340))</f>
        <v/>
      </c>
      <c r="C22" s="76" t="str">
        <f aca="false">IF($A22="","",INDEX(BAHARY!$C$2:$C$901,340))</f>
        <v/>
      </c>
      <c r="D22" s="77" t="str">
        <f aca="false">IF($A22="","",INDEX(BAHARY!$H$2:$H$901,340))</f>
        <v/>
      </c>
      <c r="E22" s="77" t="str">
        <f aca="false">IF($A22="","",INDEX(BAHARY!$E$2:$E$901,340))</f>
        <v/>
      </c>
      <c r="F22" s="77" t="str">
        <f aca="false">IF($A22="","",D22+E22)</f>
        <v/>
      </c>
      <c r="G22" s="77" t="str">
        <f aca="false">IF($A22="","",D22*(1-'كشف المطالبة'!$D$5))</f>
        <v/>
      </c>
      <c r="H22" s="77" t="str">
        <f aca="false">IF($A22="","",E22*(1-'كشف المطالبة'!$D$6))</f>
        <v/>
      </c>
      <c r="I22" s="77" t="str">
        <f aca="false">IF($A22="","",G22+H22)</f>
        <v/>
      </c>
      <c r="J22" s="78" t="str">
        <f aca="false">IF($A22="","",0)</f>
        <v/>
      </c>
      <c r="K22" s="77" t="str">
        <f aca="false">IF($A22="","",F22*J22+INDEX(BAHARY!$N$2:$N$901,340))</f>
        <v/>
      </c>
      <c r="L22" s="79" t="str">
        <f aca="false">IF($A22="","",I22-K22)</f>
        <v/>
      </c>
    </row>
    <row r="23" customFormat="false" ht="15" hidden="false" customHeight="true" outlineLevel="0" collapsed="false">
      <c r="A23" s="75" t="str">
        <f aca="false">IF(341&lt;=Check!$C$4,INDEX(BAHARY!$A$2:$A$901,341),"")</f>
        <v/>
      </c>
      <c r="B23" s="76" t="str">
        <f aca="false">IF($A23="","",INDEX(BAHARY!$B$2:$B$901,341))</f>
        <v/>
      </c>
      <c r="C23" s="76" t="str">
        <f aca="false">IF($A23="","",INDEX(BAHARY!$C$2:$C$901,341))</f>
        <v/>
      </c>
      <c r="D23" s="77" t="str">
        <f aca="false">IF($A23="","",INDEX(BAHARY!$H$2:$H$901,341))</f>
        <v/>
      </c>
      <c r="E23" s="77" t="str">
        <f aca="false">IF($A23="","",INDEX(BAHARY!$E$2:$E$901,341))</f>
        <v/>
      </c>
      <c r="F23" s="77" t="str">
        <f aca="false">IF($A23="","",D23+E23)</f>
        <v/>
      </c>
      <c r="G23" s="77" t="str">
        <f aca="false">IF($A23="","",D23*(1-'كشف المطالبة'!$D$5))</f>
        <v/>
      </c>
      <c r="H23" s="77" t="str">
        <f aca="false">IF($A23="","",E23*(1-'كشف المطالبة'!$D$6))</f>
        <v/>
      </c>
      <c r="I23" s="77" t="str">
        <f aca="false">IF($A23="","",G23+H23)</f>
        <v/>
      </c>
      <c r="J23" s="78" t="str">
        <f aca="false">IF($A23="","",0)</f>
        <v/>
      </c>
      <c r="K23" s="77" t="str">
        <f aca="false">IF($A23="","",F23*J23+INDEX(BAHARY!$N$2:$N$901,341))</f>
        <v/>
      </c>
      <c r="L23" s="79" t="str">
        <f aca="false">IF($A23="","",I23-K23)</f>
        <v/>
      </c>
    </row>
    <row r="24" customFormat="false" ht="15" hidden="false" customHeight="true" outlineLevel="0" collapsed="false">
      <c r="A24" s="75" t="str">
        <f aca="false">IF(342&lt;=Check!$C$4,INDEX(BAHARY!$A$2:$A$901,342),"")</f>
        <v/>
      </c>
      <c r="B24" s="76" t="str">
        <f aca="false">IF($A24="","",INDEX(BAHARY!$B$2:$B$901,342))</f>
        <v/>
      </c>
      <c r="C24" s="76" t="str">
        <f aca="false">IF($A24="","",INDEX(BAHARY!$C$2:$C$901,342))</f>
        <v/>
      </c>
      <c r="D24" s="77" t="str">
        <f aca="false">IF($A24="","",INDEX(BAHARY!$H$2:$H$901,342))</f>
        <v/>
      </c>
      <c r="E24" s="77" t="str">
        <f aca="false">IF($A24="","",INDEX(BAHARY!$E$2:$E$901,342))</f>
        <v/>
      </c>
      <c r="F24" s="77" t="str">
        <f aca="false">IF($A24="","",D24+E24)</f>
        <v/>
      </c>
      <c r="G24" s="77" t="str">
        <f aca="false">IF($A24="","",D24*(1-'كشف المطالبة'!$D$5))</f>
        <v/>
      </c>
      <c r="H24" s="77" t="str">
        <f aca="false">IF($A24="","",E24*(1-'كشف المطالبة'!$D$6))</f>
        <v/>
      </c>
      <c r="I24" s="77" t="str">
        <f aca="false">IF($A24="","",G24+H24)</f>
        <v/>
      </c>
      <c r="J24" s="78" t="str">
        <f aca="false">IF($A24="","",0)</f>
        <v/>
      </c>
      <c r="K24" s="77" t="str">
        <f aca="false">IF($A24="","",F24*J24+INDEX(BAHARY!$N$2:$N$901,342))</f>
        <v/>
      </c>
      <c r="L24" s="79" t="str">
        <f aca="false">IF($A24="","",I24-K24)</f>
        <v/>
      </c>
    </row>
    <row r="25" customFormat="false" ht="15" hidden="false" customHeight="true" outlineLevel="0" collapsed="false">
      <c r="A25" s="75" t="str">
        <f aca="false">IF(343&lt;=Check!$C$4,INDEX(BAHARY!$A$2:$A$901,343),"")</f>
        <v/>
      </c>
      <c r="B25" s="76" t="str">
        <f aca="false">IF($A25="","",INDEX(BAHARY!$B$2:$B$901,343))</f>
        <v/>
      </c>
      <c r="C25" s="76" t="str">
        <f aca="false">IF($A25="","",INDEX(BAHARY!$C$2:$C$901,343))</f>
        <v/>
      </c>
      <c r="D25" s="77" t="str">
        <f aca="false">IF($A25="","",INDEX(BAHARY!$H$2:$H$901,343))</f>
        <v/>
      </c>
      <c r="E25" s="77" t="str">
        <f aca="false">IF($A25="","",INDEX(BAHARY!$E$2:$E$901,343))</f>
        <v/>
      </c>
      <c r="F25" s="77" t="str">
        <f aca="false">IF($A25="","",D25+E25)</f>
        <v/>
      </c>
      <c r="G25" s="77" t="str">
        <f aca="false">IF($A25="","",D25*(1-'كشف المطالبة'!$D$5))</f>
        <v/>
      </c>
      <c r="H25" s="77" t="str">
        <f aca="false">IF($A25="","",E25*(1-'كشف المطالبة'!$D$6))</f>
        <v/>
      </c>
      <c r="I25" s="77" t="str">
        <f aca="false">IF($A25="","",G25+H25)</f>
        <v/>
      </c>
      <c r="J25" s="78" t="str">
        <f aca="false">IF($A25="","",0)</f>
        <v/>
      </c>
      <c r="K25" s="77" t="str">
        <f aca="false">IF($A25="","",F25*J25+INDEX(BAHARY!$N$2:$N$901,343))</f>
        <v/>
      </c>
      <c r="L25" s="79" t="str">
        <f aca="false">IF($A25="","",I25-K25)</f>
        <v/>
      </c>
    </row>
    <row r="26" customFormat="false" ht="15" hidden="false" customHeight="true" outlineLevel="0" collapsed="false">
      <c r="A26" s="75" t="str">
        <f aca="false">IF(344&lt;=Check!$C$4,INDEX(BAHARY!$A$2:$A$901,344),"")</f>
        <v/>
      </c>
      <c r="B26" s="76" t="str">
        <f aca="false">IF($A26="","",INDEX(BAHARY!$B$2:$B$901,344))</f>
        <v/>
      </c>
      <c r="C26" s="76" t="str">
        <f aca="false">IF($A26="","",INDEX(BAHARY!$C$2:$C$901,344))</f>
        <v/>
      </c>
      <c r="D26" s="77" t="str">
        <f aca="false">IF($A26="","",INDEX(BAHARY!$H$2:$H$901,344))</f>
        <v/>
      </c>
      <c r="E26" s="77" t="str">
        <f aca="false">IF($A26="","",INDEX(BAHARY!$E$2:$E$901,344))</f>
        <v/>
      </c>
      <c r="F26" s="77" t="str">
        <f aca="false">IF($A26="","",D26+E26)</f>
        <v/>
      </c>
      <c r="G26" s="77" t="str">
        <f aca="false">IF($A26="","",D26*(1-'كشف المطالبة'!$D$5))</f>
        <v/>
      </c>
      <c r="H26" s="77" t="str">
        <f aca="false">IF($A26="","",E26*(1-'كشف المطالبة'!$D$6))</f>
        <v/>
      </c>
      <c r="I26" s="77" t="str">
        <f aca="false">IF($A26="","",G26+H26)</f>
        <v/>
      </c>
      <c r="J26" s="78" t="str">
        <f aca="false">IF($A26="","",0)</f>
        <v/>
      </c>
      <c r="K26" s="77" t="str">
        <f aca="false">IF($A26="","",F26*J26+INDEX(BAHARY!$N$2:$N$901,344))</f>
        <v/>
      </c>
      <c r="L26" s="79" t="str">
        <f aca="false">IF($A26="","",I26-K26)</f>
        <v/>
      </c>
    </row>
    <row r="27" customFormat="false" ht="15" hidden="false" customHeight="true" outlineLevel="0" collapsed="false">
      <c r="A27" s="75" t="str">
        <f aca="false">IF(345&lt;=Check!$C$4,INDEX(BAHARY!$A$2:$A$901,345),"")</f>
        <v/>
      </c>
      <c r="B27" s="76" t="str">
        <f aca="false">IF($A27="","",INDEX(BAHARY!$B$2:$B$901,345))</f>
        <v/>
      </c>
      <c r="C27" s="76" t="str">
        <f aca="false">IF($A27="","",INDEX(BAHARY!$C$2:$C$901,345))</f>
        <v/>
      </c>
      <c r="D27" s="77" t="str">
        <f aca="false">IF($A27="","",INDEX(BAHARY!$H$2:$H$901,345))</f>
        <v/>
      </c>
      <c r="E27" s="77" t="str">
        <f aca="false">IF($A27="","",INDEX(BAHARY!$E$2:$E$901,345))</f>
        <v/>
      </c>
      <c r="F27" s="77" t="str">
        <f aca="false">IF($A27="","",D27+E27)</f>
        <v/>
      </c>
      <c r="G27" s="77" t="str">
        <f aca="false">IF($A27="","",D27*(1-'كشف المطالبة'!$D$5))</f>
        <v/>
      </c>
      <c r="H27" s="77" t="str">
        <f aca="false">IF($A27="","",E27*(1-'كشف المطالبة'!$D$6))</f>
        <v/>
      </c>
      <c r="I27" s="77" t="str">
        <f aca="false">IF($A27="","",G27+H27)</f>
        <v/>
      </c>
      <c r="J27" s="78" t="str">
        <f aca="false">IF($A27="","",0)</f>
        <v/>
      </c>
      <c r="K27" s="77" t="str">
        <f aca="false">IF($A27="","",F27*J27+INDEX(BAHARY!$N$2:$N$901,345))</f>
        <v/>
      </c>
      <c r="L27" s="79" t="str">
        <f aca="false">IF($A27="","",I27-K27)</f>
        <v/>
      </c>
    </row>
    <row r="28" customFormat="false" ht="15" hidden="false" customHeight="true" outlineLevel="0" collapsed="false">
      <c r="A28" s="75" t="str">
        <f aca="false">IF(346&lt;=Check!$C$4,INDEX(BAHARY!$A$2:$A$901,346),"")</f>
        <v/>
      </c>
      <c r="B28" s="76" t="str">
        <f aca="false">IF($A28="","",INDEX(BAHARY!$B$2:$B$901,346))</f>
        <v/>
      </c>
      <c r="C28" s="76" t="str">
        <f aca="false">IF($A28="","",INDEX(BAHARY!$C$2:$C$901,346))</f>
        <v/>
      </c>
      <c r="D28" s="77" t="str">
        <f aca="false">IF($A28="","",INDEX(BAHARY!$H$2:$H$901,346))</f>
        <v/>
      </c>
      <c r="E28" s="77" t="str">
        <f aca="false">IF($A28="","",INDEX(BAHARY!$E$2:$E$901,346))</f>
        <v/>
      </c>
      <c r="F28" s="77" t="str">
        <f aca="false">IF($A28="","",D28+E28)</f>
        <v/>
      </c>
      <c r="G28" s="77" t="str">
        <f aca="false">IF($A28="","",D28*(1-'كشف المطالبة'!$D$5))</f>
        <v/>
      </c>
      <c r="H28" s="77" t="str">
        <f aca="false">IF($A28="","",E28*(1-'كشف المطالبة'!$D$6))</f>
        <v/>
      </c>
      <c r="I28" s="77" t="str">
        <f aca="false">IF($A28="","",G28+H28)</f>
        <v/>
      </c>
      <c r="J28" s="78" t="str">
        <f aca="false">IF($A28="","",0)</f>
        <v/>
      </c>
      <c r="K28" s="77" t="str">
        <f aca="false">IF($A28="","",F28*J28+INDEX(BAHARY!$N$2:$N$901,346))</f>
        <v/>
      </c>
      <c r="L28" s="79" t="str">
        <f aca="false">IF($A28="","",I28-K28)</f>
        <v/>
      </c>
    </row>
    <row r="29" customFormat="false" ht="15" hidden="false" customHeight="true" outlineLevel="0" collapsed="false">
      <c r="A29" s="75" t="str">
        <f aca="false">IF(347&lt;=Check!$C$4,INDEX(BAHARY!$A$2:$A$901,347),"")</f>
        <v/>
      </c>
      <c r="B29" s="76" t="str">
        <f aca="false">IF($A29="","",INDEX(BAHARY!$B$2:$B$901,347))</f>
        <v/>
      </c>
      <c r="C29" s="76" t="str">
        <f aca="false">IF($A29="","",INDEX(BAHARY!$C$2:$C$901,347))</f>
        <v/>
      </c>
      <c r="D29" s="77" t="str">
        <f aca="false">IF($A29="","",INDEX(BAHARY!$H$2:$H$901,347))</f>
        <v/>
      </c>
      <c r="E29" s="77" t="str">
        <f aca="false">IF($A29="","",INDEX(BAHARY!$E$2:$E$901,347))</f>
        <v/>
      </c>
      <c r="F29" s="77" t="str">
        <f aca="false">IF($A29="","",D29+E29)</f>
        <v/>
      </c>
      <c r="G29" s="77" t="str">
        <f aca="false">IF($A29="","",D29*(1-'كشف المطالبة'!$D$5))</f>
        <v/>
      </c>
      <c r="H29" s="77" t="str">
        <f aca="false">IF($A29="","",E29*(1-'كشف المطالبة'!$D$6))</f>
        <v/>
      </c>
      <c r="I29" s="77" t="str">
        <f aca="false">IF($A29="","",G29+H29)</f>
        <v/>
      </c>
      <c r="J29" s="78" t="str">
        <f aca="false">IF($A29="","",0)</f>
        <v/>
      </c>
      <c r="K29" s="77" t="str">
        <f aca="false">IF($A29="","",F29*J29+INDEX(BAHARY!$N$2:$N$901,347))</f>
        <v/>
      </c>
      <c r="L29" s="79" t="str">
        <f aca="false">IF($A29="","",I29-K29)</f>
        <v/>
      </c>
    </row>
    <row r="30" customFormat="false" ht="15" hidden="false" customHeight="true" outlineLevel="0" collapsed="false">
      <c r="A30" s="75" t="str">
        <f aca="false">IF(348&lt;=Check!$C$4,INDEX(BAHARY!$A$2:$A$901,348),"")</f>
        <v/>
      </c>
      <c r="B30" s="76" t="str">
        <f aca="false">IF($A30="","",INDEX(BAHARY!$B$2:$B$901,348))</f>
        <v/>
      </c>
      <c r="C30" s="76" t="str">
        <f aca="false">IF($A30="","",INDEX(BAHARY!$C$2:$C$901,348))</f>
        <v/>
      </c>
      <c r="D30" s="77" t="str">
        <f aca="false">IF($A30="","",INDEX(BAHARY!$H$2:$H$901,348))</f>
        <v/>
      </c>
      <c r="E30" s="77" t="str">
        <f aca="false">IF($A30="","",INDEX(BAHARY!$E$2:$E$901,348))</f>
        <v/>
      </c>
      <c r="F30" s="77" t="str">
        <f aca="false">IF($A30="","",D30+E30)</f>
        <v/>
      </c>
      <c r="G30" s="77" t="str">
        <f aca="false">IF($A30="","",D30*(1-'كشف المطالبة'!$D$5))</f>
        <v/>
      </c>
      <c r="H30" s="77" t="str">
        <f aca="false">IF($A30="","",E30*(1-'كشف المطالبة'!$D$6))</f>
        <v/>
      </c>
      <c r="I30" s="77" t="str">
        <f aca="false">IF($A30="","",G30+H30)</f>
        <v/>
      </c>
      <c r="J30" s="78" t="str">
        <f aca="false">IF($A30="","",0)</f>
        <v/>
      </c>
      <c r="K30" s="77" t="str">
        <f aca="false">IF($A30="","",F30*J30+INDEX(BAHARY!$N$2:$N$901,348))</f>
        <v/>
      </c>
      <c r="L30" s="79" t="str">
        <f aca="false">IF($A30="","",I30-K30)</f>
        <v/>
      </c>
    </row>
    <row r="31" customFormat="false" ht="15" hidden="false" customHeight="true" outlineLevel="0" collapsed="false">
      <c r="A31" s="75" t="str">
        <f aca="false">IF(349&lt;=Check!$C$4,INDEX(BAHARY!$A$2:$A$901,349),"")</f>
        <v/>
      </c>
      <c r="B31" s="76" t="str">
        <f aca="false">IF($A31="","",INDEX(BAHARY!$B$2:$B$901,349))</f>
        <v/>
      </c>
      <c r="C31" s="76" t="str">
        <f aca="false">IF($A31="","",INDEX(BAHARY!$C$2:$C$901,349))</f>
        <v/>
      </c>
      <c r="D31" s="77" t="str">
        <f aca="false">IF($A31="","",INDEX(BAHARY!$H$2:$H$901,349))</f>
        <v/>
      </c>
      <c r="E31" s="77" t="str">
        <f aca="false">IF($A31="","",INDEX(BAHARY!$E$2:$E$901,349))</f>
        <v/>
      </c>
      <c r="F31" s="77" t="str">
        <f aca="false">IF($A31="","",D31+E31)</f>
        <v/>
      </c>
      <c r="G31" s="77" t="str">
        <f aca="false">IF($A31="","",D31*(1-'كشف المطالبة'!$D$5))</f>
        <v/>
      </c>
      <c r="H31" s="77" t="str">
        <f aca="false">IF($A31="","",E31*(1-'كشف المطالبة'!$D$6))</f>
        <v/>
      </c>
      <c r="I31" s="77" t="str">
        <f aca="false">IF($A31="","",G31+H31)</f>
        <v/>
      </c>
      <c r="J31" s="78" t="str">
        <f aca="false">IF($A31="","",0)</f>
        <v/>
      </c>
      <c r="K31" s="77" t="str">
        <f aca="false">IF($A31="","",F31*J31+INDEX(BAHARY!$N$2:$N$901,349))</f>
        <v/>
      </c>
      <c r="L31" s="79" t="str">
        <f aca="false">IF($A31="","",I31-K31)</f>
        <v/>
      </c>
    </row>
    <row r="32" customFormat="false" ht="15" hidden="false" customHeight="true" outlineLevel="0" collapsed="false">
      <c r="A32" s="75" t="str">
        <f aca="false">IF(350&lt;=Check!$C$4,INDEX(BAHARY!$A$2:$A$901,350),"")</f>
        <v/>
      </c>
      <c r="B32" s="76" t="str">
        <f aca="false">IF($A32="","",INDEX(BAHARY!$B$2:$B$901,350))</f>
        <v/>
      </c>
      <c r="C32" s="76" t="str">
        <f aca="false">IF($A32="","",INDEX(BAHARY!$C$2:$C$901,350))</f>
        <v/>
      </c>
      <c r="D32" s="77" t="str">
        <f aca="false">IF($A32="","",INDEX(BAHARY!$H$2:$H$901,350))</f>
        <v/>
      </c>
      <c r="E32" s="77" t="str">
        <f aca="false">IF($A32="","",INDEX(BAHARY!$E$2:$E$901,350))</f>
        <v/>
      </c>
      <c r="F32" s="77" t="str">
        <f aca="false">IF($A32="","",D32+E32)</f>
        <v/>
      </c>
      <c r="G32" s="77" t="str">
        <f aca="false">IF($A32="","",D32*(1-'كشف المطالبة'!$D$5))</f>
        <v/>
      </c>
      <c r="H32" s="77" t="str">
        <f aca="false">IF($A32="","",E32*(1-'كشف المطالبة'!$D$6))</f>
        <v/>
      </c>
      <c r="I32" s="77" t="str">
        <f aca="false">IF($A32="","",G32+H32)</f>
        <v/>
      </c>
      <c r="J32" s="78" t="str">
        <f aca="false">IF($A32="","",0)</f>
        <v/>
      </c>
      <c r="K32" s="77" t="str">
        <f aca="false">IF($A32="","",F32*J32+INDEX(BAHARY!$N$2:$N$901,350))</f>
        <v/>
      </c>
      <c r="L32" s="79" t="str">
        <f aca="false">IF($A32="","",I32-K32)</f>
        <v/>
      </c>
    </row>
    <row r="33" customFormat="false" ht="15" hidden="false" customHeight="true" outlineLevel="0" collapsed="false">
      <c r="A33" s="75" t="str">
        <f aca="false">IF(351&lt;=Check!$C$4,INDEX(BAHARY!$A$2:$A$901,351),"")</f>
        <v/>
      </c>
      <c r="B33" s="76" t="str">
        <f aca="false">IF($A33="","",INDEX(BAHARY!$B$2:$B$901,351))</f>
        <v/>
      </c>
      <c r="C33" s="76" t="str">
        <f aca="false">IF($A33="","",INDEX(BAHARY!$C$2:$C$901,351))</f>
        <v/>
      </c>
      <c r="D33" s="77" t="str">
        <f aca="false">IF($A33="","",INDEX(BAHARY!$H$2:$H$901,351))</f>
        <v/>
      </c>
      <c r="E33" s="77" t="str">
        <f aca="false">IF($A33="","",INDEX(BAHARY!$E$2:$E$901,351))</f>
        <v/>
      </c>
      <c r="F33" s="77" t="str">
        <f aca="false">IF($A33="","",D33+E33)</f>
        <v/>
      </c>
      <c r="G33" s="77" t="str">
        <f aca="false">IF($A33="","",D33*(1-'كشف المطالبة'!$D$5))</f>
        <v/>
      </c>
      <c r="H33" s="77" t="str">
        <f aca="false">IF($A33="","",E33*(1-'كشف المطالبة'!$D$6))</f>
        <v/>
      </c>
      <c r="I33" s="77" t="str">
        <f aca="false">IF($A33="","",G33+H33)</f>
        <v/>
      </c>
      <c r="J33" s="78" t="str">
        <f aca="false">IF($A33="","",0)</f>
        <v/>
      </c>
      <c r="K33" s="77" t="str">
        <f aca="false">IF($A33="","",F33*J33+INDEX(BAHARY!$N$2:$N$901,351))</f>
        <v/>
      </c>
      <c r="L33" s="79" t="str">
        <f aca="false">IF($A33="","",I33-K33)</f>
        <v/>
      </c>
    </row>
    <row r="34" customFormat="false" ht="15" hidden="false" customHeight="true" outlineLevel="0" collapsed="false">
      <c r="A34" s="75" t="str">
        <f aca="false">IF(352&lt;=Check!$C$4,INDEX(BAHARY!$A$2:$A$901,352),"")</f>
        <v/>
      </c>
      <c r="B34" s="76" t="str">
        <f aca="false">IF($A34="","",INDEX(BAHARY!$B$2:$B$901,352))</f>
        <v/>
      </c>
      <c r="C34" s="76" t="str">
        <f aca="false">IF($A34="","",INDEX(BAHARY!$C$2:$C$901,352))</f>
        <v/>
      </c>
      <c r="D34" s="77" t="str">
        <f aca="false">IF($A34="","",INDEX(BAHARY!$H$2:$H$901,352))</f>
        <v/>
      </c>
      <c r="E34" s="77" t="str">
        <f aca="false">IF($A34="","",INDEX(BAHARY!$E$2:$E$901,352))</f>
        <v/>
      </c>
      <c r="F34" s="77" t="str">
        <f aca="false">IF($A34="","",D34+E34)</f>
        <v/>
      </c>
      <c r="G34" s="77" t="str">
        <f aca="false">IF($A34="","",D34*(1-'كشف المطالبة'!$D$5))</f>
        <v/>
      </c>
      <c r="H34" s="77" t="str">
        <f aca="false">IF($A34="","",E34*(1-'كشف المطالبة'!$D$6))</f>
        <v/>
      </c>
      <c r="I34" s="77" t="str">
        <f aca="false">IF($A34="","",G34+H34)</f>
        <v/>
      </c>
      <c r="J34" s="78" t="str">
        <f aca="false">IF($A34="","",0)</f>
        <v/>
      </c>
      <c r="K34" s="77" t="str">
        <f aca="false">IF($A34="","",F34*J34+INDEX(BAHARY!$N$2:$N$901,352))</f>
        <v/>
      </c>
      <c r="L34" s="79" t="str">
        <f aca="false">IF($A34="","",I34-K34)</f>
        <v/>
      </c>
    </row>
    <row r="35" customFormat="false" ht="15" hidden="false" customHeight="true" outlineLevel="0" collapsed="false">
      <c r="A35" s="75" t="str">
        <f aca="false">IF(353&lt;=Check!$C$4,INDEX(BAHARY!$A$2:$A$901,353),"")</f>
        <v/>
      </c>
      <c r="B35" s="76" t="str">
        <f aca="false">IF($A35="","",INDEX(BAHARY!$B$2:$B$901,353))</f>
        <v/>
      </c>
      <c r="C35" s="76" t="str">
        <f aca="false">IF($A35="","",INDEX(BAHARY!$C$2:$C$901,353))</f>
        <v/>
      </c>
      <c r="D35" s="77" t="str">
        <f aca="false">IF($A35="","",INDEX(BAHARY!$H$2:$H$901,353))</f>
        <v/>
      </c>
      <c r="E35" s="77" t="str">
        <f aca="false">IF($A35="","",INDEX(BAHARY!$E$2:$E$901,353))</f>
        <v/>
      </c>
      <c r="F35" s="77" t="str">
        <f aca="false">IF($A35="","",D35+E35)</f>
        <v/>
      </c>
      <c r="G35" s="77" t="str">
        <f aca="false">IF($A35="","",D35*(1-'كشف المطالبة'!$D$5))</f>
        <v/>
      </c>
      <c r="H35" s="77" t="str">
        <f aca="false">IF($A35="","",E35*(1-'كشف المطالبة'!$D$6))</f>
        <v/>
      </c>
      <c r="I35" s="77" t="str">
        <f aca="false">IF($A35="","",G35+H35)</f>
        <v/>
      </c>
      <c r="J35" s="78" t="str">
        <f aca="false">IF($A35="","",0)</f>
        <v/>
      </c>
      <c r="K35" s="77" t="str">
        <f aca="false">IF($A35="","",F35*J35+INDEX(BAHARY!$N$2:$N$901,353))</f>
        <v/>
      </c>
      <c r="L35" s="79" t="str">
        <f aca="false">IF($A35="","",I35-K35)</f>
        <v/>
      </c>
    </row>
    <row r="36" customFormat="false" ht="15" hidden="false" customHeight="true" outlineLevel="0" collapsed="false">
      <c r="A36" s="75" t="str">
        <f aca="false">IF(354&lt;=Check!$C$4,INDEX(BAHARY!$A$2:$A$901,354),"")</f>
        <v/>
      </c>
      <c r="B36" s="76" t="str">
        <f aca="false">IF($A36="","",INDEX(BAHARY!$B$2:$B$901,354))</f>
        <v/>
      </c>
      <c r="C36" s="76" t="str">
        <f aca="false">IF($A36="","",INDEX(BAHARY!$C$2:$C$901,354))</f>
        <v/>
      </c>
      <c r="D36" s="77" t="str">
        <f aca="false">IF($A36="","",INDEX(BAHARY!$H$2:$H$901,354))</f>
        <v/>
      </c>
      <c r="E36" s="77" t="str">
        <f aca="false">IF($A36="","",INDEX(BAHARY!$E$2:$E$901,354))</f>
        <v/>
      </c>
      <c r="F36" s="77" t="str">
        <f aca="false">IF($A36="","",D36+E36)</f>
        <v/>
      </c>
      <c r="G36" s="77" t="str">
        <f aca="false">IF($A36="","",D36*(1-'كشف المطالبة'!$D$5))</f>
        <v/>
      </c>
      <c r="H36" s="77" t="str">
        <f aca="false">IF($A36="","",E36*(1-'كشف المطالبة'!$D$6))</f>
        <v/>
      </c>
      <c r="I36" s="77" t="str">
        <f aca="false">IF($A36="","",G36+H36)</f>
        <v/>
      </c>
      <c r="J36" s="78" t="str">
        <f aca="false">IF($A36="","",0)</f>
        <v/>
      </c>
      <c r="K36" s="77" t="str">
        <f aca="false">IF($A36="","",F36*J36+INDEX(BAHARY!$N$2:$N$901,354))</f>
        <v/>
      </c>
      <c r="L36" s="79" t="str">
        <f aca="false">IF($A36="","",I36-K36)</f>
        <v/>
      </c>
    </row>
    <row r="37" customFormat="false" ht="15" hidden="false" customHeight="true" outlineLevel="0" collapsed="false">
      <c r="A37" s="75" t="str">
        <f aca="false">IF(355&lt;=Check!$C$4,INDEX(BAHARY!$A$2:$A$901,355),"")</f>
        <v/>
      </c>
      <c r="B37" s="76" t="str">
        <f aca="false">IF($A37="","",INDEX(BAHARY!$B$2:$B$901,355))</f>
        <v/>
      </c>
      <c r="C37" s="76" t="str">
        <f aca="false">IF($A37="","",INDEX(BAHARY!$C$2:$C$901,355))</f>
        <v/>
      </c>
      <c r="D37" s="77" t="str">
        <f aca="false">IF($A37="","",INDEX(BAHARY!$H$2:$H$901,355))</f>
        <v/>
      </c>
      <c r="E37" s="77" t="str">
        <f aca="false">IF($A37="","",INDEX(BAHARY!$E$2:$E$901,355))</f>
        <v/>
      </c>
      <c r="F37" s="77" t="str">
        <f aca="false">IF($A37="","",D37+E37)</f>
        <v/>
      </c>
      <c r="G37" s="77" t="str">
        <f aca="false">IF($A37="","",D37*(1-'كشف المطالبة'!$D$5))</f>
        <v/>
      </c>
      <c r="H37" s="77" t="str">
        <f aca="false">IF($A37="","",E37*(1-'كشف المطالبة'!$D$6))</f>
        <v/>
      </c>
      <c r="I37" s="77" t="str">
        <f aca="false">IF($A37="","",G37+H37)</f>
        <v/>
      </c>
      <c r="J37" s="78" t="str">
        <f aca="false">IF($A37="","",0)</f>
        <v/>
      </c>
      <c r="K37" s="77" t="str">
        <f aca="false">IF($A37="","",F37*J37+INDEX(BAHARY!$N$2:$N$901,355))</f>
        <v/>
      </c>
      <c r="L37" s="79" t="str">
        <f aca="false">IF($A37="","",I37-K37)</f>
        <v/>
      </c>
    </row>
    <row r="38" customFormat="false" ht="15" hidden="false" customHeight="true" outlineLevel="0" collapsed="false">
      <c r="A38" s="75" t="str">
        <f aca="false">IF(356&lt;=Check!$C$4,INDEX(BAHARY!$A$2:$A$901,356),"")</f>
        <v/>
      </c>
      <c r="B38" s="76" t="str">
        <f aca="false">IF($A38="","",INDEX(BAHARY!$B$2:$B$901,356))</f>
        <v/>
      </c>
      <c r="C38" s="76" t="str">
        <f aca="false">IF($A38="","",INDEX(BAHARY!$C$2:$C$901,356))</f>
        <v/>
      </c>
      <c r="D38" s="77" t="str">
        <f aca="false">IF($A38="","",INDEX(BAHARY!$H$2:$H$901,356))</f>
        <v/>
      </c>
      <c r="E38" s="77" t="str">
        <f aca="false">IF($A38="","",INDEX(BAHARY!$E$2:$E$901,356))</f>
        <v/>
      </c>
      <c r="F38" s="77" t="str">
        <f aca="false">IF($A38="","",D38+E38)</f>
        <v/>
      </c>
      <c r="G38" s="77" t="str">
        <f aca="false">IF($A38="","",D38*(1-'كشف المطالبة'!$D$5))</f>
        <v/>
      </c>
      <c r="H38" s="77" t="str">
        <f aca="false">IF($A38="","",E38*(1-'كشف المطالبة'!$D$6))</f>
        <v/>
      </c>
      <c r="I38" s="77" t="str">
        <f aca="false">IF($A38="","",G38+H38)</f>
        <v/>
      </c>
      <c r="J38" s="78" t="str">
        <f aca="false">IF($A38="","",0)</f>
        <v/>
      </c>
      <c r="K38" s="77" t="str">
        <f aca="false">IF($A38="","",F38*J38+INDEX(BAHARY!$N$2:$N$901,356))</f>
        <v/>
      </c>
      <c r="L38" s="79" t="str">
        <f aca="false">IF($A38="","",I38-K38)</f>
        <v/>
      </c>
    </row>
    <row r="39" customFormat="false" ht="15" hidden="false" customHeight="true" outlineLevel="0" collapsed="false">
      <c r="A39" s="75" t="str">
        <f aca="false">IF(357&lt;=Check!$C$4,INDEX(BAHARY!$A$2:$A$901,357),"")</f>
        <v/>
      </c>
      <c r="B39" s="76" t="str">
        <f aca="false">IF($A39="","",INDEX(BAHARY!$B$2:$B$901,357))</f>
        <v/>
      </c>
      <c r="C39" s="76" t="str">
        <f aca="false">IF($A39="","",INDEX(BAHARY!$C$2:$C$901,357))</f>
        <v/>
      </c>
      <c r="D39" s="77" t="str">
        <f aca="false">IF($A39="","",INDEX(BAHARY!$H$2:$H$901,357))</f>
        <v/>
      </c>
      <c r="E39" s="77" t="str">
        <f aca="false">IF($A39="","",INDEX(BAHARY!$E$2:$E$901,357))</f>
        <v/>
      </c>
      <c r="F39" s="77" t="str">
        <f aca="false">IF($A39="","",D39+E39)</f>
        <v/>
      </c>
      <c r="G39" s="77" t="str">
        <f aca="false">IF($A39="","",D39*(1-'كشف المطالبة'!$D$5))</f>
        <v/>
      </c>
      <c r="H39" s="77" t="str">
        <f aca="false">IF($A39="","",E39*(1-'كشف المطالبة'!$D$6))</f>
        <v/>
      </c>
      <c r="I39" s="77" t="str">
        <f aca="false">IF($A39="","",G39+H39)</f>
        <v/>
      </c>
      <c r="J39" s="78" t="str">
        <f aca="false">IF($A39="","",0)</f>
        <v/>
      </c>
      <c r="K39" s="77" t="str">
        <f aca="false">IF($A39="","",F39*J39+INDEX(BAHARY!$N$2:$N$901,357))</f>
        <v/>
      </c>
      <c r="L39" s="79" t="str">
        <f aca="false">IF($A39="","",I39-K39)</f>
        <v/>
      </c>
    </row>
    <row r="40" customFormat="false" ht="15" hidden="false" customHeight="true" outlineLevel="0" collapsed="false">
      <c r="A40" s="75" t="str">
        <f aca="false">IF(358&lt;=Check!$C$4,INDEX(BAHARY!$A$2:$A$901,358),"")</f>
        <v/>
      </c>
      <c r="B40" s="76" t="str">
        <f aca="false">IF($A40="","",INDEX(BAHARY!$B$2:$B$901,358))</f>
        <v/>
      </c>
      <c r="C40" s="76" t="str">
        <f aca="false">IF($A40="","",INDEX(BAHARY!$C$2:$C$901,358))</f>
        <v/>
      </c>
      <c r="D40" s="77" t="str">
        <f aca="false">IF($A40="","",INDEX(BAHARY!$H$2:$H$901,358))</f>
        <v/>
      </c>
      <c r="E40" s="77" t="str">
        <f aca="false">IF($A40="","",INDEX(BAHARY!$E$2:$E$901,358))</f>
        <v/>
      </c>
      <c r="F40" s="77" t="str">
        <f aca="false">IF($A40="","",D40+E40)</f>
        <v/>
      </c>
      <c r="G40" s="77" t="str">
        <f aca="false">IF($A40="","",D40*(1-'كشف المطالبة'!$D$5))</f>
        <v/>
      </c>
      <c r="H40" s="77" t="str">
        <f aca="false">IF($A40="","",E40*(1-'كشف المطالبة'!$D$6))</f>
        <v/>
      </c>
      <c r="I40" s="77" t="str">
        <f aca="false">IF($A40="","",G40+H40)</f>
        <v/>
      </c>
      <c r="J40" s="78" t="str">
        <f aca="false">IF($A40="","",0)</f>
        <v/>
      </c>
      <c r="K40" s="77" t="str">
        <f aca="false">IF($A40="","",F40*J40+INDEX(BAHARY!$N$2:$N$901,358))</f>
        <v/>
      </c>
      <c r="L40" s="79" t="str">
        <f aca="false">IF($A40="","",I40-K40)</f>
        <v/>
      </c>
    </row>
    <row r="41" customFormat="false" ht="15" hidden="false" customHeight="true" outlineLevel="0" collapsed="false">
      <c r="A41" s="75" t="str">
        <f aca="false">IF(359&lt;=Check!$C$4,INDEX(BAHARY!$A$2:$A$901,359),"")</f>
        <v/>
      </c>
      <c r="B41" s="76" t="str">
        <f aca="false">IF($A41="","",INDEX(BAHARY!$B$2:$B$901,359))</f>
        <v/>
      </c>
      <c r="C41" s="76" t="str">
        <f aca="false">IF($A41="","",INDEX(BAHARY!$C$2:$C$901,359))</f>
        <v/>
      </c>
      <c r="D41" s="77" t="str">
        <f aca="false">IF($A41="","",INDEX(BAHARY!$H$2:$H$901,359))</f>
        <v/>
      </c>
      <c r="E41" s="77" t="str">
        <f aca="false">IF($A41="","",INDEX(BAHARY!$E$2:$E$901,359))</f>
        <v/>
      </c>
      <c r="F41" s="77" t="str">
        <f aca="false">IF($A41="","",D41+E41)</f>
        <v/>
      </c>
      <c r="G41" s="77" t="str">
        <f aca="false">IF($A41="","",D41*(1-'كشف المطالبة'!$D$5))</f>
        <v/>
      </c>
      <c r="H41" s="77" t="str">
        <f aca="false">IF($A41="","",E41*(1-'كشف المطالبة'!$D$6))</f>
        <v/>
      </c>
      <c r="I41" s="77" t="str">
        <f aca="false">IF($A41="","",G41+H41)</f>
        <v/>
      </c>
      <c r="J41" s="78" t="str">
        <f aca="false">IF($A41="","",0)</f>
        <v/>
      </c>
      <c r="K41" s="77" t="str">
        <f aca="false">IF($A41="","",F41*J41+INDEX(BAHARY!$N$2:$N$901,359))</f>
        <v/>
      </c>
      <c r="L41" s="79" t="str">
        <f aca="false">IF($A41="","",I41-K41)</f>
        <v/>
      </c>
    </row>
    <row r="42" customFormat="false" ht="15" hidden="false" customHeight="true" outlineLevel="0" collapsed="false">
      <c r="A42" s="75" t="str">
        <f aca="false">IF(360&lt;=Check!$C$4,INDEX(BAHARY!$A$2:$A$901,360),"")</f>
        <v/>
      </c>
      <c r="B42" s="76" t="str">
        <f aca="false">IF($A42="","",INDEX(BAHARY!$B$2:$B$901,360))</f>
        <v/>
      </c>
      <c r="C42" s="76" t="str">
        <f aca="false">IF($A42="","",INDEX(BAHARY!$C$2:$C$901,360))</f>
        <v/>
      </c>
      <c r="D42" s="77" t="str">
        <f aca="false">IF($A42="","",INDEX(BAHARY!$H$2:$H$901,360))</f>
        <v/>
      </c>
      <c r="E42" s="77" t="str">
        <f aca="false">IF($A42="","",INDEX(BAHARY!$E$2:$E$901,360))</f>
        <v/>
      </c>
      <c r="F42" s="77" t="str">
        <f aca="false">IF($A42="","",D42+E42)</f>
        <v/>
      </c>
      <c r="G42" s="77" t="str">
        <f aca="false">IF($A42="","",D42*(1-'كشف المطالبة'!$D$5))</f>
        <v/>
      </c>
      <c r="H42" s="77" t="str">
        <f aca="false">IF($A42="","",E42*(1-'كشف المطالبة'!$D$6))</f>
        <v/>
      </c>
      <c r="I42" s="77" t="str">
        <f aca="false">IF($A42="","",G42+H42)</f>
        <v/>
      </c>
      <c r="J42" s="78" t="str">
        <f aca="false">IF($A42="","",0)</f>
        <v/>
      </c>
      <c r="K42" s="77" t="str">
        <f aca="false">IF($A42="","",F42*J42+INDEX(BAHARY!$N$2:$N$901,360))</f>
        <v/>
      </c>
      <c r="L42" s="79" t="str">
        <f aca="false">IF($A42="","",I42-K42)</f>
        <v/>
      </c>
    </row>
    <row r="44" customFormat="false" ht="15" hidden="false" customHeight="true" outlineLevel="0" collapsed="false"/>
    <row r="45" s="86" customFormat="true" ht="15.75" hidden="false" customHeight="true" outlineLevel="0" collapsed="false">
      <c r="A45" s="81" t="s">
        <v>114</v>
      </c>
      <c r="B45" s="81"/>
      <c r="C45" s="81"/>
      <c r="D45" s="82" t="n">
        <f aca="false">SUM(D3:D42)</f>
        <v>0</v>
      </c>
      <c r="E45" s="82" t="n">
        <f aca="false">SUM(E3:E42)</f>
        <v>0</v>
      </c>
      <c r="F45" s="82" t="n">
        <f aca="false">SUM(F3:F42)</f>
        <v>0</v>
      </c>
      <c r="G45" s="82" t="n">
        <f aca="false">SUM(G3:G42)</f>
        <v>0</v>
      </c>
      <c r="H45" s="82" t="n">
        <f aca="false">SUM(H3:H42)</f>
        <v>0</v>
      </c>
      <c r="I45" s="82" t="n">
        <f aca="false">SUM(I3:I42)</f>
        <v>0</v>
      </c>
      <c r="J45" s="83"/>
      <c r="K45" s="82" t="n">
        <f aca="false">SUM(K3:K42)</f>
        <v>0</v>
      </c>
      <c r="L45" s="84" t="n">
        <f aca="false">SUM(L3:L42)</f>
        <v>0</v>
      </c>
      <c r="M45" s="85" t="n">
        <v>9</v>
      </c>
    </row>
  </sheetData>
  <mergeCells count="4">
    <mergeCell ref="A1:B1"/>
    <mergeCell ref="E1:G1"/>
    <mergeCell ref="K1:L1"/>
    <mergeCell ref="A45:C45"/>
  </mergeCells>
  <conditionalFormatting sqref="A3:A42 D3:L42">
    <cfRule type="expression" priority="2" aboveAverage="0" equalAverage="0" bottom="0" percent="0" rank="0" text="" dxfId="6">
      <formula>ISODD(ROW())</formula>
    </cfRule>
  </conditionalFormatting>
  <printOptions headings="false" gridLines="false" gridLinesSet="true" horizontalCentered="false" verticalCentered="false"/>
  <pageMargins left="0.279861111111111" right="0.279861111111111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39E90"/>
    <pageSetUpPr fitToPage="false"/>
  </sheetPr>
  <dimension ref="A1:M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53125" defaultRowHeight="14.25" zeroHeight="false" outlineLevelRow="0" outlineLevelCol="0"/>
  <cols>
    <col collapsed="false" customWidth="true" hidden="false" outlineLevel="0" max="1" min="1" style="0" width="3.27"/>
    <col collapsed="false" customWidth="true" hidden="false" outlineLevel="0" max="2" min="2" style="0" width="43.18"/>
    <col collapsed="false" customWidth="true" hidden="false" outlineLevel="0" max="3" min="3" style="0" width="7"/>
    <col collapsed="false" customWidth="true" hidden="false" outlineLevel="0" max="4" min="4" style="0" width="12.45"/>
    <col collapsed="false" customWidth="true" hidden="false" outlineLevel="0" max="5" min="5" style="0" width="12"/>
    <col collapsed="false" customWidth="true" hidden="false" outlineLevel="0" max="6" min="6" style="0" width="13.45"/>
    <col collapsed="false" customWidth="true" hidden="false" outlineLevel="0" max="7" min="7" style="0" width="17"/>
    <col collapsed="false" customWidth="true" hidden="false" outlineLevel="0" max="8" min="8" style="0" width="13"/>
    <col collapsed="false" customWidth="true" hidden="false" outlineLevel="0" max="9" min="9" style="0" width="13.73"/>
    <col collapsed="false" customWidth="true" hidden="false" outlineLevel="0" max="10" min="10" style="0" width="8.27"/>
    <col collapsed="false" customWidth="true" hidden="false" outlineLevel="0" max="11" min="11" style="0" width="9"/>
    <col collapsed="false" customWidth="true" hidden="false" outlineLevel="0" max="12" min="12" style="0" width="13.73"/>
    <col collapsed="false" customWidth="true" hidden="false" outlineLevel="0" max="13" min="13" style="0" width="2.18"/>
    <col collapsed="false" customWidth="true" hidden="false" outlineLevel="0" max="26" min="14" style="0" width="8.73"/>
  </cols>
  <sheetData>
    <row r="1" customFormat="false" ht="18" hidden="false" customHeight="true" outlineLevel="0" collapsed="false">
      <c r="A1" s="68" t="s">
        <v>105</v>
      </c>
      <c r="B1" s="68"/>
      <c r="C1" s="69"/>
      <c r="D1" s="69"/>
      <c r="E1" s="54" t="s">
        <v>112</v>
      </c>
      <c r="F1" s="54"/>
      <c r="G1" s="54"/>
      <c r="H1" s="69" t="n">
        <f aca="false">'كشف المطالبة'!E2</f>
        <v>0</v>
      </c>
      <c r="I1" s="69" t="str">
        <f aca="false">'كشف المطالبة'!E3</f>
        <v>الجزء الاول</v>
      </c>
      <c r="J1" s="69"/>
      <c r="K1" s="70" t="str">
        <f aca="false">'كشف المطالبة'!E4</f>
        <v>عاملين</v>
      </c>
      <c r="L1" s="70"/>
    </row>
    <row r="2" customFormat="false" ht="44.25" hidden="false" customHeight="true" outlineLevel="0" collapsed="false">
      <c r="A2" s="71" t="s">
        <v>106</v>
      </c>
      <c r="B2" s="72" t="s">
        <v>35</v>
      </c>
      <c r="C2" s="72" t="s">
        <v>36</v>
      </c>
      <c r="D2" s="72" t="s">
        <v>107</v>
      </c>
      <c r="E2" s="72" t="s">
        <v>38</v>
      </c>
      <c r="F2" s="72" t="s">
        <v>108</v>
      </c>
      <c r="G2" s="72" t="str">
        <f aca="false">"محلى بعد خصم "&amp;ROUND('كشف المطالبة'!$D$5*100,2)&amp;"%"</f>
        <v>محلى بعد خصم 14%</v>
      </c>
      <c r="H2" s="72" t="str">
        <f aca="false">"مستورد بعد خصم "&amp;ROUND('كشف المطالبة'!$D$6*100,2)&amp;"%"</f>
        <v>مستورد بعد خصم 7%</v>
      </c>
      <c r="I2" s="72" t="s">
        <v>109</v>
      </c>
      <c r="J2" s="73" t="s">
        <v>113</v>
      </c>
      <c r="K2" s="72" t="s">
        <v>110</v>
      </c>
      <c r="L2" s="74" t="s">
        <v>111</v>
      </c>
    </row>
    <row r="3" customFormat="false" ht="15" hidden="false" customHeight="true" outlineLevel="0" collapsed="false">
      <c r="A3" s="75" t="str">
        <f aca="false">IF(361&lt;=Check!$C$4,INDEX(BAHARY!$A$2:$A$901,361),"")</f>
        <v/>
      </c>
      <c r="B3" s="76" t="str">
        <f aca="false">IF($A3="","",INDEX(BAHARY!$B$2:$B$901,361))</f>
        <v/>
      </c>
      <c r="C3" s="76" t="str">
        <f aca="false">IF($A3="","",INDEX(BAHARY!$C$2:$C$901,361))</f>
        <v/>
      </c>
      <c r="D3" s="77" t="str">
        <f aca="false">IF($A3="","",INDEX(BAHARY!$H$2:$H$901,361))</f>
        <v/>
      </c>
      <c r="E3" s="77" t="str">
        <f aca="false">IF($A3="","",INDEX(BAHARY!$E$2:$E$901,361))</f>
        <v/>
      </c>
      <c r="F3" s="77" t="str">
        <f aca="false">IF($A3="","",D3+E3)</f>
        <v/>
      </c>
      <c r="G3" s="77" t="str">
        <f aca="false">IF($A3="","",D3*(1-'كشف المطالبة'!$D$5))</f>
        <v/>
      </c>
      <c r="H3" s="77" t="str">
        <f aca="false">IF($A3="","",E3*(1-'كشف المطالبة'!$D$6))</f>
        <v/>
      </c>
      <c r="I3" s="77" t="str">
        <f aca="false">IF($A3="","",G3+H3)</f>
        <v/>
      </c>
      <c r="J3" s="78" t="str">
        <f aca="false">IF($A3="","",0)</f>
        <v/>
      </c>
      <c r="K3" s="77" t="str">
        <f aca="false">IF($A3="","",F3*J3+INDEX(BAHARY!$N$2:$N$901,361))</f>
        <v/>
      </c>
      <c r="L3" s="79" t="str">
        <f aca="false">IF($A3="","",I3-K3)</f>
        <v/>
      </c>
    </row>
    <row r="4" customFormat="false" ht="15" hidden="false" customHeight="true" outlineLevel="0" collapsed="false">
      <c r="A4" s="75" t="str">
        <f aca="false">IF(362&lt;=Check!$C$4,INDEX(BAHARY!$A$2:$A$901,362),"")</f>
        <v/>
      </c>
      <c r="B4" s="76" t="str">
        <f aca="false">IF($A4="","",INDEX(BAHARY!$B$2:$B$901,362))</f>
        <v/>
      </c>
      <c r="C4" s="76" t="str">
        <f aca="false">IF($A4="","",INDEX(BAHARY!$C$2:$C$901,362))</f>
        <v/>
      </c>
      <c r="D4" s="77" t="str">
        <f aca="false">IF($A4="","",INDEX(BAHARY!$H$2:$H$901,362))</f>
        <v/>
      </c>
      <c r="E4" s="77" t="str">
        <f aca="false">IF($A4="","",INDEX(BAHARY!$E$2:$E$901,362))</f>
        <v/>
      </c>
      <c r="F4" s="77" t="str">
        <f aca="false">IF($A4="","",D4+E4)</f>
        <v/>
      </c>
      <c r="G4" s="77" t="str">
        <f aca="false">IF($A4="","",D4*(1-'كشف المطالبة'!$D$5))</f>
        <v/>
      </c>
      <c r="H4" s="77" t="str">
        <f aca="false">IF($A4="","",E4*(1-'كشف المطالبة'!$D$6))</f>
        <v/>
      </c>
      <c r="I4" s="77" t="str">
        <f aca="false">IF($A4="","",G4+H4)</f>
        <v/>
      </c>
      <c r="J4" s="78" t="str">
        <f aca="false">IF($A4="","",0)</f>
        <v/>
      </c>
      <c r="K4" s="77" t="str">
        <f aca="false">IF($A4="","",F4*J4+INDEX(BAHARY!$N$2:$N$901,362))</f>
        <v/>
      </c>
      <c r="L4" s="79" t="str">
        <f aca="false">IF($A4="","",I4-K4)</f>
        <v/>
      </c>
    </row>
    <row r="5" customFormat="false" ht="15" hidden="false" customHeight="true" outlineLevel="0" collapsed="false">
      <c r="A5" s="75" t="str">
        <f aca="false">IF(363&lt;=Check!$C$4,INDEX(BAHARY!$A$2:$A$901,363),"")</f>
        <v/>
      </c>
      <c r="B5" s="76" t="str">
        <f aca="false">IF($A5="","",INDEX(BAHARY!$B$2:$B$901,363))</f>
        <v/>
      </c>
      <c r="C5" s="76" t="str">
        <f aca="false">IF($A5="","",INDEX(BAHARY!$C$2:$C$901,363))</f>
        <v/>
      </c>
      <c r="D5" s="77" t="str">
        <f aca="false">IF($A5="","",INDEX(BAHARY!$H$2:$H$901,363))</f>
        <v/>
      </c>
      <c r="E5" s="77" t="str">
        <f aca="false">IF($A5="","",INDEX(BAHARY!$E$2:$E$901,363))</f>
        <v/>
      </c>
      <c r="F5" s="77" t="str">
        <f aca="false">IF($A5="","",D5+E5)</f>
        <v/>
      </c>
      <c r="G5" s="77" t="str">
        <f aca="false">IF($A5="","",D5*(1-'كشف المطالبة'!$D$5))</f>
        <v/>
      </c>
      <c r="H5" s="77" t="str">
        <f aca="false">IF($A5="","",E5*(1-'كشف المطالبة'!$D$6))</f>
        <v/>
      </c>
      <c r="I5" s="77" t="str">
        <f aca="false">IF($A5="","",G5+H5)</f>
        <v/>
      </c>
      <c r="J5" s="78" t="str">
        <f aca="false">IF($A5="","",0)</f>
        <v/>
      </c>
      <c r="K5" s="77" t="str">
        <f aca="false">IF($A5="","",F5*J5+INDEX(BAHARY!$N$2:$N$901,363))</f>
        <v/>
      </c>
      <c r="L5" s="79" t="str">
        <f aca="false">IF($A5="","",I5-K5)</f>
        <v/>
      </c>
    </row>
    <row r="6" customFormat="false" ht="15" hidden="false" customHeight="true" outlineLevel="0" collapsed="false">
      <c r="A6" s="75" t="str">
        <f aca="false">IF(364&lt;=Check!$C$4,INDEX(BAHARY!$A$2:$A$901,364),"")</f>
        <v/>
      </c>
      <c r="B6" s="76" t="str">
        <f aca="false">IF($A6="","",INDEX(BAHARY!$B$2:$B$901,364))</f>
        <v/>
      </c>
      <c r="C6" s="76" t="str">
        <f aca="false">IF($A6="","",INDEX(BAHARY!$C$2:$C$901,364))</f>
        <v/>
      </c>
      <c r="D6" s="77" t="str">
        <f aca="false">IF($A6="","",INDEX(BAHARY!$H$2:$H$901,364))</f>
        <v/>
      </c>
      <c r="E6" s="77" t="str">
        <f aca="false">IF($A6="","",INDEX(BAHARY!$E$2:$E$901,364))</f>
        <v/>
      </c>
      <c r="F6" s="77" t="str">
        <f aca="false">IF($A6="","",D6+E6)</f>
        <v/>
      </c>
      <c r="G6" s="77" t="str">
        <f aca="false">IF($A6="","",D6*(1-'كشف المطالبة'!$D$5))</f>
        <v/>
      </c>
      <c r="H6" s="77" t="str">
        <f aca="false">IF($A6="","",E6*(1-'كشف المطالبة'!$D$6))</f>
        <v/>
      </c>
      <c r="I6" s="77" t="str">
        <f aca="false">IF($A6="","",G6+H6)</f>
        <v/>
      </c>
      <c r="J6" s="78" t="str">
        <f aca="false">IF($A6="","",0)</f>
        <v/>
      </c>
      <c r="K6" s="77" t="str">
        <f aca="false">IF($A6="","",F6*J6+INDEX(BAHARY!$N$2:$N$901,364))</f>
        <v/>
      </c>
      <c r="L6" s="79" t="str">
        <f aca="false">IF($A6="","",I6-K6)</f>
        <v/>
      </c>
    </row>
    <row r="7" customFormat="false" ht="15" hidden="false" customHeight="true" outlineLevel="0" collapsed="false">
      <c r="A7" s="75" t="str">
        <f aca="false">IF(365&lt;=Check!$C$4,INDEX(BAHARY!$A$2:$A$901,365),"")</f>
        <v/>
      </c>
      <c r="B7" s="76" t="str">
        <f aca="false">IF($A7="","",INDEX(BAHARY!$B$2:$B$901,365))</f>
        <v/>
      </c>
      <c r="C7" s="76" t="str">
        <f aca="false">IF($A7="","",INDEX(BAHARY!$C$2:$C$901,365))</f>
        <v/>
      </c>
      <c r="D7" s="77" t="str">
        <f aca="false">IF($A7="","",INDEX(BAHARY!$H$2:$H$901,365))</f>
        <v/>
      </c>
      <c r="E7" s="77" t="str">
        <f aca="false">IF($A7="","",INDEX(BAHARY!$E$2:$E$901,365))</f>
        <v/>
      </c>
      <c r="F7" s="77" t="str">
        <f aca="false">IF($A7="","",D7+E7)</f>
        <v/>
      </c>
      <c r="G7" s="77" t="str">
        <f aca="false">IF($A7="","",D7*(1-'كشف المطالبة'!$D$5))</f>
        <v/>
      </c>
      <c r="H7" s="77" t="str">
        <f aca="false">IF($A7="","",E7*(1-'كشف المطالبة'!$D$6))</f>
        <v/>
      </c>
      <c r="I7" s="77" t="str">
        <f aca="false">IF($A7="","",G7+H7)</f>
        <v/>
      </c>
      <c r="J7" s="78" t="str">
        <f aca="false">IF($A7="","",0)</f>
        <v/>
      </c>
      <c r="K7" s="77" t="str">
        <f aca="false">IF($A7="","",F7*J7+INDEX(BAHARY!$N$2:$N$901,365))</f>
        <v/>
      </c>
      <c r="L7" s="79" t="str">
        <f aca="false">IF($A7="","",I7-K7)</f>
        <v/>
      </c>
    </row>
    <row r="8" customFormat="false" ht="15" hidden="false" customHeight="true" outlineLevel="0" collapsed="false">
      <c r="A8" s="75" t="str">
        <f aca="false">IF(366&lt;=Check!$C$4,INDEX(BAHARY!$A$2:$A$901,366),"")</f>
        <v/>
      </c>
      <c r="B8" s="76" t="str">
        <f aca="false">IF($A8="","",INDEX(BAHARY!$B$2:$B$901,366))</f>
        <v/>
      </c>
      <c r="C8" s="76" t="str">
        <f aca="false">IF($A8="","",INDEX(BAHARY!$C$2:$C$901,366))</f>
        <v/>
      </c>
      <c r="D8" s="77" t="str">
        <f aca="false">IF($A8="","",INDEX(BAHARY!$H$2:$H$901,366))</f>
        <v/>
      </c>
      <c r="E8" s="77" t="str">
        <f aca="false">IF($A8="","",INDEX(BAHARY!$E$2:$E$901,366))</f>
        <v/>
      </c>
      <c r="F8" s="77" t="str">
        <f aca="false">IF($A8="","",D8+E8)</f>
        <v/>
      </c>
      <c r="G8" s="77" t="str">
        <f aca="false">IF($A8="","",D8*(1-'كشف المطالبة'!$D$5))</f>
        <v/>
      </c>
      <c r="H8" s="77" t="str">
        <f aca="false">IF($A8="","",E8*(1-'كشف المطالبة'!$D$6))</f>
        <v/>
      </c>
      <c r="I8" s="77" t="str">
        <f aca="false">IF($A8="","",G8+H8)</f>
        <v/>
      </c>
      <c r="J8" s="78" t="str">
        <f aca="false">IF($A8="","",0)</f>
        <v/>
      </c>
      <c r="K8" s="77" t="str">
        <f aca="false">IF($A8="","",F8*J8+INDEX(BAHARY!$N$2:$N$901,366))</f>
        <v/>
      </c>
      <c r="L8" s="79" t="str">
        <f aca="false">IF($A8="","",I8-K8)</f>
        <v/>
      </c>
    </row>
    <row r="9" customFormat="false" ht="15" hidden="false" customHeight="true" outlineLevel="0" collapsed="false">
      <c r="A9" s="75" t="str">
        <f aca="false">IF(367&lt;=Check!$C$4,INDEX(BAHARY!$A$2:$A$901,367),"")</f>
        <v/>
      </c>
      <c r="B9" s="80" t="str">
        <f aca="false">IF($A9="","",INDEX(BAHARY!$B$2:$B$901,367))</f>
        <v/>
      </c>
      <c r="C9" s="76" t="str">
        <f aca="false">IF($A9="","",INDEX(BAHARY!$C$2:$C$901,367))</f>
        <v/>
      </c>
      <c r="D9" s="77" t="str">
        <f aca="false">IF($A9="","",INDEX(BAHARY!$H$2:$H$901,367))</f>
        <v/>
      </c>
      <c r="E9" s="77" t="str">
        <f aca="false">IF($A9="","",INDEX(BAHARY!$E$2:$E$901,367))</f>
        <v/>
      </c>
      <c r="F9" s="77" t="str">
        <f aca="false">IF($A9="","",D9+E9)</f>
        <v/>
      </c>
      <c r="G9" s="77" t="str">
        <f aca="false">IF($A9="","",D9*(1-'كشف المطالبة'!$D$5))</f>
        <v/>
      </c>
      <c r="H9" s="77" t="str">
        <f aca="false">IF($A9="","",E9*(1-'كشف المطالبة'!$D$6))</f>
        <v/>
      </c>
      <c r="I9" s="77" t="str">
        <f aca="false">IF($A9="","",G9+H9)</f>
        <v/>
      </c>
      <c r="J9" s="78" t="str">
        <f aca="false">IF($A9="","",0)</f>
        <v/>
      </c>
      <c r="K9" s="77" t="str">
        <f aca="false">IF($A9="","",F9*J9+INDEX(BAHARY!$N$2:$N$901,367))</f>
        <v/>
      </c>
      <c r="L9" s="79" t="str">
        <f aca="false">IF($A9="","",I9-K9)</f>
        <v/>
      </c>
    </row>
    <row r="10" customFormat="false" ht="15" hidden="false" customHeight="true" outlineLevel="0" collapsed="false">
      <c r="A10" s="75" t="str">
        <f aca="false">IF(368&lt;=Check!$C$4,INDEX(BAHARY!$A$2:$A$901,368),"")</f>
        <v/>
      </c>
      <c r="B10" s="76" t="str">
        <f aca="false">IF($A10="","",INDEX(BAHARY!$B$2:$B$901,368))</f>
        <v/>
      </c>
      <c r="C10" s="76" t="str">
        <f aca="false">IF($A10="","",INDEX(BAHARY!$C$2:$C$901,368))</f>
        <v/>
      </c>
      <c r="D10" s="77" t="str">
        <f aca="false">IF($A10="","",INDEX(BAHARY!$H$2:$H$901,368))</f>
        <v/>
      </c>
      <c r="E10" s="77" t="str">
        <f aca="false">IF($A10="","",INDEX(BAHARY!$E$2:$E$901,368))</f>
        <v/>
      </c>
      <c r="F10" s="77" t="str">
        <f aca="false">IF($A10="","",D10+E10)</f>
        <v/>
      </c>
      <c r="G10" s="77" t="str">
        <f aca="false">IF($A10="","",D10*(1-'كشف المطالبة'!$D$5))</f>
        <v/>
      </c>
      <c r="H10" s="77" t="str">
        <f aca="false">IF($A10="","",E10*(1-'كشف المطالبة'!$D$6))</f>
        <v/>
      </c>
      <c r="I10" s="77" t="str">
        <f aca="false">IF($A10="","",G10+H10)</f>
        <v/>
      </c>
      <c r="J10" s="78" t="str">
        <f aca="false">IF($A10="","",0)</f>
        <v/>
      </c>
      <c r="K10" s="77" t="str">
        <f aca="false">IF($A10="","",F10*J10+INDEX(BAHARY!$N$2:$N$901,368))</f>
        <v/>
      </c>
      <c r="L10" s="79" t="str">
        <f aca="false">IF($A10="","",I10-K10)</f>
        <v/>
      </c>
    </row>
    <row r="11" customFormat="false" ht="15" hidden="false" customHeight="true" outlineLevel="0" collapsed="false">
      <c r="A11" s="75" t="str">
        <f aca="false">IF(369&lt;=Check!$C$4,INDEX(BAHARY!$A$2:$A$901,369),"")</f>
        <v/>
      </c>
      <c r="B11" s="76" t="str">
        <f aca="false">IF($A11="","",INDEX(BAHARY!$B$2:$B$901,369))</f>
        <v/>
      </c>
      <c r="C11" s="76" t="str">
        <f aca="false">IF($A11="","",INDEX(BAHARY!$C$2:$C$901,369))</f>
        <v/>
      </c>
      <c r="D11" s="77" t="str">
        <f aca="false">IF($A11="","",INDEX(BAHARY!$H$2:$H$901,369))</f>
        <v/>
      </c>
      <c r="E11" s="77" t="str">
        <f aca="false">IF($A11="","",INDEX(BAHARY!$E$2:$E$901,369))</f>
        <v/>
      </c>
      <c r="F11" s="77" t="str">
        <f aca="false">IF($A11="","",D11+E11)</f>
        <v/>
      </c>
      <c r="G11" s="77" t="str">
        <f aca="false">IF($A11="","",D11*(1-'كشف المطالبة'!$D$5))</f>
        <v/>
      </c>
      <c r="H11" s="77" t="str">
        <f aca="false">IF($A11="","",E11*(1-'كشف المطالبة'!$D$6))</f>
        <v/>
      </c>
      <c r="I11" s="77" t="str">
        <f aca="false">IF($A11="","",G11+H11)</f>
        <v/>
      </c>
      <c r="J11" s="78" t="str">
        <f aca="false">IF($A11="","",0)</f>
        <v/>
      </c>
      <c r="K11" s="77" t="str">
        <f aca="false">IF($A11="","",F11*J11+INDEX(BAHARY!$N$2:$N$901,369))</f>
        <v/>
      </c>
      <c r="L11" s="79" t="str">
        <f aca="false">IF($A11="","",I11-K11)</f>
        <v/>
      </c>
    </row>
    <row r="12" customFormat="false" ht="15" hidden="false" customHeight="true" outlineLevel="0" collapsed="false">
      <c r="A12" s="75" t="str">
        <f aca="false">IF(370&lt;=Check!$C$4,INDEX(BAHARY!$A$2:$A$901,370),"")</f>
        <v/>
      </c>
      <c r="B12" s="76" t="str">
        <f aca="false">IF($A12="","",INDEX(BAHARY!$B$2:$B$901,370))</f>
        <v/>
      </c>
      <c r="C12" s="76" t="str">
        <f aca="false">IF($A12="","",INDEX(BAHARY!$C$2:$C$901,370))</f>
        <v/>
      </c>
      <c r="D12" s="77" t="str">
        <f aca="false">IF($A12="","",INDEX(BAHARY!$H$2:$H$901,370))</f>
        <v/>
      </c>
      <c r="E12" s="77" t="str">
        <f aca="false">IF($A12="","",INDEX(BAHARY!$E$2:$E$901,370))</f>
        <v/>
      </c>
      <c r="F12" s="77" t="str">
        <f aca="false">IF($A12="","",D12+E12)</f>
        <v/>
      </c>
      <c r="G12" s="77" t="str">
        <f aca="false">IF($A12="","",D12*(1-'كشف المطالبة'!$D$5))</f>
        <v/>
      </c>
      <c r="H12" s="77" t="str">
        <f aca="false">IF($A12="","",E12*(1-'كشف المطالبة'!$D$6))</f>
        <v/>
      </c>
      <c r="I12" s="77" t="str">
        <f aca="false">IF($A12="","",G12+H12)</f>
        <v/>
      </c>
      <c r="J12" s="78" t="str">
        <f aca="false">IF($A12="","",0)</f>
        <v/>
      </c>
      <c r="K12" s="77" t="str">
        <f aca="false">IF($A12="","",F12*J12+INDEX(BAHARY!$N$2:$N$901,370))</f>
        <v/>
      </c>
      <c r="L12" s="79" t="str">
        <f aca="false">IF($A12="","",I12-K12)</f>
        <v/>
      </c>
    </row>
    <row r="13" customFormat="false" ht="15" hidden="false" customHeight="true" outlineLevel="0" collapsed="false">
      <c r="A13" s="75" t="str">
        <f aca="false">IF(371&lt;=Check!$C$4,INDEX(BAHARY!$A$2:$A$901,371),"")</f>
        <v/>
      </c>
      <c r="B13" s="76" t="str">
        <f aca="false">IF($A13="","",INDEX(BAHARY!$B$2:$B$901,371))</f>
        <v/>
      </c>
      <c r="C13" s="76" t="str">
        <f aca="false">IF($A13="","",INDEX(BAHARY!$C$2:$C$901,371))</f>
        <v/>
      </c>
      <c r="D13" s="77" t="str">
        <f aca="false">IF($A13="","",INDEX(BAHARY!$H$2:$H$901,371))</f>
        <v/>
      </c>
      <c r="E13" s="77" t="str">
        <f aca="false">IF($A13="","",INDEX(BAHARY!$E$2:$E$901,371))</f>
        <v/>
      </c>
      <c r="F13" s="77" t="str">
        <f aca="false">IF($A13="","",D13+E13)</f>
        <v/>
      </c>
      <c r="G13" s="77" t="str">
        <f aca="false">IF($A13="","",D13*(1-'كشف المطالبة'!$D$5))</f>
        <v/>
      </c>
      <c r="H13" s="77" t="str">
        <f aca="false">IF($A13="","",E13*(1-'كشف المطالبة'!$D$6))</f>
        <v/>
      </c>
      <c r="I13" s="77" t="str">
        <f aca="false">IF($A13="","",G13+H13)</f>
        <v/>
      </c>
      <c r="J13" s="78" t="str">
        <f aca="false">IF($A13="","",0)</f>
        <v/>
      </c>
      <c r="K13" s="77" t="str">
        <f aca="false">IF($A13="","",F13*J13+INDEX(BAHARY!$N$2:$N$901,371))</f>
        <v/>
      </c>
      <c r="L13" s="79" t="str">
        <f aca="false">IF($A13="","",I13-K13)</f>
        <v/>
      </c>
    </row>
    <row r="14" customFormat="false" ht="15" hidden="false" customHeight="true" outlineLevel="0" collapsed="false">
      <c r="A14" s="75" t="str">
        <f aca="false">IF(372&lt;=Check!$C$4,INDEX(BAHARY!$A$2:$A$901,372),"")</f>
        <v/>
      </c>
      <c r="B14" s="76" t="str">
        <f aca="false">IF($A14="","",INDEX(BAHARY!$B$2:$B$901,372))</f>
        <v/>
      </c>
      <c r="C14" s="76" t="str">
        <f aca="false">IF($A14="","",INDEX(BAHARY!$C$2:$C$901,372))</f>
        <v/>
      </c>
      <c r="D14" s="77" t="str">
        <f aca="false">IF($A14="","",INDEX(BAHARY!$H$2:$H$901,372))</f>
        <v/>
      </c>
      <c r="E14" s="77" t="str">
        <f aca="false">IF($A14="","",INDEX(BAHARY!$E$2:$E$901,372))</f>
        <v/>
      </c>
      <c r="F14" s="77" t="str">
        <f aca="false">IF($A14="","",D14+E14)</f>
        <v/>
      </c>
      <c r="G14" s="77" t="str">
        <f aca="false">IF($A14="","",D14*(1-'كشف المطالبة'!$D$5))</f>
        <v/>
      </c>
      <c r="H14" s="77" t="str">
        <f aca="false">IF($A14="","",E14*(1-'كشف المطالبة'!$D$6))</f>
        <v/>
      </c>
      <c r="I14" s="77" t="str">
        <f aca="false">IF($A14="","",G14+H14)</f>
        <v/>
      </c>
      <c r="J14" s="78" t="str">
        <f aca="false">IF($A14="","",0)</f>
        <v/>
      </c>
      <c r="K14" s="77" t="str">
        <f aca="false">IF($A14="","",F14*J14+INDEX(BAHARY!$N$2:$N$901,372))</f>
        <v/>
      </c>
      <c r="L14" s="79" t="str">
        <f aca="false">IF($A14="","",I14-K14)</f>
        <v/>
      </c>
    </row>
    <row r="15" customFormat="false" ht="15" hidden="false" customHeight="true" outlineLevel="0" collapsed="false">
      <c r="A15" s="75" t="str">
        <f aca="false">IF(373&lt;=Check!$C$4,INDEX(BAHARY!$A$2:$A$901,373),"")</f>
        <v/>
      </c>
      <c r="B15" s="76" t="str">
        <f aca="false">IF($A15="","",INDEX(BAHARY!$B$2:$B$901,373))</f>
        <v/>
      </c>
      <c r="C15" s="76" t="str">
        <f aca="false">IF($A15="","",INDEX(BAHARY!$C$2:$C$901,373))</f>
        <v/>
      </c>
      <c r="D15" s="77" t="str">
        <f aca="false">IF($A15="","",INDEX(BAHARY!$H$2:$H$901,373))</f>
        <v/>
      </c>
      <c r="E15" s="77" t="str">
        <f aca="false">IF($A15="","",INDEX(BAHARY!$E$2:$E$901,373))</f>
        <v/>
      </c>
      <c r="F15" s="77" t="str">
        <f aca="false">IF($A15="","",D15+E15)</f>
        <v/>
      </c>
      <c r="G15" s="77" t="str">
        <f aca="false">IF($A15="","",D15*(1-'كشف المطالبة'!$D$5))</f>
        <v/>
      </c>
      <c r="H15" s="77" t="str">
        <f aca="false">IF($A15="","",E15*(1-'كشف المطالبة'!$D$6))</f>
        <v/>
      </c>
      <c r="I15" s="77" t="str">
        <f aca="false">IF($A15="","",G15+H15)</f>
        <v/>
      </c>
      <c r="J15" s="78" t="str">
        <f aca="false">IF($A15="","",0)</f>
        <v/>
      </c>
      <c r="K15" s="77" t="str">
        <f aca="false">IF($A15="","",F15*J15+INDEX(BAHARY!$N$2:$N$901,373))</f>
        <v/>
      </c>
      <c r="L15" s="79" t="str">
        <f aca="false">IF($A15="","",I15-K15)</f>
        <v/>
      </c>
    </row>
    <row r="16" customFormat="false" ht="15" hidden="false" customHeight="true" outlineLevel="0" collapsed="false">
      <c r="A16" s="75" t="str">
        <f aca="false">IF(374&lt;=Check!$C$4,INDEX(BAHARY!$A$2:$A$901,374),"")</f>
        <v/>
      </c>
      <c r="B16" s="76" t="str">
        <f aca="false">IF($A16="","",INDEX(BAHARY!$B$2:$B$901,374))</f>
        <v/>
      </c>
      <c r="C16" s="76" t="str">
        <f aca="false">IF($A16="","",INDEX(BAHARY!$C$2:$C$901,374))</f>
        <v/>
      </c>
      <c r="D16" s="77" t="str">
        <f aca="false">IF($A16="","",INDEX(BAHARY!$H$2:$H$901,374))</f>
        <v/>
      </c>
      <c r="E16" s="77" t="str">
        <f aca="false">IF($A16="","",INDEX(BAHARY!$E$2:$E$901,374))</f>
        <v/>
      </c>
      <c r="F16" s="77" t="str">
        <f aca="false">IF($A16="","",D16+E16)</f>
        <v/>
      </c>
      <c r="G16" s="77" t="str">
        <f aca="false">IF($A16="","",D16*(1-'كشف المطالبة'!$D$5))</f>
        <v/>
      </c>
      <c r="H16" s="77" t="str">
        <f aca="false">IF($A16="","",E16*(1-'كشف المطالبة'!$D$6))</f>
        <v/>
      </c>
      <c r="I16" s="77" t="str">
        <f aca="false">IF($A16="","",G16+H16)</f>
        <v/>
      </c>
      <c r="J16" s="78" t="str">
        <f aca="false">IF($A16="","",0)</f>
        <v/>
      </c>
      <c r="K16" s="77" t="str">
        <f aca="false">IF($A16="","",F16*J16+INDEX(BAHARY!$N$2:$N$901,374))</f>
        <v/>
      </c>
      <c r="L16" s="79" t="str">
        <f aca="false">IF($A16="","",I16-K16)</f>
        <v/>
      </c>
    </row>
    <row r="17" customFormat="false" ht="15" hidden="false" customHeight="true" outlineLevel="0" collapsed="false">
      <c r="A17" s="75" t="str">
        <f aca="false">IF(375&lt;=Check!$C$4,INDEX(BAHARY!$A$2:$A$901,375),"")</f>
        <v/>
      </c>
      <c r="B17" s="76" t="str">
        <f aca="false">IF($A17="","",INDEX(BAHARY!$B$2:$B$901,375))</f>
        <v/>
      </c>
      <c r="C17" s="76" t="str">
        <f aca="false">IF($A17="","",INDEX(BAHARY!$C$2:$C$901,375))</f>
        <v/>
      </c>
      <c r="D17" s="77" t="str">
        <f aca="false">IF($A17="","",INDEX(BAHARY!$H$2:$H$901,375))</f>
        <v/>
      </c>
      <c r="E17" s="77" t="str">
        <f aca="false">IF($A17="","",INDEX(BAHARY!$E$2:$E$901,375))</f>
        <v/>
      </c>
      <c r="F17" s="77" t="str">
        <f aca="false">IF($A17="","",D17+E17)</f>
        <v/>
      </c>
      <c r="G17" s="77" t="str">
        <f aca="false">IF($A17="","",D17*(1-'كشف المطالبة'!$D$5))</f>
        <v/>
      </c>
      <c r="H17" s="77" t="str">
        <f aca="false">IF($A17="","",E17*(1-'كشف المطالبة'!$D$6))</f>
        <v/>
      </c>
      <c r="I17" s="77" t="str">
        <f aca="false">IF($A17="","",G17+H17)</f>
        <v/>
      </c>
      <c r="J17" s="78" t="str">
        <f aca="false">IF($A17="","",0)</f>
        <v/>
      </c>
      <c r="K17" s="77" t="str">
        <f aca="false">IF($A17="","",F17*J17+INDEX(BAHARY!$N$2:$N$901,375))</f>
        <v/>
      </c>
      <c r="L17" s="79" t="str">
        <f aca="false">IF($A17="","",I17-K17)</f>
        <v/>
      </c>
    </row>
    <row r="18" customFormat="false" ht="15" hidden="false" customHeight="true" outlineLevel="0" collapsed="false">
      <c r="A18" s="75" t="str">
        <f aca="false">IF(376&lt;=Check!$C$4,INDEX(BAHARY!$A$2:$A$901,376),"")</f>
        <v/>
      </c>
      <c r="B18" s="80" t="str">
        <f aca="false">IF($A18="","",INDEX(BAHARY!$B$2:$B$901,376))</f>
        <v/>
      </c>
      <c r="C18" s="76" t="str">
        <f aca="false">IF($A18="","",INDEX(BAHARY!$C$2:$C$901,376))</f>
        <v/>
      </c>
      <c r="D18" s="77" t="str">
        <f aca="false">IF($A18="","",INDEX(BAHARY!$H$2:$H$901,376))</f>
        <v/>
      </c>
      <c r="E18" s="77" t="str">
        <f aca="false">IF($A18="","",INDEX(BAHARY!$E$2:$E$901,376))</f>
        <v/>
      </c>
      <c r="F18" s="77" t="str">
        <f aca="false">IF($A18="","",D18+E18)</f>
        <v/>
      </c>
      <c r="G18" s="77" t="str">
        <f aca="false">IF($A18="","",D18*(1-'كشف المطالبة'!$D$5))</f>
        <v/>
      </c>
      <c r="H18" s="77" t="str">
        <f aca="false">IF($A18="","",E18*(1-'كشف المطالبة'!$D$6))</f>
        <v/>
      </c>
      <c r="I18" s="77" t="str">
        <f aca="false">IF($A18="","",G18+H18)</f>
        <v/>
      </c>
      <c r="J18" s="78" t="str">
        <f aca="false">IF($A18="","",0)</f>
        <v/>
      </c>
      <c r="K18" s="77" t="str">
        <f aca="false">IF($A18="","",F18*J18+INDEX(BAHARY!$N$2:$N$901,376))</f>
        <v/>
      </c>
      <c r="L18" s="79" t="str">
        <f aca="false">IF($A18="","",I18-K18)</f>
        <v/>
      </c>
    </row>
    <row r="19" customFormat="false" ht="15" hidden="false" customHeight="true" outlineLevel="0" collapsed="false">
      <c r="A19" s="75" t="str">
        <f aca="false">IF(377&lt;=Check!$C$4,INDEX(BAHARY!$A$2:$A$901,377),"")</f>
        <v/>
      </c>
      <c r="B19" s="76" t="str">
        <f aca="false">IF($A19="","",INDEX(BAHARY!$B$2:$B$901,377))</f>
        <v/>
      </c>
      <c r="C19" s="76" t="str">
        <f aca="false">IF($A19="","",INDEX(BAHARY!$C$2:$C$901,377))</f>
        <v/>
      </c>
      <c r="D19" s="77" t="str">
        <f aca="false">IF($A19="","",INDEX(BAHARY!$H$2:$H$901,377))</f>
        <v/>
      </c>
      <c r="E19" s="77" t="str">
        <f aca="false">IF($A19="","",INDEX(BAHARY!$E$2:$E$901,377))</f>
        <v/>
      </c>
      <c r="F19" s="77" t="str">
        <f aca="false">IF($A19="","",D19+E19)</f>
        <v/>
      </c>
      <c r="G19" s="77" t="str">
        <f aca="false">IF($A19="","",D19*(1-'كشف المطالبة'!$D$5))</f>
        <v/>
      </c>
      <c r="H19" s="77" t="str">
        <f aca="false">IF($A19="","",E19*(1-'كشف المطالبة'!$D$6))</f>
        <v/>
      </c>
      <c r="I19" s="77" t="str">
        <f aca="false">IF($A19="","",G19+H19)</f>
        <v/>
      </c>
      <c r="J19" s="78" t="str">
        <f aca="false">IF($A19="","",0)</f>
        <v/>
      </c>
      <c r="K19" s="77" t="str">
        <f aca="false">IF($A19="","",F19*J19+INDEX(BAHARY!$N$2:$N$901,377))</f>
        <v/>
      </c>
      <c r="L19" s="79" t="str">
        <f aca="false">IF($A19="","",I19-K19)</f>
        <v/>
      </c>
    </row>
    <row r="20" customFormat="false" ht="15" hidden="false" customHeight="true" outlineLevel="0" collapsed="false">
      <c r="A20" s="75" t="str">
        <f aca="false">IF(378&lt;=Check!$C$4,INDEX(BAHARY!$A$2:$A$901,378),"")</f>
        <v/>
      </c>
      <c r="B20" s="76" t="str">
        <f aca="false">IF($A20="","",INDEX(BAHARY!$B$2:$B$901,378))</f>
        <v/>
      </c>
      <c r="C20" s="76" t="str">
        <f aca="false">IF($A20="","",INDEX(BAHARY!$C$2:$C$901,378))</f>
        <v/>
      </c>
      <c r="D20" s="77" t="str">
        <f aca="false">IF($A20="","",INDEX(BAHARY!$H$2:$H$901,378))</f>
        <v/>
      </c>
      <c r="E20" s="77" t="str">
        <f aca="false">IF($A20="","",INDEX(BAHARY!$E$2:$E$901,378))</f>
        <v/>
      </c>
      <c r="F20" s="77" t="str">
        <f aca="false">IF($A20="","",D20+E20)</f>
        <v/>
      </c>
      <c r="G20" s="77" t="str">
        <f aca="false">IF($A20="","",D20*(1-'كشف المطالبة'!$D$5))</f>
        <v/>
      </c>
      <c r="H20" s="77" t="str">
        <f aca="false">IF($A20="","",E20*(1-'كشف المطالبة'!$D$6))</f>
        <v/>
      </c>
      <c r="I20" s="77" t="str">
        <f aca="false">IF($A20="","",G20+H20)</f>
        <v/>
      </c>
      <c r="J20" s="78" t="str">
        <f aca="false">IF($A20="","",0)</f>
        <v/>
      </c>
      <c r="K20" s="77" t="str">
        <f aca="false">IF($A20="","",F20*J20+INDEX(BAHARY!$N$2:$N$901,378))</f>
        <v/>
      </c>
      <c r="L20" s="79" t="str">
        <f aca="false">IF($A20="","",I20-K20)</f>
        <v/>
      </c>
    </row>
    <row r="21" customFormat="false" ht="15" hidden="false" customHeight="true" outlineLevel="0" collapsed="false">
      <c r="A21" s="75" t="str">
        <f aca="false">IF(379&lt;=Check!$C$4,INDEX(BAHARY!$A$2:$A$901,379),"")</f>
        <v/>
      </c>
      <c r="B21" s="76" t="str">
        <f aca="false">IF($A21="","",INDEX(BAHARY!$B$2:$B$901,379))</f>
        <v/>
      </c>
      <c r="C21" s="76" t="str">
        <f aca="false">IF($A21="","",INDEX(BAHARY!$C$2:$C$901,379))</f>
        <v/>
      </c>
      <c r="D21" s="77" t="str">
        <f aca="false">IF($A21="","",INDEX(BAHARY!$H$2:$H$901,379))</f>
        <v/>
      </c>
      <c r="E21" s="77" t="str">
        <f aca="false">IF($A21="","",INDEX(BAHARY!$E$2:$E$901,379))</f>
        <v/>
      </c>
      <c r="F21" s="77" t="str">
        <f aca="false">IF($A21="","",D21+E21)</f>
        <v/>
      </c>
      <c r="G21" s="77" t="str">
        <f aca="false">IF($A21="","",D21*(1-'كشف المطالبة'!$D$5))</f>
        <v/>
      </c>
      <c r="H21" s="77" t="str">
        <f aca="false">IF($A21="","",E21*(1-'كشف المطالبة'!$D$6))</f>
        <v/>
      </c>
      <c r="I21" s="77" t="str">
        <f aca="false">IF($A21="","",G21+H21)</f>
        <v/>
      </c>
      <c r="J21" s="78" t="str">
        <f aca="false">IF($A21="","",0)</f>
        <v/>
      </c>
      <c r="K21" s="77" t="str">
        <f aca="false">IF($A21="","",F21*J21+INDEX(BAHARY!$N$2:$N$901,379))</f>
        <v/>
      </c>
      <c r="L21" s="79" t="str">
        <f aca="false">IF($A21="","",I21-K21)</f>
        <v/>
      </c>
    </row>
    <row r="22" customFormat="false" ht="15" hidden="false" customHeight="true" outlineLevel="0" collapsed="false">
      <c r="A22" s="75" t="str">
        <f aca="false">IF(380&lt;=Check!$C$4,INDEX(BAHARY!$A$2:$A$901,380),"")</f>
        <v/>
      </c>
      <c r="B22" s="76" t="str">
        <f aca="false">IF($A22="","",INDEX(BAHARY!$B$2:$B$901,380))</f>
        <v/>
      </c>
      <c r="C22" s="76" t="str">
        <f aca="false">IF($A22="","",INDEX(BAHARY!$C$2:$C$901,380))</f>
        <v/>
      </c>
      <c r="D22" s="77" t="str">
        <f aca="false">IF($A22="","",INDEX(BAHARY!$H$2:$H$901,380))</f>
        <v/>
      </c>
      <c r="E22" s="77" t="str">
        <f aca="false">IF($A22="","",INDEX(BAHARY!$E$2:$E$901,380))</f>
        <v/>
      </c>
      <c r="F22" s="77" t="str">
        <f aca="false">IF($A22="","",D22+E22)</f>
        <v/>
      </c>
      <c r="G22" s="77" t="str">
        <f aca="false">IF($A22="","",D22*(1-'كشف المطالبة'!$D$5))</f>
        <v/>
      </c>
      <c r="H22" s="77" t="str">
        <f aca="false">IF($A22="","",E22*(1-'كشف المطالبة'!$D$6))</f>
        <v/>
      </c>
      <c r="I22" s="77" t="str">
        <f aca="false">IF($A22="","",G22+H22)</f>
        <v/>
      </c>
      <c r="J22" s="78" t="str">
        <f aca="false">IF($A22="","",0)</f>
        <v/>
      </c>
      <c r="K22" s="77" t="str">
        <f aca="false">IF($A22="","",F22*J22+INDEX(BAHARY!$N$2:$N$901,380))</f>
        <v/>
      </c>
      <c r="L22" s="79" t="str">
        <f aca="false">IF($A22="","",I22-K22)</f>
        <v/>
      </c>
    </row>
    <row r="23" customFormat="false" ht="15" hidden="false" customHeight="true" outlineLevel="0" collapsed="false">
      <c r="A23" s="75" t="str">
        <f aca="false">IF(381&lt;=Check!$C$4,INDEX(BAHARY!$A$2:$A$901,381),"")</f>
        <v/>
      </c>
      <c r="B23" s="76" t="str">
        <f aca="false">IF($A23="","",INDEX(BAHARY!$B$2:$B$901,381))</f>
        <v/>
      </c>
      <c r="C23" s="76" t="str">
        <f aca="false">IF($A23="","",INDEX(BAHARY!$C$2:$C$901,381))</f>
        <v/>
      </c>
      <c r="D23" s="77" t="str">
        <f aca="false">IF($A23="","",INDEX(BAHARY!$H$2:$H$901,381))</f>
        <v/>
      </c>
      <c r="E23" s="77" t="str">
        <f aca="false">IF($A23="","",INDEX(BAHARY!$E$2:$E$901,381))</f>
        <v/>
      </c>
      <c r="F23" s="77" t="str">
        <f aca="false">IF($A23="","",D23+E23)</f>
        <v/>
      </c>
      <c r="G23" s="77" t="str">
        <f aca="false">IF($A23="","",D23*(1-'كشف المطالبة'!$D$5))</f>
        <v/>
      </c>
      <c r="H23" s="77" t="str">
        <f aca="false">IF($A23="","",E23*(1-'كشف المطالبة'!$D$6))</f>
        <v/>
      </c>
      <c r="I23" s="77" t="str">
        <f aca="false">IF($A23="","",G23+H23)</f>
        <v/>
      </c>
      <c r="J23" s="78" t="str">
        <f aca="false">IF($A23="","",0)</f>
        <v/>
      </c>
      <c r="K23" s="77" t="str">
        <f aca="false">IF($A23="","",F23*J23+INDEX(BAHARY!$N$2:$N$901,381))</f>
        <v/>
      </c>
      <c r="L23" s="79" t="str">
        <f aca="false">IF($A23="","",I23-K23)</f>
        <v/>
      </c>
    </row>
    <row r="24" customFormat="false" ht="15" hidden="false" customHeight="true" outlineLevel="0" collapsed="false">
      <c r="A24" s="75" t="str">
        <f aca="false">IF(382&lt;=Check!$C$4,INDEX(BAHARY!$A$2:$A$901,382),"")</f>
        <v/>
      </c>
      <c r="B24" s="76" t="str">
        <f aca="false">IF($A24="","",INDEX(BAHARY!$B$2:$B$901,382))</f>
        <v/>
      </c>
      <c r="C24" s="76" t="str">
        <f aca="false">IF($A24="","",INDEX(BAHARY!$C$2:$C$901,382))</f>
        <v/>
      </c>
      <c r="D24" s="77" t="str">
        <f aca="false">IF($A24="","",INDEX(BAHARY!$H$2:$H$901,382))</f>
        <v/>
      </c>
      <c r="E24" s="77" t="str">
        <f aca="false">IF($A24="","",INDEX(BAHARY!$E$2:$E$901,382))</f>
        <v/>
      </c>
      <c r="F24" s="77" t="str">
        <f aca="false">IF($A24="","",D24+E24)</f>
        <v/>
      </c>
      <c r="G24" s="77" t="str">
        <f aca="false">IF($A24="","",D24*(1-'كشف المطالبة'!$D$5))</f>
        <v/>
      </c>
      <c r="H24" s="77" t="str">
        <f aca="false">IF($A24="","",E24*(1-'كشف المطالبة'!$D$6))</f>
        <v/>
      </c>
      <c r="I24" s="77" t="str">
        <f aca="false">IF($A24="","",G24+H24)</f>
        <v/>
      </c>
      <c r="J24" s="78" t="str">
        <f aca="false">IF($A24="","",0)</f>
        <v/>
      </c>
      <c r="K24" s="77" t="str">
        <f aca="false">IF($A24="","",F24*J24+INDEX(BAHARY!$N$2:$N$901,382))</f>
        <v/>
      </c>
      <c r="L24" s="79" t="str">
        <f aca="false">IF($A24="","",I24-K24)</f>
        <v/>
      </c>
    </row>
    <row r="25" customFormat="false" ht="15" hidden="false" customHeight="true" outlineLevel="0" collapsed="false">
      <c r="A25" s="75" t="str">
        <f aca="false">IF(383&lt;=Check!$C$4,INDEX(BAHARY!$A$2:$A$901,383),"")</f>
        <v/>
      </c>
      <c r="B25" s="76" t="str">
        <f aca="false">IF($A25="","",INDEX(BAHARY!$B$2:$B$901,383))</f>
        <v/>
      </c>
      <c r="C25" s="76" t="str">
        <f aca="false">IF($A25="","",INDEX(BAHARY!$C$2:$C$901,383))</f>
        <v/>
      </c>
      <c r="D25" s="77" t="str">
        <f aca="false">IF($A25="","",INDEX(BAHARY!$H$2:$H$901,383))</f>
        <v/>
      </c>
      <c r="E25" s="77" t="str">
        <f aca="false">IF($A25="","",INDEX(BAHARY!$E$2:$E$901,383))</f>
        <v/>
      </c>
      <c r="F25" s="77" t="str">
        <f aca="false">IF($A25="","",D25+E25)</f>
        <v/>
      </c>
      <c r="G25" s="77" t="str">
        <f aca="false">IF($A25="","",D25*(1-'كشف المطالبة'!$D$5))</f>
        <v/>
      </c>
      <c r="H25" s="77" t="str">
        <f aca="false">IF($A25="","",E25*(1-'كشف المطالبة'!$D$6))</f>
        <v/>
      </c>
      <c r="I25" s="77" t="str">
        <f aca="false">IF($A25="","",G25+H25)</f>
        <v/>
      </c>
      <c r="J25" s="78" t="str">
        <f aca="false">IF($A25="","",0)</f>
        <v/>
      </c>
      <c r="K25" s="77" t="str">
        <f aca="false">IF($A25="","",F25*J25+INDEX(BAHARY!$N$2:$N$901,383))</f>
        <v/>
      </c>
      <c r="L25" s="79" t="str">
        <f aca="false">IF($A25="","",I25-K25)</f>
        <v/>
      </c>
    </row>
    <row r="26" customFormat="false" ht="15" hidden="false" customHeight="true" outlineLevel="0" collapsed="false">
      <c r="A26" s="75" t="str">
        <f aca="false">IF(384&lt;=Check!$C$4,INDEX(BAHARY!$A$2:$A$901,384),"")</f>
        <v/>
      </c>
      <c r="B26" s="76" t="str">
        <f aca="false">IF($A26="","",INDEX(BAHARY!$B$2:$B$901,384))</f>
        <v/>
      </c>
      <c r="C26" s="76" t="str">
        <f aca="false">IF($A26="","",INDEX(BAHARY!$C$2:$C$901,384))</f>
        <v/>
      </c>
      <c r="D26" s="77" t="str">
        <f aca="false">IF($A26="","",INDEX(BAHARY!$H$2:$H$901,384))</f>
        <v/>
      </c>
      <c r="E26" s="77" t="str">
        <f aca="false">IF($A26="","",INDEX(BAHARY!$E$2:$E$901,384))</f>
        <v/>
      </c>
      <c r="F26" s="77" t="str">
        <f aca="false">IF($A26="","",D26+E26)</f>
        <v/>
      </c>
      <c r="G26" s="77" t="str">
        <f aca="false">IF($A26="","",D26*(1-'كشف المطالبة'!$D$5))</f>
        <v/>
      </c>
      <c r="H26" s="77" t="str">
        <f aca="false">IF($A26="","",E26*(1-'كشف المطالبة'!$D$6))</f>
        <v/>
      </c>
      <c r="I26" s="77" t="str">
        <f aca="false">IF($A26="","",G26+H26)</f>
        <v/>
      </c>
      <c r="J26" s="78" t="str">
        <f aca="false">IF($A26="","",0)</f>
        <v/>
      </c>
      <c r="K26" s="77" t="str">
        <f aca="false">IF($A26="","",F26*J26+INDEX(BAHARY!$N$2:$N$901,384))</f>
        <v/>
      </c>
      <c r="L26" s="79" t="str">
        <f aca="false">IF($A26="","",I26-K26)</f>
        <v/>
      </c>
    </row>
    <row r="27" customFormat="false" ht="15" hidden="false" customHeight="true" outlineLevel="0" collapsed="false">
      <c r="A27" s="75" t="str">
        <f aca="false">IF(385&lt;=Check!$C$4,INDEX(BAHARY!$A$2:$A$901,385),"")</f>
        <v/>
      </c>
      <c r="B27" s="76" t="str">
        <f aca="false">IF($A27="","",INDEX(BAHARY!$B$2:$B$901,385))</f>
        <v/>
      </c>
      <c r="C27" s="76" t="str">
        <f aca="false">IF($A27="","",INDEX(BAHARY!$C$2:$C$901,385))</f>
        <v/>
      </c>
      <c r="D27" s="77" t="str">
        <f aca="false">IF($A27="","",INDEX(BAHARY!$H$2:$H$901,385))</f>
        <v/>
      </c>
      <c r="E27" s="77" t="str">
        <f aca="false">IF($A27="","",INDEX(BAHARY!$E$2:$E$901,385))</f>
        <v/>
      </c>
      <c r="F27" s="77" t="str">
        <f aca="false">IF($A27="","",D27+E27)</f>
        <v/>
      </c>
      <c r="G27" s="77" t="str">
        <f aca="false">IF($A27="","",D27*(1-'كشف المطالبة'!$D$5))</f>
        <v/>
      </c>
      <c r="H27" s="77" t="str">
        <f aca="false">IF($A27="","",E27*(1-'كشف المطالبة'!$D$6))</f>
        <v/>
      </c>
      <c r="I27" s="77" t="str">
        <f aca="false">IF($A27="","",G27+H27)</f>
        <v/>
      </c>
      <c r="J27" s="78" t="str">
        <f aca="false">IF($A27="","",0)</f>
        <v/>
      </c>
      <c r="K27" s="77" t="str">
        <f aca="false">IF($A27="","",F27*J27+INDEX(BAHARY!$N$2:$N$901,385))</f>
        <v/>
      </c>
      <c r="L27" s="79" t="str">
        <f aca="false">IF($A27="","",I27-K27)</f>
        <v/>
      </c>
    </row>
    <row r="28" customFormat="false" ht="15" hidden="false" customHeight="true" outlineLevel="0" collapsed="false">
      <c r="A28" s="75" t="str">
        <f aca="false">IF(386&lt;=Check!$C$4,INDEX(BAHARY!$A$2:$A$901,386),"")</f>
        <v/>
      </c>
      <c r="B28" s="76" t="str">
        <f aca="false">IF($A28="","",INDEX(BAHARY!$B$2:$B$901,386))</f>
        <v/>
      </c>
      <c r="C28" s="76" t="str">
        <f aca="false">IF($A28="","",INDEX(BAHARY!$C$2:$C$901,386))</f>
        <v/>
      </c>
      <c r="D28" s="77" t="str">
        <f aca="false">IF($A28="","",INDEX(BAHARY!$H$2:$H$901,386))</f>
        <v/>
      </c>
      <c r="E28" s="77" t="str">
        <f aca="false">IF($A28="","",INDEX(BAHARY!$E$2:$E$901,386))</f>
        <v/>
      </c>
      <c r="F28" s="77" t="str">
        <f aca="false">IF($A28="","",D28+E28)</f>
        <v/>
      </c>
      <c r="G28" s="77" t="str">
        <f aca="false">IF($A28="","",D28*(1-'كشف المطالبة'!$D$5))</f>
        <v/>
      </c>
      <c r="H28" s="77" t="str">
        <f aca="false">IF($A28="","",E28*(1-'كشف المطالبة'!$D$6))</f>
        <v/>
      </c>
      <c r="I28" s="77" t="str">
        <f aca="false">IF($A28="","",G28+H28)</f>
        <v/>
      </c>
      <c r="J28" s="78" t="str">
        <f aca="false">IF($A28="","",0)</f>
        <v/>
      </c>
      <c r="K28" s="77" t="str">
        <f aca="false">IF($A28="","",F28*J28+INDEX(BAHARY!$N$2:$N$901,386))</f>
        <v/>
      </c>
      <c r="L28" s="79" t="str">
        <f aca="false">IF($A28="","",I28-K28)</f>
        <v/>
      </c>
    </row>
    <row r="29" customFormat="false" ht="15" hidden="false" customHeight="true" outlineLevel="0" collapsed="false">
      <c r="A29" s="75" t="str">
        <f aca="false">IF(387&lt;=Check!$C$4,INDEX(BAHARY!$A$2:$A$901,387),"")</f>
        <v/>
      </c>
      <c r="B29" s="76" t="str">
        <f aca="false">IF($A29="","",INDEX(BAHARY!$B$2:$B$901,387))</f>
        <v/>
      </c>
      <c r="C29" s="76" t="str">
        <f aca="false">IF($A29="","",INDEX(BAHARY!$C$2:$C$901,387))</f>
        <v/>
      </c>
      <c r="D29" s="77" t="str">
        <f aca="false">IF($A29="","",INDEX(BAHARY!$H$2:$H$901,387))</f>
        <v/>
      </c>
      <c r="E29" s="77" t="str">
        <f aca="false">IF($A29="","",INDEX(BAHARY!$E$2:$E$901,387))</f>
        <v/>
      </c>
      <c r="F29" s="77" t="str">
        <f aca="false">IF($A29="","",D29+E29)</f>
        <v/>
      </c>
      <c r="G29" s="77" t="str">
        <f aca="false">IF($A29="","",D29*(1-'كشف المطالبة'!$D$5))</f>
        <v/>
      </c>
      <c r="H29" s="77" t="str">
        <f aca="false">IF($A29="","",E29*(1-'كشف المطالبة'!$D$6))</f>
        <v/>
      </c>
      <c r="I29" s="77" t="str">
        <f aca="false">IF($A29="","",G29+H29)</f>
        <v/>
      </c>
      <c r="J29" s="78" t="str">
        <f aca="false">IF($A29="","",0)</f>
        <v/>
      </c>
      <c r="K29" s="77" t="str">
        <f aca="false">IF($A29="","",F29*J29+INDEX(BAHARY!$N$2:$N$901,387))</f>
        <v/>
      </c>
      <c r="L29" s="79" t="str">
        <f aca="false">IF($A29="","",I29-K29)</f>
        <v/>
      </c>
    </row>
    <row r="30" customFormat="false" ht="15" hidden="false" customHeight="true" outlineLevel="0" collapsed="false">
      <c r="A30" s="75" t="str">
        <f aca="false">IF(388&lt;=Check!$C$4,INDEX(BAHARY!$A$2:$A$901,388),"")</f>
        <v/>
      </c>
      <c r="B30" s="76" t="str">
        <f aca="false">IF($A30="","",INDEX(BAHARY!$B$2:$B$901,388))</f>
        <v/>
      </c>
      <c r="C30" s="76" t="str">
        <f aca="false">IF($A30="","",INDEX(BAHARY!$C$2:$C$901,388))</f>
        <v/>
      </c>
      <c r="D30" s="77" t="str">
        <f aca="false">IF($A30="","",INDEX(BAHARY!$H$2:$H$901,388))</f>
        <v/>
      </c>
      <c r="E30" s="77" t="str">
        <f aca="false">IF($A30="","",INDEX(BAHARY!$E$2:$E$901,388))</f>
        <v/>
      </c>
      <c r="F30" s="77" t="str">
        <f aca="false">IF($A30="","",D30+E30)</f>
        <v/>
      </c>
      <c r="G30" s="77" t="str">
        <f aca="false">IF($A30="","",D30*(1-'كشف المطالبة'!$D$5))</f>
        <v/>
      </c>
      <c r="H30" s="77" t="str">
        <f aca="false">IF($A30="","",E30*(1-'كشف المطالبة'!$D$6))</f>
        <v/>
      </c>
      <c r="I30" s="77" t="str">
        <f aca="false">IF($A30="","",G30+H30)</f>
        <v/>
      </c>
      <c r="J30" s="78" t="str">
        <f aca="false">IF($A30="","",0)</f>
        <v/>
      </c>
      <c r="K30" s="77" t="str">
        <f aca="false">IF($A30="","",F30*J30+INDEX(BAHARY!$N$2:$N$901,388))</f>
        <v/>
      </c>
      <c r="L30" s="79" t="str">
        <f aca="false">IF($A30="","",I30-K30)</f>
        <v/>
      </c>
    </row>
    <row r="31" customFormat="false" ht="15" hidden="false" customHeight="true" outlineLevel="0" collapsed="false">
      <c r="A31" s="75" t="str">
        <f aca="false">IF(389&lt;=Check!$C$4,INDEX(BAHARY!$A$2:$A$901,389),"")</f>
        <v/>
      </c>
      <c r="B31" s="76" t="str">
        <f aca="false">IF($A31="","",INDEX(BAHARY!$B$2:$B$901,389))</f>
        <v/>
      </c>
      <c r="C31" s="76" t="str">
        <f aca="false">IF($A31="","",INDEX(BAHARY!$C$2:$C$901,389))</f>
        <v/>
      </c>
      <c r="D31" s="77" t="str">
        <f aca="false">IF($A31="","",INDEX(BAHARY!$H$2:$H$901,389))</f>
        <v/>
      </c>
      <c r="E31" s="77" t="str">
        <f aca="false">IF($A31="","",INDEX(BAHARY!$E$2:$E$901,389))</f>
        <v/>
      </c>
      <c r="F31" s="77" t="str">
        <f aca="false">IF($A31="","",D31+E31)</f>
        <v/>
      </c>
      <c r="G31" s="77" t="str">
        <f aca="false">IF($A31="","",D31*(1-'كشف المطالبة'!$D$5))</f>
        <v/>
      </c>
      <c r="H31" s="77" t="str">
        <f aca="false">IF($A31="","",E31*(1-'كشف المطالبة'!$D$6))</f>
        <v/>
      </c>
      <c r="I31" s="77" t="str">
        <f aca="false">IF($A31="","",G31+H31)</f>
        <v/>
      </c>
      <c r="J31" s="78" t="str">
        <f aca="false">IF($A31="","",0)</f>
        <v/>
      </c>
      <c r="K31" s="77" t="str">
        <f aca="false">IF($A31="","",F31*J31+INDEX(BAHARY!$N$2:$N$901,389))</f>
        <v/>
      </c>
      <c r="L31" s="79" t="str">
        <f aca="false">IF($A31="","",I31-K31)</f>
        <v/>
      </c>
    </row>
    <row r="32" customFormat="false" ht="15" hidden="false" customHeight="true" outlineLevel="0" collapsed="false">
      <c r="A32" s="75" t="str">
        <f aca="false">IF(390&lt;=Check!$C$4,INDEX(BAHARY!$A$2:$A$901,390),"")</f>
        <v/>
      </c>
      <c r="B32" s="76" t="str">
        <f aca="false">IF($A32="","",INDEX(BAHARY!$B$2:$B$901,390))</f>
        <v/>
      </c>
      <c r="C32" s="76" t="str">
        <f aca="false">IF($A32="","",INDEX(BAHARY!$C$2:$C$901,390))</f>
        <v/>
      </c>
      <c r="D32" s="77" t="str">
        <f aca="false">IF($A32="","",INDEX(BAHARY!$H$2:$H$901,390))</f>
        <v/>
      </c>
      <c r="E32" s="77" t="str">
        <f aca="false">IF($A32="","",INDEX(BAHARY!$E$2:$E$901,390))</f>
        <v/>
      </c>
      <c r="F32" s="77" t="str">
        <f aca="false">IF($A32="","",D32+E32)</f>
        <v/>
      </c>
      <c r="G32" s="77" t="str">
        <f aca="false">IF($A32="","",D32*(1-'كشف المطالبة'!$D$5))</f>
        <v/>
      </c>
      <c r="H32" s="77" t="str">
        <f aca="false">IF($A32="","",E32*(1-'كشف المطالبة'!$D$6))</f>
        <v/>
      </c>
      <c r="I32" s="77" t="str">
        <f aca="false">IF($A32="","",G32+H32)</f>
        <v/>
      </c>
      <c r="J32" s="78" t="str">
        <f aca="false">IF($A32="","",0)</f>
        <v/>
      </c>
      <c r="K32" s="77" t="str">
        <f aca="false">IF($A32="","",F32*J32+INDEX(BAHARY!$N$2:$N$901,390))</f>
        <v/>
      </c>
      <c r="L32" s="79" t="str">
        <f aca="false">IF($A32="","",I32-K32)</f>
        <v/>
      </c>
    </row>
    <row r="33" customFormat="false" ht="15" hidden="false" customHeight="true" outlineLevel="0" collapsed="false">
      <c r="A33" s="75" t="str">
        <f aca="false">IF(391&lt;=Check!$C$4,INDEX(BAHARY!$A$2:$A$901,391),"")</f>
        <v/>
      </c>
      <c r="B33" s="76" t="str">
        <f aca="false">IF($A33="","",INDEX(BAHARY!$B$2:$B$901,391))</f>
        <v/>
      </c>
      <c r="C33" s="76" t="str">
        <f aca="false">IF($A33="","",INDEX(BAHARY!$C$2:$C$901,391))</f>
        <v/>
      </c>
      <c r="D33" s="77" t="str">
        <f aca="false">IF($A33="","",INDEX(BAHARY!$H$2:$H$901,391))</f>
        <v/>
      </c>
      <c r="E33" s="77" t="str">
        <f aca="false">IF($A33="","",INDEX(BAHARY!$E$2:$E$901,391))</f>
        <v/>
      </c>
      <c r="F33" s="77" t="str">
        <f aca="false">IF($A33="","",D33+E33)</f>
        <v/>
      </c>
      <c r="G33" s="77" t="str">
        <f aca="false">IF($A33="","",D33*(1-'كشف المطالبة'!$D$5))</f>
        <v/>
      </c>
      <c r="H33" s="77" t="str">
        <f aca="false">IF($A33="","",E33*(1-'كشف المطالبة'!$D$6))</f>
        <v/>
      </c>
      <c r="I33" s="77" t="str">
        <f aca="false">IF($A33="","",G33+H33)</f>
        <v/>
      </c>
      <c r="J33" s="78" t="str">
        <f aca="false">IF($A33="","",0)</f>
        <v/>
      </c>
      <c r="K33" s="77" t="str">
        <f aca="false">IF($A33="","",F33*J33+INDEX(BAHARY!$N$2:$N$901,391))</f>
        <v/>
      </c>
      <c r="L33" s="79" t="str">
        <f aca="false">IF($A33="","",I33-K33)</f>
        <v/>
      </c>
    </row>
    <row r="34" customFormat="false" ht="15" hidden="false" customHeight="true" outlineLevel="0" collapsed="false">
      <c r="A34" s="75" t="str">
        <f aca="false">IF(392&lt;=Check!$C$4,INDEX(BAHARY!$A$2:$A$901,392),"")</f>
        <v/>
      </c>
      <c r="B34" s="76" t="str">
        <f aca="false">IF($A34="","",INDEX(BAHARY!$B$2:$B$901,392))</f>
        <v/>
      </c>
      <c r="C34" s="76" t="str">
        <f aca="false">IF($A34="","",INDEX(BAHARY!$C$2:$C$901,392))</f>
        <v/>
      </c>
      <c r="D34" s="77" t="str">
        <f aca="false">IF($A34="","",INDEX(BAHARY!$H$2:$H$901,392))</f>
        <v/>
      </c>
      <c r="E34" s="77" t="str">
        <f aca="false">IF($A34="","",INDEX(BAHARY!$E$2:$E$901,392))</f>
        <v/>
      </c>
      <c r="F34" s="77" t="str">
        <f aca="false">IF($A34="","",D34+E34)</f>
        <v/>
      </c>
      <c r="G34" s="77" t="str">
        <f aca="false">IF($A34="","",D34*(1-'كشف المطالبة'!$D$5))</f>
        <v/>
      </c>
      <c r="H34" s="77" t="str">
        <f aca="false">IF($A34="","",E34*(1-'كشف المطالبة'!$D$6))</f>
        <v/>
      </c>
      <c r="I34" s="77" t="str">
        <f aca="false">IF($A34="","",G34+H34)</f>
        <v/>
      </c>
      <c r="J34" s="78" t="str">
        <f aca="false">IF($A34="","",0)</f>
        <v/>
      </c>
      <c r="K34" s="77" t="str">
        <f aca="false">IF($A34="","",F34*J34+INDEX(BAHARY!$N$2:$N$901,392))</f>
        <v/>
      </c>
      <c r="L34" s="79" t="str">
        <f aca="false">IF($A34="","",I34-K34)</f>
        <v/>
      </c>
    </row>
    <row r="35" customFormat="false" ht="15" hidden="false" customHeight="true" outlineLevel="0" collapsed="false">
      <c r="A35" s="75" t="str">
        <f aca="false">IF(393&lt;=Check!$C$4,INDEX(BAHARY!$A$2:$A$901,393),"")</f>
        <v/>
      </c>
      <c r="B35" s="76" t="str">
        <f aca="false">IF($A35="","",INDEX(BAHARY!$B$2:$B$901,393))</f>
        <v/>
      </c>
      <c r="C35" s="76" t="str">
        <f aca="false">IF($A35="","",INDEX(BAHARY!$C$2:$C$901,393))</f>
        <v/>
      </c>
      <c r="D35" s="77" t="str">
        <f aca="false">IF($A35="","",INDEX(BAHARY!$H$2:$H$901,393))</f>
        <v/>
      </c>
      <c r="E35" s="77" t="str">
        <f aca="false">IF($A35="","",INDEX(BAHARY!$E$2:$E$901,393))</f>
        <v/>
      </c>
      <c r="F35" s="77" t="str">
        <f aca="false">IF($A35="","",D35+E35)</f>
        <v/>
      </c>
      <c r="G35" s="77" t="str">
        <f aca="false">IF($A35="","",D35*(1-'كشف المطالبة'!$D$5))</f>
        <v/>
      </c>
      <c r="H35" s="77" t="str">
        <f aca="false">IF($A35="","",E35*(1-'كشف المطالبة'!$D$6))</f>
        <v/>
      </c>
      <c r="I35" s="77" t="str">
        <f aca="false">IF($A35="","",G35+H35)</f>
        <v/>
      </c>
      <c r="J35" s="78" t="str">
        <f aca="false">IF($A35="","",0)</f>
        <v/>
      </c>
      <c r="K35" s="77" t="str">
        <f aca="false">IF($A35="","",F35*J35+INDEX(BAHARY!$N$2:$N$901,393))</f>
        <v/>
      </c>
      <c r="L35" s="79" t="str">
        <f aca="false">IF($A35="","",I35-K35)</f>
        <v/>
      </c>
    </row>
    <row r="36" customFormat="false" ht="15" hidden="false" customHeight="true" outlineLevel="0" collapsed="false">
      <c r="A36" s="75" t="str">
        <f aca="false">IF(394&lt;=Check!$C$4,INDEX(BAHARY!$A$2:$A$901,394),"")</f>
        <v/>
      </c>
      <c r="B36" s="76" t="str">
        <f aca="false">IF($A36="","",INDEX(BAHARY!$B$2:$B$901,394))</f>
        <v/>
      </c>
      <c r="C36" s="76" t="str">
        <f aca="false">IF($A36="","",INDEX(BAHARY!$C$2:$C$901,394))</f>
        <v/>
      </c>
      <c r="D36" s="77" t="str">
        <f aca="false">IF($A36="","",INDEX(BAHARY!$H$2:$H$901,394))</f>
        <v/>
      </c>
      <c r="E36" s="77" t="str">
        <f aca="false">IF($A36="","",INDEX(BAHARY!$E$2:$E$901,394))</f>
        <v/>
      </c>
      <c r="F36" s="77" t="str">
        <f aca="false">IF($A36="","",D36+E36)</f>
        <v/>
      </c>
      <c r="G36" s="77" t="str">
        <f aca="false">IF($A36="","",D36*(1-'كشف المطالبة'!$D$5))</f>
        <v/>
      </c>
      <c r="H36" s="77" t="str">
        <f aca="false">IF($A36="","",E36*(1-'كشف المطالبة'!$D$6))</f>
        <v/>
      </c>
      <c r="I36" s="77" t="str">
        <f aca="false">IF($A36="","",G36+H36)</f>
        <v/>
      </c>
      <c r="J36" s="78" t="str">
        <f aca="false">IF($A36="","",0)</f>
        <v/>
      </c>
      <c r="K36" s="77" t="str">
        <f aca="false">IF($A36="","",F36*J36+INDEX(BAHARY!$N$2:$N$901,394))</f>
        <v/>
      </c>
      <c r="L36" s="79" t="str">
        <f aca="false">IF($A36="","",I36-K36)</f>
        <v/>
      </c>
    </row>
    <row r="37" customFormat="false" ht="15" hidden="false" customHeight="true" outlineLevel="0" collapsed="false">
      <c r="A37" s="75" t="str">
        <f aca="false">IF(395&lt;=Check!$C$4,INDEX(BAHARY!$A$2:$A$901,395),"")</f>
        <v/>
      </c>
      <c r="B37" s="76" t="str">
        <f aca="false">IF($A37="","",INDEX(BAHARY!$B$2:$B$901,395))</f>
        <v/>
      </c>
      <c r="C37" s="76" t="str">
        <f aca="false">IF($A37="","",INDEX(BAHARY!$C$2:$C$901,395))</f>
        <v/>
      </c>
      <c r="D37" s="77" t="str">
        <f aca="false">IF($A37="","",INDEX(BAHARY!$H$2:$H$901,395))</f>
        <v/>
      </c>
      <c r="E37" s="77" t="str">
        <f aca="false">IF($A37="","",INDEX(BAHARY!$E$2:$E$901,395))</f>
        <v/>
      </c>
      <c r="F37" s="77" t="str">
        <f aca="false">IF($A37="","",D37+E37)</f>
        <v/>
      </c>
      <c r="G37" s="77" t="str">
        <f aca="false">IF($A37="","",D37*(1-'كشف المطالبة'!$D$5))</f>
        <v/>
      </c>
      <c r="H37" s="77" t="str">
        <f aca="false">IF($A37="","",E37*(1-'كشف المطالبة'!$D$6))</f>
        <v/>
      </c>
      <c r="I37" s="77" t="str">
        <f aca="false">IF($A37="","",G37+H37)</f>
        <v/>
      </c>
      <c r="J37" s="78" t="str">
        <f aca="false">IF($A37="","",0)</f>
        <v/>
      </c>
      <c r="K37" s="77" t="str">
        <f aca="false">IF($A37="","",F37*J37+INDEX(BAHARY!$N$2:$N$901,395))</f>
        <v/>
      </c>
      <c r="L37" s="79" t="str">
        <f aca="false">IF($A37="","",I37-K37)</f>
        <v/>
      </c>
    </row>
    <row r="38" customFormat="false" ht="15" hidden="false" customHeight="true" outlineLevel="0" collapsed="false">
      <c r="A38" s="75" t="str">
        <f aca="false">IF(396&lt;=Check!$C$4,INDEX(BAHARY!$A$2:$A$901,396),"")</f>
        <v/>
      </c>
      <c r="B38" s="76" t="str">
        <f aca="false">IF($A38="","",INDEX(BAHARY!$B$2:$B$901,396))</f>
        <v/>
      </c>
      <c r="C38" s="76" t="str">
        <f aca="false">IF($A38="","",INDEX(BAHARY!$C$2:$C$901,396))</f>
        <v/>
      </c>
      <c r="D38" s="77" t="str">
        <f aca="false">IF($A38="","",INDEX(BAHARY!$H$2:$H$901,396))</f>
        <v/>
      </c>
      <c r="E38" s="77" t="str">
        <f aca="false">IF($A38="","",INDEX(BAHARY!$E$2:$E$901,396))</f>
        <v/>
      </c>
      <c r="F38" s="77" t="str">
        <f aca="false">IF($A38="","",D38+E38)</f>
        <v/>
      </c>
      <c r="G38" s="77" t="str">
        <f aca="false">IF($A38="","",D38*(1-'كشف المطالبة'!$D$5))</f>
        <v/>
      </c>
      <c r="H38" s="77" t="str">
        <f aca="false">IF($A38="","",E38*(1-'كشف المطالبة'!$D$6))</f>
        <v/>
      </c>
      <c r="I38" s="77" t="str">
        <f aca="false">IF($A38="","",G38+H38)</f>
        <v/>
      </c>
      <c r="J38" s="78" t="str">
        <f aca="false">IF($A38="","",0)</f>
        <v/>
      </c>
      <c r="K38" s="77" t="str">
        <f aca="false">IF($A38="","",F38*J38+INDEX(BAHARY!$N$2:$N$901,396))</f>
        <v/>
      </c>
      <c r="L38" s="79" t="str">
        <f aca="false">IF($A38="","",I38-K38)</f>
        <v/>
      </c>
    </row>
    <row r="39" customFormat="false" ht="15" hidden="false" customHeight="true" outlineLevel="0" collapsed="false">
      <c r="A39" s="75" t="str">
        <f aca="false">IF(397&lt;=Check!$C$4,INDEX(BAHARY!$A$2:$A$901,397),"")</f>
        <v/>
      </c>
      <c r="B39" s="76" t="str">
        <f aca="false">IF($A39="","",INDEX(BAHARY!$B$2:$B$901,397))</f>
        <v/>
      </c>
      <c r="C39" s="76" t="str">
        <f aca="false">IF($A39="","",INDEX(BAHARY!$C$2:$C$901,397))</f>
        <v/>
      </c>
      <c r="D39" s="77" t="str">
        <f aca="false">IF($A39="","",INDEX(BAHARY!$H$2:$H$901,397))</f>
        <v/>
      </c>
      <c r="E39" s="77" t="str">
        <f aca="false">IF($A39="","",INDEX(BAHARY!$E$2:$E$901,397))</f>
        <v/>
      </c>
      <c r="F39" s="77" t="str">
        <f aca="false">IF($A39="","",D39+E39)</f>
        <v/>
      </c>
      <c r="G39" s="77" t="str">
        <f aca="false">IF($A39="","",D39*(1-'كشف المطالبة'!$D$5))</f>
        <v/>
      </c>
      <c r="H39" s="77" t="str">
        <f aca="false">IF($A39="","",E39*(1-'كشف المطالبة'!$D$6))</f>
        <v/>
      </c>
      <c r="I39" s="77" t="str">
        <f aca="false">IF($A39="","",G39+H39)</f>
        <v/>
      </c>
      <c r="J39" s="78" t="str">
        <f aca="false">IF($A39="","",0)</f>
        <v/>
      </c>
      <c r="K39" s="77" t="str">
        <f aca="false">IF($A39="","",F39*J39+INDEX(BAHARY!$N$2:$N$901,397))</f>
        <v/>
      </c>
      <c r="L39" s="79" t="str">
        <f aca="false">IF($A39="","",I39-K39)</f>
        <v/>
      </c>
    </row>
    <row r="40" customFormat="false" ht="15" hidden="false" customHeight="true" outlineLevel="0" collapsed="false">
      <c r="A40" s="75" t="str">
        <f aca="false">IF(398&lt;=Check!$C$4,INDEX(BAHARY!$A$2:$A$901,398),"")</f>
        <v/>
      </c>
      <c r="B40" s="76" t="str">
        <f aca="false">IF($A40="","",INDEX(BAHARY!$B$2:$B$901,398))</f>
        <v/>
      </c>
      <c r="C40" s="76" t="str">
        <f aca="false">IF($A40="","",INDEX(BAHARY!$C$2:$C$901,398))</f>
        <v/>
      </c>
      <c r="D40" s="77" t="str">
        <f aca="false">IF($A40="","",INDEX(BAHARY!$H$2:$H$901,398))</f>
        <v/>
      </c>
      <c r="E40" s="77" t="str">
        <f aca="false">IF($A40="","",INDEX(BAHARY!$E$2:$E$901,398))</f>
        <v/>
      </c>
      <c r="F40" s="77" t="str">
        <f aca="false">IF($A40="","",D40+E40)</f>
        <v/>
      </c>
      <c r="G40" s="77" t="str">
        <f aca="false">IF($A40="","",D40*(1-'كشف المطالبة'!$D$5))</f>
        <v/>
      </c>
      <c r="H40" s="77" t="str">
        <f aca="false">IF($A40="","",E40*(1-'كشف المطالبة'!$D$6))</f>
        <v/>
      </c>
      <c r="I40" s="77" t="str">
        <f aca="false">IF($A40="","",G40+H40)</f>
        <v/>
      </c>
      <c r="J40" s="78" t="str">
        <f aca="false">IF($A40="","",0)</f>
        <v/>
      </c>
      <c r="K40" s="77" t="str">
        <f aca="false">IF($A40="","",F40*J40+INDEX(BAHARY!$N$2:$N$901,398))</f>
        <v/>
      </c>
      <c r="L40" s="79" t="str">
        <f aca="false">IF($A40="","",I40-K40)</f>
        <v/>
      </c>
    </row>
    <row r="41" customFormat="false" ht="15" hidden="false" customHeight="true" outlineLevel="0" collapsed="false">
      <c r="A41" s="75" t="str">
        <f aca="false">IF(399&lt;=Check!$C$4,INDEX(BAHARY!$A$2:$A$901,399),"")</f>
        <v/>
      </c>
      <c r="B41" s="76" t="str">
        <f aca="false">IF($A41="","",INDEX(BAHARY!$B$2:$B$901,399))</f>
        <v/>
      </c>
      <c r="C41" s="76" t="str">
        <f aca="false">IF($A41="","",INDEX(BAHARY!$C$2:$C$901,399))</f>
        <v/>
      </c>
      <c r="D41" s="77" t="str">
        <f aca="false">IF($A41="","",INDEX(BAHARY!$H$2:$H$901,399))</f>
        <v/>
      </c>
      <c r="E41" s="77" t="str">
        <f aca="false">IF($A41="","",INDEX(BAHARY!$E$2:$E$901,399))</f>
        <v/>
      </c>
      <c r="F41" s="77" t="str">
        <f aca="false">IF($A41="","",D41+E41)</f>
        <v/>
      </c>
      <c r="G41" s="77" t="str">
        <f aca="false">IF($A41="","",D41*(1-'كشف المطالبة'!$D$5))</f>
        <v/>
      </c>
      <c r="H41" s="77" t="str">
        <f aca="false">IF($A41="","",E41*(1-'كشف المطالبة'!$D$6))</f>
        <v/>
      </c>
      <c r="I41" s="77" t="str">
        <f aca="false">IF($A41="","",G41+H41)</f>
        <v/>
      </c>
      <c r="J41" s="78" t="str">
        <f aca="false">IF($A41="","",0)</f>
        <v/>
      </c>
      <c r="K41" s="77" t="str">
        <f aca="false">IF($A41="","",F41*J41+INDEX(BAHARY!$N$2:$N$901,399))</f>
        <v/>
      </c>
      <c r="L41" s="79" t="str">
        <f aca="false">IF($A41="","",I41-K41)</f>
        <v/>
      </c>
    </row>
    <row r="42" customFormat="false" ht="15" hidden="false" customHeight="true" outlineLevel="0" collapsed="false">
      <c r="A42" s="75" t="str">
        <f aca="false">IF(400&lt;=Check!$C$4,INDEX(BAHARY!$A$2:$A$901,400),"")</f>
        <v/>
      </c>
      <c r="B42" s="76" t="str">
        <f aca="false">IF($A42="","",INDEX(BAHARY!$B$2:$B$901,400))</f>
        <v/>
      </c>
      <c r="C42" s="76" t="str">
        <f aca="false">IF($A42="","",INDEX(BAHARY!$C$2:$C$901,400))</f>
        <v/>
      </c>
      <c r="D42" s="77" t="str">
        <f aca="false">IF($A42="","",INDEX(BAHARY!$H$2:$H$901,400))</f>
        <v/>
      </c>
      <c r="E42" s="77" t="str">
        <f aca="false">IF($A42="","",INDEX(BAHARY!$E$2:$E$901,400))</f>
        <v/>
      </c>
      <c r="F42" s="77" t="str">
        <f aca="false">IF($A42="","",D42+E42)</f>
        <v/>
      </c>
      <c r="G42" s="77" t="str">
        <f aca="false">IF($A42="","",D42*(1-'كشف المطالبة'!$D$5))</f>
        <v/>
      </c>
      <c r="H42" s="77" t="str">
        <f aca="false">IF($A42="","",E42*(1-'كشف المطالبة'!$D$6))</f>
        <v/>
      </c>
      <c r="I42" s="77" t="str">
        <f aca="false">IF($A42="","",G42+H42)</f>
        <v/>
      </c>
      <c r="J42" s="78" t="str">
        <f aca="false">IF($A42="","",0)</f>
        <v/>
      </c>
      <c r="K42" s="77" t="str">
        <f aca="false">IF($A42="","",F42*J42+INDEX(BAHARY!$N$2:$N$901,400))</f>
        <v/>
      </c>
      <c r="L42" s="79" t="str">
        <f aca="false">IF($A42="","",I42-K42)</f>
        <v/>
      </c>
    </row>
    <row r="44" customFormat="false" ht="15" hidden="false" customHeight="true" outlineLevel="0" collapsed="false"/>
    <row r="45" s="86" customFormat="true" ht="15.75" hidden="false" customHeight="true" outlineLevel="0" collapsed="false">
      <c r="A45" s="81" t="s">
        <v>114</v>
      </c>
      <c r="B45" s="81"/>
      <c r="C45" s="81"/>
      <c r="D45" s="82" t="n">
        <f aca="false">SUM(D3:D42)</f>
        <v>0</v>
      </c>
      <c r="E45" s="82" t="n">
        <f aca="false">SUM(E3:E42)</f>
        <v>0</v>
      </c>
      <c r="F45" s="82" t="n">
        <f aca="false">SUM(F3:F42)</f>
        <v>0</v>
      </c>
      <c r="G45" s="82" t="n">
        <f aca="false">SUM(G3:G42)</f>
        <v>0</v>
      </c>
      <c r="H45" s="82" t="n">
        <f aca="false">SUM(H3:H42)</f>
        <v>0</v>
      </c>
      <c r="I45" s="82" t="n">
        <f aca="false">SUM(I3:I42)</f>
        <v>0</v>
      </c>
      <c r="J45" s="83"/>
      <c r="K45" s="82" t="n">
        <f aca="false">SUM(K3:K42)</f>
        <v>0</v>
      </c>
      <c r="L45" s="84" t="n">
        <f aca="false">SUM(L3:L42)</f>
        <v>0</v>
      </c>
      <c r="M45" s="85" t="n">
        <v>10</v>
      </c>
    </row>
  </sheetData>
  <mergeCells count="4">
    <mergeCell ref="A1:B1"/>
    <mergeCell ref="E1:G1"/>
    <mergeCell ref="K1:L1"/>
    <mergeCell ref="A45:C45"/>
  </mergeCells>
  <conditionalFormatting sqref="A3:A42 D3:L42">
    <cfRule type="expression" priority="2" aboveAverage="0" equalAverage="0" bottom="0" percent="0" rank="0" text="" dxfId="6">
      <formula>ISODD(ROW())</formula>
    </cfRule>
  </conditionalFormatting>
  <printOptions headings="false" gridLines="false" gridLinesSet="true" horizontalCentered="false" verticalCentered="false"/>
  <pageMargins left="0.279861111111111" right="0.279861111111111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39E90"/>
    <pageSetUpPr fitToPage="false"/>
  </sheetPr>
  <dimension ref="A1:M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53125" defaultRowHeight="14.25" zeroHeight="false" outlineLevelRow="0" outlineLevelCol="0"/>
  <cols>
    <col collapsed="false" customWidth="true" hidden="false" outlineLevel="0" max="1" min="1" style="0" width="3.27"/>
    <col collapsed="false" customWidth="true" hidden="false" outlineLevel="0" max="2" min="2" style="0" width="43.18"/>
    <col collapsed="false" customWidth="true" hidden="false" outlineLevel="0" max="3" min="3" style="0" width="7"/>
    <col collapsed="false" customWidth="true" hidden="false" outlineLevel="0" max="4" min="4" style="0" width="12.45"/>
    <col collapsed="false" customWidth="true" hidden="false" outlineLevel="0" max="5" min="5" style="0" width="12"/>
    <col collapsed="false" customWidth="true" hidden="false" outlineLevel="0" max="6" min="6" style="0" width="13.45"/>
    <col collapsed="false" customWidth="true" hidden="false" outlineLevel="0" max="7" min="7" style="0" width="17"/>
    <col collapsed="false" customWidth="true" hidden="false" outlineLevel="0" max="8" min="8" style="0" width="13"/>
    <col collapsed="false" customWidth="true" hidden="false" outlineLevel="0" max="9" min="9" style="0" width="13.73"/>
    <col collapsed="false" customWidth="true" hidden="false" outlineLevel="0" max="10" min="10" style="0" width="8.27"/>
    <col collapsed="false" customWidth="true" hidden="false" outlineLevel="0" max="11" min="11" style="0" width="9"/>
    <col collapsed="false" customWidth="true" hidden="false" outlineLevel="0" max="12" min="12" style="0" width="13.73"/>
    <col collapsed="false" customWidth="true" hidden="false" outlineLevel="0" max="13" min="13" style="0" width="2.18"/>
    <col collapsed="false" customWidth="true" hidden="false" outlineLevel="0" max="26" min="14" style="0" width="8.73"/>
  </cols>
  <sheetData>
    <row r="1" customFormat="false" ht="18" hidden="false" customHeight="true" outlineLevel="0" collapsed="false">
      <c r="A1" s="68" t="s">
        <v>105</v>
      </c>
      <c r="B1" s="68"/>
      <c r="C1" s="69"/>
      <c r="D1" s="69"/>
      <c r="E1" s="54" t="s">
        <v>112</v>
      </c>
      <c r="F1" s="54"/>
      <c r="G1" s="54"/>
      <c r="H1" s="69" t="n">
        <f aca="false">'كشف المطالبة'!E2</f>
        <v>0</v>
      </c>
      <c r="I1" s="69" t="str">
        <f aca="false">'كشف المطالبة'!E3</f>
        <v>الجزء الاول</v>
      </c>
      <c r="J1" s="69"/>
      <c r="K1" s="70" t="str">
        <f aca="false">'كشف المطالبة'!E4</f>
        <v>عاملين</v>
      </c>
      <c r="L1" s="70"/>
    </row>
    <row r="2" customFormat="false" ht="44.25" hidden="false" customHeight="true" outlineLevel="0" collapsed="false">
      <c r="A2" s="71" t="s">
        <v>106</v>
      </c>
      <c r="B2" s="72" t="s">
        <v>35</v>
      </c>
      <c r="C2" s="72" t="s">
        <v>36</v>
      </c>
      <c r="D2" s="72" t="s">
        <v>107</v>
      </c>
      <c r="E2" s="72" t="s">
        <v>38</v>
      </c>
      <c r="F2" s="72" t="s">
        <v>108</v>
      </c>
      <c r="G2" s="72" t="str">
        <f aca="false">"محلى بعد خصم "&amp;ROUND('كشف المطالبة'!$D$5*100,2)&amp;"%"</f>
        <v>محلى بعد خصم 14%</v>
      </c>
      <c r="H2" s="72" t="str">
        <f aca="false">"مستورد بعد خصم "&amp;ROUND('كشف المطالبة'!$D$6*100,2)&amp;"%"</f>
        <v>مستورد بعد خصم 7%</v>
      </c>
      <c r="I2" s="72" t="s">
        <v>109</v>
      </c>
      <c r="J2" s="73" t="s">
        <v>113</v>
      </c>
      <c r="K2" s="72" t="s">
        <v>110</v>
      </c>
      <c r="L2" s="74" t="s">
        <v>111</v>
      </c>
    </row>
    <row r="3" customFormat="false" ht="15" hidden="false" customHeight="true" outlineLevel="0" collapsed="false">
      <c r="A3" s="75" t="str">
        <f aca="false">IF(401&lt;=Check!$C$4,INDEX(BAHARY!$A$2:$A$901,401),"")</f>
        <v/>
      </c>
      <c r="B3" s="76" t="str">
        <f aca="false">IF($A3="","",INDEX(BAHARY!$B$2:$B$901,401))</f>
        <v/>
      </c>
      <c r="C3" s="76" t="str">
        <f aca="false">IF($A3="","",INDEX(BAHARY!$C$2:$C$901,401))</f>
        <v/>
      </c>
      <c r="D3" s="77" t="str">
        <f aca="false">IF($A3="","",INDEX(BAHARY!$H$2:$H$901,401))</f>
        <v/>
      </c>
      <c r="E3" s="77" t="str">
        <f aca="false">IF($A3="","",INDEX(BAHARY!$E$2:$E$901,401))</f>
        <v/>
      </c>
      <c r="F3" s="77" t="str">
        <f aca="false">IF($A3="","",D3+E3)</f>
        <v/>
      </c>
      <c r="G3" s="77" t="str">
        <f aca="false">IF($A3="","",D3*(1-'كشف المطالبة'!$D$5))</f>
        <v/>
      </c>
      <c r="H3" s="77" t="str">
        <f aca="false">IF($A3="","",E3*(1-'كشف المطالبة'!$D$6))</f>
        <v/>
      </c>
      <c r="I3" s="77" t="str">
        <f aca="false">IF($A3="","",G3+H3)</f>
        <v/>
      </c>
      <c r="J3" s="78" t="str">
        <f aca="false">IF($A3="","",0)</f>
        <v/>
      </c>
      <c r="K3" s="77" t="str">
        <f aca="false">IF($A3="","",F3*J3+INDEX(BAHARY!$N$2:$N$901,401))</f>
        <v/>
      </c>
      <c r="L3" s="79" t="str">
        <f aca="false">IF($A3="","",I3-K3)</f>
        <v/>
      </c>
    </row>
    <row r="4" customFormat="false" ht="15" hidden="false" customHeight="true" outlineLevel="0" collapsed="false">
      <c r="A4" s="75" t="str">
        <f aca="false">IF(402&lt;=Check!$C$4,INDEX(BAHARY!$A$2:$A$901,402),"")</f>
        <v/>
      </c>
      <c r="B4" s="76" t="str">
        <f aca="false">IF($A4="","",INDEX(BAHARY!$B$2:$B$901,402))</f>
        <v/>
      </c>
      <c r="C4" s="76" t="str">
        <f aca="false">IF($A4="","",INDEX(BAHARY!$C$2:$C$901,402))</f>
        <v/>
      </c>
      <c r="D4" s="77" t="str">
        <f aca="false">IF($A4="","",INDEX(BAHARY!$H$2:$H$901,402))</f>
        <v/>
      </c>
      <c r="E4" s="77" t="str">
        <f aca="false">IF($A4="","",INDEX(BAHARY!$E$2:$E$901,402))</f>
        <v/>
      </c>
      <c r="F4" s="77" t="str">
        <f aca="false">IF($A4="","",D4+E4)</f>
        <v/>
      </c>
      <c r="G4" s="77" t="str">
        <f aca="false">IF($A4="","",D4*(1-'كشف المطالبة'!$D$5))</f>
        <v/>
      </c>
      <c r="H4" s="77" t="str">
        <f aca="false">IF($A4="","",E4*(1-'كشف المطالبة'!$D$6))</f>
        <v/>
      </c>
      <c r="I4" s="77" t="str">
        <f aca="false">IF($A4="","",G4+H4)</f>
        <v/>
      </c>
      <c r="J4" s="78" t="str">
        <f aca="false">IF($A4="","",0)</f>
        <v/>
      </c>
      <c r="K4" s="77" t="str">
        <f aca="false">IF($A4="","",F4*J4+INDEX(BAHARY!$N$2:$N$901,402))</f>
        <v/>
      </c>
      <c r="L4" s="79" t="str">
        <f aca="false">IF($A4="","",I4-K4)</f>
        <v/>
      </c>
    </row>
    <row r="5" customFormat="false" ht="15" hidden="false" customHeight="true" outlineLevel="0" collapsed="false">
      <c r="A5" s="75" t="str">
        <f aca="false">IF(403&lt;=Check!$C$4,INDEX(BAHARY!$A$2:$A$901,403),"")</f>
        <v/>
      </c>
      <c r="B5" s="76" t="str">
        <f aca="false">IF($A5="","",INDEX(BAHARY!$B$2:$B$901,403))</f>
        <v/>
      </c>
      <c r="C5" s="76" t="str">
        <f aca="false">IF($A5="","",INDEX(BAHARY!$C$2:$C$901,403))</f>
        <v/>
      </c>
      <c r="D5" s="77" t="str">
        <f aca="false">IF($A5="","",INDEX(BAHARY!$H$2:$H$901,403))</f>
        <v/>
      </c>
      <c r="E5" s="77" t="str">
        <f aca="false">IF($A5="","",INDEX(BAHARY!$E$2:$E$901,403))</f>
        <v/>
      </c>
      <c r="F5" s="77" t="str">
        <f aca="false">IF($A5="","",D5+E5)</f>
        <v/>
      </c>
      <c r="G5" s="77" t="str">
        <f aca="false">IF($A5="","",D5*(1-'كشف المطالبة'!$D$5))</f>
        <v/>
      </c>
      <c r="H5" s="77" t="str">
        <f aca="false">IF($A5="","",E5*(1-'كشف المطالبة'!$D$6))</f>
        <v/>
      </c>
      <c r="I5" s="77" t="str">
        <f aca="false">IF($A5="","",G5+H5)</f>
        <v/>
      </c>
      <c r="J5" s="78" t="str">
        <f aca="false">IF($A5="","",0)</f>
        <v/>
      </c>
      <c r="K5" s="77" t="str">
        <f aca="false">IF($A5="","",F5*J5+INDEX(BAHARY!$N$2:$N$901,403))</f>
        <v/>
      </c>
      <c r="L5" s="79" t="str">
        <f aca="false">IF($A5="","",I5-K5)</f>
        <v/>
      </c>
    </row>
    <row r="6" customFormat="false" ht="15" hidden="false" customHeight="true" outlineLevel="0" collapsed="false">
      <c r="A6" s="75" t="str">
        <f aca="false">IF(404&lt;=Check!$C$4,INDEX(BAHARY!$A$2:$A$901,404),"")</f>
        <v/>
      </c>
      <c r="B6" s="76" t="str">
        <f aca="false">IF($A6="","",INDEX(BAHARY!$B$2:$B$901,404))</f>
        <v/>
      </c>
      <c r="C6" s="76" t="str">
        <f aca="false">IF($A6="","",INDEX(BAHARY!$C$2:$C$901,404))</f>
        <v/>
      </c>
      <c r="D6" s="77" t="str">
        <f aca="false">IF($A6="","",INDEX(BAHARY!$H$2:$H$901,404))</f>
        <v/>
      </c>
      <c r="E6" s="77" t="str">
        <f aca="false">IF($A6="","",INDEX(BAHARY!$E$2:$E$901,404))</f>
        <v/>
      </c>
      <c r="F6" s="77" t="str">
        <f aca="false">IF($A6="","",D6+E6)</f>
        <v/>
      </c>
      <c r="G6" s="77" t="str">
        <f aca="false">IF($A6="","",D6*(1-'كشف المطالبة'!$D$5))</f>
        <v/>
      </c>
      <c r="H6" s="77" t="str">
        <f aca="false">IF($A6="","",E6*(1-'كشف المطالبة'!$D$6))</f>
        <v/>
      </c>
      <c r="I6" s="77" t="str">
        <f aca="false">IF($A6="","",G6+H6)</f>
        <v/>
      </c>
      <c r="J6" s="78" t="str">
        <f aca="false">IF($A6="","",0)</f>
        <v/>
      </c>
      <c r="K6" s="77" t="str">
        <f aca="false">IF($A6="","",F6*J6+INDEX(BAHARY!$N$2:$N$901,404))</f>
        <v/>
      </c>
      <c r="L6" s="79" t="str">
        <f aca="false">IF($A6="","",I6-K6)</f>
        <v/>
      </c>
    </row>
    <row r="7" customFormat="false" ht="15" hidden="false" customHeight="true" outlineLevel="0" collapsed="false">
      <c r="A7" s="75" t="str">
        <f aca="false">IF(405&lt;=Check!$C$4,INDEX(BAHARY!$A$2:$A$901,405),"")</f>
        <v/>
      </c>
      <c r="B7" s="76" t="str">
        <f aca="false">IF($A7="","",INDEX(BAHARY!$B$2:$B$901,405))</f>
        <v/>
      </c>
      <c r="C7" s="76" t="str">
        <f aca="false">IF($A7="","",INDEX(BAHARY!$C$2:$C$901,405))</f>
        <v/>
      </c>
      <c r="D7" s="77" t="str">
        <f aca="false">IF($A7="","",INDEX(BAHARY!$H$2:$H$901,405))</f>
        <v/>
      </c>
      <c r="E7" s="77" t="str">
        <f aca="false">IF($A7="","",INDEX(BAHARY!$E$2:$E$901,405))</f>
        <v/>
      </c>
      <c r="F7" s="77" t="str">
        <f aca="false">IF($A7="","",D7+E7)</f>
        <v/>
      </c>
      <c r="G7" s="77" t="str">
        <f aca="false">IF($A7="","",D7*(1-'كشف المطالبة'!$D$5))</f>
        <v/>
      </c>
      <c r="H7" s="77" t="str">
        <f aca="false">IF($A7="","",E7*(1-'كشف المطالبة'!$D$6))</f>
        <v/>
      </c>
      <c r="I7" s="77" t="str">
        <f aca="false">IF($A7="","",G7+H7)</f>
        <v/>
      </c>
      <c r="J7" s="78" t="str">
        <f aca="false">IF($A7="","",0)</f>
        <v/>
      </c>
      <c r="K7" s="77" t="str">
        <f aca="false">IF($A7="","",F7*J7+INDEX(BAHARY!$N$2:$N$901,405))</f>
        <v/>
      </c>
      <c r="L7" s="79" t="str">
        <f aca="false">IF($A7="","",I7-K7)</f>
        <v/>
      </c>
    </row>
    <row r="8" customFormat="false" ht="15" hidden="false" customHeight="true" outlineLevel="0" collapsed="false">
      <c r="A8" s="75" t="str">
        <f aca="false">IF(406&lt;=Check!$C$4,INDEX(BAHARY!$A$2:$A$901,406),"")</f>
        <v/>
      </c>
      <c r="B8" s="76" t="str">
        <f aca="false">IF($A8="","",INDEX(BAHARY!$B$2:$B$901,406))</f>
        <v/>
      </c>
      <c r="C8" s="76" t="str">
        <f aca="false">IF($A8="","",INDEX(BAHARY!$C$2:$C$901,406))</f>
        <v/>
      </c>
      <c r="D8" s="77" t="str">
        <f aca="false">IF($A8="","",INDEX(BAHARY!$H$2:$H$901,406))</f>
        <v/>
      </c>
      <c r="E8" s="77" t="str">
        <f aca="false">IF($A8="","",INDEX(BAHARY!$E$2:$E$901,406))</f>
        <v/>
      </c>
      <c r="F8" s="77" t="str">
        <f aca="false">IF($A8="","",D8+E8)</f>
        <v/>
      </c>
      <c r="G8" s="77" t="str">
        <f aca="false">IF($A8="","",D8*(1-'كشف المطالبة'!$D$5))</f>
        <v/>
      </c>
      <c r="H8" s="77" t="str">
        <f aca="false">IF($A8="","",E8*(1-'كشف المطالبة'!$D$6))</f>
        <v/>
      </c>
      <c r="I8" s="77" t="str">
        <f aca="false">IF($A8="","",G8+H8)</f>
        <v/>
      </c>
      <c r="J8" s="78" t="str">
        <f aca="false">IF($A8="","",0)</f>
        <v/>
      </c>
      <c r="K8" s="77" t="str">
        <f aca="false">IF($A8="","",F8*J8+INDEX(BAHARY!$N$2:$N$901,406))</f>
        <v/>
      </c>
      <c r="L8" s="79" t="str">
        <f aca="false">IF($A8="","",I8-K8)</f>
        <v/>
      </c>
    </row>
    <row r="9" customFormat="false" ht="15" hidden="false" customHeight="true" outlineLevel="0" collapsed="false">
      <c r="A9" s="75" t="str">
        <f aca="false">IF(407&lt;=Check!$C$4,INDEX(BAHARY!$A$2:$A$901,407),"")</f>
        <v/>
      </c>
      <c r="B9" s="80" t="str">
        <f aca="false">IF($A9="","",INDEX(BAHARY!$B$2:$B$901,407))</f>
        <v/>
      </c>
      <c r="C9" s="76" t="str">
        <f aca="false">IF($A9="","",INDEX(BAHARY!$C$2:$C$901,407))</f>
        <v/>
      </c>
      <c r="D9" s="77" t="str">
        <f aca="false">IF($A9="","",INDEX(BAHARY!$H$2:$H$901,407))</f>
        <v/>
      </c>
      <c r="E9" s="77" t="str">
        <f aca="false">IF($A9="","",INDEX(BAHARY!$E$2:$E$901,407))</f>
        <v/>
      </c>
      <c r="F9" s="77" t="str">
        <f aca="false">IF($A9="","",D9+E9)</f>
        <v/>
      </c>
      <c r="G9" s="77" t="str">
        <f aca="false">IF($A9="","",D9*(1-'كشف المطالبة'!$D$5))</f>
        <v/>
      </c>
      <c r="H9" s="77" t="str">
        <f aca="false">IF($A9="","",E9*(1-'كشف المطالبة'!$D$6))</f>
        <v/>
      </c>
      <c r="I9" s="77" t="str">
        <f aca="false">IF($A9="","",G9+H9)</f>
        <v/>
      </c>
      <c r="J9" s="78" t="str">
        <f aca="false">IF($A9="","",0)</f>
        <v/>
      </c>
      <c r="K9" s="77" t="str">
        <f aca="false">IF($A9="","",F9*J9+INDEX(BAHARY!$N$2:$N$901,407))</f>
        <v/>
      </c>
      <c r="L9" s="79" t="str">
        <f aca="false">IF($A9="","",I9-K9)</f>
        <v/>
      </c>
    </row>
    <row r="10" customFormat="false" ht="15" hidden="false" customHeight="true" outlineLevel="0" collapsed="false">
      <c r="A10" s="75" t="str">
        <f aca="false">IF(408&lt;=Check!$C$4,INDEX(BAHARY!$A$2:$A$901,408),"")</f>
        <v/>
      </c>
      <c r="B10" s="76" t="str">
        <f aca="false">IF($A10="","",INDEX(BAHARY!$B$2:$B$901,408))</f>
        <v/>
      </c>
      <c r="C10" s="76" t="str">
        <f aca="false">IF($A10="","",INDEX(BAHARY!$C$2:$C$901,408))</f>
        <v/>
      </c>
      <c r="D10" s="77" t="str">
        <f aca="false">IF($A10="","",INDEX(BAHARY!$H$2:$H$901,408))</f>
        <v/>
      </c>
      <c r="E10" s="77" t="str">
        <f aca="false">IF($A10="","",INDEX(BAHARY!$E$2:$E$901,408))</f>
        <v/>
      </c>
      <c r="F10" s="77" t="str">
        <f aca="false">IF($A10="","",D10+E10)</f>
        <v/>
      </c>
      <c r="G10" s="77" t="str">
        <f aca="false">IF($A10="","",D10*(1-'كشف المطالبة'!$D$5))</f>
        <v/>
      </c>
      <c r="H10" s="77" t="str">
        <f aca="false">IF($A10="","",E10*(1-'كشف المطالبة'!$D$6))</f>
        <v/>
      </c>
      <c r="I10" s="77" t="str">
        <f aca="false">IF($A10="","",G10+H10)</f>
        <v/>
      </c>
      <c r="J10" s="78" t="str">
        <f aca="false">IF($A10="","",0)</f>
        <v/>
      </c>
      <c r="K10" s="77" t="str">
        <f aca="false">IF($A10="","",F10*J10+INDEX(BAHARY!$N$2:$N$901,408))</f>
        <v/>
      </c>
      <c r="L10" s="79" t="str">
        <f aca="false">IF($A10="","",I10-K10)</f>
        <v/>
      </c>
    </row>
    <row r="11" customFormat="false" ht="15" hidden="false" customHeight="true" outlineLevel="0" collapsed="false">
      <c r="A11" s="75" t="str">
        <f aca="false">IF(409&lt;=Check!$C$4,INDEX(BAHARY!$A$2:$A$901,409),"")</f>
        <v/>
      </c>
      <c r="B11" s="76" t="str">
        <f aca="false">IF($A11="","",INDEX(BAHARY!$B$2:$B$901,409))</f>
        <v/>
      </c>
      <c r="C11" s="76" t="str">
        <f aca="false">IF($A11="","",INDEX(BAHARY!$C$2:$C$901,409))</f>
        <v/>
      </c>
      <c r="D11" s="77" t="str">
        <f aca="false">IF($A11="","",INDEX(BAHARY!$H$2:$H$901,409))</f>
        <v/>
      </c>
      <c r="E11" s="77" t="str">
        <f aca="false">IF($A11="","",INDEX(BAHARY!$E$2:$E$901,409))</f>
        <v/>
      </c>
      <c r="F11" s="77" t="str">
        <f aca="false">IF($A11="","",D11+E11)</f>
        <v/>
      </c>
      <c r="G11" s="77" t="str">
        <f aca="false">IF($A11="","",D11*(1-'كشف المطالبة'!$D$5))</f>
        <v/>
      </c>
      <c r="H11" s="77" t="str">
        <f aca="false">IF($A11="","",E11*(1-'كشف المطالبة'!$D$6))</f>
        <v/>
      </c>
      <c r="I11" s="77" t="str">
        <f aca="false">IF($A11="","",G11+H11)</f>
        <v/>
      </c>
      <c r="J11" s="78" t="str">
        <f aca="false">IF($A11="","",0)</f>
        <v/>
      </c>
      <c r="K11" s="77" t="str">
        <f aca="false">IF($A11="","",F11*J11+INDEX(BAHARY!$N$2:$N$901,409))</f>
        <v/>
      </c>
      <c r="L11" s="79" t="str">
        <f aca="false">IF($A11="","",I11-K11)</f>
        <v/>
      </c>
    </row>
    <row r="12" customFormat="false" ht="15" hidden="false" customHeight="true" outlineLevel="0" collapsed="false">
      <c r="A12" s="75" t="str">
        <f aca="false">IF(410&lt;=Check!$C$4,INDEX(BAHARY!$A$2:$A$901,410),"")</f>
        <v/>
      </c>
      <c r="B12" s="76" t="str">
        <f aca="false">IF($A12="","",INDEX(BAHARY!$B$2:$B$901,410))</f>
        <v/>
      </c>
      <c r="C12" s="76" t="str">
        <f aca="false">IF($A12="","",INDEX(BAHARY!$C$2:$C$901,410))</f>
        <v/>
      </c>
      <c r="D12" s="77" t="str">
        <f aca="false">IF($A12="","",INDEX(BAHARY!$H$2:$H$901,410))</f>
        <v/>
      </c>
      <c r="E12" s="77" t="str">
        <f aca="false">IF($A12="","",INDEX(BAHARY!$E$2:$E$901,410))</f>
        <v/>
      </c>
      <c r="F12" s="77" t="str">
        <f aca="false">IF($A12="","",D12+E12)</f>
        <v/>
      </c>
      <c r="G12" s="77" t="str">
        <f aca="false">IF($A12="","",D12*(1-'كشف المطالبة'!$D$5))</f>
        <v/>
      </c>
      <c r="H12" s="77" t="str">
        <f aca="false">IF($A12="","",E12*(1-'كشف المطالبة'!$D$6))</f>
        <v/>
      </c>
      <c r="I12" s="77" t="str">
        <f aca="false">IF($A12="","",G12+H12)</f>
        <v/>
      </c>
      <c r="J12" s="78" t="str">
        <f aca="false">IF($A12="","",0)</f>
        <v/>
      </c>
      <c r="K12" s="77" t="str">
        <f aca="false">IF($A12="","",F12*J12+INDEX(BAHARY!$N$2:$N$901,410))</f>
        <v/>
      </c>
      <c r="L12" s="79" t="str">
        <f aca="false">IF($A12="","",I12-K12)</f>
        <v/>
      </c>
    </row>
    <row r="13" customFormat="false" ht="15" hidden="false" customHeight="true" outlineLevel="0" collapsed="false">
      <c r="A13" s="75" t="str">
        <f aca="false">IF(411&lt;=Check!$C$4,INDEX(BAHARY!$A$2:$A$901,411),"")</f>
        <v/>
      </c>
      <c r="B13" s="76" t="str">
        <f aca="false">IF($A13="","",INDEX(BAHARY!$B$2:$B$901,411))</f>
        <v/>
      </c>
      <c r="C13" s="76" t="str">
        <f aca="false">IF($A13="","",INDEX(BAHARY!$C$2:$C$901,411))</f>
        <v/>
      </c>
      <c r="D13" s="77" t="str">
        <f aca="false">IF($A13="","",INDEX(BAHARY!$H$2:$H$901,411))</f>
        <v/>
      </c>
      <c r="E13" s="77" t="str">
        <f aca="false">IF($A13="","",INDEX(BAHARY!$E$2:$E$901,411))</f>
        <v/>
      </c>
      <c r="F13" s="77" t="str">
        <f aca="false">IF($A13="","",D13+E13)</f>
        <v/>
      </c>
      <c r="G13" s="77" t="str">
        <f aca="false">IF($A13="","",D13*(1-'كشف المطالبة'!$D$5))</f>
        <v/>
      </c>
      <c r="H13" s="77" t="str">
        <f aca="false">IF($A13="","",E13*(1-'كشف المطالبة'!$D$6))</f>
        <v/>
      </c>
      <c r="I13" s="77" t="str">
        <f aca="false">IF($A13="","",G13+H13)</f>
        <v/>
      </c>
      <c r="J13" s="78" t="str">
        <f aca="false">IF($A13="","",0)</f>
        <v/>
      </c>
      <c r="K13" s="77" t="str">
        <f aca="false">IF($A13="","",F13*J13+INDEX(BAHARY!$N$2:$N$901,411))</f>
        <v/>
      </c>
      <c r="L13" s="79" t="str">
        <f aca="false">IF($A13="","",I13-K13)</f>
        <v/>
      </c>
    </row>
    <row r="14" customFormat="false" ht="15" hidden="false" customHeight="true" outlineLevel="0" collapsed="false">
      <c r="A14" s="75" t="str">
        <f aca="false">IF(412&lt;=Check!$C$4,INDEX(BAHARY!$A$2:$A$901,412),"")</f>
        <v/>
      </c>
      <c r="B14" s="76" t="str">
        <f aca="false">IF($A14="","",INDEX(BAHARY!$B$2:$B$901,412))</f>
        <v/>
      </c>
      <c r="C14" s="76" t="str">
        <f aca="false">IF($A14="","",INDEX(BAHARY!$C$2:$C$901,412))</f>
        <v/>
      </c>
      <c r="D14" s="77" t="str">
        <f aca="false">IF($A14="","",INDEX(BAHARY!$H$2:$H$901,412))</f>
        <v/>
      </c>
      <c r="E14" s="77" t="str">
        <f aca="false">IF($A14="","",INDEX(BAHARY!$E$2:$E$901,412))</f>
        <v/>
      </c>
      <c r="F14" s="77" t="str">
        <f aca="false">IF($A14="","",D14+E14)</f>
        <v/>
      </c>
      <c r="G14" s="77" t="str">
        <f aca="false">IF($A14="","",D14*(1-'كشف المطالبة'!$D$5))</f>
        <v/>
      </c>
      <c r="H14" s="77" t="str">
        <f aca="false">IF($A14="","",E14*(1-'كشف المطالبة'!$D$6))</f>
        <v/>
      </c>
      <c r="I14" s="77" t="str">
        <f aca="false">IF($A14="","",G14+H14)</f>
        <v/>
      </c>
      <c r="J14" s="78" t="str">
        <f aca="false">IF($A14="","",0)</f>
        <v/>
      </c>
      <c r="K14" s="77" t="str">
        <f aca="false">IF($A14="","",F14*J14+INDEX(BAHARY!$N$2:$N$901,412))</f>
        <v/>
      </c>
      <c r="L14" s="79" t="str">
        <f aca="false">IF($A14="","",I14-K14)</f>
        <v/>
      </c>
    </row>
    <row r="15" customFormat="false" ht="15" hidden="false" customHeight="true" outlineLevel="0" collapsed="false">
      <c r="A15" s="75" t="str">
        <f aca="false">IF(413&lt;=Check!$C$4,INDEX(BAHARY!$A$2:$A$901,413),"")</f>
        <v/>
      </c>
      <c r="B15" s="76" t="str">
        <f aca="false">IF($A15="","",INDEX(BAHARY!$B$2:$B$901,413))</f>
        <v/>
      </c>
      <c r="C15" s="76" t="str">
        <f aca="false">IF($A15="","",INDEX(BAHARY!$C$2:$C$901,413))</f>
        <v/>
      </c>
      <c r="D15" s="77" t="str">
        <f aca="false">IF($A15="","",INDEX(BAHARY!$H$2:$H$901,413))</f>
        <v/>
      </c>
      <c r="E15" s="77" t="str">
        <f aca="false">IF($A15="","",INDEX(BAHARY!$E$2:$E$901,413))</f>
        <v/>
      </c>
      <c r="F15" s="77" t="str">
        <f aca="false">IF($A15="","",D15+E15)</f>
        <v/>
      </c>
      <c r="G15" s="77" t="str">
        <f aca="false">IF($A15="","",D15*(1-'كشف المطالبة'!$D$5))</f>
        <v/>
      </c>
      <c r="H15" s="77" t="str">
        <f aca="false">IF($A15="","",E15*(1-'كشف المطالبة'!$D$6))</f>
        <v/>
      </c>
      <c r="I15" s="77" t="str">
        <f aca="false">IF($A15="","",G15+H15)</f>
        <v/>
      </c>
      <c r="J15" s="78" t="str">
        <f aca="false">IF($A15="","",0)</f>
        <v/>
      </c>
      <c r="K15" s="77" t="str">
        <f aca="false">IF($A15="","",F15*J15+INDEX(BAHARY!$N$2:$N$901,413))</f>
        <v/>
      </c>
      <c r="L15" s="79" t="str">
        <f aca="false">IF($A15="","",I15-K15)</f>
        <v/>
      </c>
    </row>
    <row r="16" customFormat="false" ht="15" hidden="false" customHeight="true" outlineLevel="0" collapsed="false">
      <c r="A16" s="75" t="str">
        <f aca="false">IF(414&lt;=Check!$C$4,INDEX(BAHARY!$A$2:$A$901,414),"")</f>
        <v/>
      </c>
      <c r="B16" s="76" t="str">
        <f aca="false">IF($A16="","",INDEX(BAHARY!$B$2:$B$901,414))</f>
        <v/>
      </c>
      <c r="C16" s="76" t="str">
        <f aca="false">IF($A16="","",INDEX(BAHARY!$C$2:$C$901,414))</f>
        <v/>
      </c>
      <c r="D16" s="77" t="str">
        <f aca="false">IF($A16="","",INDEX(BAHARY!$H$2:$H$901,414))</f>
        <v/>
      </c>
      <c r="E16" s="77" t="str">
        <f aca="false">IF($A16="","",INDEX(BAHARY!$E$2:$E$901,414))</f>
        <v/>
      </c>
      <c r="F16" s="77" t="str">
        <f aca="false">IF($A16="","",D16+E16)</f>
        <v/>
      </c>
      <c r="G16" s="77" t="str">
        <f aca="false">IF($A16="","",D16*(1-'كشف المطالبة'!$D$5))</f>
        <v/>
      </c>
      <c r="H16" s="77" t="str">
        <f aca="false">IF($A16="","",E16*(1-'كشف المطالبة'!$D$6))</f>
        <v/>
      </c>
      <c r="I16" s="77" t="str">
        <f aca="false">IF($A16="","",G16+H16)</f>
        <v/>
      </c>
      <c r="J16" s="78" t="str">
        <f aca="false">IF($A16="","",0)</f>
        <v/>
      </c>
      <c r="K16" s="77" t="str">
        <f aca="false">IF($A16="","",F16*J16+INDEX(BAHARY!$N$2:$N$901,414))</f>
        <v/>
      </c>
      <c r="L16" s="79" t="str">
        <f aca="false">IF($A16="","",I16-K16)</f>
        <v/>
      </c>
    </row>
    <row r="17" customFormat="false" ht="15" hidden="false" customHeight="true" outlineLevel="0" collapsed="false">
      <c r="A17" s="75" t="str">
        <f aca="false">IF(415&lt;=Check!$C$4,INDEX(BAHARY!$A$2:$A$901,415),"")</f>
        <v/>
      </c>
      <c r="B17" s="76" t="str">
        <f aca="false">IF($A17="","",INDEX(BAHARY!$B$2:$B$901,415))</f>
        <v/>
      </c>
      <c r="C17" s="76" t="str">
        <f aca="false">IF($A17="","",INDEX(BAHARY!$C$2:$C$901,415))</f>
        <v/>
      </c>
      <c r="D17" s="77" t="str">
        <f aca="false">IF($A17="","",INDEX(BAHARY!$H$2:$H$901,415))</f>
        <v/>
      </c>
      <c r="E17" s="77" t="str">
        <f aca="false">IF($A17="","",INDEX(BAHARY!$E$2:$E$901,415))</f>
        <v/>
      </c>
      <c r="F17" s="77" t="str">
        <f aca="false">IF($A17="","",D17+E17)</f>
        <v/>
      </c>
      <c r="G17" s="77" t="str">
        <f aca="false">IF($A17="","",D17*(1-'كشف المطالبة'!$D$5))</f>
        <v/>
      </c>
      <c r="H17" s="77" t="str">
        <f aca="false">IF($A17="","",E17*(1-'كشف المطالبة'!$D$6))</f>
        <v/>
      </c>
      <c r="I17" s="77" t="str">
        <f aca="false">IF($A17="","",G17+H17)</f>
        <v/>
      </c>
      <c r="J17" s="78" t="str">
        <f aca="false">IF($A17="","",0)</f>
        <v/>
      </c>
      <c r="K17" s="77" t="str">
        <f aca="false">IF($A17="","",F17*J17+INDEX(BAHARY!$N$2:$N$901,415))</f>
        <v/>
      </c>
      <c r="L17" s="79" t="str">
        <f aca="false">IF($A17="","",I17-K17)</f>
        <v/>
      </c>
    </row>
    <row r="18" customFormat="false" ht="15" hidden="false" customHeight="true" outlineLevel="0" collapsed="false">
      <c r="A18" s="75" t="str">
        <f aca="false">IF(416&lt;=Check!$C$4,INDEX(BAHARY!$A$2:$A$901,416),"")</f>
        <v/>
      </c>
      <c r="B18" s="80" t="str">
        <f aca="false">IF($A18="","",INDEX(BAHARY!$B$2:$B$901,416))</f>
        <v/>
      </c>
      <c r="C18" s="76" t="str">
        <f aca="false">IF($A18="","",INDEX(BAHARY!$C$2:$C$901,416))</f>
        <v/>
      </c>
      <c r="D18" s="77" t="str">
        <f aca="false">IF($A18="","",INDEX(BAHARY!$H$2:$H$901,416))</f>
        <v/>
      </c>
      <c r="E18" s="77" t="str">
        <f aca="false">IF($A18="","",INDEX(BAHARY!$E$2:$E$901,416))</f>
        <v/>
      </c>
      <c r="F18" s="77" t="str">
        <f aca="false">IF($A18="","",D18+E18)</f>
        <v/>
      </c>
      <c r="G18" s="77" t="str">
        <f aca="false">IF($A18="","",D18*(1-'كشف المطالبة'!$D$5))</f>
        <v/>
      </c>
      <c r="H18" s="77" t="str">
        <f aca="false">IF($A18="","",E18*(1-'كشف المطالبة'!$D$6))</f>
        <v/>
      </c>
      <c r="I18" s="77" t="str">
        <f aca="false">IF($A18="","",G18+H18)</f>
        <v/>
      </c>
      <c r="J18" s="78" t="str">
        <f aca="false">IF($A18="","",0)</f>
        <v/>
      </c>
      <c r="K18" s="77" t="str">
        <f aca="false">IF($A18="","",F18*J18+INDEX(BAHARY!$N$2:$N$901,416))</f>
        <v/>
      </c>
      <c r="L18" s="79" t="str">
        <f aca="false">IF($A18="","",I18-K18)</f>
        <v/>
      </c>
    </row>
    <row r="19" customFormat="false" ht="15" hidden="false" customHeight="true" outlineLevel="0" collapsed="false">
      <c r="A19" s="75" t="str">
        <f aca="false">IF(417&lt;=Check!$C$4,INDEX(BAHARY!$A$2:$A$901,417),"")</f>
        <v/>
      </c>
      <c r="B19" s="76" t="str">
        <f aca="false">IF($A19="","",INDEX(BAHARY!$B$2:$B$901,417))</f>
        <v/>
      </c>
      <c r="C19" s="76" t="str">
        <f aca="false">IF($A19="","",INDEX(BAHARY!$C$2:$C$901,417))</f>
        <v/>
      </c>
      <c r="D19" s="77" t="str">
        <f aca="false">IF($A19="","",INDEX(BAHARY!$H$2:$H$901,417))</f>
        <v/>
      </c>
      <c r="E19" s="77" t="str">
        <f aca="false">IF($A19="","",INDEX(BAHARY!$E$2:$E$901,417))</f>
        <v/>
      </c>
      <c r="F19" s="77" t="str">
        <f aca="false">IF($A19="","",D19+E19)</f>
        <v/>
      </c>
      <c r="G19" s="77" t="str">
        <f aca="false">IF($A19="","",D19*(1-'كشف المطالبة'!$D$5))</f>
        <v/>
      </c>
      <c r="H19" s="77" t="str">
        <f aca="false">IF($A19="","",E19*(1-'كشف المطالبة'!$D$6))</f>
        <v/>
      </c>
      <c r="I19" s="77" t="str">
        <f aca="false">IF($A19="","",G19+H19)</f>
        <v/>
      </c>
      <c r="J19" s="78" t="str">
        <f aca="false">IF($A19="","",0)</f>
        <v/>
      </c>
      <c r="K19" s="77" t="str">
        <f aca="false">IF($A19="","",F19*J19+INDEX(BAHARY!$N$2:$N$901,417))</f>
        <v/>
      </c>
      <c r="L19" s="79" t="str">
        <f aca="false">IF($A19="","",I19-K19)</f>
        <v/>
      </c>
    </row>
    <row r="20" customFormat="false" ht="15" hidden="false" customHeight="true" outlineLevel="0" collapsed="false">
      <c r="A20" s="75" t="str">
        <f aca="false">IF(418&lt;=Check!$C$4,INDEX(BAHARY!$A$2:$A$901,418),"")</f>
        <v/>
      </c>
      <c r="B20" s="76" t="str">
        <f aca="false">IF($A20="","",INDEX(BAHARY!$B$2:$B$901,418))</f>
        <v/>
      </c>
      <c r="C20" s="76" t="str">
        <f aca="false">IF($A20="","",INDEX(BAHARY!$C$2:$C$901,418))</f>
        <v/>
      </c>
      <c r="D20" s="77" t="str">
        <f aca="false">IF($A20="","",INDEX(BAHARY!$H$2:$H$901,418))</f>
        <v/>
      </c>
      <c r="E20" s="77" t="str">
        <f aca="false">IF($A20="","",INDEX(BAHARY!$E$2:$E$901,418))</f>
        <v/>
      </c>
      <c r="F20" s="77" t="str">
        <f aca="false">IF($A20="","",D20+E20)</f>
        <v/>
      </c>
      <c r="G20" s="77" t="str">
        <f aca="false">IF($A20="","",D20*(1-'كشف المطالبة'!$D$5))</f>
        <v/>
      </c>
      <c r="H20" s="77" t="str">
        <f aca="false">IF($A20="","",E20*(1-'كشف المطالبة'!$D$6))</f>
        <v/>
      </c>
      <c r="I20" s="77" t="str">
        <f aca="false">IF($A20="","",G20+H20)</f>
        <v/>
      </c>
      <c r="J20" s="78" t="str">
        <f aca="false">IF($A20="","",0)</f>
        <v/>
      </c>
      <c r="K20" s="77" t="str">
        <f aca="false">IF($A20="","",F20*J20+INDEX(BAHARY!$N$2:$N$901,418))</f>
        <v/>
      </c>
      <c r="L20" s="79" t="str">
        <f aca="false">IF($A20="","",I20-K20)</f>
        <v/>
      </c>
    </row>
    <row r="21" customFormat="false" ht="15" hidden="false" customHeight="true" outlineLevel="0" collapsed="false">
      <c r="A21" s="75" t="str">
        <f aca="false">IF(419&lt;=Check!$C$4,INDEX(BAHARY!$A$2:$A$901,419),"")</f>
        <v/>
      </c>
      <c r="B21" s="76" t="str">
        <f aca="false">IF($A21="","",INDEX(BAHARY!$B$2:$B$901,419))</f>
        <v/>
      </c>
      <c r="C21" s="76" t="str">
        <f aca="false">IF($A21="","",INDEX(BAHARY!$C$2:$C$901,419))</f>
        <v/>
      </c>
      <c r="D21" s="77" t="str">
        <f aca="false">IF($A21="","",INDEX(BAHARY!$H$2:$H$901,419))</f>
        <v/>
      </c>
      <c r="E21" s="77" t="str">
        <f aca="false">IF($A21="","",INDEX(BAHARY!$E$2:$E$901,419))</f>
        <v/>
      </c>
      <c r="F21" s="77" t="str">
        <f aca="false">IF($A21="","",D21+E21)</f>
        <v/>
      </c>
      <c r="G21" s="77" t="str">
        <f aca="false">IF($A21="","",D21*(1-'كشف المطالبة'!$D$5))</f>
        <v/>
      </c>
      <c r="H21" s="77" t="str">
        <f aca="false">IF($A21="","",E21*(1-'كشف المطالبة'!$D$6))</f>
        <v/>
      </c>
      <c r="I21" s="77" t="str">
        <f aca="false">IF($A21="","",G21+H21)</f>
        <v/>
      </c>
      <c r="J21" s="78" t="str">
        <f aca="false">IF($A21="","",0)</f>
        <v/>
      </c>
      <c r="K21" s="77" t="str">
        <f aca="false">IF($A21="","",F21*J21+INDEX(BAHARY!$N$2:$N$901,419))</f>
        <v/>
      </c>
      <c r="L21" s="79" t="str">
        <f aca="false">IF($A21="","",I21-K21)</f>
        <v/>
      </c>
    </row>
    <row r="22" customFormat="false" ht="15" hidden="false" customHeight="true" outlineLevel="0" collapsed="false">
      <c r="A22" s="75" t="str">
        <f aca="false">IF(420&lt;=Check!$C$4,INDEX(BAHARY!$A$2:$A$901,420),"")</f>
        <v/>
      </c>
      <c r="B22" s="76" t="str">
        <f aca="false">IF($A22="","",INDEX(BAHARY!$B$2:$B$901,420))</f>
        <v/>
      </c>
      <c r="C22" s="76" t="str">
        <f aca="false">IF($A22="","",INDEX(BAHARY!$C$2:$C$901,420))</f>
        <v/>
      </c>
      <c r="D22" s="77" t="str">
        <f aca="false">IF($A22="","",INDEX(BAHARY!$H$2:$H$901,420))</f>
        <v/>
      </c>
      <c r="E22" s="77" t="str">
        <f aca="false">IF($A22="","",INDEX(BAHARY!$E$2:$E$901,420))</f>
        <v/>
      </c>
      <c r="F22" s="77" t="str">
        <f aca="false">IF($A22="","",D22+E22)</f>
        <v/>
      </c>
      <c r="G22" s="77" t="str">
        <f aca="false">IF($A22="","",D22*(1-'كشف المطالبة'!$D$5))</f>
        <v/>
      </c>
      <c r="H22" s="77" t="str">
        <f aca="false">IF($A22="","",E22*(1-'كشف المطالبة'!$D$6))</f>
        <v/>
      </c>
      <c r="I22" s="77" t="str">
        <f aca="false">IF($A22="","",G22+H22)</f>
        <v/>
      </c>
      <c r="J22" s="78" t="str">
        <f aca="false">IF($A22="","",0)</f>
        <v/>
      </c>
      <c r="K22" s="77" t="str">
        <f aca="false">IF($A22="","",F22*J22+INDEX(BAHARY!$N$2:$N$901,420))</f>
        <v/>
      </c>
      <c r="L22" s="79" t="str">
        <f aca="false">IF($A22="","",I22-K22)</f>
        <v/>
      </c>
    </row>
    <row r="23" customFormat="false" ht="15" hidden="false" customHeight="true" outlineLevel="0" collapsed="false">
      <c r="A23" s="75" t="str">
        <f aca="false">IF(421&lt;=Check!$C$4,INDEX(BAHARY!$A$2:$A$901,421),"")</f>
        <v/>
      </c>
      <c r="B23" s="76" t="str">
        <f aca="false">IF($A23="","",INDEX(BAHARY!$B$2:$B$901,421))</f>
        <v/>
      </c>
      <c r="C23" s="76" t="str">
        <f aca="false">IF($A23="","",INDEX(BAHARY!$C$2:$C$901,421))</f>
        <v/>
      </c>
      <c r="D23" s="77" t="str">
        <f aca="false">IF($A23="","",INDEX(BAHARY!$H$2:$H$901,421))</f>
        <v/>
      </c>
      <c r="E23" s="77" t="str">
        <f aca="false">IF($A23="","",INDEX(BAHARY!$E$2:$E$901,421))</f>
        <v/>
      </c>
      <c r="F23" s="77" t="str">
        <f aca="false">IF($A23="","",D23+E23)</f>
        <v/>
      </c>
      <c r="G23" s="77" t="str">
        <f aca="false">IF($A23="","",D23*(1-'كشف المطالبة'!$D$5))</f>
        <v/>
      </c>
      <c r="H23" s="77" t="str">
        <f aca="false">IF($A23="","",E23*(1-'كشف المطالبة'!$D$6))</f>
        <v/>
      </c>
      <c r="I23" s="77" t="str">
        <f aca="false">IF($A23="","",G23+H23)</f>
        <v/>
      </c>
      <c r="J23" s="78" t="str">
        <f aca="false">IF($A23="","",0)</f>
        <v/>
      </c>
      <c r="K23" s="77" t="str">
        <f aca="false">IF($A23="","",F23*J23+INDEX(BAHARY!$N$2:$N$901,421))</f>
        <v/>
      </c>
      <c r="L23" s="79" t="str">
        <f aca="false">IF($A23="","",I23-K23)</f>
        <v/>
      </c>
    </row>
    <row r="24" customFormat="false" ht="15" hidden="false" customHeight="true" outlineLevel="0" collapsed="false">
      <c r="A24" s="75" t="str">
        <f aca="false">IF(422&lt;=Check!$C$4,INDEX(BAHARY!$A$2:$A$901,422),"")</f>
        <v/>
      </c>
      <c r="B24" s="76" t="str">
        <f aca="false">IF($A24="","",INDEX(BAHARY!$B$2:$B$901,422))</f>
        <v/>
      </c>
      <c r="C24" s="76" t="str">
        <f aca="false">IF($A24="","",INDEX(BAHARY!$C$2:$C$901,422))</f>
        <v/>
      </c>
      <c r="D24" s="77" t="str">
        <f aca="false">IF($A24="","",INDEX(BAHARY!$H$2:$H$901,422))</f>
        <v/>
      </c>
      <c r="E24" s="77" t="str">
        <f aca="false">IF($A24="","",INDEX(BAHARY!$E$2:$E$901,422))</f>
        <v/>
      </c>
      <c r="F24" s="77" t="str">
        <f aca="false">IF($A24="","",D24+E24)</f>
        <v/>
      </c>
      <c r="G24" s="77" t="str">
        <f aca="false">IF($A24="","",D24*(1-'كشف المطالبة'!$D$5))</f>
        <v/>
      </c>
      <c r="H24" s="77" t="str">
        <f aca="false">IF($A24="","",E24*(1-'كشف المطالبة'!$D$6))</f>
        <v/>
      </c>
      <c r="I24" s="77" t="str">
        <f aca="false">IF($A24="","",G24+H24)</f>
        <v/>
      </c>
      <c r="J24" s="78" t="str">
        <f aca="false">IF($A24="","",0)</f>
        <v/>
      </c>
      <c r="K24" s="77" t="str">
        <f aca="false">IF($A24="","",F24*J24+INDEX(BAHARY!$N$2:$N$901,422))</f>
        <v/>
      </c>
      <c r="L24" s="79" t="str">
        <f aca="false">IF($A24="","",I24-K24)</f>
        <v/>
      </c>
    </row>
    <row r="25" customFormat="false" ht="15" hidden="false" customHeight="true" outlineLevel="0" collapsed="false">
      <c r="A25" s="75" t="str">
        <f aca="false">IF(423&lt;=Check!$C$4,INDEX(BAHARY!$A$2:$A$901,423),"")</f>
        <v/>
      </c>
      <c r="B25" s="76" t="str">
        <f aca="false">IF($A25="","",INDEX(BAHARY!$B$2:$B$901,423))</f>
        <v/>
      </c>
      <c r="C25" s="76" t="str">
        <f aca="false">IF($A25="","",INDEX(BAHARY!$C$2:$C$901,423))</f>
        <v/>
      </c>
      <c r="D25" s="77" t="str">
        <f aca="false">IF($A25="","",INDEX(BAHARY!$H$2:$H$901,423))</f>
        <v/>
      </c>
      <c r="E25" s="77" t="str">
        <f aca="false">IF($A25="","",INDEX(BAHARY!$E$2:$E$901,423))</f>
        <v/>
      </c>
      <c r="F25" s="77" t="str">
        <f aca="false">IF($A25="","",D25+E25)</f>
        <v/>
      </c>
      <c r="G25" s="77" t="str">
        <f aca="false">IF($A25="","",D25*(1-'كشف المطالبة'!$D$5))</f>
        <v/>
      </c>
      <c r="H25" s="77" t="str">
        <f aca="false">IF($A25="","",E25*(1-'كشف المطالبة'!$D$6))</f>
        <v/>
      </c>
      <c r="I25" s="77" t="str">
        <f aca="false">IF($A25="","",G25+H25)</f>
        <v/>
      </c>
      <c r="J25" s="78" t="str">
        <f aca="false">IF($A25="","",0)</f>
        <v/>
      </c>
      <c r="K25" s="77" t="str">
        <f aca="false">IF($A25="","",F25*J25+INDEX(BAHARY!$N$2:$N$901,423))</f>
        <v/>
      </c>
      <c r="L25" s="79" t="str">
        <f aca="false">IF($A25="","",I25-K25)</f>
        <v/>
      </c>
    </row>
    <row r="26" customFormat="false" ht="15" hidden="false" customHeight="true" outlineLevel="0" collapsed="false">
      <c r="A26" s="75" t="str">
        <f aca="false">IF(424&lt;=Check!$C$4,INDEX(BAHARY!$A$2:$A$901,424),"")</f>
        <v/>
      </c>
      <c r="B26" s="76" t="str">
        <f aca="false">IF($A26="","",INDEX(BAHARY!$B$2:$B$901,424))</f>
        <v/>
      </c>
      <c r="C26" s="76" t="str">
        <f aca="false">IF($A26="","",INDEX(BAHARY!$C$2:$C$901,424))</f>
        <v/>
      </c>
      <c r="D26" s="77" t="str">
        <f aca="false">IF($A26="","",INDEX(BAHARY!$H$2:$H$901,424))</f>
        <v/>
      </c>
      <c r="E26" s="77" t="str">
        <f aca="false">IF($A26="","",INDEX(BAHARY!$E$2:$E$901,424))</f>
        <v/>
      </c>
      <c r="F26" s="77" t="str">
        <f aca="false">IF($A26="","",D26+E26)</f>
        <v/>
      </c>
      <c r="G26" s="77" t="str">
        <f aca="false">IF($A26="","",D26*(1-'كشف المطالبة'!$D$5))</f>
        <v/>
      </c>
      <c r="H26" s="77" t="str">
        <f aca="false">IF($A26="","",E26*(1-'كشف المطالبة'!$D$6))</f>
        <v/>
      </c>
      <c r="I26" s="77" t="str">
        <f aca="false">IF($A26="","",G26+H26)</f>
        <v/>
      </c>
      <c r="J26" s="78" t="str">
        <f aca="false">IF($A26="","",0)</f>
        <v/>
      </c>
      <c r="K26" s="77" t="str">
        <f aca="false">IF($A26="","",F26*J26+INDEX(BAHARY!$N$2:$N$901,424))</f>
        <v/>
      </c>
      <c r="L26" s="79" t="str">
        <f aca="false">IF($A26="","",I26-K26)</f>
        <v/>
      </c>
    </row>
    <row r="27" customFormat="false" ht="15" hidden="false" customHeight="true" outlineLevel="0" collapsed="false">
      <c r="A27" s="75" t="str">
        <f aca="false">IF(425&lt;=Check!$C$4,INDEX(BAHARY!$A$2:$A$901,425),"")</f>
        <v/>
      </c>
      <c r="B27" s="76" t="str">
        <f aca="false">IF($A27="","",INDEX(BAHARY!$B$2:$B$901,425))</f>
        <v/>
      </c>
      <c r="C27" s="76" t="str">
        <f aca="false">IF($A27="","",INDEX(BAHARY!$C$2:$C$901,425))</f>
        <v/>
      </c>
      <c r="D27" s="77" t="str">
        <f aca="false">IF($A27="","",INDEX(BAHARY!$H$2:$H$901,425))</f>
        <v/>
      </c>
      <c r="E27" s="77" t="str">
        <f aca="false">IF($A27="","",INDEX(BAHARY!$E$2:$E$901,425))</f>
        <v/>
      </c>
      <c r="F27" s="77" t="str">
        <f aca="false">IF($A27="","",D27+E27)</f>
        <v/>
      </c>
      <c r="G27" s="77" t="str">
        <f aca="false">IF($A27="","",D27*(1-'كشف المطالبة'!$D$5))</f>
        <v/>
      </c>
      <c r="H27" s="77" t="str">
        <f aca="false">IF($A27="","",E27*(1-'كشف المطالبة'!$D$6))</f>
        <v/>
      </c>
      <c r="I27" s="77" t="str">
        <f aca="false">IF($A27="","",G27+H27)</f>
        <v/>
      </c>
      <c r="J27" s="78" t="str">
        <f aca="false">IF($A27="","",0)</f>
        <v/>
      </c>
      <c r="K27" s="77" t="str">
        <f aca="false">IF($A27="","",F27*J27+INDEX(BAHARY!$N$2:$N$901,425))</f>
        <v/>
      </c>
      <c r="L27" s="79" t="str">
        <f aca="false">IF($A27="","",I27-K27)</f>
        <v/>
      </c>
    </row>
    <row r="28" customFormat="false" ht="15" hidden="false" customHeight="true" outlineLevel="0" collapsed="false">
      <c r="A28" s="75" t="str">
        <f aca="false">IF(426&lt;=Check!$C$4,INDEX(BAHARY!$A$2:$A$901,426),"")</f>
        <v/>
      </c>
      <c r="B28" s="76" t="str">
        <f aca="false">IF($A28="","",INDEX(BAHARY!$B$2:$B$901,426))</f>
        <v/>
      </c>
      <c r="C28" s="76" t="str">
        <f aca="false">IF($A28="","",INDEX(BAHARY!$C$2:$C$901,426))</f>
        <v/>
      </c>
      <c r="D28" s="77" t="str">
        <f aca="false">IF($A28="","",INDEX(BAHARY!$H$2:$H$901,426))</f>
        <v/>
      </c>
      <c r="E28" s="77" t="str">
        <f aca="false">IF($A28="","",INDEX(BAHARY!$E$2:$E$901,426))</f>
        <v/>
      </c>
      <c r="F28" s="77" t="str">
        <f aca="false">IF($A28="","",D28+E28)</f>
        <v/>
      </c>
      <c r="G28" s="77" t="str">
        <f aca="false">IF($A28="","",D28*(1-'كشف المطالبة'!$D$5))</f>
        <v/>
      </c>
      <c r="H28" s="77" t="str">
        <f aca="false">IF($A28="","",E28*(1-'كشف المطالبة'!$D$6))</f>
        <v/>
      </c>
      <c r="I28" s="77" t="str">
        <f aca="false">IF($A28="","",G28+H28)</f>
        <v/>
      </c>
      <c r="J28" s="78" t="str">
        <f aca="false">IF($A28="","",0)</f>
        <v/>
      </c>
      <c r="K28" s="77" t="str">
        <f aca="false">IF($A28="","",F28*J28+INDEX(BAHARY!$N$2:$N$901,426))</f>
        <v/>
      </c>
      <c r="L28" s="79" t="str">
        <f aca="false">IF($A28="","",I28-K28)</f>
        <v/>
      </c>
    </row>
    <row r="29" customFormat="false" ht="15" hidden="false" customHeight="true" outlineLevel="0" collapsed="false">
      <c r="A29" s="75" t="str">
        <f aca="false">IF(427&lt;=Check!$C$4,INDEX(BAHARY!$A$2:$A$901,427),"")</f>
        <v/>
      </c>
      <c r="B29" s="76" t="str">
        <f aca="false">IF($A29="","",INDEX(BAHARY!$B$2:$B$901,427))</f>
        <v/>
      </c>
      <c r="C29" s="76" t="str">
        <f aca="false">IF($A29="","",INDEX(BAHARY!$C$2:$C$901,427))</f>
        <v/>
      </c>
      <c r="D29" s="77" t="str">
        <f aca="false">IF($A29="","",INDEX(BAHARY!$H$2:$H$901,427))</f>
        <v/>
      </c>
      <c r="E29" s="77" t="str">
        <f aca="false">IF($A29="","",INDEX(BAHARY!$E$2:$E$901,427))</f>
        <v/>
      </c>
      <c r="F29" s="77" t="str">
        <f aca="false">IF($A29="","",D29+E29)</f>
        <v/>
      </c>
      <c r="G29" s="77" t="str">
        <f aca="false">IF($A29="","",D29*(1-'كشف المطالبة'!$D$5))</f>
        <v/>
      </c>
      <c r="H29" s="77" t="str">
        <f aca="false">IF($A29="","",E29*(1-'كشف المطالبة'!$D$6))</f>
        <v/>
      </c>
      <c r="I29" s="77" t="str">
        <f aca="false">IF($A29="","",G29+H29)</f>
        <v/>
      </c>
      <c r="J29" s="78" t="str">
        <f aca="false">IF($A29="","",0)</f>
        <v/>
      </c>
      <c r="K29" s="77" t="str">
        <f aca="false">IF($A29="","",F29*J29+INDEX(BAHARY!$N$2:$N$901,427))</f>
        <v/>
      </c>
      <c r="L29" s="79" t="str">
        <f aca="false">IF($A29="","",I29-K29)</f>
        <v/>
      </c>
    </row>
    <row r="30" customFormat="false" ht="15" hidden="false" customHeight="true" outlineLevel="0" collapsed="false">
      <c r="A30" s="75" t="str">
        <f aca="false">IF(428&lt;=Check!$C$4,INDEX(BAHARY!$A$2:$A$901,428),"")</f>
        <v/>
      </c>
      <c r="B30" s="76" t="str">
        <f aca="false">IF($A30="","",INDEX(BAHARY!$B$2:$B$901,428))</f>
        <v/>
      </c>
      <c r="C30" s="76" t="str">
        <f aca="false">IF($A30="","",INDEX(BAHARY!$C$2:$C$901,428))</f>
        <v/>
      </c>
      <c r="D30" s="77" t="str">
        <f aca="false">IF($A30="","",INDEX(BAHARY!$H$2:$H$901,428))</f>
        <v/>
      </c>
      <c r="E30" s="77" t="str">
        <f aca="false">IF($A30="","",INDEX(BAHARY!$E$2:$E$901,428))</f>
        <v/>
      </c>
      <c r="F30" s="77" t="str">
        <f aca="false">IF($A30="","",D30+E30)</f>
        <v/>
      </c>
      <c r="G30" s="77" t="str">
        <f aca="false">IF($A30="","",D30*(1-'كشف المطالبة'!$D$5))</f>
        <v/>
      </c>
      <c r="H30" s="77" t="str">
        <f aca="false">IF($A30="","",E30*(1-'كشف المطالبة'!$D$6))</f>
        <v/>
      </c>
      <c r="I30" s="77" t="str">
        <f aca="false">IF($A30="","",G30+H30)</f>
        <v/>
      </c>
      <c r="J30" s="78" t="str">
        <f aca="false">IF($A30="","",0)</f>
        <v/>
      </c>
      <c r="K30" s="77" t="str">
        <f aca="false">IF($A30="","",F30*J30+INDEX(BAHARY!$N$2:$N$901,428))</f>
        <v/>
      </c>
      <c r="L30" s="79" t="str">
        <f aca="false">IF($A30="","",I30-K30)</f>
        <v/>
      </c>
    </row>
    <row r="31" customFormat="false" ht="15" hidden="false" customHeight="true" outlineLevel="0" collapsed="false">
      <c r="A31" s="75" t="str">
        <f aca="false">IF(429&lt;=Check!$C$4,INDEX(BAHARY!$A$2:$A$901,429),"")</f>
        <v/>
      </c>
      <c r="B31" s="76" t="str">
        <f aca="false">IF($A31="","",INDEX(BAHARY!$B$2:$B$901,429))</f>
        <v/>
      </c>
      <c r="C31" s="76" t="str">
        <f aca="false">IF($A31="","",INDEX(BAHARY!$C$2:$C$901,429))</f>
        <v/>
      </c>
      <c r="D31" s="77" t="str">
        <f aca="false">IF($A31="","",INDEX(BAHARY!$H$2:$H$901,429))</f>
        <v/>
      </c>
      <c r="E31" s="77" t="str">
        <f aca="false">IF($A31="","",INDEX(BAHARY!$E$2:$E$901,429))</f>
        <v/>
      </c>
      <c r="F31" s="77" t="str">
        <f aca="false">IF($A31="","",D31+E31)</f>
        <v/>
      </c>
      <c r="G31" s="77" t="str">
        <f aca="false">IF($A31="","",D31*(1-'كشف المطالبة'!$D$5))</f>
        <v/>
      </c>
      <c r="H31" s="77" t="str">
        <f aca="false">IF($A31="","",E31*(1-'كشف المطالبة'!$D$6))</f>
        <v/>
      </c>
      <c r="I31" s="77" t="str">
        <f aca="false">IF($A31="","",G31+H31)</f>
        <v/>
      </c>
      <c r="J31" s="78" t="str">
        <f aca="false">IF($A31="","",0)</f>
        <v/>
      </c>
      <c r="K31" s="77" t="str">
        <f aca="false">IF($A31="","",F31*J31+INDEX(BAHARY!$N$2:$N$901,429))</f>
        <v/>
      </c>
      <c r="L31" s="79" t="str">
        <f aca="false">IF($A31="","",I31-K31)</f>
        <v/>
      </c>
    </row>
    <row r="32" customFormat="false" ht="15" hidden="false" customHeight="true" outlineLevel="0" collapsed="false">
      <c r="A32" s="75" t="str">
        <f aca="false">IF(430&lt;=Check!$C$4,INDEX(BAHARY!$A$2:$A$901,430),"")</f>
        <v/>
      </c>
      <c r="B32" s="76" t="str">
        <f aca="false">IF($A32="","",INDEX(BAHARY!$B$2:$B$901,430))</f>
        <v/>
      </c>
      <c r="C32" s="76" t="str">
        <f aca="false">IF($A32="","",INDEX(BAHARY!$C$2:$C$901,430))</f>
        <v/>
      </c>
      <c r="D32" s="77" t="str">
        <f aca="false">IF($A32="","",INDEX(BAHARY!$H$2:$H$901,430))</f>
        <v/>
      </c>
      <c r="E32" s="77" t="str">
        <f aca="false">IF($A32="","",INDEX(BAHARY!$E$2:$E$901,430))</f>
        <v/>
      </c>
      <c r="F32" s="77" t="str">
        <f aca="false">IF($A32="","",D32+E32)</f>
        <v/>
      </c>
      <c r="G32" s="77" t="str">
        <f aca="false">IF($A32="","",D32*(1-'كشف المطالبة'!$D$5))</f>
        <v/>
      </c>
      <c r="H32" s="77" t="str">
        <f aca="false">IF($A32="","",E32*(1-'كشف المطالبة'!$D$6))</f>
        <v/>
      </c>
      <c r="I32" s="77" t="str">
        <f aca="false">IF($A32="","",G32+H32)</f>
        <v/>
      </c>
      <c r="J32" s="78" t="str">
        <f aca="false">IF($A32="","",0)</f>
        <v/>
      </c>
      <c r="K32" s="77" t="str">
        <f aca="false">IF($A32="","",F32*J32+INDEX(BAHARY!$N$2:$N$901,430))</f>
        <v/>
      </c>
      <c r="L32" s="79" t="str">
        <f aca="false">IF($A32="","",I32-K32)</f>
        <v/>
      </c>
    </row>
    <row r="33" customFormat="false" ht="15" hidden="false" customHeight="true" outlineLevel="0" collapsed="false">
      <c r="A33" s="75" t="str">
        <f aca="false">IF(431&lt;=Check!$C$4,INDEX(BAHARY!$A$2:$A$901,431),"")</f>
        <v/>
      </c>
      <c r="B33" s="76" t="str">
        <f aca="false">IF($A33="","",INDEX(BAHARY!$B$2:$B$901,431))</f>
        <v/>
      </c>
      <c r="C33" s="76" t="str">
        <f aca="false">IF($A33="","",INDEX(BAHARY!$C$2:$C$901,431))</f>
        <v/>
      </c>
      <c r="D33" s="77" t="str">
        <f aca="false">IF($A33="","",INDEX(BAHARY!$H$2:$H$901,431))</f>
        <v/>
      </c>
      <c r="E33" s="77" t="str">
        <f aca="false">IF($A33="","",INDEX(BAHARY!$E$2:$E$901,431))</f>
        <v/>
      </c>
      <c r="F33" s="77" t="str">
        <f aca="false">IF($A33="","",D33+E33)</f>
        <v/>
      </c>
      <c r="G33" s="77" t="str">
        <f aca="false">IF($A33="","",D33*(1-'كشف المطالبة'!$D$5))</f>
        <v/>
      </c>
      <c r="H33" s="77" t="str">
        <f aca="false">IF($A33="","",E33*(1-'كشف المطالبة'!$D$6))</f>
        <v/>
      </c>
      <c r="I33" s="77" t="str">
        <f aca="false">IF($A33="","",G33+H33)</f>
        <v/>
      </c>
      <c r="J33" s="78" t="str">
        <f aca="false">IF($A33="","",0)</f>
        <v/>
      </c>
      <c r="K33" s="77" t="str">
        <f aca="false">IF($A33="","",F33*J33+INDEX(BAHARY!$N$2:$N$901,431))</f>
        <v/>
      </c>
      <c r="L33" s="79" t="str">
        <f aca="false">IF($A33="","",I33-K33)</f>
        <v/>
      </c>
    </row>
    <row r="34" customFormat="false" ht="15" hidden="false" customHeight="true" outlineLevel="0" collapsed="false">
      <c r="A34" s="75" t="str">
        <f aca="false">IF(432&lt;=Check!$C$4,INDEX(BAHARY!$A$2:$A$901,432),"")</f>
        <v/>
      </c>
      <c r="B34" s="76" t="str">
        <f aca="false">IF($A34="","",INDEX(BAHARY!$B$2:$B$901,432))</f>
        <v/>
      </c>
      <c r="C34" s="76" t="str">
        <f aca="false">IF($A34="","",INDEX(BAHARY!$C$2:$C$901,432))</f>
        <v/>
      </c>
      <c r="D34" s="77" t="str">
        <f aca="false">IF($A34="","",INDEX(BAHARY!$H$2:$H$901,432))</f>
        <v/>
      </c>
      <c r="E34" s="77" t="str">
        <f aca="false">IF($A34="","",INDEX(BAHARY!$E$2:$E$901,432))</f>
        <v/>
      </c>
      <c r="F34" s="77" t="str">
        <f aca="false">IF($A34="","",D34+E34)</f>
        <v/>
      </c>
      <c r="G34" s="77" t="str">
        <f aca="false">IF($A34="","",D34*(1-'كشف المطالبة'!$D$5))</f>
        <v/>
      </c>
      <c r="H34" s="77" t="str">
        <f aca="false">IF($A34="","",E34*(1-'كشف المطالبة'!$D$6))</f>
        <v/>
      </c>
      <c r="I34" s="77" t="str">
        <f aca="false">IF($A34="","",G34+H34)</f>
        <v/>
      </c>
      <c r="J34" s="78" t="str">
        <f aca="false">IF($A34="","",0)</f>
        <v/>
      </c>
      <c r="K34" s="77" t="str">
        <f aca="false">IF($A34="","",F34*J34+INDEX(BAHARY!$N$2:$N$901,432))</f>
        <v/>
      </c>
      <c r="L34" s="79" t="str">
        <f aca="false">IF($A34="","",I34-K34)</f>
        <v/>
      </c>
    </row>
    <row r="35" customFormat="false" ht="15" hidden="false" customHeight="true" outlineLevel="0" collapsed="false">
      <c r="A35" s="75" t="str">
        <f aca="false">IF(433&lt;=Check!$C$4,INDEX(BAHARY!$A$2:$A$901,433),"")</f>
        <v/>
      </c>
      <c r="B35" s="76" t="str">
        <f aca="false">IF($A35="","",INDEX(BAHARY!$B$2:$B$901,433))</f>
        <v/>
      </c>
      <c r="C35" s="76" t="str">
        <f aca="false">IF($A35="","",INDEX(BAHARY!$C$2:$C$901,433))</f>
        <v/>
      </c>
      <c r="D35" s="77" t="str">
        <f aca="false">IF($A35="","",INDEX(BAHARY!$H$2:$H$901,433))</f>
        <v/>
      </c>
      <c r="E35" s="77" t="str">
        <f aca="false">IF($A35="","",INDEX(BAHARY!$E$2:$E$901,433))</f>
        <v/>
      </c>
      <c r="F35" s="77" t="str">
        <f aca="false">IF($A35="","",D35+E35)</f>
        <v/>
      </c>
      <c r="G35" s="77" t="str">
        <f aca="false">IF($A35="","",D35*(1-'كشف المطالبة'!$D$5))</f>
        <v/>
      </c>
      <c r="H35" s="77" t="str">
        <f aca="false">IF($A35="","",E35*(1-'كشف المطالبة'!$D$6))</f>
        <v/>
      </c>
      <c r="I35" s="77" t="str">
        <f aca="false">IF($A35="","",G35+H35)</f>
        <v/>
      </c>
      <c r="J35" s="78" t="str">
        <f aca="false">IF($A35="","",0)</f>
        <v/>
      </c>
      <c r="K35" s="77" t="str">
        <f aca="false">IF($A35="","",F35*J35+INDEX(BAHARY!$N$2:$N$901,433))</f>
        <v/>
      </c>
      <c r="L35" s="79" t="str">
        <f aca="false">IF($A35="","",I35-K35)</f>
        <v/>
      </c>
    </row>
    <row r="36" customFormat="false" ht="15" hidden="false" customHeight="true" outlineLevel="0" collapsed="false">
      <c r="A36" s="75" t="str">
        <f aca="false">IF(434&lt;=Check!$C$4,INDEX(BAHARY!$A$2:$A$901,434),"")</f>
        <v/>
      </c>
      <c r="B36" s="76" t="str">
        <f aca="false">IF($A36="","",INDEX(BAHARY!$B$2:$B$901,434))</f>
        <v/>
      </c>
      <c r="C36" s="76" t="str">
        <f aca="false">IF($A36="","",INDEX(BAHARY!$C$2:$C$901,434))</f>
        <v/>
      </c>
      <c r="D36" s="77" t="str">
        <f aca="false">IF($A36="","",INDEX(BAHARY!$H$2:$H$901,434))</f>
        <v/>
      </c>
      <c r="E36" s="77" t="str">
        <f aca="false">IF($A36="","",INDEX(BAHARY!$E$2:$E$901,434))</f>
        <v/>
      </c>
      <c r="F36" s="77" t="str">
        <f aca="false">IF($A36="","",D36+E36)</f>
        <v/>
      </c>
      <c r="G36" s="77" t="str">
        <f aca="false">IF($A36="","",D36*(1-'كشف المطالبة'!$D$5))</f>
        <v/>
      </c>
      <c r="H36" s="77" t="str">
        <f aca="false">IF($A36="","",E36*(1-'كشف المطالبة'!$D$6))</f>
        <v/>
      </c>
      <c r="I36" s="77" t="str">
        <f aca="false">IF($A36="","",G36+H36)</f>
        <v/>
      </c>
      <c r="J36" s="78" t="str">
        <f aca="false">IF($A36="","",0)</f>
        <v/>
      </c>
      <c r="K36" s="77" t="str">
        <f aca="false">IF($A36="","",F36*J36+INDEX(BAHARY!$N$2:$N$901,434))</f>
        <v/>
      </c>
      <c r="L36" s="79" t="str">
        <f aca="false">IF($A36="","",I36-K36)</f>
        <v/>
      </c>
    </row>
    <row r="37" customFormat="false" ht="15" hidden="false" customHeight="true" outlineLevel="0" collapsed="false">
      <c r="A37" s="75" t="str">
        <f aca="false">IF(435&lt;=Check!$C$4,INDEX(BAHARY!$A$2:$A$901,435),"")</f>
        <v/>
      </c>
      <c r="B37" s="76" t="str">
        <f aca="false">IF($A37="","",INDEX(BAHARY!$B$2:$B$901,435))</f>
        <v/>
      </c>
      <c r="C37" s="76" t="str">
        <f aca="false">IF($A37="","",INDEX(BAHARY!$C$2:$C$901,435))</f>
        <v/>
      </c>
      <c r="D37" s="77" t="str">
        <f aca="false">IF($A37="","",INDEX(BAHARY!$H$2:$H$901,435))</f>
        <v/>
      </c>
      <c r="E37" s="77" t="str">
        <f aca="false">IF($A37="","",INDEX(BAHARY!$E$2:$E$901,435))</f>
        <v/>
      </c>
      <c r="F37" s="77" t="str">
        <f aca="false">IF($A37="","",D37+E37)</f>
        <v/>
      </c>
      <c r="G37" s="77" t="str">
        <f aca="false">IF($A37="","",D37*(1-'كشف المطالبة'!$D$5))</f>
        <v/>
      </c>
      <c r="H37" s="77" t="str">
        <f aca="false">IF($A37="","",E37*(1-'كشف المطالبة'!$D$6))</f>
        <v/>
      </c>
      <c r="I37" s="77" t="str">
        <f aca="false">IF($A37="","",G37+H37)</f>
        <v/>
      </c>
      <c r="J37" s="78" t="str">
        <f aca="false">IF($A37="","",0)</f>
        <v/>
      </c>
      <c r="K37" s="77" t="str">
        <f aca="false">IF($A37="","",F37*J37+INDEX(BAHARY!$N$2:$N$901,435))</f>
        <v/>
      </c>
      <c r="L37" s="79" t="str">
        <f aca="false">IF($A37="","",I37-K37)</f>
        <v/>
      </c>
    </row>
    <row r="38" customFormat="false" ht="15" hidden="false" customHeight="true" outlineLevel="0" collapsed="false">
      <c r="A38" s="75" t="str">
        <f aca="false">IF(436&lt;=Check!$C$4,INDEX(BAHARY!$A$2:$A$901,436),"")</f>
        <v/>
      </c>
      <c r="B38" s="76" t="str">
        <f aca="false">IF($A38="","",INDEX(BAHARY!$B$2:$B$901,436))</f>
        <v/>
      </c>
      <c r="C38" s="76" t="str">
        <f aca="false">IF($A38="","",INDEX(BAHARY!$C$2:$C$901,436))</f>
        <v/>
      </c>
      <c r="D38" s="77" t="str">
        <f aca="false">IF($A38="","",INDEX(BAHARY!$H$2:$H$901,436))</f>
        <v/>
      </c>
      <c r="E38" s="77" t="str">
        <f aca="false">IF($A38="","",INDEX(BAHARY!$E$2:$E$901,436))</f>
        <v/>
      </c>
      <c r="F38" s="77" t="str">
        <f aca="false">IF($A38="","",D38+E38)</f>
        <v/>
      </c>
      <c r="G38" s="77" t="str">
        <f aca="false">IF($A38="","",D38*(1-'كشف المطالبة'!$D$5))</f>
        <v/>
      </c>
      <c r="H38" s="77" t="str">
        <f aca="false">IF($A38="","",E38*(1-'كشف المطالبة'!$D$6))</f>
        <v/>
      </c>
      <c r="I38" s="77" t="str">
        <f aca="false">IF($A38="","",G38+H38)</f>
        <v/>
      </c>
      <c r="J38" s="78" t="str">
        <f aca="false">IF($A38="","",0)</f>
        <v/>
      </c>
      <c r="K38" s="77" t="str">
        <f aca="false">IF($A38="","",F38*J38+INDEX(BAHARY!$N$2:$N$901,436))</f>
        <v/>
      </c>
      <c r="L38" s="79" t="str">
        <f aca="false">IF($A38="","",I38-K38)</f>
        <v/>
      </c>
    </row>
    <row r="39" customFormat="false" ht="15" hidden="false" customHeight="true" outlineLevel="0" collapsed="false">
      <c r="A39" s="75" t="str">
        <f aca="false">IF(437&lt;=Check!$C$4,INDEX(BAHARY!$A$2:$A$901,437),"")</f>
        <v/>
      </c>
      <c r="B39" s="76" t="str">
        <f aca="false">IF($A39="","",INDEX(BAHARY!$B$2:$B$901,437))</f>
        <v/>
      </c>
      <c r="C39" s="76" t="str">
        <f aca="false">IF($A39="","",INDEX(BAHARY!$C$2:$C$901,437))</f>
        <v/>
      </c>
      <c r="D39" s="77" t="str">
        <f aca="false">IF($A39="","",INDEX(BAHARY!$H$2:$H$901,437))</f>
        <v/>
      </c>
      <c r="E39" s="77" t="str">
        <f aca="false">IF($A39="","",INDEX(BAHARY!$E$2:$E$901,437))</f>
        <v/>
      </c>
      <c r="F39" s="77" t="str">
        <f aca="false">IF($A39="","",D39+E39)</f>
        <v/>
      </c>
      <c r="G39" s="77" t="str">
        <f aca="false">IF($A39="","",D39*(1-'كشف المطالبة'!$D$5))</f>
        <v/>
      </c>
      <c r="H39" s="77" t="str">
        <f aca="false">IF($A39="","",E39*(1-'كشف المطالبة'!$D$6))</f>
        <v/>
      </c>
      <c r="I39" s="77" t="str">
        <f aca="false">IF($A39="","",G39+H39)</f>
        <v/>
      </c>
      <c r="J39" s="78" t="str">
        <f aca="false">IF($A39="","",0)</f>
        <v/>
      </c>
      <c r="K39" s="77" t="str">
        <f aca="false">IF($A39="","",F39*J39+INDEX(BAHARY!$N$2:$N$901,437))</f>
        <v/>
      </c>
      <c r="L39" s="79" t="str">
        <f aca="false">IF($A39="","",I39-K39)</f>
        <v/>
      </c>
    </row>
    <row r="40" customFormat="false" ht="15" hidden="false" customHeight="true" outlineLevel="0" collapsed="false">
      <c r="A40" s="75" t="str">
        <f aca="false">IF(438&lt;=Check!$C$4,INDEX(BAHARY!$A$2:$A$901,438),"")</f>
        <v/>
      </c>
      <c r="B40" s="76" t="str">
        <f aca="false">IF($A40="","",INDEX(BAHARY!$B$2:$B$901,438))</f>
        <v/>
      </c>
      <c r="C40" s="76" t="str">
        <f aca="false">IF($A40="","",INDEX(BAHARY!$C$2:$C$901,438))</f>
        <v/>
      </c>
      <c r="D40" s="77" t="str">
        <f aca="false">IF($A40="","",INDEX(BAHARY!$H$2:$H$901,438))</f>
        <v/>
      </c>
      <c r="E40" s="77" t="str">
        <f aca="false">IF($A40="","",INDEX(BAHARY!$E$2:$E$901,438))</f>
        <v/>
      </c>
      <c r="F40" s="77" t="str">
        <f aca="false">IF($A40="","",D40+E40)</f>
        <v/>
      </c>
      <c r="G40" s="77" t="str">
        <f aca="false">IF($A40="","",D40*(1-'كشف المطالبة'!$D$5))</f>
        <v/>
      </c>
      <c r="H40" s="77" t="str">
        <f aca="false">IF($A40="","",E40*(1-'كشف المطالبة'!$D$6))</f>
        <v/>
      </c>
      <c r="I40" s="77" t="str">
        <f aca="false">IF($A40="","",G40+H40)</f>
        <v/>
      </c>
      <c r="J40" s="78" t="str">
        <f aca="false">IF($A40="","",0)</f>
        <v/>
      </c>
      <c r="K40" s="77" t="str">
        <f aca="false">IF($A40="","",F40*J40+INDEX(BAHARY!$N$2:$N$901,438))</f>
        <v/>
      </c>
      <c r="L40" s="79" t="str">
        <f aca="false">IF($A40="","",I40-K40)</f>
        <v/>
      </c>
    </row>
    <row r="41" customFormat="false" ht="15" hidden="false" customHeight="true" outlineLevel="0" collapsed="false">
      <c r="A41" s="75" t="str">
        <f aca="false">IF(439&lt;=Check!$C$4,INDEX(BAHARY!$A$2:$A$901,439),"")</f>
        <v/>
      </c>
      <c r="B41" s="76" t="str">
        <f aca="false">IF($A41="","",INDEX(BAHARY!$B$2:$B$901,439))</f>
        <v/>
      </c>
      <c r="C41" s="76" t="str">
        <f aca="false">IF($A41="","",INDEX(BAHARY!$C$2:$C$901,439))</f>
        <v/>
      </c>
      <c r="D41" s="77" t="str">
        <f aca="false">IF($A41="","",INDEX(BAHARY!$H$2:$H$901,439))</f>
        <v/>
      </c>
      <c r="E41" s="77" t="str">
        <f aca="false">IF($A41="","",INDEX(BAHARY!$E$2:$E$901,439))</f>
        <v/>
      </c>
      <c r="F41" s="77" t="str">
        <f aca="false">IF($A41="","",D41+E41)</f>
        <v/>
      </c>
      <c r="G41" s="77" t="str">
        <f aca="false">IF($A41="","",D41*(1-'كشف المطالبة'!$D$5))</f>
        <v/>
      </c>
      <c r="H41" s="77" t="str">
        <f aca="false">IF($A41="","",E41*(1-'كشف المطالبة'!$D$6))</f>
        <v/>
      </c>
      <c r="I41" s="77" t="str">
        <f aca="false">IF($A41="","",G41+H41)</f>
        <v/>
      </c>
      <c r="J41" s="78" t="str">
        <f aca="false">IF($A41="","",0)</f>
        <v/>
      </c>
      <c r="K41" s="77" t="str">
        <f aca="false">IF($A41="","",F41*J41+INDEX(BAHARY!$N$2:$N$901,439))</f>
        <v/>
      </c>
      <c r="L41" s="79" t="str">
        <f aca="false">IF($A41="","",I41-K41)</f>
        <v/>
      </c>
    </row>
    <row r="42" customFormat="false" ht="15" hidden="false" customHeight="true" outlineLevel="0" collapsed="false">
      <c r="A42" s="75" t="str">
        <f aca="false">IF(440&lt;=Check!$C$4,INDEX(BAHARY!$A$2:$A$901,440),"")</f>
        <v/>
      </c>
      <c r="B42" s="76" t="str">
        <f aca="false">IF($A42="","",INDEX(BAHARY!$B$2:$B$901,440))</f>
        <v/>
      </c>
      <c r="C42" s="76" t="str">
        <f aca="false">IF($A42="","",INDEX(BAHARY!$C$2:$C$901,440))</f>
        <v/>
      </c>
      <c r="D42" s="77" t="str">
        <f aca="false">IF($A42="","",INDEX(BAHARY!$H$2:$H$901,440))</f>
        <v/>
      </c>
      <c r="E42" s="77" t="str">
        <f aca="false">IF($A42="","",INDEX(BAHARY!$E$2:$E$901,440))</f>
        <v/>
      </c>
      <c r="F42" s="77" t="str">
        <f aca="false">IF($A42="","",D42+E42)</f>
        <v/>
      </c>
      <c r="G42" s="77" t="str">
        <f aca="false">IF($A42="","",D42*(1-'كشف المطالبة'!$D$5))</f>
        <v/>
      </c>
      <c r="H42" s="77" t="str">
        <f aca="false">IF($A42="","",E42*(1-'كشف المطالبة'!$D$6))</f>
        <v/>
      </c>
      <c r="I42" s="77" t="str">
        <f aca="false">IF($A42="","",G42+H42)</f>
        <v/>
      </c>
      <c r="J42" s="78" t="str">
        <f aca="false">IF($A42="","",0)</f>
        <v/>
      </c>
      <c r="K42" s="77" t="str">
        <f aca="false">IF($A42="","",F42*J42+INDEX(BAHARY!$N$2:$N$901,440))</f>
        <v/>
      </c>
      <c r="L42" s="79" t="str">
        <f aca="false">IF($A42="","",I42-K42)</f>
        <v/>
      </c>
    </row>
    <row r="44" customFormat="false" ht="15" hidden="false" customHeight="true" outlineLevel="0" collapsed="false"/>
    <row r="45" s="86" customFormat="true" ht="15.75" hidden="false" customHeight="true" outlineLevel="0" collapsed="false">
      <c r="A45" s="81" t="s">
        <v>114</v>
      </c>
      <c r="B45" s="81"/>
      <c r="C45" s="81"/>
      <c r="D45" s="82" t="n">
        <f aca="false">SUM(D3:D42)</f>
        <v>0</v>
      </c>
      <c r="E45" s="82" t="n">
        <f aca="false">SUM(E3:E42)</f>
        <v>0</v>
      </c>
      <c r="F45" s="82" t="n">
        <f aca="false">SUM(F3:F42)</f>
        <v>0</v>
      </c>
      <c r="G45" s="82" t="n">
        <f aca="false">SUM(G3:G42)</f>
        <v>0</v>
      </c>
      <c r="H45" s="82" t="n">
        <f aca="false">SUM(H3:H42)</f>
        <v>0</v>
      </c>
      <c r="I45" s="82" t="n">
        <f aca="false">SUM(I3:I42)</f>
        <v>0</v>
      </c>
      <c r="J45" s="83"/>
      <c r="K45" s="82" t="n">
        <f aca="false">SUM(K3:K42)</f>
        <v>0</v>
      </c>
      <c r="L45" s="84" t="n">
        <f aca="false">SUM(L3:L42)</f>
        <v>0</v>
      </c>
      <c r="M45" s="85" t="n">
        <v>11</v>
      </c>
    </row>
  </sheetData>
  <mergeCells count="4">
    <mergeCell ref="A1:B1"/>
    <mergeCell ref="E1:G1"/>
    <mergeCell ref="K1:L1"/>
    <mergeCell ref="A45:C45"/>
  </mergeCells>
  <conditionalFormatting sqref="A3:A42 D3:L42">
    <cfRule type="expression" priority="2" aboveAverage="0" equalAverage="0" bottom="0" percent="0" rank="0" text="" dxfId="6">
      <formula>ISODD(ROW())</formula>
    </cfRule>
  </conditionalFormatting>
  <printOptions headings="false" gridLines="false" gridLinesSet="true" horizontalCentered="false" verticalCentered="false"/>
  <pageMargins left="0.279861111111111" right="0.279861111111111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39E90"/>
    <pageSetUpPr fitToPage="false"/>
  </sheetPr>
  <dimension ref="A1:M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53125" defaultRowHeight="14.25" zeroHeight="false" outlineLevelRow="0" outlineLevelCol="0"/>
  <cols>
    <col collapsed="false" customWidth="true" hidden="false" outlineLevel="0" max="1" min="1" style="0" width="3.27"/>
    <col collapsed="false" customWidth="true" hidden="false" outlineLevel="0" max="2" min="2" style="0" width="43.18"/>
    <col collapsed="false" customWidth="true" hidden="false" outlineLevel="0" max="3" min="3" style="0" width="7"/>
    <col collapsed="false" customWidth="true" hidden="false" outlineLevel="0" max="4" min="4" style="0" width="12.45"/>
    <col collapsed="false" customWidth="true" hidden="false" outlineLevel="0" max="5" min="5" style="0" width="12"/>
    <col collapsed="false" customWidth="true" hidden="false" outlineLevel="0" max="6" min="6" style="0" width="13.45"/>
    <col collapsed="false" customWidth="true" hidden="false" outlineLevel="0" max="7" min="7" style="0" width="17"/>
    <col collapsed="false" customWidth="true" hidden="false" outlineLevel="0" max="8" min="8" style="0" width="13"/>
    <col collapsed="false" customWidth="true" hidden="false" outlineLevel="0" max="9" min="9" style="0" width="13.73"/>
    <col collapsed="false" customWidth="true" hidden="false" outlineLevel="0" max="10" min="10" style="0" width="8.27"/>
    <col collapsed="false" customWidth="true" hidden="false" outlineLevel="0" max="11" min="11" style="0" width="9"/>
    <col collapsed="false" customWidth="true" hidden="false" outlineLevel="0" max="12" min="12" style="0" width="13.73"/>
    <col collapsed="false" customWidth="true" hidden="false" outlineLevel="0" max="13" min="13" style="0" width="2.18"/>
    <col collapsed="false" customWidth="true" hidden="false" outlineLevel="0" max="26" min="14" style="0" width="8.73"/>
  </cols>
  <sheetData>
    <row r="1" customFormat="false" ht="18" hidden="false" customHeight="true" outlineLevel="0" collapsed="false">
      <c r="A1" s="68" t="s">
        <v>105</v>
      </c>
      <c r="B1" s="68"/>
      <c r="C1" s="69"/>
      <c r="D1" s="69"/>
      <c r="E1" s="54" t="s">
        <v>112</v>
      </c>
      <c r="F1" s="54"/>
      <c r="G1" s="54"/>
      <c r="H1" s="69" t="n">
        <f aca="false">'كشف المطالبة'!E2</f>
        <v>0</v>
      </c>
      <c r="I1" s="69" t="str">
        <f aca="false">'كشف المطالبة'!E3</f>
        <v>الجزء الاول</v>
      </c>
      <c r="J1" s="69"/>
      <c r="K1" s="70" t="str">
        <f aca="false">'كشف المطالبة'!E4</f>
        <v>عاملين</v>
      </c>
      <c r="L1" s="70"/>
    </row>
    <row r="2" customFormat="false" ht="44.25" hidden="false" customHeight="true" outlineLevel="0" collapsed="false">
      <c r="A2" s="71" t="s">
        <v>106</v>
      </c>
      <c r="B2" s="72" t="s">
        <v>35</v>
      </c>
      <c r="C2" s="72" t="s">
        <v>36</v>
      </c>
      <c r="D2" s="72" t="s">
        <v>107</v>
      </c>
      <c r="E2" s="72" t="s">
        <v>38</v>
      </c>
      <c r="F2" s="72" t="s">
        <v>108</v>
      </c>
      <c r="G2" s="72" t="str">
        <f aca="false">"محلى بعد خصم "&amp;ROUND('كشف المطالبة'!$D$5*100,2)&amp;"%"</f>
        <v>محلى بعد خصم 14%</v>
      </c>
      <c r="H2" s="72" t="str">
        <f aca="false">"مستورد بعد خصم "&amp;ROUND('كشف المطالبة'!$D$6*100,2)&amp;"%"</f>
        <v>مستورد بعد خصم 7%</v>
      </c>
      <c r="I2" s="72" t="s">
        <v>109</v>
      </c>
      <c r="J2" s="73" t="s">
        <v>113</v>
      </c>
      <c r="K2" s="72" t="s">
        <v>110</v>
      </c>
      <c r="L2" s="74" t="s">
        <v>111</v>
      </c>
    </row>
    <row r="3" customFormat="false" ht="15" hidden="false" customHeight="true" outlineLevel="0" collapsed="false">
      <c r="A3" s="75" t="str">
        <f aca="false">IF(441&lt;=Check!$C$4,INDEX(BAHARY!$A$2:$A$901,441),"")</f>
        <v/>
      </c>
      <c r="B3" s="76" t="str">
        <f aca="false">IF($A3="","",INDEX(BAHARY!$B$2:$B$901,441))</f>
        <v/>
      </c>
      <c r="C3" s="76" t="str">
        <f aca="false">IF($A3="","",INDEX(BAHARY!$C$2:$C$901,441))</f>
        <v/>
      </c>
      <c r="D3" s="77" t="str">
        <f aca="false">IF($A3="","",INDEX(BAHARY!$H$2:$H$901,441))</f>
        <v/>
      </c>
      <c r="E3" s="77" t="str">
        <f aca="false">IF($A3="","",INDEX(BAHARY!$E$2:$E$901,441))</f>
        <v/>
      </c>
      <c r="F3" s="77" t="str">
        <f aca="false">IF($A3="","",D3+E3)</f>
        <v/>
      </c>
      <c r="G3" s="77" t="str">
        <f aca="false">IF($A3="","",D3*(1-'كشف المطالبة'!$D$5))</f>
        <v/>
      </c>
      <c r="H3" s="77" t="str">
        <f aca="false">IF($A3="","",E3*(1-'كشف المطالبة'!$D$6))</f>
        <v/>
      </c>
      <c r="I3" s="77" t="str">
        <f aca="false">IF($A3="","",G3+H3)</f>
        <v/>
      </c>
      <c r="J3" s="78" t="str">
        <f aca="false">IF($A3="","",0)</f>
        <v/>
      </c>
      <c r="K3" s="77" t="str">
        <f aca="false">IF($A3="","",F3*J3+INDEX(BAHARY!$N$2:$N$901,441))</f>
        <v/>
      </c>
      <c r="L3" s="79" t="str">
        <f aca="false">IF($A3="","",I3-K3)</f>
        <v/>
      </c>
    </row>
    <row r="4" customFormat="false" ht="15" hidden="false" customHeight="true" outlineLevel="0" collapsed="false">
      <c r="A4" s="75" t="str">
        <f aca="false">IF(442&lt;=Check!$C$4,INDEX(BAHARY!$A$2:$A$901,442),"")</f>
        <v/>
      </c>
      <c r="B4" s="76" t="str">
        <f aca="false">IF($A4="","",INDEX(BAHARY!$B$2:$B$901,442))</f>
        <v/>
      </c>
      <c r="C4" s="76" t="str">
        <f aca="false">IF($A4="","",INDEX(BAHARY!$C$2:$C$901,442))</f>
        <v/>
      </c>
      <c r="D4" s="77" t="str">
        <f aca="false">IF($A4="","",INDEX(BAHARY!$H$2:$H$901,442))</f>
        <v/>
      </c>
      <c r="E4" s="77" t="str">
        <f aca="false">IF($A4="","",INDEX(BAHARY!$E$2:$E$901,442))</f>
        <v/>
      </c>
      <c r="F4" s="77" t="str">
        <f aca="false">IF($A4="","",D4+E4)</f>
        <v/>
      </c>
      <c r="G4" s="77" t="str">
        <f aca="false">IF($A4="","",D4*(1-'كشف المطالبة'!$D$5))</f>
        <v/>
      </c>
      <c r="H4" s="77" t="str">
        <f aca="false">IF($A4="","",E4*(1-'كشف المطالبة'!$D$6))</f>
        <v/>
      </c>
      <c r="I4" s="77" t="str">
        <f aca="false">IF($A4="","",G4+H4)</f>
        <v/>
      </c>
      <c r="J4" s="78" t="str">
        <f aca="false">IF($A4="","",0)</f>
        <v/>
      </c>
      <c r="K4" s="77" t="str">
        <f aca="false">IF($A4="","",F4*J4+INDEX(BAHARY!$N$2:$N$901,442))</f>
        <v/>
      </c>
      <c r="L4" s="79" t="str">
        <f aca="false">IF($A4="","",I4-K4)</f>
        <v/>
      </c>
    </row>
    <row r="5" customFormat="false" ht="15" hidden="false" customHeight="true" outlineLevel="0" collapsed="false">
      <c r="A5" s="75" t="str">
        <f aca="false">IF(443&lt;=Check!$C$4,INDEX(BAHARY!$A$2:$A$901,443),"")</f>
        <v/>
      </c>
      <c r="B5" s="76" t="str">
        <f aca="false">IF($A5="","",INDEX(BAHARY!$B$2:$B$901,443))</f>
        <v/>
      </c>
      <c r="C5" s="76" t="str">
        <f aca="false">IF($A5="","",INDEX(BAHARY!$C$2:$C$901,443))</f>
        <v/>
      </c>
      <c r="D5" s="77" t="str">
        <f aca="false">IF($A5="","",INDEX(BAHARY!$H$2:$H$901,443))</f>
        <v/>
      </c>
      <c r="E5" s="77" t="str">
        <f aca="false">IF($A5="","",INDEX(BAHARY!$E$2:$E$901,443))</f>
        <v/>
      </c>
      <c r="F5" s="77" t="str">
        <f aca="false">IF($A5="","",D5+E5)</f>
        <v/>
      </c>
      <c r="G5" s="77" t="str">
        <f aca="false">IF($A5="","",D5*(1-'كشف المطالبة'!$D$5))</f>
        <v/>
      </c>
      <c r="H5" s="77" t="str">
        <f aca="false">IF($A5="","",E5*(1-'كشف المطالبة'!$D$6))</f>
        <v/>
      </c>
      <c r="I5" s="77" t="str">
        <f aca="false">IF($A5="","",G5+H5)</f>
        <v/>
      </c>
      <c r="J5" s="78" t="str">
        <f aca="false">IF($A5="","",0)</f>
        <v/>
      </c>
      <c r="K5" s="77" t="str">
        <f aca="false">IF($A5="","",F5*J5+INDEX(BAHARY!$N$2:$N$901,443))</f>
        <v/>
      </c>
      <c r="L5" s="79" t="str">
        <f aca="false">IF($A5="","",I5-K5)</f>
        <v/>
      </c>
    </row>
    <row r="6" customFormat="false" ht="15" hidden="false" customHeight="true" outlineLevel="0" collapsed="false">
      <c r="A6" s="75" t="str">
        <f aca="false">IF(444&lt;=Check!$C$4,INDEX(BAHARY!$A$2:$A$901,444),"")</f>
        <v/>
      </c>
      <c r="B6" s="76" t="str">
        <f aca="false">IF($A6="","",INDEX(BAHARY!$B$2:$B$901,444))</f>
        <v/>
      </c>
      <c r="C6" s="76" t="str">
        <f aca="false">IF($A6="","",INDEX(BAHARY!$C$2:$C$901,444))</f>
        <v/>
      </c>
      <c r="D6" s="77" t="str">
        <f aca="false">IF($A6="","",INDEX(BAHARY!$H$2:$H$901,444))</f>
        <v/>
      </c>
      <c r="E6" s="77" t="str">
        <f aca="false">IF($A6="","",INDEX(BAHARY!$E$2:$E$901,444))</f>
        <v/>
      </c>
      <c r="F6" s="77" t="str">
        <f aca="false">IF($A6="","",D6+E6)</f>
        <v/>
      </c>
      <c r="G6" s="77" t="str">
        <f aca="false">IF($A6="","",D6*(1-'كشف المطالبة'!$D$5))</f>
        <v/>
      </c>
      <c r="H6" s="77" t="str">
        <f aca="false">IF($A6="","",E6*(1-'كشف المطالبة'!$D$6))</f>
        <v/>
      </c>
      <c r="I6" s="77" t="str">
        <f aca="false">IF($A6="","",G6+H6)</f>
        <v/>
      </c>
      <c r="J6" s="78" t="str">
        <f aca="false">IF($A6="","",0)</f>
        <v/>
      </c>
      <c r="K6" s="77" t="str">
        <f aca="false">IF($A6="","",F6*J6+INDEX(BAHARY!$N$2:$N$901,444))</f>
        <v/>
      </c>
      <c r="L6" s="79" t="str">
        <f aca="false">IF($A6="","",I6-K6)</f>
        <v/>
      </c>
    </row>
    <row r="7" customFormat="false" ht="15" hidden="false" customHeight="true" outlineLevel="0" collapsed="false">
      <c r="A7" s="75" t="str">
        <f aca="false">IF(445&lt;=Check!$C$4,INDEX(BAHARY!$A$2:$A$901,445),"")</f>
        <v/>
      </c>
      <c r="B7" s="76" t="str">
        <f aca="false">IF($A7="","",INDEX(BAHARY!$B$2:$B$901,445))</f>
        <v/>
      </c>
      <c r="C7" s="76" t="str">
        <f aca="false">IF($A7="","",INDEX(BAHARY!$C$2:$C$901,445))</f>
        <v/>
      </c>
      <c r="D7" s="77" t="str">
        <f aca="false">IF($A7="","",INDEX(BAHARY!$H$2:$H$901,445))</f>
        <v/>
      </c>
      <c r="E7" s="77" t="str">
        <f aca="false">IF($A7="","",INDEX(BAHARY!$E$2:$E$901,445))</f>
        <v/>
      </c>
      <c r="F7" s="77" t="str">
        <f aca="false">IF($A7="","",D7+E7)</f>
        <v/>
      </c>
      <c r="G7" s="77" t="str">
        <f aca="false">IF($A7="","",D7*(1-'كشف المطالبة'!$D$5))</f>
        <v/>
      </c>
      <c r="H7" s="77" t="str">
        <f aca="false">IF($A7="","",E7*(1-'كشف المطالبة'!$D$6))</f>
        <v/>
      </c>
      <c r="I7" s="77" t="str">
        <f aca="false">IF($A7="","",G7+H7)</f>
        <v/>
      </c>
      <c r="J7" s="78" t="str">
        <f aca="false">IF($A7="","",0)</f>
        <v/>
      </c>
      <c r="K7" s="77" t="str">
        <f aca="false">IF($A7="","",F7*J7+INDEX(BAHARY!$N$2:$N$901,445))</f>
        <v/>
      </c>
      <c r="L7" s="79" t="str">
        <f aca="false">IF($A7="","",I7-K7)</f>
        <v/>
      </c>
    </row>
    <row r="8" customFormat="false" ht="15" hidden="false" customHeight="true" outlineLevel="0" collapsed="false">
      <c r="A8" s="75" t="str">
        <f aca="false">IF(446&lt;=Check!$C$4,INDEX(BAHARY!$A$2:$A$901,446),"")</f>
        <v/>
      </c>
      <c r="B8" s="76" t="str">
        <f aca="false">IF($A8="","",INDEX(BAHARY!$B$2:$B$901,446))</f>
        <v/>
      </c>
      <c r="C8" s="76" t="str">
        <f aca="false">IF($A8="","",INDEX(BAHARY!$C$2:$C$901,446))</f>
        <v/>
      </c>
      <c r="D8" s="77" t="str">
        <f aca="false">IF($A8="","",INDEX(BAHARY!$H$2:$H$901,446))</f>
        <v/>
      </c>
      <c r="E8" s="77" t="str">
        <f aca="false">IF($A8="","",INDEX(BAHARY!$E$2:$E$901,446))</f>
        <v/>
      </c>
      <c r="F8" s="77" t="str">
        <f aca="false">IF($A8="","",D8+E8)</f>
        <v/>
      </c>
      <c r="G8" s="77" t="str">
        <f aca="false">IF($A8="","",D8*(1-'كشف المطالبة'!$D$5))</f>
        <v/>
      </c>
      <c r="H8" s="77" t="str">
        <f aca="false">IF($A8="","",E8*(1-'كشف المطالبة'!$D$6))</f>
        <v/>
      </c>
      <c r="I8" s="77" t="str">
        <f aca="false">IF($A8="","",G8+H8)</f>
        <v/>
      </c>
      <c r="J8" s="78" t="str">
        <f aca="false">IF($A8="","",0)</f>
        <v/>
      </c>
      <c r="K8" s="77" t="str">
        <f aca="false">IF($A8="","",F8*J8+INDEX(BAHARY!$N$2:$N$901,446))</f>
        <v/>
      </c>
      <c r="L8" s="79" t="str">
        <f aca="false">IF($A8="","",I8-K8)</f>
        <v/>
      </c>
    </row>
    <row r="9" customFormat="false" ht="15" hidden="false" customHeight="true" outlineLevel="0" collapsed="false">
      <c r="A9" s="75" t="str">
        <f aca="false">IF(447&lt;=Check!$C$4,INDEX(BAHARY!$A$2:$A$901,447),"")</f>
        <v/>
      </c>
      <c r="B9" s="80" t="str">
        <f aca="false">IF($A9="","",INDEX(BAHARY!$B$2:$B$901,447))</f>
        <v/>
      </c>
      <c r="C9" s="76" t="str">
        <f aca="false">IF($A9="","",INDEX(BAHARY!$C$2:$C$901,447))</f>
        <v/>
      </c>
      <c r="D9" s="77" t="str">
        <f aca="false">IF($A9="","",INDEX(BAHARY!$H$2:$H$901,447))</f>
        <v/>
      </c>
      <c r="E9" s="77" t="str">
        <f aca="false">IF($A9="","",INDEX(BAHARY!$E$2:$E$901,447))</f>
        <v/>
      </c>
      <c r="F9" s="77" t="str">
        <f aca="false">IF($A9="","",D9+E9)</f>
        <v/>
      </c>
      <c r="G9" s="77" t="str">
        <f aca="false">IF($A9="","",D9*(1-'كشف المطالبة'!$D$5))</f>
        <v/>
      </c>
      <c r="H9" s="77" t="str">
        <f aca="false">IF($A9="","",E9*(1-'كشف المطالبة'!$D$6))</f>
        <v/>
      </c>
      <c r="I9" s="77" t="str">
        <f aca="false">IF($A9="","",G9+H9)</f>
        <v/>
      </c>
      <c r="J9" s="78" t="str">
        <f aca="false">IF($A9="","",0)</f>
        <v/>
      </c>
      <c r="K9" s="77" t="str">
        <f aca="false">IF($A9="","",F9*J9+INDEX(BAHARY!$N$2:$N$901,447))</f>
        <v/>
      </c>
      <c r="L9" s="79" t="str">
        <f aca="false">IF($A9="","",I9-K9)</f>
        <v/>
      </c>
    </row>
    <row r="10" customFormat="false" ht="15" hidden="false" customHeight="true" outlineLevel="0" collapsed="false">
      <c r="A10" s="75" t="str">
        <f aca="false">IF(448&lt;=Check!$C$4,INDEX(BAHARY!$A$2:$A$901,448),"")</f>
        <v/>
      </c>
      <c r="B10" s="76" t="str">
        <f aca="false">IF($A10="","",INDEX(BAHARY!$B$2:$B$901,448))</f>
        <v/>
      </c>
      <c r="C10" s="76" t="str">
        <f aca="false">IF($A10="","",INDEX(BAHARY!$C$2:$C$901,448))</f>
        <v/>
      </c>
      <c r="D10" s="77" t="str">
        <f aca="false">IF($A10="","",INDEX(BAHARY!$H$2:$H$901,448))</f>
        <v/>
      </c>
      <c r="E10" s="77" t="str">
        <f aca="false">IF($A10="","",INDEX(BAHARY!$E$2:$E$901,448))</f>
        <v/>
      </c>
      <c r="F10" s="77" t="str">
        <f aca="false">IF($A10="","",D10+E10)</f>
        <v/>
      </c>
      <c r="G10" s="77" t="str">
        <f aca="false">IF($A10="","",D10*(1-'كشف المطالبة'!$D$5))</f>
        <v/>
      </c>
      <c r="H10" s="77" t="str">
        <f aca="false">IF($A10="","",E10*(1-'كشف المطالبة'!$D$6))</f>
        <v/>
      </c>
      <c r="I10" s="77" t="str">
        <f aca="false">IF($A10="","",G10+H10)</f>
        <v/>
      </c>
      <c r="J10" s="78" t="str">
        <f aca="false">IF($A10="","",0)</f>
        <v/>
      </c>
      <c r="K10" s="77" t="str">
        <f aca="false">IF($A10="","",F10*J10+INDEX(BAHARY!$N$2:$N$901,448))</f>
        <v/>
      </c>
      <c r="L10" s="79" t="str">
        <f aca="false">IF($A10="","",I10-K10)</f>
        <v/>
      </c>
    </row>
    <row r="11" customFormat="false" ht="15" hidden="false" customHeight="true" outlineLevel="0" collapsed="false">
      <c r="A11" s="75" t="str">
        <f aca="false">IF(449&lt;=Check!$C$4,INDEX(BAHARY!$A$2:$A$901,449),"")</f>
        <v/>
      </c>
      <c r="B11" s="76" t="str">
        <f aca="false">IF($A11="","",INDEX(BAHARY!$B$2:$B$901,449))</f>
        <v/>
      </c>
      <c r="C11" s="76" t="str">
        <f aca="false">IF($A11="","",INDEX(BAHARY!$C$2:$C$901,449))</f>
        <v/>
      </c>
      <c r="D11" s="77" t="str">
        <f aca="false">IF($A11="","",INDEX(BAHARY!$H$2:$H$901,449))</f>
        <v/>
      </c>
      <c r="E11" s="77" t="str">
        <f aca="false">IF($A11="","",INDEX(BAHARY!$E$2:$E$901,449))</f>
        <v/>
      </c>
      <c r="F11" s="77" t="str">
        <f aca="false">IF($A11="","",D11+E11)</f>
        <v/>
      </c>
      <c r="G11" s="77" t="str">
        <f aca="false">IF($A11="","",D11*(1-'كشف المطالبة'!$D$5))</f>
        <v/>
      </c>
      <c r="H11" s="77" t="str">
        <f aca="false">IF($A11="","",E11*(1-'كشف المطالبة'!$D$6))</f>
        <v/>
      </c>
      <c r="I11" s="77" t="str">
        <f aca="false">IF($A11="","",G11+H11)</f>
        <v/>
      </c>
      <c r="J11" s="78" t="str">
        <f aca="false">IF($A11="","",0)</f>
        <v/>
      </c>
      <c r="K11" s="77" t="str">
        <f aca="false">IF($A11="","",F11*J11+INDEX(BAHARY!$N$2:$N$901,449))</f>
        <v/>
      </c>
      <c r="L11" s="79" t="str">
        <f aca="false">IF($A11="","",I11-K11)</f>
        <v/>
      </c>
    </row>
    <row r="12" customFormat="false" ht="15" hidden="false" customHeight="true" outlineLevel="0" collapsed="false">
      <c r="A12" s="75" t="str">
        <f aca="false">IF(450&lt;=Check!$C$4,INDEX(BAHARY!$A$2:$A$901,450),"")</f>
        <v/>
      </c>
      <c r="B12" s="76" t="str">
        <f aca="false">IF($A12="","",INDEX(BAHARY!$B$2:$B$901,450))</f>
        <v/>
      </c>
      <c r="C12" s="76" t="str">
        <f aca="false">IF($A12="","",INDEX(BAHARY!$C$2:$C$901,450))</f>
        <v/>
      </c>
      <c r="D12" s="77" t="str">
        <f aca="false">IF($A12="","",INDEX(BAHARY!$H$2:$H$901,450))</f>
        <v/>
      </c>
      <c r="E12" s="77" t="str">
        <f aca="false">IF($A12="","",INDEX(BAHARY!$E$2:$E$901,450))</f>
        <v/>
      </c>
      <c r="F12" s="77" t="str">
        <f aca="false">IF($A12="","",D12+E12)</f>
        <v/>
      </c>
      <c r="G12" s="77" t="str">
        <f aca="false">IF($A12="","",D12*(1-'كشف المطالبة'!$D$5))</f>
        <v/>
      </c>
      <c r="H12" s="77" t="str">
        <f aca="false">IF($A12="","",E12*(1-'كشف المطالبة'!$D$6))</f>
        <v/>
      </c>
      <c r="I12" s="77" t="str">
        <f aca="false">IF($A12="","",G12+H12)</f>
        <v/>
      </c>
      <c r="J12" s="78" t="str">
        <f aca="false">IF($A12="","",0)</f>
        <v/>
      </c>
      <c r="K12" s="77" t="str">
        <f aca="false">IF($A12="","",F12*J12+INDEX(BAHARY!$N$2:$N$901,450))</f>
        <v/>
      </c>
      <c r="L12" s="79" t="str">
        <f aca="false">IF($A12="","",I12-K12)</f>
        <v/>
      </c>
    </row>
    <row r="13" customFormat="false" ht="15" hidden="false" customHeight="true" outlineLevel="0" collapsed="false">
      <c r="A13" s="75" t="str">
        <f aca="false">IF(451&lt;=Check!$C$4,INDEX(BAHARY!$A$2:$A$901,451),"")</f>
        <v/>
      </c>
      <c r="B13" s="76" t="str">
        <f aca="false">IF($A13="","",INDEX(BAHARY!$B$2:$B$901,451))</f>
        <v/>
      </c>
      <c r="C13" s="76" t="str">
        <f aca="false">IF($A13="","",INDEX(BAHARY!$C$2:$C$901,451))</f>
        <v/>
      </c>
      <c r="D13" s="77" t="str">
        <f aca="false">IF($A13="","",INDEX(BAHARY!$H$2:$H$901,451))</f>
        <v/>
      </c>
      <c r="E13" s="77" t="str">
        <f aca="false">IF($A13="","",INDEX(BAHARY!$E$2:$E$901,451))</f>
        <v/>
      </c>
      <c r="F13" s="77" t="str">
        <f aca="false">IF($A13="","",D13+E13)</f>
        <v/>
      </c>
      <c r="G13" s="77" t="str">
        <f aca="false">IF($A13="","",D13*(1-'كشف المطالبة'!$D$5))</f>
        <v/>
      </c>
      <c r="H13" s="77" t="str">
        <f aca="false">IF($A13="","",E13*(1-'كشف المطالبة'!$D$6))</f>
        <v/>
      </c>
      <c r="I13" s="77" t="str">
        <f aca="false">IF($A13="","",G13+H13)</f>
        <v/>
      </c>
      <c r="J13" s="78" t="str">
        <f aca="false">IF($A13="","",0)</f>
        <v/>
      </c>
      <c r="K13" s="77" t="str">
        <f aca="false">IF($A13="","",F13*J13+INDEX(BAHARY!$N$2:$N$901,451))</f>
        <v/>
      </c>
      <c r="L13" s="79" t="str">
        <f aca="false">IF($A13="","",I13-K13)</f>
        <v/>
      </c>
    </row>
    <row r="14" customFormat="false" ht="15" hidden="false" customHeight="true" outlineLevel="0" collapsed="false">
      <c r="A14" s="75" t="str">
        <f aca="false">IF(452&lt;=Check!$C$4,INDEX(BAHARY!$A$2:$A$901,452),"")</f>
        <v/>
      </c>
      <c r="B14" s="76" t="str">
        <f aca="false">IF($A14="","",INDEX(BAHARY!$B$2:$B$901,452))</f>
        <v/>
      </c>
      <c r="C14" s="76" t="str">
        <f aca="false">IF($A14="","",INDEX(BAHARY!$C$2:$C$901,452))</f>
        <v/>
      </c>
      <c r="D14" s="77" t="str">
        <f aca="false">IF($A14="","",INDEX(BAHARY!$H$2:$H$901,452))</f>
        <v/>
      </c>
      <c r="E14" s="77" t="str">
        <f aca="false">IF($A14="","",INDEX(BAHARY!$E$2:$E$901,452))</f>
        <v/>
      </c>
      <c r="F14" s="77" t="str">
        <f aca="false">IF($A14="","",D14+E14)</f>
        <v/>
      </c>
      <c r="G14" s="77" t="str">
        <f aca="false">IF($A14="","",D14*(1-'كشف المطالبة'!$D$5))</f>
        <v/>
      </c>
      <c r="H14" s="77" t="str">
        <f aca="false">IF($A14="","",E14*(1-'كشف المطالبة'!$D$6))</f>
        <v/>
      </c>
      <c r="I14" s="77" t="str">
        <f aca="false">IF($A14="","",G14+H14)</f>
        <v/>
      </c>
      <c r="J14" s="78" t="str">
        <f aca="false">IF($A14="","",0)</f>
        <v/>
      </c>
      <c r="K14" s="77" t="str">
        <f aca="false">IF($A14="","",F14*J14+INDEX(BAHARY!$N$2:$N$901,452))</f>
        <v/>
      </c>
      <c r="L14" s="79" t="str">
        <f aca="false">IF($A14="","",I14-K14)</f>
        <v/>
      </c>
    </row>
    <row r="15" customFormat="false" ht="15" hidden="false" customHeight="true" outlineLevel="0" collapsed="false">
      <c r="A15" s="75" t="str">
        <f aca="false">IF(453&lt;=Check!$C$4,INDEX(BAHARY!$A$2:$A$901,453),"")</f>
        <v/>
      </c>
      <c r="B15" s="76" t="str">
        <f aca="false">IF($A15="","",INDEX(BAHARY!$B$2:$B$901,453))</f>
        <v/>
      </c>
      <c r="C15" s="76" t="str">
        <f aca="false">IF($A15="","",INDEX(BAHARY!$C$2:$C$901,453))</f>
        <v/>
      </c>
      <c r="D15" s="77" t="str">
        <f aca="false">IF($A15="","",INDEX(BAHARY!$H$2:$H$901,453))</f>
        <v/>
      </c>
      <c r="E15" s="77" t="str">
        <f aca="false">IF($A15="","",INDEX(BAHARY!$E$2:$E$901,453))</f>
        <v/>
      </c>
      <c r="F15" s="77" t="str">
        <f aca="false">IF($A15="","",D15+E15)</f>
        <v/>
      </c>
      <c r="G15" s="77" t="str">
        <f aca="false">IF($A15="","",D15*(1-'كشف المطالبة'!$D$5))</f>
        <v/>
      </c>
      <c r="H15" s="77" t="str">
        <f aca="false">IF($A15="","",E15*(1-'كشف المطالبة'!$D$6))</f>
        <v/>
      </c>
      <c r="I15" s="77" t="str">
        <f aca="false">IF($A15="","",G15+H15)</f>
        <v/>
      </c>
      <c r="J15" s="78" t="str">
        <f aca="false">IF($A15="","",0)</f>
        <v/>
      </c>
      <c r="K15" s="77" t="str">
        <f aca="false">IF($A15="","",F15*J15+INDEX(BAHARY!$N$2:$N$901,453))</f>
        <v/>
      </c>
      <c r="L15" s="79" t="str">
        <f aca="false">IF($A15="","",I15-K15)</f>
        <v/>
      </c>
    </row>
    <row r="16" customFormat="false" ht="15" hidden="false" customHeight="true" outlineLevel="0" collapsed="false">
      <c r="A16" s="75" t="str">
        <f aca="false">IF(454&lt;=Check!$C$4,INDEX(BAHARY!$A$2:$A$901,454),"")</f>
        <v/>
      </c>
      <c r="B16" s="76" t="str">
        <f aca="false">IF($A16="","",INDEX(BAHARY!$B$2:$B$901,454))</f>
        <v/>
      </c>
      <c r="C16" s="76" t="str">
        <f aca="false">IF($A16="","",INDEX(BAHARY!$C$2:$C$901,454))</f>
        <v/>
      </c>
      <c r="D16" s="77" t="str">
        <f aca="false">IF($A16="","",INDEX(BAHARY!$H$2:$H$901,454))</f>
        <v/>
      </c>
      <c r="E16" s="77" t="str">
        <f aca="false">IF($A16="","",INDEX(BAHARY!$E$2:$E$901,454))</f>
        <v/>
      </c>
      <c r="F16" s="77" t="str">
        <f aca="false">IF($A16="","",D16+E16)</f>
        <v/>
      </c>
      <c r="G16" s="77" t="str">
        <f aca="false">IF($A16="","",D16*(1-'كشف المطالبة'!$D$5))</f>
        <v/>
      </c>
      <c r="H16" s="77" t="str">
        <f aca="false">IF($A16="","",E16*(1-'كشف المطالبة'!$D$6))</f>
        <v/>
      </c>
      <c r="I16" s="77" t="str">
        <f aca="false">IF($A16="","",G16+H16)</f>
        <v/>
      </c>
      <c r="J16" s="78" t="str">
        <f aca="false">IF($A16="","",0)</f>
        <v/>
      </c>
      <c r="K16" s="77" t="str">
        <f aca="false">IF($A16="","",F16*J16+INDEX(BAHARY!$N$2:$N$901,454))</f>
        <v/>
      </c>
      <c r="L16" s="79" t="str">
        <f aca="false">IF($A16="","",I16-K16)</f>
        <v/>
      </c>
    </row>
    <row r="17" customFormat="false" ht="15" hidden="false" customHeight="true" outlineLevel="0" collapsed="false">
      <c r="A17" s="75" t="str">
        <f aca="false">IF(455&lt;=Check!$C$4,INDEX(BAHARY!$A$2:$A$901,455),"")</f>
        <v/>
      </c>
      <c r="B17" s="76" t="str">
        <f aca="false">IF($A17="","",INDEX(BAHARY!$B$2:$B$901,455))</f>
        <v/>
      </c>
      <c r="C17" s="76" t="str">
        <f aca="false">IF($A17="","",INDEX(BAHARY!$C$2:$C$901,455))</f>
        <v/>
      </c>
      <c r="D17" s="77" t="str">
        <f aca="false">IF($A17="","",INDEX(BAHARY!$H$2:$H$901,455))</f>
        <v/>
      </c>
      <c r="E17" s="77" t="str">
        <f aca="false">IF($A17="","",INDEX(BAHARY!$E$2:$E$901,455))</f>
        <v/>
      </c>
      <c r="F17" s="77" t="str">
        <f aca="false">IF($A17="","",D17+E17)</f>
        <v/>
      </c>
      <c r="G17" s="77" t="str">
        <f aca="false">IF($A17="","",D17*(1-'كشف المطالبة'!$D$5))</f>
        <v/>
      </c>
      <c r="H17" s="77" t="str">
        <f aca="false">IF($A17="","",E17*(1-'كشف المطالبة'!$D$6))</f>
        <v/>
      </c>
      <c r="I17" s="77" t="str">
        <f aca="false">IF($A17="","",G17+H17)</f>
        <v/>
      </c>
      <c r="J17" s="78" t="str">
        <f aca="false">IF($A17="","",0)</f>
        <v/>
      </c>
      <c r="K17" s="77" t="str">
        <f aca="false">IF($A17="","",F17*J17+INDEX(BAHARY!$N$2:$N$901,455))</f>
        <v/>
      </c>
      <c r="L17" s="79" t="str">
        <f aca="false">IF($A17="","",I17-K17)</f>
        <v/>
      </c>
    </row>
    <row r="18" customFormat="false" ht="15" hidden="false" customHeight="true" outlineLevel="0" collapsed="false">
      <c r="A18" s="75" t="str">
        <f aca="false">IF(456&lt;=Check!$C$4,INDEX(BAHARY!$A$2:$A$901,456),"")</f>
        <v/>
      </c>
      <c r="B18" s="80" t="str">
        <f aca="false">IF($A18="","",INDEX(BAHARY!$B$2:$B$901,456))</f>
        <v/>
      </c>
      <c r="C18" s="76" t="str">
        <f aca="false">IF($A18="","",INDEX(BAHARY!$C$2:$C$901,456))</f>
        <v/>
      </c>
      <c r="D18" s="77" t="str">
        <f aca="false">IF($A18="","",INDEX(BAHARY!$H$2:$H$901,456))</f>
        <v/>
      </c>
      <c r="E18" s="77" t="str">
        <f aca="false">IF($A18="","",INDEX(BAHARY!$E$2:$E$901,456))</f>
        <v/>
      </c>
      <c r="F18" s="77" t="str">
        <f aca="false">IF($A18="","",D18+E18)</f>
        <v/>
      </c>
      <c r="G18" s="77" t="str">
        <f aca="false">IF($A18="","",D18*(1-'كشف المطالبة'!$D$5))</f>
        <v/>
      </c>
      <c r="H18" s="77" t="str">
        <f aca="false">IF($A18="","",E18*(1-'كشف المطالبة'!$D$6))</f>
        <v/>
      </c>
      <c r="I18" s="77" t="str">
        <f aca="false">IF($A18="","",G18+H18)</f>
        <v/>
      </c>
      <c r="J18" s="78" t="str">
        <f aca="false">IF($A18="","",0)</f>
        <v/>
      </c>
      <c r="K18" s="77" t="str">
        <f aca="false">IF($A18="","",F18*J18+INDEX(BAHARY!$N$2:$N$901,456))</f>
        <v/>
      </c>
      <c r="L18" s="79" t="str">
        <f aca="false">IF($A18="","",I18-K18)</f>
        <v/>
      </c>
    </row>
    <row r="19" customFormat="false" ht="15" hidden="false" customHeight="true" outlineLevel="0" collapsed="false">
      <c r="A19" s="75" t="str">
        <f aca="false">IF(457&lt;=Check!$C$4,INDEX(BAHARY!$A$2:$A$901,457),"")</f>
        <v/>
      </c>
      <c r="B19" s="76" t="str">
        <f aca="false">IF($A19="","",INDEX(BAHARY!$B$2:$B$901,457))</f>
        <v/>
      </c>
      <c r="C19" s="76" t="str">
        <f aca="false">IF($A19="","",INDEX(BAHARY!$C$2:$C$901,457))</f>
        <v/>
      </c>
      <c r="D19" s="77" t="str">
        <f aca="false">IF($A19="","",INDEX(BAHARY!$H$2:$H$901,457))</f>
        <v/>
      </c>
      <c r="E19" s="77" t="str">
        <f aca="false">IF($A19="","",INDEX(BAHARY!$E$2:$E$901,457))</f>
        <v/>
      </c>
      <c r="F19" s="77" t="str">
        <f aca="false">IF($A19="","",D19+E19)</f>
        <v/>
      </c>
      <c r="G19" s="77" t="str">
        <f aca="false">IF($A19="","",D19*(1-'كشف المطالبة'!$D$5))</f>
        <v/>
      </c>
      <c r="H19" s="77" t="str">
        <f aca="false">IF($A19="","",E19*(1-'كشف المطالبة'!$D$6))</f>
        <v/>
      </c>
      <c r="I19" s="77" t="str">
        <f aca="false">IF($A19="","",G19+H19)</f>
        <v/>
      </c>
      <c r="J19" s="78" t="str">
        <f aca="false">IF($A19="","",0)</f>
        <v/>
      </c>
      <c r="K19" s="77" t="str">
        <f aca="false">IF($A19="","",F19*J19+INDEX(BAHARY!$N$2:$N$901,457))</f>
        <v/>
      </c>
      <c r="L19" s="79" t="str">
        <f aca="false">IF($A19="","",I19-K19)</f>
        <v/>
      </c>
    </row>
    <row r="20" customFormat="false" ht="15" hidden="false" customHeight="true" outlineLevel="0" collapsed="false">
      <c r="A20" s="75" t="str">
        <f aca="false">IF(458&lt;=Check!$C$4,INDEX(BAHARY!$A$2:$A$901,458),"")</f>
        <v/>
      </c>
      <c r="B20" s="76" t="str">
        <f aca="false">IF($A20="","",INDEX(BAHARY!$B$2:$B$901,458))</f>
        <v/>
      </c>
      <c r="C20" s="76" t="str">
        <f aca="false">IF($A20="","",INDEX(BAHARY!$C$2:$C$901,458))</f>
        <v/>
      </c>
      <c r="D20" s="77" t="str">
        <f aca="false">IF($A20="","",INDEX(BAHARY!$H$2:$H$901,458))</f>
        <v/>
      </c>
      <c r="E20" s="77" t="str">
        <f aca="false">IF($A20="","",INDEX(BAHARY!$E$2:$E$901,458))</f>
        <v/>
      </c>
      <c r="F20" s="77" t="str">
        <f aca="false">IF($A20="","",D20+E20)</f>
        <v/>
      </c>
      <c r="G20" s="77" t="str">
        <f aca="false">IF($A20="","",D20*(1-'كشف المطالبة'!$D$5))</f>
        <v/>
      </c>
      <c r="H20" s="77" t="str">
        <f aca="false">IF($A20="","",E20*(1-'كشف المطالبة'!$D$6))</f>
        <v/>
      </c>
      <c r="I20" s="77" t="str">
        <f aca="false">IF($A20="","",G20+H20)</f>
        <v/>
      </c>
      <c r="J20" s="78" t="str">
        <f aca="false">IF($A20="","",0)</f>
        <v/>
      </c>
      <c r="K20" s="77" t="str">
        <f aca="false">IF($A20="","",F20*J20+INDEX(BAHARY!$N$2:$N$901,458))</f>
        <v/>
      </c>
      <c r="L20" s="79" t="str">
        <f aca="false">IF($A20="","",I20-K20)</f>
        <v/>
      </c>
    </row>
    <row r="21" customFormat="false" ht="15" hidden="false" customHeight="true" outlineLevel="0" collapsed="false">
      <c r="A21" s="75" t="str">
        <f aca="false">IF(459&lt;=Check!$C$4,INDEX(BAHARY!$A$2:$A$901,459),"")</f>
        <v/>
      </c>
      <c r="B21" s="76" t="str">
        <f aca="false">IF($A21="","",INDEX(BAHARY!$B$2:$B$901,459))</f>
        <v/>
      </c>
      <c r="C21" s="76" t="str">
        <f aca="false">IF($A21="","",INDEX(BAHARY!$C$2:$C$901,459))</f>
        <v/>
      </c>
      <c r="D21" s="77" t="str">
        <f aca="false">IF($A21="","",INDEX(BAHARY!$H$2:$H$901,459))</f>
        <v/>
      </c>
      <c r="E21" s="77" t="str">
        <f aca="false">IF($A21="","",INDEX(BAHARY!$E$2:$E$901,459))</f>
        <v/>
      </c>
      <c r="F21" s="77" t="str">
        <f aca="false">IF($A21="","",D21+E21)</f>
        <v/>
      </c>
      <c r="G21" s="77" t="str">
        <f aca="false">IF($A21="","",D21*(1-'كشف المطالبة'!$D$5))</f>
        <v/>
      </c>
      <c r="H21" s="77" t="str">
        <f aca="false">IF($A21="","",E21*(1-'كشف المطالبة'!$D$6))</f>
        <v/>
      </c>
      <c r="I21" s="77" t="str">
        <f aca="false">IF($A21="","",G21+H21)</f>
        <v/>
      </c>
      <c r="J21" s="78" t="str">
        <f aca="false">IF($A21="","",0)</f>
        <v/>
      </c>
      <c r="K21" s="77" t="str">
        <f aca="false">IF($A21="","",F21*J21+INDEX(BAHARY!$N$2:$N$901,459))</f>
        <v/>
      </c>
      <c r="L21" s="79" t="str">
        <f aca="false">IF($A21="","",I21-K21)</f>
        <v/>
      </c>
    </row>
    <row r="22" customFormat="false" ht="15" hidden="false" customHeight="true" outlineLevel="0" collapsed="false">
      <c r="A22" s="75" t="str">
        <f aca="false">IF(460&lt;=Check!$C$4,INDEX(BAHARY!$A$2:$A$901,460),"")</f>
        <v/>
      </c>
      <c r="B22" s="76" t="str">
        <f aca="false">IF($A22="","",INDEX(BAHARY!$B$2:$B$901,460))</f>
        <v/>
      </c>
      <c r="C22" s="76" t="str">
        <f aca="false">IF($A22="","",INDEX(BAHARY!$C$2:$C$901,460))</f>
        <v/>
      </c>
      <c r="D22" s="77" t="str">
        <f aca="false">IF($A22="","",INDEX(BAHARY!$H$2:$H$901,460))</f>
        <v/>
      </c>
      <c r="E22" s="77" t="str">
        <f aca="false">IF($A22="","",INDEX(BAHARY!$E$2:$E$901,460))</f>
        <v/>
      </c>
      <c r="F22" s="77" t="str">
        <f aca="false">IF($A22="","",D22+E22)</f>
        <v/>
      </c>
      <c r="G22" s="77" t="str">
        <f aca="false">IF($A22="","",D22*(1-'كشف المطالبة'!$D$5))</f>
        <v/>
      </c>
      <c r="H22" s="77" t="str">
        <f aca="false">IF($A22="","",E22*(1-'كشف المطالبة'!$D$6))</f>
        <v/>
      </c>
      <c r="I22" s="77" t="str">
        <f aca="false">IF($A22="","",G22+H22)</f>
        <v/>
      </c>
      <c r="J22" s="78" t="str">
        <f aca="false">IF($A22="","",0)</f>
        <v/>
      </c>
      <c r="K22" s="77" t="str">
        <f aca="false">IF($A22="","",F22*J22+INDEX(BAHARY!$N$2:$N$901,460))</f>
        <v/>
      </c>
      <c r="L22" s="79" t="str">
        <f aca="false">IF($A22="","",I22-K22)</f>
        <v/>
      </c>
    </row>
    <row r="23" customFormat="false" ht="15" hidden="false" customHeight="true" outlineLevel="0" collapsed="false">
      <c r="A23" s="75" t="str">
        <f aca="false">IF(461&lt;=Check!$C$4,INDEX(BAHARY!$A$2:$A$901,461),"")</f>
        <v/>
      </c>
      <c r="B23" s="76" t="str">
        <f aca="false">IF($A23="","",INDEX(BAHARY!$B$2:$B$901,461))</f>
        <v/>
      </c>
      <c r="C23" s="76" t="str">
        <f aca="false">IF($A23="","",INDEX(BAHARY!$C$2:$C$901,461))</f>
        <v/>
      </c>
      <c r="D23" s="77" t="str">
        <f aca="false">IF($A23="","",INDEX(BAHARY!$H$2:$H$901,461))</f>
        <v/>
      </c>
      <c r="E23" s="77" t="str">
        <f aca="false">IF($A23="","",INDEX(BAHARY!$E$2:$E$901,461))</f>
        <v/>
      </c>
      <c r="F23" s="77" t="str">
        <f aca="false">IF($A23="","",D23+E23)</f>
        <v/>
      </c>
      <c r="G23" s="77" t="str">
        <f aca="false">IF($A23="","",D23*(1-'كشف المطالبة'!$D$5))</f>
        <v/>
      </c>
      <c r="H23" s="77" t="str">
        <f aca="false">IF($A23="","",E23*(1-'كشف المطالبة'!$D$6))</f>
        <v/>
      </c>
      <c r="I23" s="77" t="str">
        <f aca="false">IF($A23="","",G23+H23)</f>
        <v/>
      </c>
      <c r="J23" s="78" t="str">
        <f aca="false">IF($A23="","",0)</f>
        <v/>
      </c>
      <c r="K23" s="77" t="str">
        <f aca="false">IF($A23="","",F23*J23+INDEX(BAHARY!$N$2:$N$901,461))</f>
        <v/>
      </c>
      <c r="L23" s="79" t="str">
        <f aca="false">IF($A23="","",I23-K23)</f>
        <v/>
      </c>
    </row>
    <row r="24" customFormat="false" ht="15" hidden="false" customHeight="true" outlineLevel="0" collapsed="false">
      <c r="A24" s="75" t="str">
        <f aca="false">IF(462&lt;=Check!$C$4,INDEX(BAHARY!$A$2:$A$901,462),"")</f>
        <v/>
      </c>
      <c r="B24" s="76" t="str">
        <f aca="false">IF($A24="","",INDEX(BAHARY!$B$2:$B$901,462))</f>
        <v/>
      </c>
      <c r="C24" s="76" t="str">
        <f aca="false">IF($A24="","",INDEX(BAHARY!$C$2:$C$901,462))</f>
        <v/>
      </c>
      <c r="D24" s="77" t="str">
        <f aca="false">IF($A24="","",INDEX(BAHARY!$H$2:$H$901,462))</f>
        <v/>
      </c>
      <c r="E24" s="77" t="str">
        <f aca="false">IF($A24="","",INDEX(BAHARY!$E$2:$E$901,462))</f>
        <v/>
      </c>
      <c r="F24" s="77" t="str">
        <f aca="false">IF($A24="","",D24+E24)</f>
        <v/>
      </c>
      <c r="G24" s="77" t="str">
        <f aca="false">IF($A24="","",D24*(1-'كشف المطالبة'!$D$5))</f>
        <v/>
      </c>
      <c r="H24" s="77" t="str">
        <f aca="false">IF($A24="","",E24*(1-'كشف المطالبة'!$D$6))</f>
        <v/>
      </c>
      <c r="I24" s="77" t="str">
        <f aca="false">IF($A24="","",G24+H24)</f>
        <v/>
      </c>
      <c r="J24" s="78" t="str">
        <f aca="false">IF($A24="","",0)</f>
        <v/>
      </c>
      <c r="K24" s="77" t="str">
        <f aca="false">IF($A24="","",F24*J24+INDEX(BAHARY!$N$2:$N$901,462))</f>
        <v/>
      </c>
      <c r="L24" s="79" t="str">
        <f aca="false">IF($A24="","",I24-K24)</f>
        <v/>
      </c>
    </row>
    <row r="25" customFormat="false" ht="15" hidden="false" customHeight="true" outlineLevel="0" collapsed="false">
      <c r="A25" s="75" t="str">
        <f aca="false">IF(463&lt;=Check!$C$4,INDEX(BAHARY!$A$2:$A$901,463),"")</f>
        <v/>
      </c>
      <c r="B25" s="76" t="str">
        <f aca="false">IF($A25="","",INDEX(BAHARY!$B$2:$B$901,463))</f>
        <v/>
      </c>
      <c r="C25" s="76" t="str">
        <f aca="false">IF($A25="","",INDEX(BAHARY!$C$2:$C$901,463))</f>
        <v/>
      </c>
      <c r="D25" s="77" t="str">
        <f aca="false">IF($A25="","",INDEX(BAHARY!$H$2:$H$901,463))</f>
        <v/>
      </c>
      <c r="E25" s="77" t="str">
        <f aca="false">IF($A25="","",INDEX(BAHARY!$E$2:$E$901,463))</f>
        <v/>
      </c>
      <c r="F25" s="77" t="str">
        <f aca="false">IF($A25="","",D25+E25)</f>
        <v/>
      </c>
      <c r="G25" s="77" t="str">
        <f aca="false">IF($A25="","",D25*(1-'كشف المطالبة'!$D$5))</f>
        <v/>
      </c>
      <c r="H25" s="77" t="str">
        <f aca="false">IF($A25="","",E25*(1-'كشف المطالبة'!$D$6))</f>
        <v/>
      </c>
      <c r="I25" s="77" t="str">
        <f aca="false">IF($A25="","",G25+H25)</f>
        <v/>
      </c>
      <c r="J25" s="78" t="str">
        <f aca="false">IF($A25="","",0)</f>
        <v/>
      </c>
      <c r="K25" s="77" t="str">
        <f aca="false">IF($A25="","",F25*J25+INDEX(BAHARY!$N$2:$N$901,463))</f>
        <v/>
      </c>
      <c r="L25" s="79" t="str">
        <f aca="false">IF($A25="","",I25-K25)</f>
        <v/>
      </c>
    </row>
    <row r="26" customFormat="false" ht="15" hidden="false" customHeight="true" outlineLevel="0" collapsed="false">
      <c r="A26" s="75" t="str">
        <f aca="false">IF(464&lt;=Check!$C$4,INDEX(BAHARY!$A$2:$A$901,464),"")</f>
        <v/>
      </c>
      <c r="B26" s="76" t="str">
        <f aca="false">IF($A26="","",INDEX(BAHARY!$B$2:$B$901,464))</f>
        <v/>
      </c>
      <c r="C26" s="76" t="str">
        <f aca="false">IF($A26="","",INDEX(BAHARY!$C$2:$C$901,464))</f>
        <v/>
      </c>
      <c r="D26" s="77" t="str">
        <f aca="false">IF($A26="","",INDEX(BAHARY!$H$2:$H$901,464))</f>
        <v/>
      </c>
      <c r="E26" s="77" t="str">
        <f aca="false">IF($A26="","",INDEX(BAHARY!$E$2:$E$901,464))</f>
        <v/>
      </c>
      <c r="F26" s="77" t="str">
        <f aca="false">IF($A26="","",D26+E26)</f>
        <v/>
      </c>
      <c r="G26" s="77" t="str">
        <f aca="false">IF($A26="","",D26*(1-'كشف المطالبة'!$D$5))</f>
        <v/>
      </c>
      <c r="H26" s="77" t="str">
        <f aca="false">IF($A26="","",E26*(1-'كشف المطالبة'!$D$6))</f>
        <v/>
      </c>
      <c r="I26" s="77" t="str">
        <f aca="false">IF($A26="","",G26+H26)</f>
        <v/>
      </c>
      <c r="J26" s="78" t="str">
        <f aca="false">IF($A26="","",0)</f>
        <v/>
      </c>
      <c r="K26" s="77" t="str">
        <f aca="false">IF($A26="","",F26*J26+INDEX(BAHARY!$N$2:$N$901,464))</f>
        <v/>
      </c>
      <c r="L26" s="79" t="str">
        <f aca="false">IF($A26="","",I26-K26)</f>
        <v/>
      </c>
    </row>
    <row r="27" customFormat="false" ht="15" hidden="false" customHeight="true" outlineLevel="0" collapsed="false">
      <c r="A27" s="75" t="str">
        <f aca="false">IF(465&lt;=Check!$C$4,INDEX(BAHARY!$A$2:$A$901,465),"")</f>
        <v/>
      </c>
      <c r="B27" s="76" t="str">
        <f aca="false">IF($A27="","",INDEX(BAHARY!$B$2:$B$901,465))</f>
        <v/>
      </c>
      <c r="C27" s="76" t="str">
        <f aca="false">IF($A27="","",INDEX(BAHARY!$C$2:$C$901,465))</f>
        <v/>
      </c>
      <c r="D27" s="77" t="str">
        <f aca="false">IF($A27="","",INDEX(BAHARY!$H$2:$H$901,465))</f>
        <v/>
      </c>
      <c r="E27" s="77" t="str">
        <f aca="false">IF($A27="","",INDEX(BAHARY!$E$2:$E$901,465))</f>
        <v/>
      </c>
      <c r="F27" s="77" t="str">
        <f aca="false">IF($A27="","",D27+E27)</f>
        <v/>
      </c>
      <c r="G27" s="77" t="str">
        <f aca="false">IF($A27="","",D27*(1-'كشف المطالبة'!$D$5))</f>
        <v/>
      </c>
      <c r="H27" s="77" t="str">
        <f aca="false">IF($A27="","",E27*(1-'كشف المطالبة'!$D$6))</f>
        <v/>
      </c>
      <c r="I27" s="77" t="str">
        <f aca="false">IF($A27="","",G27+H27)</f>
        <v/>
      </c>
      <c r="J27" s="78" t="str">
        <f aca="false">IF($A27="","",0)</f>
        <v/>
      </c>
      <c r="K27" s="77" t="str">
        <f aca="false">IF($A27="","",F27*J27+INDEX(BAHARY!$N$2:$N$901,465))</f>
        <v/>
      </c>
      <c r="L27" s="79" t="str">
        <f aca="false">IF($A27="","",I27-K27)</f>
        <v/>
      </c>
    </row>
    <row r="28" customFormat="false" ht="15" hidden="false" customHeight="true" outlineLevel="0" collapsed="false">
      <c r="A28" s="75" t="str">
        <f aca="false">IF(466&lt;=Check!$C$4,INDEX(BAHARY!$A$2:$A$901,466),"")</f>
        <v/>
      </c>
      <c r="B28" s="76" t="str">
        <f aca="false">IF($A28="","",INDEX(BAHARY!$B$2:$B$901,466))</f>
        <v/>
      </c>
      <c r="C28" s="76" t="str">
        <f aca="false">IF($A28="","",INDEX(BAHARY!$C$2:$C$901,466))</f>
        <v/>
      </c>
      <c r="D28" s="77" t="str">
        <f aca="false">IF($A28="","",INDEX(BAHARY!$H$2:$H$901,466))</f>
        <v/>
      </c>
      <c r="E28" s="77" t="str">
        <f aca="false">IF($A28="","",INDEX(BAHARY!$E$2:$E$901,466))</f>
        <v/>
      </c>
      <c r="F28" s="77" t="str">
        <f aca="false">IF($A28="","",D28+E28)</f>
        <v/>
      </c>
      <c r="G28" s="77" t="str">
        <f aca="false">IF($A28="","",D28*(1-'كشف المطالبة'!$D$5))</f>
        <v/>
      </c>
      <c r="H28" s="77" t="str">
        <f aca="false">IF($A28="","",E28*(1-'كشف المطالبة'!$D$6))</f>
        <v/>
      </c>
      <c r="I28" s="77" t="str">
        <f aca="false">IF($A28="","",G28+H28)</f>
        <v/>
      </c>
      <c r="J28" s="78" t="str">
        <f aca="false">IF($A28="","",0)</f>
        <v/>
      </c>
      <c r="K28" s="77" t="str">
        <f aca="false">IF($A28="","",F28*J28+INDEX(BAHARY!$N$2:$N$901,466))</f>
        <v/>
      </c>
      <c r="L28" s="79" t="str">
        <f aca="false">IF($A28="","",I28-K28)</f>
        <v/>
      </c>
    </row>
    <row r="29" customFormat="false" ht="15" hidden="false" customHeight="true" outlineLevel="0" collapsed="false">
      <c r="A29" s="75" t="str">
        <f aca="false">IF(467&lt;=Check!$C$4,INDEX(BAHARY!$A$2:$A$901,467),"")</f>
        <v/>
      </c>
      <c r="B29" s="76" t="str">
        <f aca="false">IF($A29="","",INDEX(BAHARY!$B$2:$B$901,467))</f>
        <v/>
      </c>
      <c r="C29" s="76" t="str">
        <f aca="false">IF($A29="","",INDEX(BAHARY!$C$2:$C$901,467))</f>
        <v/>
      </c>
      <c r="D29" s="77" t="str">
        <f aca="false">IF($A29="","",INDEX(BAHARY!$H$2:$H$901,467))</f>
        <v/>
      </c>
      <c r="E29" s="77" t="str">
        <f aca="false">IF($A29="","",INDEX(BAHARY!$E$2:$E$901,467))</f>
        <v/>
      </c>
      <c r="F29" s="77" t="str">
        <f aca="false">IF($A29="","",D29+E29)</f>
        <v/>
      </c>
      <c r="G29" s="77" t="str">
        <f aca="false">IF($A29="","",D29*(1-'كشف المطالبة'!$D$5))</f>
        <v/>
      </c>
      <c r="H29" s="77" t="str">
        <f aca="false">IF($A29="","",E29*(1-'كشف المطالبة'!$D$6))</f>
        <v/>
      </c>
      <c r="I29" s="77" t="str">
        <f aca="false">IF($A29="","",G29+H29)</f>
        <v/>
      </c>
      <c r="J29" s="78" t="str">
        <f aca="false">IF($A29="","",0)</f>
        <v/>
      </c>
      <c r="K29" s="77" t="str">
        <f aca="false">IF($A29="","",F29*J29+INDEX(BAHARY!$N$2:$N$901,467))</f>
        <v/>
      </c>
      <c r="L29" s="79" t="str">
        <f aca="false">IF($A29="","",I29-K29)</f>
        <v/>
      </c>
    </row>
    <row r="30" customFormat="false" ht="15" hidden="false" customHeight="true" outlineLevel="0" collapsed="false">
      <c r="A30" s="75" t="str">
        <f aca="false">IF(468&lt;=Check!$C$4,INDEX(BAHARY!$A$2:$A$901,468),"")</f>
        <v/>
      </c>
      <c r="B30" s="76" t="str">
        <f aca="false">IF($A30="","",INDEX(BAHARY!$B$2:$B$901,468))</f>
        <v/>
      </c>
      <c r="C30" s="76" t="str">
        <f aca="false">IF($A30="","",INDEX(BAHARY!$C$2:$C$901,468))</f>
        <v/>
      </c>
      <c r="D30" s="77" t="str">
        <f aca="false">IF($A30="","",INDEX(BAHARY!$H$2:$H$901,468))</f>
        <v/>
      </c>
      <c r="E30" s="77" t="str">
        <f aca="false">IF($A30="","",INDEX(BAHARY!$E$2:$E$901,468))</f>
        <v/>
      </c>
      <c r="F30" s="77" t="str">
        <f aca="false">IF($A30="","",D30+E30)</f>
        <v/>
      </c>
      <c r="G30" s="77" t="str">
        <f aca="false">IF($A30="","",D30*(1-'كشف المطالبة'!$D$5))</f>
        <v/>
      </c>
      <c r="H30" s="77" t="str">
        <f aca="false">IF($A30="","",E30*(1-'كشف المطالبة'!$D$6))</f>
        <v/>
      </c>
      <c r="I30" s="77" t="str">
        <f aca="false">IF($A30="","",G30+H30)</f>
        <v/>
      </c>
      <c r="J30" s="78" t="str">
        <f aca="false">IF($A30="","",0)</f>
        <v/>
      </c>
      <c r="K30" s="77" t="str">
        <f aca="false">IF($A30="","",F30*J30+INDEX(BAHARY!$N$2:$N$901,468))</f>
        <v/>
      </c>
      <c r="L30" s="79" t="str">
        <f aca="false">IF($A30="","",I30-K30)</f>
        <v/>
      </c>
    </row>
    <row r="31" customFormat="false" ht="15" hidden="false" customHeight="true" outlineLevel="0" collapsed="false">
      <c r="A31" s="75" t="str">
        <f aca="false">IF(469&lt;=Check!$C$4,INDEX(BAHARY!$A$2:$A$901,469),"")</f>
        <v/>
      </c>
      <c r="B31" s="76" t="str">
        <f aca="false">IF($A31="","",INDEX(BAHARY!$B$2:$B$901,469))</f>
        <v/>
      </c>
      <c r="C31" s="76" t="str">
        <f aca="false">IF($A31="","",INDEX(BAHARY!$C$2:$C$901,469))</f>
        <v/>
      </c>
      <c r="D31" s="77" t="str">
        <f aca="false">IF($A31="","",INDEX(BAHARY!$H$2:$H$901,469))</f>
        <v/>
      </c>
      <c r="E31" s="77" t="str">
        <f aca="false">IF($A31="","",INDEX(BAHARY!$E$2:$E$901,469))</f>
        <v/>
      </c>
      <c r="F31" s="77" t="str">
        <f aca="false">IF($A31="","",D31+E31)</f>
        <v/>
      </c>
      <c r="G31" s="77" t="str">
        <f aca="false">IF($A31="","",D31*(1-'كشف المطالبة'!$D$5))</f>
        <v/>
      </c>
      <c r="H31" s="77" t="str">
        <f aca="false">IF($A31="","",E31*(1-'كشف المطالبة'!$D$6))</f>
        <v/>
      </c>
      <c r="I31" s="77" t="str">
        <f aca="false">IF($A31="","",G31+H31)</f>
        <v/>
      </c>
      <c r="J31" s="78" t="str">
        <f aca="false">IF($A31="","",0)</f>
        <v/>
      </c>
      <c r="K31" s="77" t="str">
        <f aca="false">IF($A31="","",F31*J31+INDEX(BAHARY!$N$2:$N$901,469))</f>
        <v/>
      </c>
      <c r="L31" s="79" t="str">
        <f aca="false">IF($A31="","",I31-K31)</f>
        <v/>
      </c>
    </row>
    <row r="32" customFormat="false" ht="15" hidden="false" customHeight="true" outlineLevel="0" collapsed="false">
      <c r="A32" s="75" t="str">
        <f aca="false">IF(470&lt;=Check!$C$4,INDEX(BAHARY!$A$2:$A$901,470),"")</f>
        <v/>
      </c>
      <c r="B32" s="76" t="str">
        <f aca="false">IF($A32="","",INDEX(BAHARY!$B$2:$B$901,470))</f>
        <v/>
      </c>
      <c r="C32" s="76" t="str">
        <f aca="false">IF($A32="","",INDEX(BAHARY!$C$2:$C$901,470))</f>
        <v/>
      </c>
      <c r="D32" s="77" t="str">
        <f aca="false">IF($A32="","",INDEX(BAHARY!$H$2:$H$901,470))</f>
        <v/>
      </c>
      <c r="E32" s="77" t="str">
        <f aca="false">IF($A32="","",INDEX(BAHARY!$E$2:$E$901,470))</f>
        <v/>
      </c>
      <c r="F32" s="77" t="str">
        <f aca="false">IF($A32="","",D32+E32)</f>
        <v/>
      </c>
      <c r="G32" s="77" t="str">
        <f aca="false">IF($A32="","",D32*(1-'كشف المطالبة'!$D$5))</f>
        <v/>
      </c>
      <c r="H32" s="77" t="str">
        <f aca="false">IF($A32="","",E32*(1-'كشف المطالبة'!$D$6))</f>
        <v/>
      </c>
      <c r="I32" s="77" t="str">
        <f aca="false">IF($A32="","",G32+H32)</f>
        <v/>
      </c>
      <c r="J32" s="78" t="str">
        <f aca="false">IF($A32="","",0)</f>
        <v/>
      </c>
      <c r="K32" s="77" t="str">
        <f aca="false">IF($A32="","",F32*J32+INDEX(BAHARY!$N$2:$N$901,470))</f>
        <v/>
      </c>
      <c r="L32" s="79" t="str">
        <f aca="false">IF($A32="","",I32-K32)</f>
        <v/>
      </c>
    </row>
    <row r="33" customFormat="false" ht="15" hidden="false" customHeight="true" outlineLevel="0" collapsed="false">
      <c r="A33" s="75" t="str">
        <f aca="false">IF(471&lt;=Check!$C$4,INDEX(BAHARY!$A$2:$A$901,471),"")</f>
        <v/>
      </c>
      <c r="B33" s="76" t="str">
        <f aca="false">IF($A33="","",INDEX(BAHARY!$B$2:$B$901,471))</f>
        <v/>
      </c>
      <c r="C33" s="76" t="str">
        <f aca="false">IF($A33="","",INDEX(BAHARY!$C$2:$C$901,471))</f>
        <v/>
      </c>
      <c r="D33" s="77" t="str">
        <f aca="false">IF($A33="","",INDEX(BAHARY!$H$2:$H$901,471))</f>
        <v/>
      </c>
      <c r="E33" s="77" t="str">
        <f aca="false">IF($A33="","",INDEX(BAHARY!$E$2:$E$901,471))</f>
        <v/>
      </c>
      <c r="F33" s="77" t="str">
        <f aca="false">IF($A33="","",D33+E33)</f>
        <v/>
      </c>
      <c r="G33" s="77" t="str">
        <f aca="false">IF($A33="","",D33*(1-'كشف المطالبة'!$D$5))</f>
        <v/>
      </c>
      <c r="H33" s="77" t="str">
        <f aca="false">IF($A33="","",E33*(1-'كشف المطالبة'!$D$6))</f>
        <v/>
      </c>
      <c r="I33" s="77" t="str">
        <f aca="false">IF($A33="","",G33+H33)</f>
        <v/>
      </c>
      <c r="J33" s="78" t="str">
        <f aca="false">IF($A33="","",0)</f>
        <v/>
      </c>
      <c r="K33" s="77" t="str">
        <f aca="false">IF($A33="","",F33*J33+INDEX(BAHARY!$N$2:$N$901,471))</f>
        <v/>
      </c>
      <c r="L33" s="79" t="str">
        <f aca="false">IF($A33="","",I33-K33)</f>
        <v/>
      </c>
    </row>
    <row r="34" customFormat="false" ht="15" hidden="false" customHeight="true" outlineLevel="0" collapsed="false">
      <c r="A34" s="75" t="str">
        <f aca="false">IF(472&lt;=Check!$C$4,INDEX(BAHARY!$A$2:$A$901,472),"")</f>
        <v/>
      </c>
      <c r="B34" s="76" t="str">
        <f aca="false">IF($A34="","",INDEX(BAHARY!$B$2:$B$901,472))</f>
        <v/>
      </c>
      <c r="C34" s="76" t="str">
        <f aca="false">IF($A34="","",INDEX(BAHARY!$C$2:$C$901,472))</f>
        <v/>
      </c>
      <c r="D34" s="77" t="str">
        <f aca="false">IF($A34="","",INDEX(BAHARY!$H$2:$H$901,472))</f>
        <v/>
      </c>
      <c r="E34" s="77" t="str">
        <f aca="false">IF($A34="","",INDEX(BAHARY!$E$2:$E$901,472))</f>
        <v/>
      </c>
      <c r="F34" s="77" t="str">
        <f aca="false">IF($A34="","",D34+E34)</f>
        <v/>
      </c>
      <c r="G34" s="77" t="str">
        <f aca="false">IF($A34="","",D34*(1-'كشف المطالبة'!$D$5))</f>
        <v/>
      </c>
      <c r="H34" s="77" t="str">
        <f aca="false">IF($A34="","",E34*(1-'كشف المطالبة'!$D$6))</f>
        <v/>
      </c>
      <c r="I34" s="77" t="str">
        <f aca="false">IF($A34="","",G34+H34)</f>
        <v/>
      </c>
      <c r="J34" s="78" t="str">
        <f aca="false">IF($A34="","",0)</f>
        <v/>
      </c>
      <c r="K34" s="77" t="str">
        <f aca="false">IF($A34="","",F34*J34+INDEX(BAHARY!$N$2:$N$901,472))</f>
        <v/>
      </c>
      <c r="L34" s="79" t="str">
        <f aca="false">IF($A34="","",I34-K34)</f>
        <v/>
      </c>
    </row>
    <row r="35" customFormat="false" ht="15" hidden="false" customHeight="true" outlineLevel="0" collapsed="false">
      <c r="A35" s="75" t="str">
        <f aca="false">IF(473&lt;=Check!$C$4,INDEX(BAHARY!$A$2:$A$901,473),"")</f>
        <v/>
      </c>
      <c r="B35" s="76" t="str">
        <f aca="false">IF($A35="","",INDEX(BAHARY!$B$2:$B$901,473))</f>
        <v/>
      </c>
      <c r="C35" s="76" t="str">
        <f aca="false">IF($A35="","",INDEX(BAHARY!$C$2:$C$901,473))</f>
        <v/>
      </c>
      <c r="D35" s="77" t="str">
        <f aca="false">IF($A35="","",INDEX(BAHARY!$H$2:$H$901,473))</f>
        <v/>
      </c>
      <c r="E35" s="77" t="str">
        <f aca="false">IF($A35="","",INDEX(BAHARY!$E$2:$E$901,473))</f>
        <v/>
      </c>
      <c r="F35" s="77" t="str">
        <f aca="false">IF($A35="","",D35+E35)</f>
        <v/>
      </c>
      <c r="G35" s="77" t="str">
        <f aca="false">IF($A35="","",D35*(1-'كشف المطالبة'!$D$5))</f>
        <v/>
      </c>
      <c r="H35" s="77" t="str">
        <f aca="false">IF($A35="","",E35*(1-'كشف المطالبة'!$D$6))</f>
        <v/>
      </c>
      <c r="I35" s="77" t="str">
        <f aca="false">IF($A35="","",G35+H35)</f>
        <v/>
      </c>
      <c r="J35" s="78" t="str">
        <f aca="false">IF($A35="","",0)</f>
        <v/>
      </c>
      <c r="K35" s="77" t="str">
        <f aca="false">IF($A35="","",F35*J35+INDEX(BAHARY!$N$2:$N$901,473))</f>
        <v/>
      </c>
      <c r="L35" s="79" t="str">
        <f aca="false">IF($A35="","",I35-K35)</f>
        <v/>
      </c>
    </row>
    <row r="36" customFormat="false" ht="15" hidden="false" customHeight="true" outlineLevel="0" collapsed="false">
      <c r="A36" s="75" t="str">
        <f aca="false">IF(474&lt;=Check!$C$4,INDEX(BAHARY!$A$2:$A$901,474),"")</f>
        <v/>
      </c>
      <c r="B36" s="76" t="str">
        <f aca="false">IF($A36="","",INDEX(BAHARY!$B$2:$B$901,474))</f>
        <v/>
      </c>
      <c r="C36" s="76" t="str">
        <f aca="false">IF($A36="","",INDEX(BAHARY!$C$2:$C$901,474))</f>
        <v/>
      </c>
      <c r="D36" s="77" t="str">
        <f aca="false">IF($A36="","",INDEX(BAHARY!$H$2:$H$901,474))</f>
        <v/>
      </c>
      <c r="E36" s="77" t="str">
        <f aca="false">IF($A36="","",INDEX(BAHARY!$E$2:$E$901,474))</f>
        <v/>
      </c>
      <c r="F36" s="77" t="str">
        <f aca="false">IF($A36="","",D36+E36)</f>
        <v/>
      </c>
      <c r="G36" s="77" t="str">
        <f aca="false">IF($A36="","",D36*(1-'كشف المطالبة'!$D$5))</f>
        <v/>
      </c>
      <c r="H36" s="77" t="str">
        <f aca="false">IF($A36="","",E36*(1-'كشف المطالبة'!$D$6))</f>
        <v/>
      </c>
      <c r="I36" s="77" t="str">
        <f aca="false">IF($A36="","",G36+H36)</f>
        <v/>
      </c>
      <c r="J36" s="78" t="str">
        <f aca="false">IF($A36="","",0)</f>
        <v/>
      </c>
      <c r="K36" s="77" t="str">
        <f aca="false">IF($A36="","",F36*J36+INDEX(BAHARY!$N$2:$N$901,474))</f>
        <v/>
      </c>
      <c r="L36" s="79" t="str">
        <f aca="false">IF($A36="","",I36-K36)</f>
        <v/>
      </c>
    </row>
    <row r="37" customFormat="false" ht="15" hidden="false" customHeight="true" outlineLevel="0" collapsed="false">
      <c r="A37" s="75" t="str">
        <f aca="false">IF(475&lt;=Check!$C$4,INDEX(BAHARY!$A$2:$A$901,475),"")</f>
        <v/>
      </c>
      <c r="B37" s="76" t="str">
        <f aca="false">IF($A37="","",INDEX(BAHARY!$B$2:$B$901,475))</f>
        <v/>
      </c>
      <c r="C37" s="76" t="str">
        <f aca="false">IF($A37="","",INDEX(BAHARY!$C$2:$C$901,475))</f>
        <v/>
      </c>
      <c r="D37" s="77" t="str">
        <f aca="false">IF($A37="","",INDEX(BAHARY!$H$2:$H$901,475))</f>
        <v/>
      </c>
      <c r="E37" s="77" t="str">
        <f aca="false">IF($A37="","",INDEX(BAHARY!$E$2:$E$901,475))</f>
        <v/>
      </c>
      <c r="F37" s="77" t="str">
        <f aca="false">IF($A37="","",D37+E37)</f>
        <v/>
      </c>
      <c r="G37" s="77" t="str">
        <f aca="false">IF($A37="","",D37*(1-'كشف المطالبة'!$D$5))</f>
        <v/>
      </c>
      <c r="H37" s="77" t="str">
        <f aca="false">IF($A37="","",E37*(1-'كشف المطالبة'!$D$6))</f>
        <v/>
      </c>
      <c r="I37" s="77" t="str">
        <f aca="false">IF($A37="","",G37+H37)</f>
        <v/>
      </c>
      <c r="J37" s="78" t="str">
        <f aca="false">IF($A37="","",0)</f>
        <v/>
      </c>
      <c r="K37" s="77" t="str">
        <f aca="false">IF($A37="","",F37*J37+INDEX(BAHARY!$N$2:$N$901,475))</f>
        <v/>
      </c>
      <c r="L37" s="79" t="str">
        <f aca="false">IF($A37="","",I37-K37)</f>
        <v/>
      </c>
    </row>
    <row r="38" customFormat="false" ht="15" hidden="false" customHeight="true" outlineLevel="0" collapsed="false">
      <c r="A38" s="75" t="str">
        <f aca="false">IF(476&lt;=Check!$C$4,INDEX(BAHARY!$A$2:$A$901,476),"")</f>
        <v/>
      </c>
      <c r="B38" s="76" t="str">
        <f aca="false">IF($A38="","",INDEX(BAHARY!$B$2:$B$901,476))</f>
        <v/>
      </c>
      <c r="C38" s="76" t="str">
        <f aca="false">IF($A38="","",INDEX(BAHARY!$C$2:$C$901,476))</f>
        <v/>
      </c>
      <c r="D38" s="77" t="str">
        <f aca="false">IF($A38="","",INDEX(BAHARY!$H$2:$H$901,476))</f>
        <v/>
      </c>
      <c r="E38" s="77" t="str">
        <f aca="false">IF($A38="","",INDEX(BAHARY!$E$2:$E$901,476))</f>
        <v/>
      </c>
      <c r="F38" s="77" t="str">
        <f aca="false">IF($A38="","",D38+E38)</f>
        <v/>
      </c>
      <c r="G38" s="77" t="str">
        <f aca="false">IF($A38="","",D38*(1-'كشف المطالبة'!$D$5))</f>
        <v/>
      </c>
      <c r="H38" s="77" t="str">
        <f aca="false">IF($A38="","",E38*(1-'كشف المطالبة'!$D$6))</f>
        <v/>
      </c>
      <c r="I38" s="77" t="str">
        <f aca="false">IF($A38="","",G38+H38)</f>
        <v/>
      </c>
      <c r="J38" s="78" t="str">
        <f aca="false">IF($A38="","",0)</f>
        <v/>
      </c>
      <c r="K38" s="77" t="str">
        <f aca="false">IF($A38="","",F38*J38+INDEX(BAHARY!$N$2:$N$901,476))</f>
        <v/>
      </c>
      <c r="L38" s="79" t="str">
        <f aca="false">IF($A38="","",I38-K38)</f>
        <v/>
      </c>
    </row>
    <row r="39" customFormat="false" ht="15" hidden="false" customHeight="true" outlineLevel="0" collapsed="false">
      <c r="A39" s="75" t="str">
        <f aca="false">IF(477&lt;=Check!$C$4,INDEX(BAHARY!$A$2:$A$901,477),"")</f>
        <v/>
      </c>
      <c r="B39" s="76" t="str">
        <f aca="false">IF($A39="","",INDEX(BAHARY!$B$2:$B$901,477))</f>
        <v/>
      </c>
      <c r="C39" s="76" t="str">
        <f aca="false">IF($A39="","",INDEX(BAHARY!$C$2:$C$901,477))</f>
        <v/>
      </c>
      <c r="D39" s="77" t="str">
        <f aca="false">IF($A39="","",INDEX(BAHARY!$H$2:$H$901,477))</f>
        <v/>
      </c>
      <c r="E39" s="77" t="str">
        <f aca="false">IF($A39="","",INDEX(BAHARY!$E$2:$E$901,477))</f>
        <v/>
      </c>
      <c r="F39" s="77" t="str">
        <f aca="false">IF($A39="","",D39+E39)</f>
        <v/>
      </c>
      <c r="G39" s="77" t="str">
        <f aca="false">IF($A39="","",D39*(1-'كشف المطالبة'!$D$5))</f>
        <v/>
      </c>
      <c r="H39" s="77" t="str">
        <f aca="false">IF($A39="","",E39*(1-'كشف المطالبة'!$D$6))</f>
        <v/>
      </c>
      <c r="I39" s="77" t="str">
        <f aca="false">IF($A39="","",G39+H39)</f>
        <v/>
      </c>
      <c r="J39" s="78" t="str">
        <f aca="false">IF($A39="","",0)</f>
        <v/>
      </c>
      <c r="K39" s="77" t="str">
        <f aca="false">IF($A39="","",F39*J39+INDEX(BAHARY!$N$2:$N$901,477))</f>
        <v/>
      </c>
      <c r="L39" s="79" t="str">
        <f aca="false">IF($A39="","",I39-K39)</f>
        <v/>
      </c>
    </row>
    <row r="40" customFormat="false" ht="15" hidden="false" customHeight="true" outlineLevel="0" collapsed="false">
      <c r="A40" s="75" t="str">
        <f aca="false">IF(478&lt;=Check!$C$4,INDEX(BAHARY!$A$2:$A$901,478),"")</f>
        <v/>
      </c>
      <c r="B40" s="76" t="str">
        <f aca="false">IF($A40="","",INDEX(BAHARY!$B$2:$B$901,478))</f>
        <v/>
      </c>
      <c r="C40" s="76" t="str">
        <f aca="false">IF($A40="","",INDEX(BAHARY!$C$2:$C$901,478))</f>
        <v/>
      </c>
      <c r="D40" s="77" t="str">
        <f aca="false">IF($A40="","",INDEX(BAHARY!$H$2:$H$901,478))</f>
        <v/>
      </c>
      <c r="E40" s="77" t="str">
        <f aca="false">IF($A40="","",INDEX(BAHARY!$E$2:$E$901,478))</f>
        <v/>
      </c>
      <c r="F40" s="77" t="str">
        <f aca="false">IF($A40="","",D40+E40)</f>
        <v/>
      </c>
      <c r="G40" s="77" t="str">
        <f aca="false">IF($A40="","",D40*(1-'كشف المطالبة'!$D$5))</f>
        <v/>
      </c>
      <c r="H40" s="77" t="str">
        <f aca="false">IF($A40="","",E40*(1-'كشف المطالبة'!$D$6))</f>
        <v/>
      </c>
      <c r="I40" s="77" t="str">
        <f aca="false">IF($A40="","",G40+H40)</f>
        <v/>
      </c>
      <c r="J40" s="78" t="str">
        <f aca="false">IF($A40="","",0)</f>
        <v/>
      </c>
      <c r="K40" s="77" t="str">
        <f aca="false">IF($A40="","",F40*J40+INDEX(BAHARY!$N$2:$N$901,478))</f>
        <v/>
      </c>
      <c r="L40" s="79" t="str">
        <f aca="false">IF($A40="","",I40-K40)</f>
        <v/>
      </c>
    </row>
    <row r="41" customFormat="false" ht="15" hidden="false" customHeight="true" outlineLevel="0" collapsed="false">
      <c r="A41" s="75" t="str">
        <f aca="false">IF(479&lt;=Check!$C$4,INDEX(BAHARY!$A$2:$A$901,479),"")</f>
        <v/>
      </c>
      <c r="B41" s="76" t="str">
        <f aca="false">IF($A41="","",INDEX(BAHARY!$B$2:$B$901,479))</f>
        <v/>
      </c>
      <c r="C41" s="76" t="str">
        <f aca="false">IF($A41="","",INDEX(BAHARY!$C$2:$C$901,479))</f>
        <v/>
      </c>
      <c r="D41" s="77" t="str">
        <f aca="false">IF($A41="","",INDEX(BAHARY!$H$2:$H$901,479))</f>
        <v/>
      </c>
      <c r="E41" s="77" t="str">
        <f aca="false">IF($A41="","",INDEX(BAHARY!$E$2:$E$901,479))</f>
        <v/>
      </c>
      <c r="F41" s="77" t="str">
        <f aca="false">IF($A41="","",D41+E41)</f>
        <v/>
      </c>
      <c r="G41" s="77" t="str">
        <f aca="false">IF($A41="","",D41*(1-'كشف المطالبة'!$D$5))</f>
        <v/>
      </c>
      <c r="H41" s="77" t="str">
        <f aca="false">IF($A41="","",E41*(1-'كشف المطالبة'!$D$6))</f>
        <v/>
      </c>
      <c r="I41" s="77" t="str">
        <f aca="false">IF($A41="","",G41+H41)</f>
        <v/>
      </c>
      <c r="J41" s="78" t="str">
        <f aca="false">IF($A41="","",0)</f>
        <v/>
      </c>
      <c r="K41" s="77" t="str">
        <f aca="false">IF($A41="","",F41*J41+INDEX(BAHARY!$N$2:$N$901,479))</f>
        <v/>
      </c>
      <c r="L41" s="79" t="str">
        <f aca="false">IF($A41="","",I41-K41)</f>
        <v/>
      </c>
    </row>
    <row r="42" customFormat="false" ht="15" hidden="false" customHeight="true" outlineLevel="0" collapsed="false">
      <c r="A42" s="75" t="str">
        <f aca="false">IF(480&lt;=Check!$C$4,INDEX(BAHARY!$A$2:$A$901,480),"")</f>
        <v/>
      </c>
      <c r="B42" s="76" t="str">
        <f aca="false">IF($A42="","",INDEX(BAHARY!$B$2:$B$901,480))</f>
        <v/>
      </c>
      <c r="C42" s="76" t="str">
        <f aca="false">IF($A42="","",INDEX(BAHARY!$C$2:$C$901,480))</f>
        <v/>
      </c>
      <c r="D42" s="77" t="str">
        <f aca="false">IF($A42="","",INDEX(BAHARY!$H$2:$H$901,480))</f>
        <v/>
      </c>
      <c r="E42" s="77" t="str">
        <f aca="false">IF($A42="","",INDEX(BAHARY!$E$2:$E$901,480))</f>
        <v/>
      </c>
      <c r="F42" s="77" t="str">
        <f aca="false">IF($A42="","",D42+E42)</f>
        <v/>
      </c>
      <c r="G42" s="77" t="str">
        <f aca="false">IF($A42="","",D42*(1-'كشف المطالبة'!$D$5))</f>
        <v/>
      </c>
      <c r="H42" s="77" t="str">
        <f aca="false">IF($A42="","",E42*(1-'كشف المطالبة'!$D$6))</f>
        <v/>
      </c>
      <c r="I42" s="77" t="str">
        <f aca="false">IF($A42="","",G42+H42)</f>
        <v/>
      </c>
      <c r="J42" s="78" t="str">
        <f aca="false">IF($A42="","",0)</f>
        <v/>
      </c>
      <c r="K42" s="77" t="str">
        <f aca="false">IF($A42="","",F42*J42+INDEX(BAHARY!$N$2:$N$901,480))</f>
        <v/>
      </c>
      <c r="L42" s="79" t="str">
        <f aca="false">IF($A42="","",I42-K42)</f>
        <v/>
      </c>
    </row>
    <row r="44" customFormat="false" ht="15" hidden="false" customHeight="true" outlineLevel="0" collapsed="false"/>
    <row r="45" s="86" customFormat="true" ht="15.75" hidden="false" customHeight="true" outlineLevel="0" collapsed="false">
      <c r="A45" s="81" t="s">
        <v>114</v>
      </c>
      <c r="B45" s="81"/>
      <c r="C45" s="81"/>
      <c r="D45" s="82" t="n">
        <f aca="false">SUM(D3:D42)</f>
        <v>0</v>
      </c>
      <c r="E45" s="82" t="n">
        <f aca="false">SUM(E3:E42)</f>
        <v>0</v>
      </c>
      <c r="F45" s="82" t="n">
        <f aca="false">SUM(F3:F42)</f>
        <v>0</v>
      </c>
      <c r="G45" s="82" t="n">
        <f aca="false">SUM(G3:G42)</f>
        <v>0</v>
      </c>
      <c r="H45" s="82" t="n">
        <f aca="false">SUM(H3:H42)</f>
        <v>0</v>
      </c>
      <c r="I45" s="82" t="n">
        <f aca="false">SUM(I3:I42)</f>
        <v>0</v>
      </c>
      <c r="J45" s="83"/>
      <c r="K45" s="82" t="n">
        <f aca="false">SUM(K3:K42)</f>
        <v>0</v>
      </c>
      <c r="L45" s="84" t="n">
        <f aca="false">SUM(L3:L42)</f>
        <v>0</v>
      </c>
      <c r="M45" s="85" t="n">
        <v>12</v>
      </c>
    </row>
  </sheetData>
  <mergeCells count="4">
    <mergeCell ref="A1:B1"/>
    <mergeCell ref="E1:G1"/>
    <mergeCell ref="K1:L1"/>
    <mergeCell ref="A45:C45"/>
  </mergeCells>
  <conditionalFormatting sqref="A3:A42 D3:L42">
    <cfRule type="expression" priority="2" aboveAverage="0" equalAverage="0" bottom="0" percent="0" rank="0" text="" dxfId="6">
      <formula>ISODD(ROW())</formula>
    </cfRule>
  </conditionalFormatting>
  <printOptions headings="false" gridLines="false" gridLinesSet="true" horizontalCentered="false" verticalCentered="false"/>
  <pageMargins left="0.279861111111111" right="0.279861111111111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2022-11-11T00:03:00Z</dcterms:created>
  <dc:creator>Windows User</dc:creator>
  <dc:description/>
  <dc:language>en-US</dc:language>
  <cp:lastModifiedBy>Magda talibah</cp:lastModifiedBy>
  <cp:lastPrinted>2025-12-12T15:32:55Z</cp:lastPrinted>
  <dcterms:modified xsi:type="dcterms:W3CDTF">2026-10-06T15:03:58Z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45FEAF962BD74943B25CB3F8D81C8779_13</vt:lpwstr>
  </property>
  <property fmtid="{D5CDD505-2E9C-101B-9397-08002B2CF9AE}" pid="3" name="KSOProductBuildVer">
    <vt:lpwstr>1033-12.2.0.21546</vt:lpwstr>
  </property>
</Properties>
</file>