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Line'!$A$1:$Z$501</definedName>
    <definedName name="_xlnm._FilterDatabase" localSheetId="3" hidden="1">'Per Invoice'!$A$1:$V$201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####"/>
    <numFmt numFmtId="165" formatCode="dd/mm/yyyy hh:mm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MEDNET (Walk In)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A-E, G-J, N-T, V (same order as the system export).</t>
        </is>
      </c>
    </row>
    <row r="6">
      <c r="A6" s="3" t="inlineStr">
        <is>
          <t>3. Green columns (F, K, L, M, U) and the grey helper columns (W-Z) calculate automatically - do not paste over them.</t>
        </is>
      </c>
    </row>
    <row r="7">
      <c r="A7" s="3" t="inlineStr">
        <is>
          <t>4. 'Per Invoice' fills itself from 'Per Line' (one row per POS Reference, split into IMP / Local). No pivot table, no refresh.</t>
        </is>
      </c>
    </row>
    <row r="8">
      <c r="A8" s="3" t="inlineStr">
        <is>
          <t>5. The ONLY manual column in 'Per Invoice' is column B 'Invoice' (blue): type it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September 2026 sheet)</t>
        </is>
      </c>
    </row>
    <row r="15">
      <c r="A15" s="3" t="inlineStr">
        <is>
          <t>Co val = Co Payment % x Total / 100.   Discount = Total x Rebates (Rebates is a fraction here, e.g. 0.14).   Subtotal = Total - Discount.   Net = Subtotal - Co val.   (Total = 'Total Delivered')</t>
        </is>
      </c>
    </row>
    <row r="16">
      <c r="A16" s="3" t="inlineStr">
        <is>
          <t>Rebates per line = Local rate (14%) if Local is TRUE, otherwise Imported rate (5%). Rates are set in 'Settings'.</t>
        </is>
      </c>
    </row>
    <row r="18">
      <c r="A18" s="3" t="inlineStr">
        <is>
          <t>Per Invoice: IMP = sum of Total of non-local lines; Local = sum of Total of local lines. Grand Total =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500 lines and 200 invoices per month. A line with an empty POS Reference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MEDNET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-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Walk In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0.14</v>
      </c>
      <c r="D6" t="inlineStr">
        <is>
          <t>Source: Sep sheet (Rebates = 0.14 on Local lines).</t>
        </is>
      </c>
    </row>
    <row r="7">
      <c r="B7" t="inlineStr">
        <is>
          <t>Imported (IMP) products rebate %</t>
        </is>
      </c>
      <c r="C7" s="5" t="n">
        <v>0.05</v>
      </c>
      <c r="D7" t="inlineStr">
        <is>
          <t>NOT in the Walk In sheet (only Local lines that month). 5% is the Mednet Chronic/VPN imported rate - confirm it for Walk In.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Line'!$A$2:$A$501)</f>
        <v/>
      </c>
    </row>
    <row r="11">
      <c r="B11" t="inlineStr">
        <is>
          <t>Invoices (unique Order #)</t>
        </is>
      </c>
      <c r="C11">
        <f>MAX('Per Line'!$X$2:$X$501)</f>
        <v/>
      </c>
    </row>
    <row r="12">
      <c r="B12" t="inlineStr">
        <is>
          <t>Invoices shown in Per Invoice</t>
        </is>
      </c>
      <c r="C12">
        <f>SUMPRODUCT(--('Per Invoice'!$A$2:$A$201&lt;&gt;""))</f>
        <v/>
      </c>
    </row>
    <row r="13">
      <c r="B13" t="inlineStr">
        <is>
          <t>Grand Total - Per Line (Product Total)</t>
        </is>
      </c>
      <c r="C13" s="7">
        <f>SUM('Per Line'!$N$2:$N$501)</f>
        <v/>
      </c>
    </row>
    <row r="14">
      <c r="B14" t="inlineStr">
        <is>
          <t>Grand Total - Per Invoice</t>
        </is>
      </c>
      <c r="C14" s="7">
        <f>SUM('Per Invoice'!$T$2:$T$201)</f>
        <v/>
      </c>
    </row>
    <row r="15">
      <c r="B15" t="inlineStr">
        <is>
          <t>Discount - Per Line</t>
        </is>
      </c>
      <c r="C15" s="7">
        <f>SUM('Per Line'!$K$2:$K$501)</f>
        <v/>
      </c>
    </row>
    <row r="16">
      <c r="B16" t="inlineStr">
        <is>
          <t>Discount - Per Invoice</t>
        </is>
      </c>
      <c r="C16" s="7">
        <f>SUM('Per Invoice'!$R$2:$R$201)</f>
        <v/>
      </c>
    </row>
    <row r="17">
      <c r="B17" t="inlineStr">
        <is>
          <t>Co val - Per Line</t>
        </is>
      </c>
      <c r="C17" s="7">
        <f>SUM('Per Line'!$F$2:$F$501)</f>
        <v/>
      </c>
    </row>
    <row r="18">
      <c r="B18" t="inlineStr">
        <is>
          <t>Co val - Per Invoice</t>
        </is>
      </c>
      <c r="C18" s="7">
        <f>SUM('Per Invoice'!$G$2:$G$201)</f>
        <v/>
      </c>
    </row>
    <row r="19">
      <c r="B19" t="inlineStr">
        <is>
          <t>Net - Per Line</t>
        </is>
      </c>
      <c r="C19" s="7">
        <f>SUM('Per Line'!$M$2:$M$501)</f>
        <v/>
      </c>
    </row>
    <row r="20">
      <c r="B20" t="inlineStr">
        <is>
          <t>Net - Per Invoice</t>
        </is>
      </c>
      <c r="C20" s="7">
        <f>SUM('Per Invoice'!$U$2:$U$201)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Line'!$A:$A)-1&gt;500,"TOO MANY LINES - extend template",IF(C11&gt;200,"TOO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13" customWidth="1" min="4" max="4"/>
    <col width="12" customWidth="1" min="5" max="5"/>
    <col width="11" customWidth="1" min="6" max="6"/>
    <col width="12" customWidth="1" min="7" max="7"/>
    <col width="40" customWidth="1" min="8" max="8"/>
    <col width="12" customWidth="1" min="9" max="9"/>
    <col width="12" customWidth="1" min="10" max="10"/>
    <col width="11" customWidth="1" min="11" max="11"/>
    <col width="11" customWidth="1" min="12" max="12"/>
    <col width="11" customWidth="1" min="13" max="13"/>
    <col width="12" customWidth="1" min="14" max="14"/>
    <col width="12" customWidth="1" min="15" max="15"/>
    <col width="12" customWidth="1" min="16" max="16"/>
    <col width="13" customWidth="1" min="17" max="17"/>
    <col width="12" customWidth="1" min="18" max="18"/>
    <col width="17" customWidth="1" min="19" max="19"/>
    <col width="28" customWidth="1" min="20" max="20"/>
    <col width="11" customWidth="1" min="21" max="21"/>
    <col width="12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32" customHeight="1">
      <c r="A1" s="8" t="inlineStr">
        <is>
          <t>Pos Reference</t>
        </is>
      </c>
      <c r="B1" s="8" t="inlineStr">
        <is>
          <t>Insurance Company</t>
        </is>
      </c>
      <c r="C1" s="8" t="inlineStr">
        <is>
          <t>Name</t>
        </is>
      </c>
      <c r="D1" s="8" t="inlineStr">
        <is>
          <t>Card Number</t>
        </is>
      </c>
      <c r="E1" s="8" t="inlineStr">
        <is>
          <t>Co Payment %</t>
        </is>
      </c>
      <c r="F1" s="9" t="inlineStr">
        <is>
          <t>Co val</t>
        </is>
      </c>
      <c r="G1" s="8" t="inlineStr">
        <is>
          <t>Heisenberg id</t>
        </is>
      </c>
      <c r="H1" s="8" t="inlineStr">
        <is>
          <t>Product</t>
        </is>
      </c>
      <c r="I1" s="8" t="inlineStr">
        <is>
          <t>Delivered Qty</t>
        </is>
      </c>
      <c r="J1" s="8" t="inlineStr">
        <is>
          <t>Delivered Price</t>
        </is>
      </c>
      <c r="K1" s="9" t="inlineStr">
        <is>
          <t>Discount</t>
        </is>
      </c>
      <c r="L1" s="9" t="inlineStr">
        <is>
          <t>Subtotal</t>
        </is>
      </c>
      <c r="M1" s="9" t="inlineStr">
        <is>
          <t>Net</t>
        </is>
      </c>
      <c r="N1" s="8" t="inlineStr">
        <is>
          <t>Total Delivered</t>
        </is>
      </c>
      <c r="O1" s="8" t="inlineStr">
        <is>
          <t>Order Amount Total</t>
        </is>
      </c>
      <c r="P1" s="8" t="inlineStr">
        <is>
          <t>Payment Amount</t>
        </is>
      </c>
      <c r="Q1" s="8" t="inlineStr">
        <is>
          <t>Payment Type</t>
        </is>
      </c>
      <c r="R1" s="8" t="inlineStr">
        <is>
          <t>Session</t>
        </is>
      </c>
      <c r="S1" s="8" t="inlineStr">
        <is>
          <t>Create Date</t>
        </is>
      </c>
      <c r="T1" s="8" t="inlineStr">
        <is>
          <t>Order Reference</t>
        </is>
      </c>
      <c r="U1" s="9" t="inlineStr">
        <is>
          <t>Rebates</t>
        </is>
      </c>
      <c r="V1" s="8" t="inlineStr">
        <is>
          <t>Product Template - Product Tmpl → Is Local</t>
        </is>
      </c>
      <c r="W1" s="10" t="inlineStr">
        <is>
          <t>Order 1st Row (helper)</t>
        </is>
      </c>
      <c r="X1" s="10" t="inlineStr">
        <is>
          <t>Invoice # (helper)</t>
        </is>
      </c>
      <c r="Y1" s="10" t="inlineStr">
        <is>
          <t>Is Local (helper)</t>
        </is>
      </c>
      <c r="Z1" s="10" t="inlineStr">
        <is>
          <t>Sort Key (helper)</t>
        </is>
      </c>
    </row>
    <row r="2">
      <c r="F2" s="7">
        <f>IF($A2="","",E2*N2/100)</f>
        <v/>
      </c>
      <c r="J2" s="7" t="n"/>
      <c r="K2" s="7">
        <f>IF($A2="","",U2*N2)</f>
        <v/>
      </c>
      <c r="L2" s="7">
        <f>IF($A2="","",N2-K2)</f>
        <v/>
      </c>
      <c r="M2" s="7">
        <f>IF($A2="","",L2-F2)</f>
        <v/>
      </c>
      <c r="N2" s="7" t="n"/>
      <c r="O2" s="7" t="n"/>
      <c r="P2" s="7" t="n"/>
      <c r="S2" s="11" t="n"/>
      <c r="U2">
        <f>IF($A2="","",IF($Y2=1,Settings!$C$6,Settings!$C$7)*1)</f>
        <v/>
      </c>
      <c r="W2">
        <f>IF($A2="","",IF(COUNTIF($A$2:$A2,$A2)=1,1,0))</f>
        <v/>
      </c>
      <c r="X2">
        <f>IF($W2=1,SUMPRODUCT(--($Z$2:$Z$501&lt;$Z2))+1,"")</f>
        <v/>
      </c>
      <c r="Y2">
        <f>IF($A2="","",IF(OR($V2=TRUE(),$V2="TRUE"),1,0))</f>
        <v/>
      </c>
      <c r="Z2">
        <f>IF($W2=1,IFERROR(IF(VALUE($A2)&lt;100000000,VALUE($A2),1000000000),IFERROR(IF(VALUE(MID($A2,2,20))&lt;100000000,VALUE(MID($A2,2,20)),1000000000),1000000000))+ROW()/100000,"")</f>
        <v/>
      </c>
    </row>
    <row r="3">
      <c r="F3" s="7">
        <f>IF($A3="","",E3*N3/100)</f>
        <v/>
      </c>
      <c r="J3" s="7" t="n"/>
      <c r="K3" s="7">
        <f>IF($A3="","",U3*N3)</f>
        <v/>
      </c>
      <c r="L3" s="7">
        <f>IF($A3="","",N3-K3)</f>
        <v/>
      </c>
      <c r="M3" s="7">
        <f>IF($A3="","",L3-F3)</f>
        <v/>
      </c>
      <c r="N3" s="7" t="n"/>
      <c r="O3" s="7" t="n"/>
      <c r="P3" s="7" t="n"/>
      <c r="S3" s="11" t="n"/>
      <c r="U3">
        <f>IF($A3="","",IF($Y3=1,Settings!$C$6,Settings!$C$7)*1)</f>
        <v/>
      </c>
      <c r="W3">
        <f>IF($A3="","",IF(COUNTIF($A$2:$A3,$A3)=1,1,0))</f>
        <v/>
      </c>
      <c r="X3">
        <f>IF($W3=1,SUMPRODUCT(--($Z$2:$Z$501&lt;$Z3))+1,"")</f>
        <v/>
      </c>
      <c r="Y3">
        <f>IF($A3="","",IF(OR($V3=TRUE(),$V3="TRUE"),1,0))</f>
        <v/>
      </c>
      <c r="Z3">
        <f>IF($W3=1,IFERROR(IF(VALUE($A3)&lt;100000000,VALUE($A3),1000000000),IFERROR(IF(VALUE(MID($A3,2,20))&lt;100000000,VALUE(MID($A3,2,20)),1000000000),1000000000))+ROW()/100000,"")</f>
        <v/>
      </c>
    </row>
    <row r="4">
      <c r="F4" s="7">
        <f>IF($A4="","",E4*N4/100)</f>
        <v/>
      </c>
      <c r="J4" s="7" t="n"/>
      <c r="K4" s="7">
        <f>IF($A4="","",U4*N4)</f>
        <v/>
      </c>
      <c r="L4" s="7">
        <f>IF($A4="","",N4-K4)</f>
        <v/>
      </c>
      <c r="M4" s="7">
        <f>IF($A4="","",L4-F4)</f>
        <v/>
      </c>
      <c r="N4" s="7" t="n"/>
      <c r="O4" s="7" t="n"/>
      <c r="P4" s="7" t="n"/>
      <c r="S4" s="11" t="n"/>
      <c r="U4">
        <f>IF($A4="","",IF($Y4=1,Settings!$C$6,Settings!$C$7)*1)</f>
        <v/>
      </c>
      <c r="W4">
        <f>IF($A4="","",IF(COUNTIF($A$2:$A4,$A4)=1,1,0))</f>
        <v/>
      </c>
      <c r="X4">
        <f>IF($W4=1,SUMPRODUCT(--($Z$2:$Z$501&lt;$Z4))+1,"")</f>
        <v/>
      </c>
      <c r="Y4">
        <f>IF($A4="","",IF(OR($V4=TRUE(),$V4="TRUE"),1,0))</f>
        <v/>
      </c>
      <c r="Z4">
        <f>IF($W4=1,IFERROR(IF(VALUE($A4)&lt;100000000,VALUE($A4),1000000000),IFERROR(IF(VALUE(MID($A4,2,20))&lt;100000000,VALUE(MID($A4,2,20)),1000000000),1000000000))+ROW()/100000,"")</f>
        <v/>
      </c>
    </row>
    <row r="5">
      <c r="F5" s="7">
        <f>IF($A5="","",E5*N5/100)</f>
        <v/>
      </c>
      <c r="J5" s="7" t="n"/>
      <c r="K5" s="7">
        <f>IF($A5="","",U5*N5)</f>
        <v/>
      </c>
      <c r="L5" s="7">
        <f>IF($A5="","",N5-K5)</f>
        <v/>
      </c>
      <c r="M5" s="7">
        <f>IF($A5="","",L5-F5)</f>
        <v/>
      </c>
      <c r="N5" s="7" t="n"/>
      <c r="O5" s="7" t="n"/>
      <c r="P5" s="7" t="n"/>
      <c r="S5" s="11" t="n"/>
      <c r="U5">
        <f>IF($A5="","",IF($Y5=1,Settings!$C$6,Settings!$C$7)*1)</f>
        <v/>
      </c>
      <c r="W5">
        <f>IF($A5="","",IF(COUNTIF($A$2:$A5,$A5)=1,1,0))</f>
        <v/>
      </c>
      <c r="X5">
        <f>IF($W5=1,SUMPRODUCT(--($Z$2:$Z$501&lt;$Z5))+1,"")</f>
        <v/>
      </c>
      <c r="Y5">
        <f>IF($A5="","",IF(OR($V5=TRUE(),$V5="TRUE"),1,0))</f>
        <v/>
      </c>
      <c r="Z5">
        <f>IF($W5=1,IFERROR(IF(VALUE($A5)&lt;100000000,VALUE($A5),1000000000),IFERROR(IF(VALUE(MID($A5,2,20))&lt;100000000,VALUE(MID($A5,2,20)),1000000000),1000000000))+ROW()/100000,"")</f>
        <v/>
      </c>
    </row>
    <row r="6">
      <c r="F6" s="7">
        <f>IF($A6="","",E6*N6/100)</f>
        <v/>
      </c>
      <c r="J6" s="7" t="n"/>
      <c r="K6" s="7">
        <f>IF($A6="","",U6*N6)</f>
        <v/>
      </c>
      <c r="L6" s="7">
        <f>IF($A6="","",N6-K6)</f>
        <v/>
      </c>
      <c r="M6" s="7">
        <f>IF($A6="","",L6-F6)</f>
        <v/>
      </c>
      <c r="N6" s="7" t="n"/>
      <c r="O6" s="7" t="n"/>
      <c r="P6" s="7" t="n"/>
      <c r="S6" s="11" t="n"/>
      <c r="U6">
        <f>IF($A6="","",IF($Y6=1,Settings!$C$6,Settings!$C$7)*1)</f>
        <v/>
      </c>
      <c r="W6">
        <f>IF($A6="","",IF(COUNTIF($A$2:$A6,$A6)=1,1,0))</f>
        <v/>
      </c>
      <c r="X6">
        <f>IF($W6=1,SUMPRODUCT(--($Z$2:$Z$501&lt;$Z6))+1,"")</f>
        <v/>
      </c>
      <c r="Y6">
        <f>IF($A6="","",IF(OR($V6=TRUE(),$V6="TRUE"),1,0))</f>
        <v/>
      </c>
      <c r="Z6">
        <f>IF($W6=1,IFERROR(IF(VALUE($A6)&lt;100000000,VALUE($A6),1000000000),IFERROR(IF(VALUE(MID($A6,2,20))&lt;100000000,VALUE(MID($A6,2,20)),1000000000),1000000000))+ROW()/100000,"")</f>
        <v/>
      </c>
    </row>
    <row r="7">
      <c r="F7" s="7">
        <f>IF($A7="","",E7*N7/100)</f>
        <v/>
      </c>
      <c r="J7" s="7" t="n"/>
      <c r="K7" s="7">
        <f>IF($A7="","",U7*N7)</f>
        <v/>
      </c>
      <c r="L7" s="7">
        <f>IF($A7="","",N7-K7)</f>
        <v/>
      </c>
      <c r="M7" s="7">
        <f>IF($A7="","",L7-F7)</f>
        <v/>
      </c>
      <c r="N7" s="7" t="n"/>
      <c r="O7" s="7" t="n"/>
      <c r="P7" s="7" t="n"/>
      <c r="S7" s="11" t="n"/>
      <c r="U7">
        <f>IF($A7="","",IF($Y7=1,Settings!$C$6,Settings!$C$7)*1)</f>
        <v/>
      </c>
      <c r="W7">
        <f>IF($A7="","",IF(COUNTIF($A$2:$A7,$A7)=1,1,0))</f>
        <v/>
      </c>
      <c r="X7">
        <f>IF($W7=1,SUMPRODUCT(--($Z$2:$Z$501&lt;$Z7))+1,"")</f>
        <v/>
      </c>
      <c r="Y7">
        <f>IF($A7="","",IF(OR($V7=TRUE(),$V7="TRUE"),1,0))</f>
        <v/>
      </c>
      <c r="Z7">
        <f>IF($W7=1,IFERROR(IF(VALUE($A7)&lt;100000000,VALUE($A7),1000000000),IFERROR(IF(VALUE(MID($A7,2,20))&lt;100000000,VALUE(MID($A7,2,20)),1000000000),1000000000))+ROW()/100000,"")</f>
        <v/>
      </c>
    </row>
    <row r="8">
      <c r="F8" s="7">
        <f>IF($A8="","",E8*N8/100)</f>
        <v/>
      </c>
      <c r="J8" s="7" t="n"/>
      <c r="K8" s="7">
        <f>IF($A8="","",U8*N8)</f>
        <v/>
      </c>
      <c r="L8" s="7">
        <f>IF($A8="","",N8-K8)</f>
        <v/>
      </c>
      <c r="M8" s="7">
        <f>IF($A8="","",L8-F8)</f>
        <v/>
      </c>
      <c r="N8" s="7" t="n"/>
      <c r="O8" s="7" t="n"/>
      <c r="P8" s="7" t="n"/>
      <c r="S8" s="11" t="n"/>
      <c r="U8">
        <f>IF($A8="","",IF($Y8=1,Settings!$C$6,Settings!$C$7)*1)</f>
        <v/>
      </c>
      <c r="W8">
        <f>IF($A8="","",IF(COUNTIF($A$2:$A8,$A8)=1,1,0))</f>
        <v/>
      </c>
      <c r="X8">
        <f>IF($W8=1,SUMPRODUCT(--($Z$2:$Z$501&lt;$Z8))+1,"")</f>
        <v/>
      </c>
      <c r="Y8">
        <f>IF($A8="","",IF(OR($V8=TRUE(),$V8="TRUE"),1,0))</f>
        <v/>
      </c>
      <c r="Z8">
        <f>IF($W8=1,IFERROR(IF(VALUE($A8)&lt;100000000,VALUE($A8),1000000000),IFERROR(IF(VALUE(MID($A8,2,20))&lt;100000000,VALUE(MID($A8,2,20)),1000000000),1000000000))+ROW()/100000,"")</f>
        <v/>
      </c>
    </row>
    <row r="9">
      <c r="F9" s="7">
        <f>IF($A9="","",E9*N9/100)</f>
        <v/>
      </c>
      <c r="J9" s="7" t="n"/>
      <c r="K9" s="7">
        <f>IF($A9="","",U9*N9)</f>
        <v/>
      </c>
      <c r="L9" s="7">
        <f>IF($A9="","",N9-K9)</f>
        <v/>
      </c>
      <c r="M9" s="7">
        <f>IF($A9="","",L9-F9)</f>
        <v/>
      </c>
      <c r="N9" s="7" t="n"/>
      <c r="O9" s="7" t="n"/>
      <c r="P9" s="7" t="n"/>
      <c r="S9" s="11" t="n"/>
      <c r="U9">
        <f>IF($A9="","",IF($Y9=1,Settings!$C$6,Settings!$C$7)*1)</f>
        <v/>
      </c>
      <c r="W9">
        <f>IF($A9="","",IF(COUNTIF($A$2:$A9,$A9)=1,1,0))</f>
        <v/>
      </c>
      <c r="X9">
        <f>IF($W9=1,SUMPRODUCT(--($Z$2:$Z$501&lt;$Z9))+1,"")</f>
        <v/>
      </c>
      <c r="Y9">
        <f>IF($A9="","",IF(OR($V9=TRUE(),$V9="TRUE"),1,0))</f>
        <v/>
      </c>
      <c r="Z9">
        <f>IF($W9=1,IFERROR(IF(VALUE($A9)&lt;100000000,VALUE($A9),1000000000),IFERROR(IF(VALUE(MID($A9,2,20))&lt;100000000,VALUE(MID($A9,2,20)),1000000000),1000000000))+ROW()/100000,"")</f>
        <v/>
      </c>
    </row>
    <row r="10">
      <c r="F10" s="7">
        <f>IF($A10="","",E10*N10/100)</f>
        <v/>
      </c>
      <c r="J10" s="7" t="n"/>
      <c r="K10" s="7">
        <f>IF($A10="","",U10*N10)</f>
        <v/>
      </c>
      <c r="L10" s="7">
        <f>IF($A10="","",N10-K10)</f>
        <v/>
      </c>
      <c r="M10" s="7">
        <f>IF($A10="","",L10-F10)</f>
        <v/>
      </c>
      <c r="N10" s="7" t="n"/>
      <c r="O10" s="7" t="n"/>
      <c r="P10" s="7" t="n"/>
      <c r="S10" s="11" t="n"/>
      <c r="U10">
        <f>IF($A10="","",IF($Y10=1,Settings!$C$6,Settings!$C$7)*1)</f>
        <v/>
      </c>
      <c r="W10">
        <f>IF($A10="","",IF(COUNTIF($A$2:$A10,$A10)=1,1,0))</f>
        <v/>
      </c>
      <c r="X10">
        <f>IF($W10=1,SUMPRODUCT(--($Z$2:$Z$501&lt;$Z10))+1,"")</f>
        <v/>
      </c>
      <c r="Y10">
        <f>IF($A10="","",IF(OR($V10=TRUE(),$V10="TRUE"),1,0))</f>
        <v/>
      </c>
      <c r="Z10">
        <f>IF($W10=1,IFERROR(IF(VALUE($A10)&lt;100000000,VALUE($A10),1000000000),IFERROR(IF(VALUE(MID($A10,2,20))&lt;100000000,VALUE(MID($A10,2,20)),1000000000),1000000000))+ROW()/100000,"")</f>
        <v/>
      </c>
    </row>
    <row r="11">
      <c r="F11" s="7">
        <f>IF($A11="","",E11*N11/100)</f>
        <v/>
      </c>
      <c r="J11" s="7" t="n"/>
      <c r="K11" s="7">
        <f>IF($A11="","",U11*N11)</f>
        <v/>
      </c>
      <c r="L11" s="7">
        <f>IF($A11="","",N11-K11)</f>
        <v/>
      </c>
      <c r="M11" s="7">
        <f>IF($A11="","",L11-F11)</f>
        <v/>
      </c>
      <c r="N11" s="7" t="n"/>
      <c r="O11" s="7" t="n"/>
      <c r="P11" s="7" t="n"/>
      <c r="S11" s="11" t="n"/>
      <c r="U11">
        <f>IF($A11="","",IF($Y11=1,Settings!$C$6,Settings!$C$7)*1)</f>
        <v/>
      </c>
      <c r="W11">
        <f>IF($A11="","",IF(COUNTIF($A$2:$A11,$A11)=1,1,0))</f>
        <v/>
      </c>
      <c r="X11">
        <f>IF($W11=1,SUMPRODUCT(--($Z$2:$Z$501&lt;$Z11))+1,"")</f>
        <v/>
      </c>
      <c r="Y11">
        <f>IF($A11="","",IF(OR($V11=TRUE(),$V11="TRUE"),1,0))</f>
        <v/>
      </c>
      <c r="Z11">
        <f>IF($W11=1,IFERROR(IF(VALUE($A11)&lt;100000000,VALUE($A11),1000000000),IFERROR(IF(VALUE(MID($A11,2,20))&lt;100000000,VALUE(MID($A11,2,20)),1000000000),1000000000))+ROW()/100000,"")</f>
        <v/>
      </c>
    </row>
    <row r="12">
      <c r="F12" s="7">
        <f>IF($A12="","",E12*N12/100)</f>
        <v/>
      </c>
      <c r="J12" s="7" t="n"/>
      <c r="K12" s="7">
        <f>IF($A12="","",U12*N12)</f>
        <v/>
      </c>
      <c r="L12" s="7">
        <f>IF($A12="","",N12-K12)</f>
        <v/>
      </c>
      <c r="M12" s="7">
        <f>IF($A12="","",L12-F12)</f>
        <v/>
      </c>
      <c r="N12" s="7" t="n"/>
      <c r="O12" s="7" t="n"/>
      <c r="P12" s="7" t="n"/>
      <c r="S12" s="11" t="n"/>
      <c r="U12">
        <f>IF($A12="","",IF($Y12=1,Settings!$C$6,Settings!$C$7)*1)</f>
        <v/>
      </c>
      <c r="W12">
        <f>IF($A12="","",IF(COUNTIF($A$2:$A12,$A12)=1,1,0))</f>
        <v/>
      </c>
      <c r="X12">
        <f>IF($W12=1,SUMPRODUCT(--($Z$2:$Z$501&lt;$Z12))+1,"")</f>
        <v/>
      </c>
      <c r="Y12">
        <f>IF($A12="","",IF(OR($V12=TRUE(),$V12="TRUE"),1,0))</f>
        <v/>
      </c>
      <c r="Z12">
        <f>IF($W12=1,IFERROR(IF(VALUE($A12)&lt;100000000,VALUE($A12),1000000000),IFERROR(IF(VALUE(MID($A12,2,20))&lt;100000000,VALUE(MID($A12,2,20)),1000000000),1000000000))+ROW()/100000,"")</f>
        <v/>
      </c>
    </row>
    <row r="13">
      <c r="F13" s="7">
        <f>IF($A13="","",E13*N13/100)</f>
        <v/>
      </c>
      <c r="J13" s="7" t="n"/>
      <c r="K13" s="7">
        <f>IF($A13="","",U13*N13)</f>
        <v/>
      </c>
      <c r="L13" s="7">
        <f>IF($A13="","",N13-K13)</f>
        <v/>
      </c>
      <c r="M13" s="7">
        <f>IF($A13="","",L13-F13)</f>
        <v/>
      </c>
      <c r="N13" s="7" t="n"/>
      <c r="O13" s="7" t="n"/>
      <c r="P13" s="7" t="n"/>
      <c r="S13" s="11" t="n"/>
      <c r="U13">
        <f>IF($A13="","",IF($Y13=1,Settings!$C$6,Settings!$C$7)*1)</f>
        <v/>
      </c>
      <c r="W13">
        <f>IF($A13="","",IF(COUNTIF($A$2:$A13,$A13)=1,1,0))</f>
        <v/>
      </c>
      <c r="X13">
        <f>IF($W13=1,SUMPRODUCT(--($Z$2:$Z$501&lt;$Z13))+1,"")</f>
        <v/>
      </c>
      <c r="Y13">
        <f>IF($A13="","",IF(OR($V13=TRUE(),$V13="TRUE"),1,0))</f>
        <v/>
      </c>
      <c r="Z13">
        <f>IF($W13=1,IFERROR(IF(VALUE($A13)&lt;100000000,VALUE($A13),1000000000),IFERROR(IF(VALUE(MID($A13,2,20))&lt;100000000,VALUE(MID($A13,2,20)),1000000000),1000000000))+ROW()/100000,"")</f>
        <v/>
      </c>
    </row>
    <row r="14">
      <c r="F14" s="7">
        <f>IF($A14="","",E14*N14/100)</f>
        <v/>
      </c>
      <c r="J14" s="7" t="n"/>
      <c r="K14" s="7">
        <f>IF($A14="","",U14*N14)</f>
        <v/>
      </c>
      <c r="L14" s="7">
        <f>IF($A14="","",N14-K14)</f>
        <v/>
      </c>
      <c r="M14" s="7">
        <f>IF($A14="","",L14-F14)</f>
        <v/>
      </c>
      <c r="N14" s="7" t="n"/>
      <c r="O14" s="7" t="n"/>
      <c r="P14" s="7" t="n"/>
      <c r="S14" s="11" t="n"/>
      <c r="U14">
        <f>IF($A14="","",IF($Y14=1,Settings!$C$6,Settings!$C$7)*1)</f>
        <v/>
      </c>
      <c r="W14">
        <f>IF($A14="","",IF(COUNTIF($A$2:$A14,$A14)=1,1,0))</f>
        <v/>
      </c>
      <c r="X14">
        <f>IF($W14=1,SUMPRODUCT(--($Z$2:$Z$501&lt;$Z14))+1,"")</f>
        <v/>
      </c>
      <c r="Y14">
        <f>IF($A14="","",IF(OR($V14=TRUE(),$V14="TRUE"),1,0))</f>
        <v/>
      </c>
      <c r="Z14">
        <f>IF($W14=1,IFERROR(IF(VALUE($A14)&lt;100000000,VALUE($A14),1000000000),IFERROR(IF(VALUE(MID($A14,2,20))&lt;100000000,VALUE(MID($A14,2,20)),1000000000),1000000000))+ROW()/100000,"")</f>
        <v/>
      </c>
    </row>
    <row r="15">
      <c r="F15" s="7">
        <f>IF($A15="","",E15*N15/100)</f>
        <v/>
      </c>
      <c r="J15" s="7" t="n"/>
      <c r="K15" s="7">
        <f>IF($A15="","",U15*N15)</f>
        <v/>
      </c>
      <c r="L15" s="7">
        <f>IF($A15="","",N15-K15)</f>
        <v/>
      </c>
      <c r="M15" s="7">
        <f>IF($A15="","",L15-F15)</f>
        <v/>
      </c>
      <c r="N15" s="7" t="n"/>
      <c r="O15" s="7" t="n"/>
      <c r="P15" s="7" t="n"/>
      <c r="S15" s="11" t="n"/>
      <c r="U15">
        <f>IF($A15="","",IF($Y15=1,Settings!$C$6,Settings!$C$7)*1)</f>
        <v/>
      </c>
      <c r="W15">
        <f>IF($A15="","",IF(COUNTIF($A$2:$A15,$A15)=1,1,0))</f>
        <v/>
      </c>
      <c r="X15">
        <f>IF($W15=1,SUMPRODUCT(--($Z$2:$Z$501&lt;$Z15))+1,"")</f>
        <v/>
      </c>
      <c r="Y15">
        <f>IF($A15="","",IF(OR($V15=TRUE(),$V15="TRUE"),1,0))</f>
        <v/>
      </c>
      <c r="Z15">
        <f>IF($W15=1,IFERROR(IF(VALUE($A15)&lt;100000000,VALUE($A15),1000000000),IFERROR(IF(VALUE(MID($A15,2,20))&lt;100000000,VALUE(MID($A15,2,20)),1000000000),1000000000))+ROW()/100000,"")</f>
        <v/>
      </c>
    </row>
    <row r="16">
      <c r="F16" s="7">
        <f>IF($A16="","",E16*N16/100)</f>
        <v/>
      </c>
      <c r="J16" s="7" t="n"/>
      <c r="K16" s="7">
        <f>IF($A16="","",U16*N16)</f>
        <v/>
      </c>
      <c r="L16" s="7">
        <f>IF($A16="","",N16-K16)</f>
        <v/>
      </c>
      <c r="M16" s="7">
        <f>IF($A16="","",L16-F16)</f>
        <v/>
      </c>
      <c r="N16" s="7" t="n"/>
      <c r="O16" s="7" t="n"/>
      <c r="P16" s="7" t="n"/>
      <c r="S16" s="11" t="n"/>
      <c r="U16">
        <f>IF($A16="","",IF($Y16=1,Settings!$C$6,Settings!$C$7)*1)</f>
        <v/>
      </c>
      <c r="W16">
        <f>IF($A16="","",IF(COUNTIF($A$2:$A16,$A16)=1,1,0))</f>
        <v/>
      </c>
      <c r="X16">
        <f>IF($W16=1,SUMPRODUCT(--($Z$2:$Z$501&lt;$Z16))+1,"")</f>
        <v/>
      </c>
      <c r="Y16">
        <f>IF($A16="","",IF(OR($V16=TRUE(),$V16="TRUE"),1,0))</f>
        <v/>
      </c>
      <c r="Z16">
        <f>IF($W16=1,IFERROR(IF(VALUE($A16)&lt;100000000,VALUE($A16),1000000000),IFERROR(IF(VALUE(MID($A16,2,20))&lt;100000000,VALUE(MID($A16,2,20)),1000000000),1000000000))+ROW()/100000,"")</f>
        <v/>
      </c>
    </row>
    <row r="17">
      <c r="F17" s="7">
        <f>IF($A17="","",E17*N17/100)</f>
        <v/>
      </c>
      <c r="J17" s="7" t="n"/>
      <c r="K17" s="7">
        <f>IF($A17="","",U17*N17)</f>
        <v/>
      </c>
      <c r="L17" s="7">
        <f>IF($A17="","",N17-K17)</f>
        <v/>
      </c>
      <c r="M17" s="7">
        <f>IF($A17="","",L17-F17)</f>
        <v/>
      </c>
      <c r="N17" s="7" t="n"/>
      <c r="O17" s="7" t="n"/>
      <c r="P17" s="7" t="n"/>
      <c r="S17" s="11" t="n"/>
      <c r="U17">
        <f>IF($A17="","",IF($Y17=1,Settings!$C$6,Settings!$C$7)*1)</f>
        <v/>
      </c>
      <c r="W17">
        <f>IF($A17="","",IF(COUNTIF($A$2:$A17,$A17)=1,1,0))</f>
        <v/>
      </c>
      <c r="X17">
        <f>IF($W17=1,SUMPRODUCT(--($Z$2:$Z$501&lt;$Z17))+1,"")</f>
        <v/>
      </c>
      <c r="Y17">
        <f>IF($A17="","",IF(OR($V17=TRUE(),$V17="TRUE"),1,0))</f>
        <v/>
      </c>
      <c r="Z17">
        <f>IF($W17=1,IFERROR(IF(VALUE($A17)&lt;100000000,VALUE($A17),1000000000),IFERROR(IF(VALUE(MID($A17,2,20))&lt;100000000,VALUE(MID($A17,2,20)),1000000000),1000000000))+ROW()/100000,"")</f>
        <v/>
      </c>
    </row>
    <row r="18">
      <c r="F18" s="7">
        <f>IF($A18="","",E18*N18/100)</f>
        <v/>
      </c>
      <c r="J18" s="7" t="n"/>
      <c r="K18" s="7">
        <f>IF($A18="","",U18*N18)</f>
        <v/>
      </c>
      <c r="L18" s="7">
        <f>IF($A18="","",N18-K18)</f>
        <v/>
      </c>
      <c r="M18" s="7">
        <f>IF($A18="","",L18-F18)</f>
        <v/>
      </c>
      <c r="N18" s="7" t="n"/>
      <c r="O18" s="7" t="n"/>
      <c r="P18" s="7" t="n"/>
      <c r="S18" s="11" t="n"/>
      <c r="U18">
        <f>IF($A18="","",IF($Y18=1,Settings!$C$6,Settings!$C$7)*1)</f>
        <v/>
      </c>
      <c r="W18">
        <f>IF($A18="","",IF(COUNTIF($A$2:$A18,$A18)=1,1,0))</f>
        <v/>
      </c>
      <c r="X18">
        <f>IF($W18=1,SUMPRODUCT(--($Z$2:$Z$501&lt;$Z18))+1,"")</f>
        <v/>
      </c>
      <c r="Y18">
        <f>IF($A18="","",IF(OR($V18=TRUE(),$V18="TRUE"),1,0))</f>
        <v/>
      </c>
      <c r="Z18">
        <f>IF($W18=1,IFERROR(IF(VALUE($A18)&lt;100000000,VALUE($A18),1000000000),IFERROR(IF(VALUE(MID($A18,2,20))&lt;100000000,VALUE(MID($A18,2,20)),1000000000),1000000000))+ROW()/100000,"")</f>
        <v/>
      </c>
    </row>
    <row r="19">
      <c r="F19" s="7">
        <f>IF($A19="","",E19*N19/100)</f>
        <v/>
      </c>
      <c r="J19" s="7" t="n"/>
      <c r="K19" s="7">
        <f>IF($A19="","",U19*N19)</f>
        <v/>
      </c>
      <c r="L19" s="7">
        <f>IF($A19="","",N19-K19)</f>
        <v/>
      </c>
      <c r="M19" s="7">
        <f>IF($A19="","",L19-F19)</f>
        <v/>
      </c>
      <c r="N19" s="7" t="n"/>
      <c r="O19" s="7" t="n"/>
      <c r="P19" s="7" t="n"/>
      <c r="S19" s="11" t="n"/>
      <c r="U19">
        <f>IF($A19="","",IF($Y19=1,Settings!$C$6,Settings!$C$7)*1)</f>
        <v/>
      </c>
      <c r="W19">
        <f>IF($A19="","",IF(COUNTIF($A$2:$A19,$A19)=1,1,0))</f>
        <v/>
      </c>
      <c r="X19">
        <f>IF($W19=1,SUMPRODUCT(--($Z$2:$Z$501&lt;$Z19))+1,"")</f>
        <v/>
      </c>
      <c r="Y19">
        <f>IF($A19="","",IF(OR($V19=TRUE(),$V19="TRUE"),1,0))</f>
        <v/>
      </c>
      <c r="Z19">
        <f>IF($W19=1,IFERROR(IF(VALUE($A19)&lt;100000000,VALUE($A19),1000000000),IFERROR(IF(VALUE(MID($A19,2,20))&lt;100000000,VALUE(MID($A19,2,20)),1000000000),1000000000))+ROW()/100000,"")</f>
        <v/>
      </c>
    </row>
    <row r="20">
      <c r="F20" s="7">
        <f>IF($A20="","",E20*N20/100)</f>
        <v/>
      </c>
      <c r="J20" s="7" t="n"/>
      <c r="K20" s="7">
        <f>IF($A20="","",U20*N20)</f>
        <v/>
      </c>
      <c r="L20" s="7">
        <f>IF($A20="","",N20-K20)</f>
        <v/>
      </c>
      <c r="M20" s="7">
        <f>IF($A20="","",L20-F20)</f>
        <v/>
      </c>
      <c r="N20" s="7" t="n"/>
      <c r="O20" s="7" t="n"/>
      <c r="P20" s="7" t="n"/>
      <c r="S20" s="11" t="n"/>
      <c r="U20">
        <f>IF($A20="","",IF($Y20=1,Settings!$C$6,Settings!$C$7)*1)</f>
        <v/>
      </c>
      <c r="W20">
        <f>IF($A20="","",IF(COUNTIF($A$2:$A20,$A20)=1,1,0))</f>
        <v/>
      </c>
      <c r="X20">
        <f>IF($W20=1,SUMPRODUCT(--($Z$2:$Z$501&lt;$Z20))+1,"")</f>
        <v/>
      </c>
      <c r="Y20">
        <f>IF($A20="","",IF(OR($V20=TRUE(),$V20="TRUE"),1,0))</f>
        <v/>
      </c>
      <c r="Z20">
        <f>IF($W20=1,IFERROR(IF(VALUE($A20)&lt;100000000,VALUE($A20),1000000000),IFERROR(IF(VALUE(MID($A20,2,20))&lt;100000000,VALUE(MID($A20,2,20)),1000000000),1000000000))+ROW()/100000,"")</f>
        <v/>
      </c>
    </row>
    <row r="21">
      <c r="F21" s="7">
        <f>IF($A21="","",E21*N21/100)</f>
        <v/>
      </c>
      <c r="J21" s="7" t="n"/>
      <c r="K21" s="7">
        <f>IF($A21="","",U21*N21)</f>
        <v/>
      </c>
      <c r="L21" s="7">
        <f>IF($A21="","",N21-K21)</f>
        <v/>
      </c>
      <c r="M21" s="7">
        <f>IF($A21="","",L21-F21)</f>
        <v/>
      </c>
      <c r="N21" s="7" t="n"/>
      <c r="O21" s="7" t="n"/>
      <c r="P21" s="7" t="n"/>
      <c r="S21" s="11" t="n"/>
      <c r="U21">
        <f>IF($A21="","",IF($Y21=1,Settings!$C$6,Settings!$C$7)*1)</f>
        <v/>
      </c>
      <c r="W21">
        <f>IF($A21="","",IF(COUNTIF($A$2:$A21,$A21)=1,1,0))</f>
        <v/>
      </c>
      <c r="X21">
        <f>IF($W21=1,SUMPRODUCT(--($Z$2:$Z$501&lt;$Z21))+1,"")</f>
        <v/>
      </c>
      <c r="Y21">
        <f>IF($A21="","",IF(OR($V21=TRUE(),$V21="TRUE"),1,0))</f>
        <v/>
      </c>
      <c r="Z21">
        <f>IF($W21=1,IFERROR(IF(VALUE($A21)&lt;100000000,VALUE($A21),1000000000),IFERROR(IF(VALUE(MID($A21,2,20))&lt;100000000,VALUE(MID($A21,2,20)),1000000000),1000000000))+ROW()/100000,"")</f>
        <v/>
      </c>
    </row>
    <row r="22">
      <c r="F22" s="7">
        <f>IF($A22="","",E22*N22/100)</f>
        <v/>
      </c>
      <c r="J22" s="7" t="n"/>
      <c r="K22" s="7">
        <f>IF($A22="","",U22*N22)</f>
        <v/>
      </c>
      <c r="L22" s="7">
        <f>IF($A22="","",N22-K22)</f>
        <v/>
      </c>
      <c r="M22" s="7">
        <f>IF($A22="","",L22-F22)</f>
        <v/>
      </c>
      <c r="N22" s="7" t="n"/>
      <c r="O22" s="7" t="n"/>
      <c r="P22" s="7" t="n"/>
      <c r="S22" s="11" t="n"/>
      <c r="U22">
        <f>IF($A22="","",IF($Y22=1,Settings!$C$6,Settings!$C$7)*1)</f>
        <v/>
      </c>
      <c r="W22">
        <f>IF($A22="","",IF(COUNTIF($A$2:$A22,$A22)=1,1,0))</f>
        <v/>
      </c>
      <c r="X22">
        <f>IF($W22=1,SUMPRODUCT(--($Z$2:$Z$501&lt;$Z22))+1,"")</f>
        <v/>
      </c>
      <c r="Y22">
        <f>IF($A22="","",IF(OR($V22=TRUE(),$V22="TRUE"),1,0))</f>
        <v/>
      </c>
      <c r="Z22">
        <f>IF($W22=1,IFERROR(IF(VALUE($A22)&lt;100000000,VALUE($A22),1000000000),IFERROR(IF(VALUE(MID($A22,2,20))&lt;100000000,VALUE(MID($A22,2,20)),1000000000),1000000000))+ROW()/100000,"")</f>
        <v/>
      </c>
    </row>
    <row r="23">
      <c r="F23" s="7">
        <f>IF($A23="","",E23*N23/100)</f>
        <v/>
      </c>
      <c r="J23" s="7" t="n"/>
      <c r="K23" s="7">
        <f>IF($A23="","",U23*N23)</f>
        <v/>
      </c>
      <c r="L23" s="7">
        <f>IF($A23="","",N23-K23)</f>
        <v/>
      </c>
      <c r="M23" s="7">
        <f>IF($A23="","",L23-F23)</f>
        <v/>
      </c>
      <c r="N23" s="7" t="n"/>
      <c r="O23" s="7" t="n"/>
      <c r="P23" s="7" t="n"/>
      <c r="S23" s="11" t="n"/>
      <c r="U23">
        <f>IF($A23="","",IF($Y23=1,Settings!$C$6,Settings!$C$7)*1)</f>
        <v/>
      </c>
      <c r="W23">
        <f>IF($A23="","",IF(COUNTIF($A$2:$A23,$A23)=1,1,0))</f>
        <v/>
      </c>
      <c r="X23">
        <f>IF($W23=1,SUMPRODUCT(--($Z$2:$Z$501&lt;$Z23))+1,"")</f>
        <v/>
      </c>
      <c r="Y23">
        <f>IF($A23="","",IF(OR($V23=TRUE(),$V23="TRUE"),1,0))</f>
        <v/>
      </c>
      <c r="Z23">
        <f>IF($W23=1,IFERROR(IF(VALUE($A23)&lt;100000000,VALUE($A23),1000000000),IFERROR(IF(VALUE(MID($A23,2,20))&lt;100000000,VALUE(MID($A23,2,20)),1000000000),1000000000))+ROW()/100000,"")</f>
        <v/>
      </c>
    </row>
    <row r="24">
      <c r="F24" s="7">
        <f>IF($A24="","",E24*N24/100)</f>
        <v/>
      </c>
      <c r="J24" s="7" t="n"/>
      <c r="K24" s="7">
        <f>IF($A24="","",U24*N24)</f>
        <v/>
      </c>
      <c r="L24" s="7">
        <f>IF($A24="","",N24-K24)</f>
        <v/>
      </c>
      <c r="M24" s="7">
        <f>IF($A24="","",L24-F24)</f>
        <v/>
      </c>
      <c r="N24" s="7" t="n"/>
      <c r="O24" s="7" t="n"/>
      <c r="P24" s="7" t="n"/>
      <c r="S24" s="11" t="n"/>
      <c r="U24">
        <f>IF($A24="","",IF($Y24=1,Settings!$C$6,Settings!$C$7)*1)</f>
        <v/>
      </c>
      <c r="W24">
        <f>IF($A24="","",IF(COUNTIF($A$2:$A24,$A24)=1,1,0))</f>
        <v/>
      </c>
      <c r="X24">
        <f>IF($W24=1,SUMPRODUCT(--($Z$2:$Z$501&lt;$Z24))+1,"")</f>
        <v/>
      </c>
      <c r="Y24">
        <f>IF($A24="","",IF(OR($V24=TRUE(),$V24="TRUE"),1,0))</f>
        <v/>
      </c>
      <c r="Z24">
        <f>IF($W24=1,IFERROR(IF(VALUE($A24)&lt;100000000,VALUE($A24),1000000000),IFERROR(IF(VALUE(MID($A24,2,20))&lt;100000000,VALUE(MID($A24,2,20)),1000000000),1000000000))+ROW()/100000,"")</f>
        <v/>
      </c>
    </row>
    <row r="25">
      <c r="F25" s="7">
        <f>IF($A25="","",E25*N25/100)</f>
        <v/>
      </c>
      <c r="J25" s="7" t="n"/>
      <c r="K25" s="7">
        <f>IF($A25="","",U25*N25)</f>
        <v/>
      </c>
      <c r="L25" s="7">
        <f>IF($A25="","",N25-K25)</f>
        <v/>
      </c>
      <c r="M25" s="7">
        <f>IF($A25="","",L25-F25)</f>
        <v/>
      </c>
      <c r="N25" s="7" t="n"/>
      <c r="O25" s="7" t="n"/>
      <c r="P25" s="7" t="n"/>
      <c r="S25" s="11" t="n"/>
      <c r="U25">
        <f>IF($A25="","",IF($Y25=1,Settings!$C$6,Settings!$C$7)*1)</f>
        <v/>
      </c>
      <c r="W25">
        <f>IF($A25="","",IF(COUNTIF($A$2:$A25,$A25)=1,1,0))</f>
        <v/>
      </c>
      <c r="X25">
        <f>IF($W25=1,SUMPRODUCT(--($Z$2:$Z$501&lt;$Z25))+1,"")</f>
        <v/>
      </c>
      <c r="Y25">
        <f>IF($A25="","",IF(OR($V25=TRUE(),$V25="TRUE"),1,0))</f>
        <v/>
      </c>
      <c r="Z25">
        <f>IF($W25=1,IFERROR(IF(VALUE($A25)&lt;100000000,VALUE($A25),1000000000),IFERROR(IF(VALUE(MID($A25,2,20))&lt;100000000,VALUE(MID($A25,2,20)),1000000000),1000000000))+ROW()/100000,"")</f>
        <v/>
      </c>
    </row>
    <row r="26">
      <c r="F26" s="7">
        <f>IF($A26="","",E26*N26/100)</f>
        <v/>
      </c>
      <c r="J26" s="7" t="n"/>
      <c r="K26" s="7">
        <f>IF($A26="","",U26*N26)</f>
        <v/>
      </c>
      <c r="L26" s="7">
        <f>IF($A26="","",N26-K26)</f>
        <v/>
      </c>
      <c r="M26" s="7">
        <f>IF($A26="","",L26-F26)</f>
        <v/>
      </c>
      <c r="N26" s="7" t="n"/>
      <c r="O26" s="7" t="n"/>
      <c r="P26" s="7" t="n"/>
      <c r="S26" s="11" t="n"/>
      <c r="U26">
        <f>IF($A26="","",IF($Y26=1,Settings!$C$6,Settings!$C$7)*1)</f>
        <v/>
      </c>
      <c r="W26">
        <f>IF($A26="","",IF(COUNTIF($A$2:$A26,$A26)=1,1,0))</f>
        <v/>
      </c>
      <c r="X26">
        <f>IF($W26=1,SUMPRODUCT(--($Z$2:$Z$501&lt;$Z26))+1,"")</f>
        <v/>
      </c>
      <c r="Y26">
        <f>IF($A26="","",IF(OR($V26=TRUE(),$V26="TRUE"),1,0))</f>
        <v/>
      </c>
      <c r="Z26">
        <f>IF($W26=1,IFERROR(IF(VALUE($A26)&lt;100000000,VALUE($A26),1000000000),IFERROR(IF(VALUE(MID($A26,2,20))&lt;100000000,VALUE(MID($A26,2,20)),1000000000),1000000000))+ROW()/100000,"")</f>
        <v/>
      </c>
    </row>
    <row r="27">
      <c r="F27" s="7">
        <f>IF($A27="","",E27*N27/100)</f>
        <v/>
      </c>
      <c r="J27" s="7" t="n"/>
      <c r="K27" s="7">
        <f>IF($A27="","",U27*N27)</f>
        <v/>
      </c>
      <c r="L27" s="7">
        <f>IF($A27="","",N27-K27)</f>
        <v/>
      </c>
      <c r="M27" s="7">
        <f>IF($A27="","",L27-F27)</f>
        <v/>
      </c>
      <c r="N27" s="7" t="n"/>
      <c r="O27" s="7" t="n"/>
      <c r="P27" s="7" t="n"/>
      <c r="S27" s="11" t="n"/>
      <c r="U27">
        <f>IF($A27="","",IF($Y27=1,Settings!$C$6,Settings!$C$7)*1)</f>
        <v/>
      </c>
      <c r="W27">
        <f>IF($A27="","",IF(COUNTIF($A$2:$A27,$A27)=1,1,0))</f>
        <v/>
      </c>
      <c r="X27">
        <f>IF($W27=1,SUMPRODUCT(--($Z$2:$Z$501&lt;$Z27))+1,"")</f>
        <v/>
      </c>
      <c r="Y27">
        <f>IF($A27="","",IF(OR($V27=TRUE(),$V27="TRUE"),1,0))</f>
        <v/>
      </c>
      <c r="Z27">
        <f>IF($W27=1,IFERROR(IF(VALUE($A27)&lt;100000000,VALUE($A27),1000000000),IFERROR(IF(VALUE(MID($A27,2,20))&lt;100000000,VALUE(MID($A27,2,20)),1000000000),1000000000))+ROW()/100000,"")</f>
        <v/>
      </c>
    </row>
    <row r="28">
      <c r="F28" s="7">
        <f>IF($A28="","",E28*N28/100)</f>
        <v/>
      </c>
      <c r="J28" s="7" t="n"/>
      <c r="K28" s="7">
        <f>IF($A28="","",U28*N28)</f>
        <v/>
      </c>
      <c r="L28" s="7">
        <f>IF($A28="","",N28-K28)</f>
        <v/>
      </c>
      <c r="M28" s="7">
        <f>IF($A28="","",L28-F28)</f>
        <v/>
      </c>
      <c r="N28" s="7" t="n"/>
      <c r="O28" s="7" t="n"/>
      <c r="P28" s="7" t="n"/>
      <c r="S28" s="11" t="n"/>
      <c r="U28">
        <f>IF($A28="","",IF($Y28=1,Settings!$C$6,Settings!$C$7)*1)</f>
        <v/>
      </c>
      <c r="W28">
        <f>IF($A28="","",IF(COUNTIF($A$2:$A28,$A28)=1,1,0))</f>
        <v/>
      </c>
      <c r="X28">
        <f>IF($W28=1,SUMPRODUCT(--($Z$2:$Z$501&lt;$Z28))+1,"")</f>
        <v/>
      </c>
      <c r="Y28">
        <f>IF($A28="","",IF(OR($V28=TRUE(),$V28="TRUE"),1,0))</f>
        <v/>
      </c>
      <c r="Z28">
        <f>IF($W28=1,IFERROR(IF(VALUE($A28)&lt;100000000,VALUE($A28),1000000000),IFERROR(IF(VALUE(MID($A28,2,20))&lt;100000000,VALUE(MID($A28,2,20)),1000000000),1000000000))+ROW()/100000,"")</f>
        <v/>
      </c>
    </row>
    <row r="29">
      <c r="F29" s="7">
        <f>IF($A29="","",E29*N29/100)</f>
        <v/>
      </c>
      <c r="J29" s="7" t="n"/>
      <c r="K29" s="7">
        <f>IF($A29="","",U29*N29)</f>
        <v/>
      </c>
      <c r="L29" s="7">
        <f>IF($A29="","",N29-K29)</f>
        <v/>
      </c>
      <c r="M29" s="7">
        <f>IF($A29="","",L29-F29)</f>
        <v/>
      </c>
      <c r="N29" s="7" t="n"/>
      <c r="O29" s="7" t="n"/>
      <c r="P29" s="7" t="n"/>
      <c r="S29" s="11" t="n"/>
      <c r="U29">
        <f>IF($A29="","",IF($Y29=1,Settings!$C$6,Settings!$C$7)*1)</f>
        <v/>
      </c>
      <c r="W29">
        <f>IF($A29="","",IF(COUNTIF($A$2:$A29,$A29)=1,1,0))</f>
        <v/>
      </c>
      <c r="X29">
        <f>IF($W29=1,SUMPRODUCT(--($Z$2:$Z$501&lt;$Z29))+1,"")</f>
        <v/>
      </c>
      <c r="Y29">
        <f>IF($A29="","",IF(OR($V29=TRUE(),$V29="TRUE"),1,0))</f>
        <v/>
      </c>
      <c r="Z29">
        <f>IF($W29=1,IFERROR(IF(VALUE($A29)&lt;100000000,VALUE($A29),1000000000),IFERROR(IF(VALUE(MID($A29,2,20))&lt;100000000,VALUE(MID($A29,2,20)),1000000000),1000000000))+ROW()/100000,"")</f>
        <v/>
      </c>
    </row>
    <row r="30">
      <c r="F30" s="7">
        <f>IF($A30="","",E30*N30/100)</f>
        <v/>
      </c>
      <c r="J30" s="7" t="n"/>
      <c r="K30" s="7">
        <f>IF($A30="","",U30*N30)</f>
        <v/>
      </c>
      <c r="L30" s="7">
        <f>IF($A30="","",N30-K30)</f>
        <v/>
      </c>
      <c r="M30" s="7">
        <f>IF($A30="","",L30-F30)</f>
        <v/>
      </c>
      <c r="N30" s="7" t="n"/>
      <c r="O30" s="7" t="n"/>
      <c r="P30" s="7" t="n"/>
      <c r="S30" s="11" t="n"/>
      <c r="U30">
        <f>IF($A30="","",IF($Y30=1,Settings!$C$6,Settings!$C$7)*1)</f>
        <v/>
      </c>
      <c r="W30">
        <f>IF($A30="","",IF(COUNTIF($A$2:$A30,$A30)=1,1,0))</f>
        <v/>
      </c>
      <c r="X30">
        <f>IF($W30=1,SUMPRODUCT(--($Z$2:$Z$501&lt;$Z30))+1,"")</f>
        <v/>
      </c>
      <c r="Y30">
        <f>IF($A30="","",IF(OR($V30=TRUE(),$V30="TRUE"),1,0))</f>
        <v/>
      </c>
      <c r="Z30">
        <f>IF($W30=1,IFERROR(IF(VALUE($A30)&lt;100000000,VALUE($A30),1000000000),IFERROR(IF(VALUE(MID($A30,2,20))&lt;100000000,VALUE(MID($A30,2,20)),1000000000),1000000000))+ROW()/100000,"")</f>
        <v/>
      </c>
    </row>
    <row r="31">
      <c r="F31" s="7">
        <f>IF($A31="","",E31*N31/100)</f>
        <v/>
      </c>
      <c r="J31" s="7" t="n"/>
      <c r="K31" s="7">
        <f>IF($A31="","",U31*N31)</f>
        <v/>
      </c>
      <c r="L31" s="7">
        <f>IF($A31="","",N31-K31)</f>
        <v/>
      </c>
      <c r="M31" s="7">
        <f>IF($A31="","",L31-F31)</f>
        <v/>
      </c>
      <c r="N31" s="7" t="n"/>
      <c r="O31" s="7" t="n"/>
      <c r="P31" s="7" t="n"/>
      <c r="S31" s="11" t="n"/>
      <c r="U31">
        <f>IF($A31="","",IF($Y31=1,Settings!$C$6,Settings!$C$7)*1)</f>
        <v/>
      </c>
      <c r="W31">
        <f>IF($A31="","",IF(COUNTIF($A$2:$A31,$A31)=1,1,0))</f>
        <v/>
      </c>
      <c r="X31">
        <f>IF($W31=1,SUMPRODUCT(--($Z$2:$Z$501&lt;$Z31))+1,"")</f>
        <v/>
      </c>
      <c r="Y31">
        <f>IF($A31="","",IF(OR($V31=TRUE(),$V31="TRUE"),1,0))</f>
        <v/>
      </c>
      <c r="Z31">
        <f>IF($W31=1,IFERROR(IF(VALUE($A31)&lt;100000000,VALUE($A31),1000000000),IFERROR(IF(VALUE(MID($A31,2,20))&lt;100000000,VALUE(MID($A31,2,20)),1000000000),1000000000))+ROW()/100000,"")</f>
        <v/>
      </c>
    </row>
    <row r="32">
      <c r="F32" s="7">
        <f>IF($A32="","",E32*N32/100)</f>
        <v/>
      </c>
      <c r="J32" s="7" t="n"/>
      <c r="K32" s="7">
        <f>IF($A32="","",U32*N32)</f>
        <v/>
      </c>
      <c r="L32" s="7">
        <f>IF($A32="","",N32-K32)</f>
        <v/>
      </c>
      <c r="M32" s="7">
        <f>IF($A32="","",L32-F32)</f>
        <v/>
      </c>
      <c r="N32" s="7" t="n"/>
      <c r="O32" s="7" t="n"/>
      <c r="P32" s="7" t="n"/>
      <c r="S32" s="11" t="n"/>
      <c r="U32">
        <f>IF($A32="","",IF($Y32=1,Settings!$C$6,Settings!$C$7)*1)</f>
        <v/>
      </c>
      <c r="W32">
        <f>IF($A32="","",IF(COUNTIF($A$2:$A32,$A32)=1,1,0))</f>
        <v/>
      </c>
      <c r="X32">
        <f>IF($W32=1,SUMPRODUCT(--($Z$2:$Z$501&lt;$Z32))+1,"")</f>
        <v/>
      </c>
      <c r="Y32">
        <f>IF($A32="","",IF(OR($V32=TRUE(),$V32="TRUE"),1,0))</f>
        <v/>
      </c>
      <c r="Z32">
        <f>IF($W32=1,IFERROR(IF(VALUE($A32)&lt;100000000,VALUE($A32),1000000000),IFERROR(IF(VALUE(MID($A32,2,20))&lt;100000000,VALUE(MID($A32,2,20)),1000000000),1000000000))+ROW()/100000,"")</f>
        <v/>
      </c>
    </row>
    <row r="33">
      <c r="F33" s="7">
        <f>IF($A33="","",E33*N33/100)</f>
        <v/>
      </c>
      <c r="J33" s="7" t="n"/>
      <c r="K33" s="7">
        <f>IF($A33="","",U33*N33)</f>
        <v/>
      </c>
      <c r="L33" s="7">
        <f>IF($A33="","",N33-K33)</f>
        <v/>
      </c>
      <c r="M33" s="7">
        <f>IF($A33="","",L33-F33)</f>
        <v/>
      </c>
      <c r="N33" s="7" t="n"/>
      <c r="O33" s="7" t="n"/>
      <c r="P33" s="7" t="n"/>
      <c r="S33" s="11" t="n"/>
      <c r="U33">
        <f>IF($A33="","",IF($Y33=1,Settings!$C$6,Settings!$C$7)*1)</f>
        <v/>
      </c>
      <c r="W33">
        <f>IF($A33="","",IF(COUNTIF($A$2:$A33,$A33)=1,1,0))</f>
        <v/>
      </c>
      <c r="X33">
        <f>IF($W33=1,SUMPRODUCT(--($Z$2:$Z$501&lt;$Z33))+1,"")</f>
        <v/>
      </c>
      <c r="Y33">
        <f>IF($A33="","",IF(OR($V33=TRUE(),$V33="TRUE"),1,0))</f>
        <v/>
      </c>
      <c r="Z33">
        <f>IF($W33=1,IFERROR(IF(VALUE($A33)&lt;100000000,VALUE($A33),1000000000),IFERROR(IF(VALUE(MID($A33,2,20))&lt;100000000,VALUE(MID($A33,2,20)),1000000000),1000000000))+ROW()/100000,"")</f>
        <v/>
      </c>
    </row>
    <row r="34">
      <c r="F34" s="7">
        <f>IF($A34="","",E34*N34/100)</f>
        <v/>
      </c>
      <c r="J34" s="7" t="n"/>
      <c r="K34" s="7">
        <f>IF($A34="","",U34*N34)</f>
        <v/>
      </c>
      <c r="L34" s="7">
        <f>IF($A34="","",N34-K34)</f>
        <v/>
      </c>
      <c r="M34" s="7">
        <f>IF($A34="","",L34-F34)</f>
        <v/>
      </c>
      <c r="N34" s="7" t="n"/>
      <c r="O34" s="7" t="n"/>
      <c r="P34" s="7" t="n"/>
      <c r="S34" s="11" t="n"/>
      <c r="U34">
        <f>IF($A34="","",IF($Y34=1,Settings!$C$6,Settings!$C$7)*1)</f>
        <v/>
      </c>
      <c r="W34">
        <f>IF($A34="","",IF(COUNTIF($A$2:$A34,$A34)=1,1,0))</f>
        <v/>
      </c>
      <c r="X34">
        <f>IF($W34=1,SUMPRODUCT(--($Z$2:$Z$501&lt;$Z34))+1,"")</f>
        <v/>
      </c>
      <c r="Y34">
        <f>IF($A34="","",IF(OR($V34=TRUE(),$V34="TRUE"),1,0))</f>
        <v/>
      </c>
      <c r="Z34">
        <f>IF($W34=1,IFERROR(IF(VALUE($A34)&lt;100000000,VALUE($A34),1000000000),IFERROR(IF(VALUE(MID($A34,2,20))&lt;100000000,VALUE(MID($A34,2,20)),1000000000),1000000000))+ROW()/100000,"")</f>
        <v/>
      </c>
    </row>
    <row r="35">
      <c r="F35" s="7">
        <f>IF($A35="","",E35*N35/100)</f>
        <v/>
      </c>
      <c r="J35" s="7" t="n"/>
      <c r="K35" s="7">
        <f>IF($A35="","",U35*N35)</f>
        <v/>
      </c>
      <c r="L35" s="7">
        <f>IF($A35="","",N35-K35)</f>
        <v/>
      </c>
      <c r="M35" s="7">
        <f>IF($A35="","",L35-F35)</f>
        <v/>
      </c>
      <c r="N35" s="7" t="n"/>
      <c r="O35" s="7" t="n"/>
      <c r="P35" s="7" t="n"/>
      <c r="S35" s="11" t="n"/>
      <c r="U35">
        <f>IF($A35="","",IF($Y35=1,Settings!$C$6,Settings!$C$7)*1)</f>
        <v/>
      </c>
      <c r="W35">
        <f>IF($A35="","",IF(COUNTIF($A$2:$A35,$A35)=1,1,0))</f>
        <v/>
      </c>
      <c r="X35">
        <f>IF($W35=1,SUMPRODUCT(--($Z$2:$Z$501&lt;$Z35))+1,"")</f>
        <v/>
      </c>
      <c r="Y35">
        <f>IF($A35="","",IF(OR($V35=TRUE(),$V35="TRUE"),1,0))</f>
        <v/>
      </c>
      <c r="Z35">
        <f>IF($W35=1,IFERROR(IF(VALUE($A35)&lt;100000000,VALUE($A35),1000000000),IFERROR(IF(VALUE(MID($A35,2,20))&lt;100000000,VALUE(MID($A35,2,20)),1000000000),1000000000))+ROW()/100000,"")</f>
        <v/>
      </c>
    </row>
    <row r="36">
      <c r="F36" s="7">
        <f>IF($A36="","",E36*N36/100)</f>
        <v/>
      </c>
      <c r="J36" s="7" t="n"/>
      <c r="K36" s="7">
        <f>IF($A36="","",U36*N36)</f>
        <v/>
      </c>
      <c r="L36" s="7">
        <f>IF($A36="","",N36-K36)</f>
        <v/>
      </c>
      <c r="M36" s="7">
        <f>IF($A36="","",L36-F36)</f>
        <v/>
      </c>
      <c r="N36" s="7" t="n"/>
      <c r="O36" s="7" t="n"/>
      <c r="P36" s="7" t="n"/>
      <c r="S36" s="11" t="n"/>
      <c r="U36">
        <f>IF($A36="","",IF($Y36=1,Settings!$C$6,Settings!$C$7)*1)</f>
        <v/>
      </c>
      <c r="W36">
        <f>IF($A36="","",IF(COUNTIF($A$2:$A36,$A36)=1,1,0))</f>
        <v/>
      </c>
      <c r="X36">
        <f>IF($W36=1,SUMPRODUCT(--($Z$2:$Z$501&lt;$Z36))+1,"")</f>
        <v/>
      </c>
      <c r="Y36">
        <f>IF($A36="","",IF(OR($V36=TRUE(),$V36="TRUE"),1,0))</f>
        <v/>
      </c>
      <c r="Z36">
        <f>IF($W36=1,IFERROR(IF(VALUE($A36)&lt;100000000,VALUE($A36),1000000000),IFERROR(IF(VALUE(MID($A36,2,20))&lt;100000000,VALUE(MID($A36,2,20)),1000000000),1000000000))+ROW()/100000,"")</f>
        <v/>
      </c>
    </row>
    <row r="37">
      <c r="F37" s="7">
        <f>IF($A37="","",E37*N37/100)</f>
        <v/>
      </c>
      <c r="J37" s="7" t="n"/>
      <c r="K37" s="7">
        <f>IF($A37="","",U37*N37)</f>
        <v/>
      </c>
      <c r="L37" s="7">
        <f>IF($A37="","",N37-K37)</f>
        <v/>
      </c>
      <c r="M37" s="7">
        <f>IF($A37="","",L37-F37)</f>
        <v/>
      </c>
      <c r="N37" s="7" t="n"/>
      <c r="O37" s="7" t="n"/>
      <c r="P37" s="7" t="n"/>
      <c r="S37" s="11" t="n"/>
      <c r="U37">
        <f>IF($A37="","",IF($Y37=1,Settings!$C$6,Settings!$C$7)*1)</f>
        <v/>
      </c>
      <c r="W37">
        <f>IF($A37="","",IF(COUNTIF($A$2:$A37,$A37)=1,1,0))</f>
        <v/>
      </c>
      <c r="X37">
        <f>IF($W37=1,SUMPRODUCT(--($Z$2:$Z$501&lt;$Z37))+1,"")</f>
        <v/>
      </c>
      <c r="Y37">
        <f>IF($A37="","",IF(OR($V37=TRUE(),$V37="TRUE"),1,0))</f>
        <v/>
      </c>
      <c r="Z37">
        <f>IF($W37=1,IFERROR(IF(VALUE($A37)&lt;100000000,VALUE($A37),1000000000),IFERROR(IF(VALUE(MID($A37,2,20))&lt;100000000,VALUE(MID($A37,2,20)),1000000000),1000000000))+ROW()/100000,"")</f>
        <v/>
      </c>
    </row>
    <row r="38">
      <c r="F38" s="7">
        <f>IF($A38="","",E38*N38/100)</f>
        <v/>
      </c>
      <c r="J38" s="7" t="n"/>
      <c r="K38" s="7">
        <f>IF($A38="","",U38*N38)</f>
        <v/>
      </c>
      <c r="L38" s="7">
        <f>IF($A38="","",N38-K38)</f>
        <v/>
      </c>
      <c r="M38" s="7">
        <f>IF($A38="","",L38-F38)</f>
        <v/>
      </c>
      <c r="N38" s="7" t="n"/>
      <c r="O38" s="7" t="n"/>
      <c r="P38" s="7" t="n"/>
      <c r="S38" s="11" t="n"/>
      <c r="U38">
        <f>IF($A38="","",IF($Y38=1,Settings!$C$6,Settings!$C$7)*1)</f>
        <v/>
      </c>
      <c r="W38">
        <f>IF($A38="","",IF(COUNTIF($A$2:$A38,$A38)=1,1,0))</f>
        <v/>
      </c>
      <c r="X38">
        <f>IF($W38=1,SUMPRODUCT(--($Z$2:$Z$501&lt;$Z38))+1,"")</f>
        <v/>
      </c>
      <c r="Y38">
        <f>IF($A38="","",IF(OR($V38=TRUE(),$V38="TRUE"),1,0))</f>
        <v/>
      </c>
      <c r="Z38">
        <f>IF($W38=1,IFERROR(IF(VALUE($A38)&lt;100000000,VALUE($A38),1000000000),IFERROR(IF(VALUE(MID($A38,2,20))&lt;100000000,VALUE(MID($A38,2,20)),1000000000),1000000000))+ROW()/100000,"")</f>
        <v/>
      </c>
    </row>
    <row r="39">
      <c r="F39" s="7">
        <f>IF($A39="","",E39*N39/100)</f>
        <v/>
      </c>
      <c r="J39" s="7" t="n"/>
      <c r="K39" s="7">
        <f>IF($A39="","",U39*N39)</f>
        <v/>
      </c>
      <c r="L39" s="7">
        <f>IF($A39="","",N39-K39)</f>
        <v/>
      </c>
      <c r="M39" s="7">
        <f>IF($A39="","",L39-F39)</f>
        <v/>
      </c>
      <c r="N39" s="7" t="n"/>
      <c r="O39" s="7" t="n"/>
      <c r="P39" s="7" t="n"/>
      <c r="S39" s="11" t="n"/>
      <c r="U39">
        <f>IF($A39="","",IF($Y39=1,Settings!$C$6,Settings!$C$7)*1)</f>
        <v/>
      </c>
      <c r="W39">
        <f>IF($A39="","",IF(COUNTIF($A$2:$A39,$A39)=1,1,0))</f>
        <v/>
      </c>
      <c r="X39">
        <f>IF($W39=1,SUMPRODUCT(--($Z$2:$Z$501&lt;$Z39))+1,"")</f>
        <v/>
      </c>
      <c r="Y39">
        <f>IF($A39="","",IF(OR($V39=TRUE(),$V39="TRUE"),1,0))</f>
        <v/>
      </c>
      <c r="Z39">
        <f>IF($W39=1,IFERROR(IF(VALUE($A39)&lt;100000000,VALUE($A39),1000000000),IFERROR(IF(VALUE(MID($A39,2,20))&lt;100000000,VALUE(MID($A39,2,20)),1000000000),1000000000))+ROW()/100000,"")</f>
        <v/>
      </c>
    </row>
    <row r="40">
      <c r="F40" s="7">
        <f>IF($A40="","",E40*N40/100)</f>
        <v/>
      </c>
      <c r="J40" s="7" t="n"/>
      <c r="K40" s="7">
        <f>IF($A40="","",U40*N40)</f>
        <v/>
      </c>
      <c r="L40" s="7">
        <f>IF($A40="","",N40-K40)</f>
        <v/>
      </c>
      <c r="M40" s="7">
        <f>IF($A40="","",L40-F40)</f>
        <v/>
      </c>
      <c r="N40" s="7" t="n"/>
      <c r="O40" s="7" t="n"/>
      <c r="P40" s="7" t="n"/>
      <c r="S40" s="11" t="n"/>
      <c r="U40">
        <f>IF($A40="","",IF($Y40=1,Settings!$C$6,Settings!$C$7)*1)</f>
        <v/>
      </c>
      <c r="W40">
        <f>IF($A40="","",IF(COUNTIF($A$2:$A40,$A40)=1,1,0))</f>
        <v/>
      </c>
      <c r="X40">
        <f>IF($W40=1,SUMPRODUCT(--($Z$2:$Z$501&lt;$Z40))+1,"")</f>
        <v/>
      </c>
      <c r="Y40">
        <f>IF($A40="","",IF(OR($V40=TRUE(),$V40="TRUE"),1,0))</f>
        <v/>
      </c>
      <c r="Z40">
        <f>IF($W40=1,IFERROR(IF(VALUE($A40)&lt;100000000,VALUE($A40),1000000000),IFERROR(IF(VALUE(MID($A40,2,20))&lt;100000000,VALUE(MID($A40,2,20)),1000000000),1000000000))+ROW()/100000,"")</f>
        <v/>
      </c>
    </row>
    <row r="41">
      <c r="F41" s="7">
        <f>IF($A41="","",E41*N41/100)</f>
        <v/>
      </c>
      <c r="J41" s="7" t="n"/>
      <c r="K41" s="7">
        <f>IF($A41="","",U41*N41)</f>
        <v/>
      </c>
      <c r="L41" s="7">
        <f>IF($A41="","",N41-K41)</f>
        <v/>
      </c>
      <c r="M41" s="7">
        <f>IF($A41="","",L41-F41)</f>
        <v/>
      </c>
      <c r="N41" s="7" t="n"/>
      <c r="O41" s="7" t="n"/>
      <c r="P41" s="7" t="n"/>
      <c r="S41" s="11" t="n"/>
      <c r="U41">
        <f>IF($A41="","",IF($Y41=1,Settings!$C$6,Settings!$C$7)*1)</f>
        <v/>
      </c>
      <c r="W41">
        <f>IF($A41="","",IF(COUNTIF($A$2:$A41,$A41)=1,1,0))</f>
        <v/>
      </c>
      <c r="X41">
        <f>IF($W41=1,SUMPRODUCT(--($Z$2:$Z$501&lt;$Z41))+1,"")</f>
        <v/>
      </c>
      <c r="Y41">
        <f>IF($A41="","",IF(OR($V41=TRUE(),$V41="TRUE"),1,0))</f>
        <v/>
      </c>
      <c r="Z41">
        <f>IF($W41=1,IFERROR(IF(VALUE($A41)&lt;100000000,VALUE($A41),1000000000),IFERROR(IF(VALUE(MID($A41,2,20))&lt;100000000,VALUE(MID($A41,2,20)),1000000000),1000000000))+ROW()/100000,"")</f>
        <v/>
      </c>
    </row>
    <row r="42">
      <c r="F42" s="7">
        <f>IF($A42="","",E42*N42/100)</f>
        <v/>
      </c>
      <c r="J42" s="7" t="n"/>
      <c r="K42" s="7">
        <f>IF($A42="","",U42*N42)</f>
        <v/>
      </c>
      <c r="L42" s="7">
        <f>IF($A42="","",N42-K42)</f>
        <v/>
      </c>
      <c r="M42" s="7">
        <f>IF($A42="","",L42-F42)</f>
        <v/>
      </c>
      <c r="N42" s="7" t="n"/>
      <c r="O42" s="7" t="n"/>
      <c r="P42" s="7" t="n"/>
      <c r="S42" s="11" t="n"/>
      <c r="U42">
        <f>IF($A42="","",IF($Y42=1,Settings!$C$6,Settings!$C$7)*1)</f>
        <v/>
      </c>
      <c r="W42">
        <f>IF($A42="","",IF(COUNTIF($A$2:$A42,$A42)=1,1,0))</f>
        <v/>
      </c>
      <c r="X42">
        <f>IF($W42=1,SUMPRODUCT(--($Z$2:$Z$501&lt;$Z42))+1,"")</f>
        <v/>
      </c>
      <c r="Y42">
        <f>IF($A42="","",IF(OR($V42=TRUE(),$V42="TRUE"),1,0))</f>
        <v/>
      </c>
      <c r="Z42">
        <f>IF($W42=1,IFERROR(IF(VALUE($A42)&lt;100000000,VALUE($A42),1000000000),IFERROR(IF(VALUE(MID($A42,2,20))&lt;100000000,VALUE(MID($A42,2,20)),1000000000),1000000000))+ROW()/100000,"")</f>
        <v/>
      </c>
    </row>
    <row r="43">
      <c r="F43" s="7">
        <f>IF($A43="","",E43*N43/100)</f>
        <v/>
      </c>
      <c r="J43" s="7" t="n"/>
      <c r="K43" s="7">
        <f>IF($A43="","",U43*N43)</f>
        <v/>
      </c>
      <c r="L43" s="7">
        <f>IF($A43="","",N43-K43)</f>
        <v/>
      </c>
      <c r="M43" s="7">
        <f>IF($A43="","",L43-F43)</f>
        <v/>
      </c>
      <c r="N43" s="7" t="n"/>
      <c r="O43" s="7" t="n"/>
      <c r="P43" s="7" t="n"/>
      <c r="S43" s="11" t="n"/>
      <c r="U43">
        <f>IF($A43="","",IF($Y43=1,Settings!$C$6,Settings!$C$7)*1)</f>
        <v/>
      </c>
      <c r="W43">
        <f>IF($A43="","",IF(COUNTIF($A$2:$A43,$A43)=1,1,0))</f>
        <v/>
      </c>
      <c r="X43">
        <f>IF($W43=1,SUMPRODUCT(--($Z$2:$Z$501&lt;$Z43))+1,"")</f>
        <v/>
      </c>
      <c r="Y43">
        <f>IF($A43="","",IF(OR($V43=TRUE(),$V43="TRUE"),1,0))</f>
        <v/>
      </c>
      <c r="Z43">
        <f>IF($W43=1,IFERROR(IF(VALUE($A43)&lt;100000000,VALUE($A43),1000000000),IFERROR(IF(VALUE(MID($A43,2,20))&lt;100000000,VALUE(MID($A43,2,20)),1000000000),1000000000))+ROW()/100000,"")</f>
        <v/>
      </c>
    </row>
    <row r="44">
      <c r="F44" s="7">
        <f>IF($A44="","",E44*N44/100)</f>
        <v/>
      </c>
      <c r="J44" s="7" t="n"/>
      <c r="K44" s="7">
        <f>IF($A44="","",U44*N44)</f>
        <v/>
      </c>
      <c r="L44" s="7">
        <f>IF($A44="","",N44-K44)</f>
        <v/>
      </c>
      <c r="M44" s="7">
        <f>IF($A44="","",L44-F44)</f>
        <v/>
      </c>
      <c r="N44" s="7" t="n"/>
      <c r="O44" s="7" t="n"/>
      <c r="P44" s="7" t="n"/>
      <c r="S44" s="11" t="n"/>
      <c r="U44">
        <f>IF($A44="","",IF($Y44=1,Settings!$C$6,Settings!$C$7)*1)</f>
        <v/>
      </c>
      <c r="W44">
        <f>IF($A44="","",IF(COUNTIF($A$2:$A44,$A44)=1,1,0))</f>
        <v/>
      </c>
      <c r="X44">
        <f>IF($W44=1,SUMPRODUCT(--($Z$2:$Z$501&lt;$Z44))+1,"")</f>
        <v/>
      </c>
      <c r="Y44">
        <f>IF($A44="","",IF(OR($V44=TRUE(),$V44="TRUE"),1,0))</f>
        <v/>
      </c>
      <c r="Z44">
        <f>IF($W44=1,IFERROR(IF(VALUE($A44)&lt;100000000,VALUE($A44),1000000000),IFERROR(IF(VALUE(MID($A44,2,20))&lt;100000000,VALUE(MID($A44,2,20)),1000000000),1000000000))+ROW()/100000,"")</f>
        <v/>
      </c>
    </row>
    <row r="45">
      <c r="F45" s="7">
        <f>IF($A45="","",E45*N45/100)</f>
        <v/>
      </c>
      <c r="J45" s="7" t="n"/>
      <c r="K45" s="7">
        <f>IF($A45="","",U45*N45)</f>
        <v/>
      </c>
      <c r="L45" s="7">
        <f>IF($A45="","",N45-K45)</f>
        <v/>
      </c>
      <c r="M45" s="7">
        <f>IF($A45="","",L45-F45)</f>
        <v/>
      </c>
      <c r="N45" s="7" t="n"/>
      <c r="O45" s="7" t="n"/>
      <c r="P45" s="7" t="n"/>
      <c r="S45" s="11" t="n"/>
      <c r="U45">
        <f>IF($A45="","",IF($Y45=1,Settings!$C$6,Settings!$C$7)*1)</f>
        <v/>
      </c>
      <c r="W45">
        <f>IF($A45="","",IF(COUNTIF($A$2:$A45,$A45)=1,1,0))</f>
        <v/>
      </c>
      <c r="X45">
        <f>IF($W45=1,SUMPRODUCT(--($Z$2:$Z$501&lt;$Z45))+1,"")</f>
        <v/>
      </c>
      <c r="Y45">
        <f>IF($A45="","",IF(OR($V45=TRUE(),$V45="TRUE"),1,0))</f>
        <v/>
      </c>
      <c r="Z45">
        <f>IF($W45=1,IFERROR(IF(VALUE($A45)&lt;100000000,VALUE($A45),1000000000),IFERROR(IF(VALUE(MID($A45,2,20))&lt;100000000,VALUE(MID($A45,2,20)),1000000000),1000000000))+ROW()/100000,"")</f>
        <v/>
      </c>
    </row>
    <row r="46">
      <c r="F46" s="7">
        <f>IF($A46="","",E46*N46/100)</f>
        <v/>
      </c>
      <c r="J46" s="7" t="n"/>
      <c r="K46" s="7">
        <f>IF($A46="","",U46*N46)</f>
        <v/>
      </c>
      <c r="L46" s="7">
        <f>IF($A46="","",N46-K46)</f>
        <v/>
      </c>
      <c r="M46" s="7">
        <f>IF($A46="","",L46-F46)</f>
        <v/>
      </c>
      <c r="N46" s="7" t="n"/>
      <c r="O46" s="7" t="n"/>
      <c r="P46" s="7" t="n"/>
      <c r="S46" s="11" t="n"/>
      <c r="U46">
        <f>IF($A46="","",IF($Y46=1,Settings!$C$6,Settings!$C$7)*1)</f>
        <v/>
      </c>
      <c r="W46">
        <f>IF($A46="","",IF(COUNTIF($A$2:$A46,$A46)=1,1,0))</f>
        <v/>
      </c>
      <c r="X46">
        <f>IF($W46=1,SUMPRODUCT(--($Z$2:$Z$501&lt;$Z46))+1,"")</f>
        <v/>
      </c>
      <c r="Y46">
        <f>IF($A46="","",IF(OR($V46=TRUE(),$V46="TRUE"),1,0))</f>
        <v/>
      </c>
      <c r="Z46">
        <f>IF($W46=1,IFERROR(IF(VALUE($A46)&lt;100000000,VALUE($A46),1000000000),IFERROR(IF(VALUE(MID($A46,2,20))&lt;100000000,VALUE(MID($A46,2,20)),1000000000),1000000000))+ROW()/100000,"")</f>
        <v/>
      </c>
    </row>
    <row r="47">
      <c r="F47" s="7">
        <f>IF($A47="","",E47*N47/100)</f>
        <v/>
      </c>
      <c r="J47" s="7" t="n"/>
      <c r="K47" s="7">
        <f>IF($A47="","",U47*N47)</f>
        <v/>
      </c>
      <c r="L47" s="7">
        <f>IF($A47="","",N47-K47)</f>
        <v/>
      </c>
      <c r="M47" s="7">
        <f>IF($A47="","",L47-F47)</f>
        <v/>
      </c>
      <c r="N47" s="7" t="n"/>
      <c r="O47" s="7" t="n"/>
      <c r="P47" s="7" t="n"/>
      <c r="S47" s="11" t="n"/>
      <c r="U47">
        <f>IF($A47="","",IF($Y47=1,Settings!$C$6,Settings!$C$7)*1)</f>
        <v/>
      </c>
      <c r="W47">
        <f>IF($A47="","",IF(COUNTIF($A$2:$A47,$A47)=1,1,0))</f>
        <v/>
      </c>
      <c r="X47">
        <f>IF($W47=1,SUMPRODUCT(--($Z$2:$Z$501&lt;$Z47))+1,"")</f>
        <v/>
      </c>
      <c r="Y47">
        <f>IF($A47="","",IF(OR($V47=TRUE(),$V47="TRUE"),1,0))</f>
        <v/>
      </c>
      <c r="Z47">
        <f>IF($W47=1,IFERROR(IF(VALUE($A47)&lt;100000000,VALUE($A47),1000000000),IFERROR(IF(VALUE(MID($A47,2,20))&lt;100000000,VALUE(MID($A47,2,20)),1000000000),1000000000))+ROW()/100000,"")</f>
        <v/>
      </c>
    </row>
    <row r="48">
      <c r="F48" s="7">
        <f>IF($A48="","",E48*N48/100)</f>
        <v/>
      </c>
      <c r="J48" s="7" t="n"/>
      <c r="K48" s="7">
        <f>IF($A48="","",U48*N48)</f>
        <v/>
      </c>
      <c r="L48" s="7">
        <f>IF($A48="","",N48-K48)</f>
        <v/>
      </c>
      <c r="M48" s="7">
        <f>IF($A48="","",L48-F48)</f>
        <v/>
      </c>
      <c r="N48" s="7" t="n"/>
      <c r="O48" s="7" t="n"/>
      <c r="P48" s="7" t="n"/>
      <c r="S48" s="11" t="n"/>
      <c r="U48">
        <f>IF($A48="","",IF($Y48=1,Settings!$C$6,Settings!$C$7)*1)</f>
        <v/>
      </c>
      <c r="W48">
        <f>IF($A48="","",IF(COUNTIF($A$2:$A48,$A48)=1,1,0))</f>
        <v/>
      </c>
      <c r="X48">
        <f>IF($W48=1,SUMPRODUCT(--($Z$2:$Z$501&lt;$Z48))+1,"")</f>
        <v/>
      </c>
      <c r="Y48">
        <f>IF($A48="","",IF(OR($V48=TRUE(),$V48="TRUE"),1,0))</f>
        <v/>
      </c>
      <c r="Z48">
        <f>IF($W48=1,IFERROR(IF(VALUE($A48)&lt;100000000,VALUE($A48),1000000000),IFERROR(IF(VALUE(MID($A48,2,20))&lt;100000000,VALUE(MID($A48,2,20)),1000000000),1000000000))+ROW()/100000,"")</f>
        <v/>
      </c>
    </row>
    <row r="49">
      <c r="F49" s="7">
        <f>IF($A49="","",E49*N49/100)</f>
        <v/>
      </c>
      <c r="J49" s="7" t="n"/>
      <c r="K49" s="7">
        <f>IF($A49="","",U49*N49)</f>
        <v/>
      </c>
      <c r="L49" s="7">
        <f>IF($A49="","",N49-K49)</f>
        <v/>
      </c>
      <c r="M49" s="7">
        <f>IF($A49="","",L49-F49)</f>
        <v/>
      </c>
      <c r="N49" s="7" t="n"/>
      <c r="O49" s="7" t="n"/>
      <c r="P49" s="7" t="n"/>
      <c r="S49" s="11" t="n"/>
      <c r="U49">
        <f>IF($A49="","",IF($Y49=1,Settings!$C$6,Settings!$C$7)*1)</f>
        <v/>
      </c>
      <c r="W49">
        <f>IF($A49="","",IF(COUNTIF($A$2:$A49,$A49)=1,1,0))</f>
        <v/>
      </c>
      <c r="X49">
        <f>IF($W49=1,SUMPRODUCT(--($Z$2:$Z$501&lt;$Z49))+1,"")</f>
        <v/>
      </c>
      <c r="Y49">
        <f>IF($A49="","",IF(OR($V49=TRUE(),$V49="TRUE"),1,0))</f>
        <v/>
      </c>
      <c r="Z49">
        <f>IF($W49=1,IFERROR(IF(VALUE($A49)&lt;100000000,VALUE($A49),1000000000),IFERROR(IF(VALUE(MID($A49,2,20))&lt;100000000,VALUE(MID($A49,2,20)),1000000000),1000000000))+ROW()/100000,"")</f>
        <v/>
      </c>
    </row>
    <row r="50">
      <c r="F50" s="7">
        <f>IF($A50="","",E50*N50/100)</f>
        <v/>
      </c>
      <c r="J50" s="7" t="n"/>
      <c r="K50" s="7">
        <f>IF($A50="","",U50*N50)</f>
        <v/>
      </c>
      <c r="L50" s="7">
        <f>IF($A50="","",N50-K50)</f>
        <v/>
      </c>
      <c r="M50" s="7">
        <f>IF($A50="","",L50-F50)</f>
        <v/>
      </c>
      <c r="N50" s="7" t="n"/>
      <c r="O50" s="7" t="n"/>
      <c r="P50" s="7" t="n"/>
      <c r="S50" s="11" t="n"/>
      <c r="U50">
        <f>IF($A50="","",IF($Y50=1,Settings!$C$6,Settings!$C$7)*1)</f>
        <v/>
      </c>
      <c r="W50">
        <f>IF($A50="","",IF(COUNTIF($A$2:$A50,$A50)=1,1,0))</f>
        <v/>
      </c>
      <c r="X50">
        <f>IF($W50=1,SUMPRODUCT(--($Z$2:$Z$501&lt;$Z50))+1,"")</f>
        <v/>
      </c>
      <c r="Y50">
        <f>IF($A50="","",IF(OR($V50=TRUE(),$V50="TRUE"),1,0))</f>
        <v/>
      </c>
      <c r="Z50">
        <f>IF($W50=1,IFERROR(IF(VALUE($A50)&lt;100000000,VALUE($A50),1000000000),IFERROR(IF(VALUE(MID($A50,2,20))&lt;100000000,VALUE(MID($A50,2,20)),1000000000),1000000000))+ROW()/100000,"")</f>
        <v/>
      </c>
    </row>
    <row r="51">
      <c r="F51" s="7">
        <f>IF($A51="","",E51*N51/100)</f>
        <v/>
      </c>
      <c r="J51" s="7" t="n"/>
      <c r="K51" s="7">
        <f>IF($A51="","",U51*N51)</f>
        <v/>
      </c>
      <c r="L51" s="7">
        <f>IF($A51="","",N51-K51)</f>
        <v/>
      </c>
      <c r="M51" s="7">
        <f>IF($A51="","",L51-F51)</f>
        <v/>
      </c>
      <c r="N51" s="7" t="n"/>
      <c r="O51" s="7" t="n"/>
      <c r="P51" s="7" t="n"/>
      <c r="S51" s="11" t="n"/>
      <c r="U51">
        <f>IF($A51="","",IF($Y51=1,Settings!$C$6,Settings!$C$7)*1)</f>
        <v/>
      </c>
      <c r="W51">
        <f>IF($A51="","",IF(COUNTIF($A$2:$A51,$A51)=1,1,0))</f>
        <v/>
      </c>
      <c r="X51">
        <f>IF($W51=1,SUMPRODUCT(--($Z$2:$Z$501&lt;$Z51))+1,"")</f>
        <v/>
      </c>
      <c r="Y51">
        <f>IF($A51="","",IF(OR($V51=TRUE(),$V51="TRUE"),1,0))</f>
        <v/>
      </c>
      <c r="Z51">
        <f>IF($W51=1,IFERROR(IF(VALUE($A51)&lt;100000000,VALUE($A51),1000000000),IFERROR(IF(VALUE(MID($A51,2,20))&lt;100000000,VALUE(MID($A51,2,20)),1000000000),1000000000))+ROW()/100000,"")</f>
        <v/>
      </c>
    </row>
    <row r="52">
      <c r="F52" s="7">
        <f>IF($A52="","",E52*N52/100)</f>
        <v/>
      </c>
      <c r="J52" s="7" t="n"/>
      <c r="K52" s="7">
        <f>IF($A52="","",U52*N52)</f>
        <v/>
      </c>
      <c r="L52" s="7">
        <f>IF($A52="","",N52-K52)</f>
        <v/>
      </c>
      <c r="M52" s="7">
        <f>IF($A52="","",L52-F52)</f>
        <v/>
      </c>
      <c r="N52" s="7" t="n"/>
      <c r="O52" s="7" t="n"/>
      <c r="P52" s="7" t="n"/>
      <c r="S52" s="11" t="n"/>
      <c r="U52">
        <f>IF($A52="","",IF($Y52=1,Settings!$C$6,Settings!$C$7)*1)</f>
        <v/>
      </c>
      <c r="W52">
        <f>IF($A52="","",IF(COUNTIF($A$2:$A52,$A52)=1,1,0))</f>
        <v/>
      </c>
      <c r="X52">
        <f>IF($W52=1,SUMPRODUCT(--($Z$2:$Z$501&lt;$Z52))+1,"")</f>
        <v/>
      </c>
      <c r="Y52">
        <f>IF($A52="","",IF(OR($V52=TRUE(),$V52="TRUE"),1,0))</f>
        <v/>
      </c>
      <c r="Z52">
        <f>IF($W52=1,IFERROR(IF(VALUE($A52)&lt;100000000,VALUE($A52),1000000000),IFERROR(IF(VALUE(MID($A52,2,20))&lt;100000000,VALUE(MID($A52,2,20)),1000000000),1000000000))+ROW()/100000,"")</f>
        <v/>
      </c>
    </row>
    <row r="53">
      <c r="F53" s="7">
        <f>IF($A53="","",E53*N53/100)</f>
        <v/>
      </c>
      <c r="J53" s="7" t="n"/>
      <c r="K53" s="7">
        <f>IF($A53="","",U53*N53)</f>
        <v/>
      </c>
      <c r="L53" s="7">
        <f>IF($A53="","",N53-K53)</f>
        <v/>
      </c>
      <c r="M53" s="7">
        <f>IF($A53="","",L53-F53)</f>
        <v/>
      </c>
      <c r="N53" s="7" t="n"/>
      <c r="O53" s="7" t="n"/>
      <c r="P53" s="7" t="n"/>
      <c r="S53" s="11" t="n"/>
      <c r="U53">
        <f>IF($A53="","",IF($Y53=1,Settings!$C$6,Settings!$C$7)*1)</f>
        <v/>
      </c>
      <c r="W53">
        <f>IF($A53="","",IF(COUNTIF($A$2:$A53,$A53)=1,1,0))</f>
        <v/>
      </c>
      <c r="X53">
        <f>IF($W53=1,SUMPRODUCT(--($Z$2:$Z$501&lt;$Z53))+1,"")</f>
        <v/>
      </c>
      <c r="Y53">
        <f>IF($A53="","",IF(OR($V53=TRUE(),$V53="TRUE"),1,0))</f>
        <v/>
      </c>
      <c r="Z53">
        <f>IF($W53=1,IFERROR(IF(VALUE($A53)&lt;100000000,VALUE($A53),1000000000),IFERROR(IF(VALUE(MID($A53,2,20))&lt;100000000,VALUE(MID($A53,2,20)),1000000000),1000000000))+ROW()/100000,"")</f>
        <v/>
      </c>
    </row>
    <row r="54">
      <c r="F54" s="7">
        <f>IF($A54="","",E54*N54/100)</f>
        <v/>
      </c>
      <c r="J54" s="7" t="n"/>
      <c r="K54" s="7">
        <f>IF($A54="","",U54*N54)</f>
        <v/>
      </c>
      <c r="L54" s="7">
        <f>IF($A54="","",N54-K54)</f>
        <v/>
      </c>
      <c r="M54" s="7">
        <f>IF($A54="","",L54-F54)</f>
        <v/>
      </c>
      <c r="N54" s="7" t="n"/>
      <c r="O54" s="7" t="n"/>
      <c r="P54" s="7" t="n"/>
      <c r="S54" s="11" t="n"/>
      <c r="U54">
        <f>IF($A54="","",IF($Y54=1,Settings!$C$6,Settings!$C$7)*1)</f>
        <v/>
      </c>
      <c r="W54">
        <f>IF($A54="","",IF(COUNTIF($A$2:$A54,$A54)=1,1,0))</f>
        <v/>
      </c>
      <c r="X54">
        <f>IF($W54=1,SUMPRODUCT(--($Z$2:$Z$501&lt;$Z54))+1,"")</f>
        <v/>
      </c>
      <c r="Y54">
        <f>IF($A54="","",IF(OR($V54=TRUE(),$V54="TRUE"),1,0))</f>
        <v/>
      </c>
      <c r="Z54">
        <f>IF($W54=1,IFERROR(IF(VALUE($A54)&lt;100000000,VALUE($A54),1000000000),IFERROR(IF(VALUE(MID($A54,2,20))&lt;100000000,VALUE(MID($A54,2,20)),1000000000),1000000000))+ROW()/100000,"")</f>
        <v/>
      </c>
    </row>
    <row r="55">
      <c r="F55" s="7">
        <f>IF($A55="","",E55*N55/100)</f>
        <v/>
      </c>
      <c r="J55" s="7" t="n"/>
      <c r="K55" s="7">
        <f>IF($A55="","",U55*N55)</f>
        <v/>
      </c>
      <c r="L55" s="7">
        <f>IF($A55="","",N55-K55)</f>
        <v/>
      </c>
      <c r="M55" s="7">
        <f>IF($A55="","",L55-F55)</f>
        <v/>
      </c>
      <c r="N55" s="7" t="n"/>
      <c r="O55" s="7" t="n"/>
      <c r="P55" s="7" t="n"/>
      <c r="S55" s="11" t="n"/>
      <c r="U55">
        <f>IF($A55="","",IF($Y55=1,Settings!$C$6,Settings!$C$7)*1)</f>
        <v/>
      </c>
      <c r="W55">
        <f>IF($A55="","",IF(COUNTIF($A$2:$A55,$A55)=1,1,0))</f>
        <v/>
      </c>
      <c r="X55">
        <f>IF($W55=1,SUMPRODUCT(--($Z$2:$Z$501&lt;$Z55))+1,"")</f>
        <v/>
      </c>
      <c r="Y55">
        <f>IF($A55="","",IF(OR($V55=TRUE(),$V55="TRUE"),1,0))</f>
        <v/>
      </c>
      <c r="Z55">
        <f>IF($W55=1,IFERROR(IF(VALUE($A55)&lt;100000000,VALUE($A55),1000000000),IFERROR(IF(VALUE(MID($A55,2,20))&lt;100000000,VALUE(MID($A55,2,20)),1000000000),1000000000))+ROW()/100000,"")</f>
        <v/>
      </c>
    </row>
    <row r="56">
      <c r="F56" s="7">
        <f>IF($A56="","",E56*N56/100)</f>
        <v/>
      </c>
      <c r="J56" s="7" t="n"/>
      <c r="K56" s="7">
        <f>IF($A56="","",U56*N56)</f>
        <v/>
      </c>
      <c r="L56" s="7">
        <f>IF($A56="","",N56-K56)</f>
        <v/>
      </c>
      <c r="M56" s="7">
        <f>IF($A56="","",L56-F56)</f>
        <v/>
      </c>
      <c r="N56" s="7" t="n"/>
      <c r="O56" s="7" t="n"/>
      <c r="P56" s="7" t="n"/>
      <c r="S56" s="11" t="n"/>
      <c r="U56">
        <f>IF($A56="","",IF($Y56=1,Settings!$C$6,Settings!$C$7)*1)</f>
        <v/>
      </c>
      <c r="W56">
        <f>IF($A56="","",IF(COUNTIF($A$2:$A56,$A56)=1,1,0))</f>
        <v/>
      </c>
      <c r="X56">
        <f>IF($W56=1,SUMPRODUCT(--($Z$2:$Z$501&lt;$Z56))+1,"")</f>
        <v/>
      </c>
      <c r="Y56">
        <f>IF($A56="","",IF(OR($V56=TRUE(),$V56="TRUE"),1,0))</f>
        <v/>
      </c>
      <c r="Z56">
        <f>IF($W56=1,IFERROR(IF(VALUE($A56)&lt;100000000,VALUE($A56),1000000000),IFERROR(IF(VALUE(MID($A56,2,20))&lt;100000000,VALUE(MID($A56,2,20)),1000000000),1000000000))+ROW()/100000,"")</f>
        <v/>
      </c>
    </row>
    <row r="57">
      <c r="F57" s="7">
        <f>IF($A57="","",E57*N57/100)</f>
        <v/>
      </c>
      <c r="J57" s="7" t="n"/>
      <c r="K57" s="7">
        <f>IF($A57="","",U57*N57)</f>
        <v/>
      </c>
      <c r="L57" s="7">
        <f>IF($A57="","",N57-K57)</f>
        <v/>
      </c>
      <c r="M57" s="7">
        <f>IF($A57="","",L57-F57)</f>
        <v/>
      </c>
      <c r="N57" s="7" t="n"/>
      <c r="O57" s="7" t="n"/>
      <c r="P57" s="7" t="n"/>
      <c r="S57" s="11" t="n"/>
      <c r="U57">
        <f>IF($A57="","",IF($Y57=1,Settings!$C$6,Settings!$C$7)*1)</f>
        <v/>
      </c>
      <c r="W57">
        <f>IF($A57="","",IF(COUNTIF($A$2:$A57,$A57)=1,1,0))</f>
        <v/>
      </c>
      <c r="X57">
        <f>IF($W57=1,SUMPRODUCT(--($Z$2:$Z$501&lt;$Z57))+1,"")</f>
        <v/>
      </c>
      <c r="Y57">
        <f>IF($A57="","",IF(OR($V57=TRUE(),$V57="TRUE"),1,0))</f>
        <v/>
      </c>
      <c r="Z57">
        <f>IF($W57=1,IFERROR(IF(VALUE($A57)&lt;100000000,VALUE($A57),1000000000),IFERROR(IF(VALUE(MID($A57,2,20))&lt;100000000,VALUE(MID($A57,2,20)),1000000000),1000000000))+ROW()/100000,"")</f>
        <v/>
      </c>
    </row>
    <row r="58">
      <c r="F58" s="7">
        <f>IF($A58="","",E58*N58/100)</f>
        <v/>
      </c>
      <c r="J58" s="7" t="n"/>
      <c r="K58" s="7">
        <f>IF($A58="","",U58*N58)</f>
        <v/>
      </c>
      <c r="L58" s="7">
        <f>IF($A58="","",N58-K58)</f>
        <v/>
      </c>
      <c r="M58" s="7">
        <f>IF($A58="","",L58-F58)</f>
        <v/>
      </c>
      <c r="N58" s="7" t="n"/>
      <c r="O58" s="7" t="n"/>
      <c r="P58" s="7" t="n"/>
      <c r="S58" s="11" t="n"/>
      <c r="U58">
        <f>IF($A58="","",IF($Y58=1,Settings!$C$6,Settings!$C$7)*1)</f>
        <v/>
      </c>
      <c r="W58">
        <f>IF($A58="","",IF(COUNTIF($A$2:$A58,$A58)=1,1,0))</f>
        <v/>
      </c>
      <c r="X58">
        <f>IF($W58=1,SUMPRODUCT(--($Z$2:$Z$501&lt;$Z58))+1,"")</f>
        <v/>
      </c>
      <c r="Y58">
        <f>IF($A58="","",IF(OR($V58=TRUE(),$V58="TRUE"),1,0))</f>
        <v/>
      </c>
      <c r="Z58">
        <f>IF($W58=1,IFERROR(IF(VALUE($A58)&lt;100000000,VALUE($A58),1000000000),IFERROR(IF(VALUE(MID($A58,2,20))&lt;100000000,VALUE(MID($A58,2,20)),1000000000),1000000000))+ROW()/100000,"")</f>
        <v/>
      </c>
    </row>
    <row r="59">
      <c r="F59" s="7">
        <f>IF($A59="","",E59*N59/100)</f>
        <v/>
      </c>
      <c r="J59" s="7" t="n"/>
      <c r="K59" s="7">
        <f>IF($A59="","",U59*N59)</f>
        <v/>
      </c>
      <c r="L59" s="7">
        <f>IF($A59="","",N59-K59)</f>
        <v/>
      </c>
      <c r="M59" s="7">
        <f>IF($A59="","",L59-F59)</f>
        <v/>
      </c>
      <c r="N59" s="7" t="n"/>
      <c r="O59" s="7" t="n"/>
      <c r="P59" s="7" t="n"/>
      <c r="S59" s="11" t="n"/>
      <c r="U59">
        <f>IF($A59="","",IF($Y59=1,Settings!$C$6,Settings!$C$7)*1)</f>
        <v/>
      </c>
      <c r="W59">
        <f>IF($A59="","",IF(COUNTIF($A$2:$A59,$A59)=1,1,0))</f>
        <v/>
      </c>
      <c r="X59">
        <f>IF($W59=1,SUMPRODUCT(--($Z$2:$Z$501&lt;$Z59))+1,"")</f>
        <v/>
      </c>
      <c r="Y59">
        <f>IF($A59="","",IF(OR($V59=TRUE(),$V59="TRUE"),1,0))</f>
        <v/>
      </c>
      <c r="Z59">
        <f>IF($W59=1,IFERROR(IF(VALUE($A59)&lt;100000000,VALUE($A59),1000000000),IFERROR(IF(VALUE(MID($A59,2,20))&lt;100000000,VALUE(MID($A59,2,20)),1000000000),1000000000))+ROW()/100000,"")</f>
        <v/>
      </c>
    </row>
    <row r="60">
      <c r="F60" s="7">
        <f>IF($A60="","",E60*N60/100)</f>
        <v/>
      </c>
      <c r="J60" s="7" t="n"/>
      <c r="K60" s="7">
        <f>IF($A60="","",U60*N60)</f>
        <v/>
      </c>
      <c r="L60" s="7">
        <f>IF($A60="","",N60-K60)</f>
        <v/>
      </c>
      <c r="M60" s="7">
        <f>IF($A60="","",L60-F60)</f>
        <v/>
      </c>
      <c r="N60" s="7" t="n"/>
      <c r="O60" s="7" t="n"/>
      <c r="P60" s="7" t="n"/>
      <c r="S60" s="11" t="n"/>
      <c r="U60">
        <f>IF($A60="","",IF($Y60=1,Settings!$C$6,Settings!$C$7)*1)</f>
        <v/>
      </c>
      <c r="W60">
        <f>IF($A60="","",IF(COUNTIF($A$2:$A60,$A60)=1,1,0))</f>
        <v/>
      </c>
      <c r="X60">
        <f>IF($W60=1,SUMPRODUCT(--($Z$2:$Z$501&lt;$Z60))+1,"")</f>
        <v/>
      </c>
      <c r="Y60">
        <f>IF($A60="","",IF(OR($V60=TRUE(),$V60="TRUE"),1,0))</f>
        <v/>
      </c>
      <c r="Z60">
        <f>IF($W60=1,IFERROR(IF(VALUE($A60)&lt;100000000,VALUE($A60),1000000000),IFERROR(IF(VALUE(MID($A60,2,20))&lt;100000000,VALUE(MID($A60,2,20)),1000000000),1000000000))+ROW()/100000,"")</f>
        <v/>
      </c>
    </row>
    <row r="61">
      <c r="F61" s="7">
        <f>IF($A61="","",E61*N61/100)</f>
        <v/>
      </c>
      <c r="J61" s="7" t="n"/>
      <c r="K61" s="7">
        <f>IF($A61="","",U61*N61)</f>
        <v/>
      </c>
      <c r="L61" s="7">
        <f>IF($A61="","",N61-K61)</f>
        <v/>
      </c>
      <c r="M61" s="7">
        <f>IF($A61="","",L61-F61)</f>
        <v/>
      </c>
      <c r="N61" s="7" t="n"/>
      <c r="O61" s="7" t="n"/>
      <c r="P61" s="7" t="n"/>
      <c r="S61" s="11" t="n"/>
      <c r="U61">
        <f>IF($A61="","",IF($Y61=1,Settings!$C$6,Settings!$C$7)*1)</f>
        <v/>
      </c>
      <c r="W61">
        <f>IF($A61="","",IF(COUNTIF($A$2:$A61,$A61)=1,1,0))</f>
        <v/>
      </c>
      <c r="X61">
        <f>IF($W61=1,SUMPRODUCT(--($Z$2:$Z$501&lt;$Z61))+1,"")</f>
        <v/>
      </c>
      <c r="Y61">
        <f>IF($A61="","",IF(OR($V61=TRUE(),$V61="TRUE"),1,0))</f>
        <v/>
      </c>
      <c r="Z61">
        <f>IF($W61=1,IFERROR(IF(VALUE($A61)&lt;100000000,VALUE($A61),1000000000),IFERROR(IF(VALUE(MID($A61,2,20))&lt;100000000,VALUE(MID($A61,2,20)),1000000000),1000000000))+ROW()/100000,"")</f>
        <v/>
      </c>
    </row>
    <row r="62">
      <c r="F62" s="7">
        <f>IF($A62="","",E62*N62/100)</f>
        <v/>
      </c>
      <c r="J62" s="7" t="n"/>
      <c r="K62" s="7">
        <f>IF($A62="","",U62*N62)</f>
        <v/>
      </c>
      <c r="L62" s="7">
        <f>IF($A62="","",N62-K62)</f>
        <v/>
      </c>
      <c r="M62" s="7">
        <f>IF($A62="","",L62-F62)</f>
        <v/>
      </c>
      <c r="N62" s="7" t="n"/>
      <c r="O62" s="7" t="n"/>
      <c r="P62" s="7" t="n"/>
      <c r="S62" s="11" t="n"/>
      <c r="U62">
        <f>IF($A62="","",IF($Y62=1,Settings!$C$6,Settings!$C$7)*1)</f>
        <v/>
      </c>
      <c r="W62">
        <f>IF($A62="","",IF(COUNTIF($A$2:$A62,$A62)=1,1,0))</f>
        <v/>
      </c>
      <c r="X62">
        <f>IF($W62=1,SUMPRODUCT(--($Z$2:$Z$501&lt;$Z62))+1,"")</f>
        <v/>
      </c>
      <c r="Y62">
        <f>IF($A62="","",IF(OR($V62=TRUE(),$V62="TRUE"),1,0))</f>
        <v/>
      </c>
      <c r="Z62">
        <f>IF($W62=1,IFERROR(IF(VALUE($A62)&lt;100000000,VALUE($A62),1000000000),IFERROR(IF(VALUE(MID($A62,2,20))&lt;100000000,VALUE(MID($A62,2,20)),1000000000),1000000000))+ROW()/100000,"")</f>
        <v/>
      </c>
    </row>
    <row r="63">
      <c r="F63" s="7">
        <f>IF($A63="","",E63*N63/100)</f>
        <v/>
      </c>
      <c r="J63" s="7" t="n"/>
      <c r="K63" s="7">
        <f>IF($A63="","",U63*N63)</f>
        <v/>
      </c>
      <c r="L63" s="7">
        <f>IF($A63="","",N63-K63)</f>
        <v/>
      </c>
      <c r="M63" s="7">
        <f>IF($A63="","",L63-F63)</f>
        <v/>
      </c>
      <c r="N63" s="7" t="n"/>
      <c r="O63" s="7" t="n"/>
      <c r="P63" s="7" t="n"/>
      <c r="S63" s="11" t="n"/>
      <c r="U63">
        <f>IF($A63="","",IF($Y63=1,Settings!$C$6,Settings!$C$7)*1)</f>
        <v/>
      </c>
      <c r="W63">
        <f>IF($A63="","",IF(COUNTIF($A$2:$A63,$A63)=1,1,0))</f>
        <v/>
      </c>
      <c r="X63">
        <f>IF($W63=1,SUMPRODUCT(--($Z$2:$Z$501&lt;$Z63))+1,"")</f>
        <v/>
      </c>
      <c r="Y63">
        <f>IF($A63="","",IF(OR($V63=TRUE(),$V63="TRUE"),1,0))</f>
        <v/>
      </c>
      <c r="Z63">
        <f>IF($W63=1,IFERROR(IF(VALUE($A63)&lt;100000000,VALUE($A63),1000000000),IFERROR(IF(VALUE(MID($A63,2,20))&lt;100000000,VALUE(MID($A63,2,20)),1000000000),1000000000))+ROW()/100000,"")</f>
        <v/>
      </c>
    </row>
    <row r="64">
      <c r="F64" s="7">
        <f>IF($A64="","",E64*N64/100)</f>
        <v/>
      </c>
      <c r="J64" s="7" t="n"/>
      <c r="K64" s="7">
        <f>IF($A64="","",U64*N64)</f>
        <v/>
      </c>
      <c r="L64" s="7">
        <f>IF($A64="","",N64-K64)</f>
        <v/>
      </c>
      <c r="M64" s="7">
        <f>IF($A64="","",L64-F64)</f>
        <v/>
      </c>
      <c r="N64" s="7" t="n"/>
      <c r="O64" s="7" t="n"/>
      <c r="P64" s="7" t="n"/>
      <c r="S64" s="11" t="n"/>
      <c r="U64">
        <f>IF($A64="","",IF($Y64=1,Settings!$C$6,Settings!$C$7)*1)</f>
        <v/>
      </c>
      <c r="W64">
        <f>IF($A64="","",IF(COUNTIF($A$2:$A64,$A64)=1,1,0))</f>
        <v/>
      </c>
      <c r="X64">
        <f>IF($W64=1,SUMPRODUCT(--($Z$2:$Z$501&lt;$Z64))+1,"")</f>
        <v/>
      </c>
      <c r="Y64">
        <f>IF($A64="","",IF(OR($V64=TRUE(),$V64="TRUE"),1,0))</f>
        <v/>
      </c>
      <c r="Z64">
        <f>IF($W64=1,IFERROR(IF(VALUE($A64)&lt;100000000,VALUE($A64),1000000000),IFERROR(IF(VALUE(MID($A64,2,20))&lt;100000000,VALUE(MID($A64,2,20)),1000000000),1000000000))+ROW()/100000,"")</f>
        <v/>
      </c>
    </row>
    <row r="65">
      <c r="F65" s="7">
        <f>IF($A65="","",E65*N65/100)</f>
        <v/>
      </c>
      <c r="J65" s="7" t="n"/>
      <c r="K65" s="7">
        <f>IF($A65="","",U65*N65)</f>
        <v/>
      </c>
      <c r="L65" s="7">
        <f>IF($A65="","",N65-K65)</f>
        <v/>
      </c>
      <c r="M65" s="7">
        <f>IF($A65="","",L65-F65)</f>
        <v/>
      </c>
      <c r="N65" s="7" t="n"/>
      <c r="O65" s="7" t="n"/>
      <c r="P65" s="7" t="n"/>
      <c r="S65" s="11" t="n"/>
      <c r="U65">
        <f>IF($A65="","",IF($Y65=1,Settings!$C$6,Settings!$C$7)*1)</f>
        <v/>
      </c>
      <c r="W65">
        <f>IF($A65="","",IF(COUNTIF($A$2:$A65,$A65)=1,1,0))</f>
        <v/>
      </c>
      <c r="X65">
        <f>IF($W65=1,SUMPRODUCT(--($Z$2:$Z$501&lt;$Z65))+1,"")</f>
        <v/>
      </c>
      <c r="Y65">
        <f>IF($A65="","",IF(OR($V65=TRUE(),$V65="TRUE"),1,0))</f>
        <v/>
      </c>
      <c r="Z65">
        <f>IF($W65=1,IFERROR(IF(VALUE($A65)&lt;100000000,VALUE($A65),1000000000),IFERROR(IF(VALUE(MID($A65,2,20))&lt;100000000,VALUE(MID($A65,2,20)),1000000000),1000000000))+ROW()/100000,"")</f>
        <v/>
      </c>
    </row>
    <row r="66">
      <c r="F66" s="7">
        <f>IF($A66="","",E66*N66/100)</f>
        <v/>
      </c>
      <c r="J66" s="7" t="n"/>
      <c r="K66" s="7">
        <f>IF($A66="","",U66*N66)</f>
        <v/>
      </c>
      <c r="L66" s="7">
        <f>IF($A66="","",N66-K66)</f>
        <v/>
      </c>
      <c r="M66" s="7">
        <f>IF($A66="","",L66-F66)</f>
        <v/>
      </c>
      <c r="N66" s="7" t="n"/>
      <c r="O66" s="7" t="n"/>
      <c r="P66" s="7" t="n"/>
      <c r="S66" s="11" t="n"/>
      <c r="U66">
        <f>IF($A66="","",IF($Y66=1,Settings!$C$6,Settings!$C$7)*1)</f>
        <v/>
      </c>
      <c r="W66">
        <f>IF($A66="","",IF(COUNTIF($A$2:$A66,$A66)=1,1,0))</f>
        <v/>
      </c>
      <c r="X66">
        <f>IF($W66=1,SUMPRODUCT(--($Z$2:$Z$501&lt;$Z66))+1,"")</f>
        <v/>
      </c>
      <c r="Y66">
        <f>IF($A66="","",IF(OR($V66=TRUE(),$V66="TRUE"),1,0))</f>
        <v/>
      </c>
      <c r="Z66">
        <f>IF($W66=1,IFERROR(IF(VALUE($A66)&lt;100000000,VALUE($A66),1000000000),IFERROR(IF(VALUE(MID($A66,2,20))&lt;100000000,VALUE(MID($A66,2,20)),1000000000),1000000000))+ROW()/100000,"")</f>
        <v/>
      </c>
    </row>
    <row r="67">
      <c r="F67" s="7">
        <f>IF($A67="","",E67*N67/100)</f>
        <v/>
      </c>
      <c r="J67" s="7" t="n"/>
      <c r="K67" s="7">
        <f>IF($A67="","",U67*N67)</f>
        <v/>
      </c>
      <c r="L67" s="7">
        <f>IF($A67="","",N67-K67)</f>
        <v/>
      </c>
      <c r="M67" s="7">
        <f>IF($A67="","",L67-F67)</f>
        <v/>
      </c>
      <c r="N67" s="7" t="n"/>
      <c r="O67" s="7" t="n"/>
      <c r="P67" s="7" t="n"/>
      <c r="S67" s="11" t="n"/>
      <c r="U67">
        <f>IF($A67="","",IF($Y67=1,Settings!$C$6,Settings!$C$7)*1)</f>
        <v/>
      </c>
      <c r="W67">
        <f>IF($A67="","",IF(COUNTIF($A$2:$A67,$A67)=1,1,0))</f>
        <v/>
      </c>
      <c r="X67">
        <f>IF($W67=1,SUMPRODUCT(--($Z$2:$Z$501&lt;$Z67))+1,"")</f>
        <v/>
      </c>
      <c r="Y67">
        <f>IF($A67="","",IF(OR($V67=TRUE(),$V67="TRUE"),1,0))</f>
        <v/>
      </c>
      <c r="Z67">
        <f>IF($W67=1,IFERROR(IF(VALUE($A67)&lt;100000000,VALUE($A67),1000000000),IFERROR(IF(VALUE(MID($A67,2,20))&lt;100000000,VALUE(MID($A67,2,20)),1000000000),1000000000))+ROW()/100000,"")</f>
        <v/>
      </c>
    </row>
    <row r="68">
      <c r="F68" s="7">
        <f>IF($A68="","",E68*N68/100)</f>
        <v/>
      </c>
      <c r="J68" s="7" t="n"/>
      <c r="K68" s="7">
        <f>IF($A68="","",U68*N68)</f>
        <v/>
      </c>
      <c r="L68" s="7">
        <f>IF($A68="","",N68-K68)</f>
        <v/>
      </c>
      <c r="M68" s="7">
        <f>IF($A68="","",L68-F68)</f>
        <v/>
      </c>
      <c r="N68" s="7" t="n"/>
      <c r="O68" s="7" t="n"/>
      <c r="P68" s="7" t="n"/>
      <c r="S68" s="11" t="n"/>
      <c r="U68">
        <f>IF($A68="","",IF($Y68=1,Settings!$C$6,Settings!$C$7)*1)</f>
        <v/>
      </c>
      <c r="W68">
        <f>IF($A68="","",IF(COUNTIF($A$2:$A68,$A68)=1,1,0))</f>
        <v/>
      </c>
      <c r="X68">
        <f>IF($W68=1,SUMPRODUCT(--($Z$2:$Z$501&lt;$Z68))+1,"")</f>
        <v/>
      </c>
      <c r="Y68">
        <f>IF($A68="","",IF(OR($V68=TRUE(),$V68="TRUE"),1,0))</f>
        <v/>
      </c>
      <c r="Z68">
        <f>IF($W68=1,IFERROR(IF(VALUE($A68)&lt;100000000,VALUE($A68),1000000000),IFERROR(IF(VALUE(MID($A68,2,20))&lt;100000000,VALUE(MID($A68,2,20)),1000000000),1000000000))+ROW()/100000,"")</f>
        <v/>
      </c>
    </row>
    <row r="69">
      <c r="F69" s="7">
        <f>IF($A69="","",E69*N69/100)</f>
        <v/>
      </c>
      <c r="J69" s="7" t="n"/>
      <c r="K69" s="7">
        <f>IF($A69="","",U69*N69)</f>
        <v/>
      </c>
      <c r="L69" s="7">
        <f>IF($A69="","",N69-K69)</f>
        <v/>
      </c>
      <c r="M69" s="7">
        <f>IF($A69="","",L69-F69)</f>
        <v/>
      </c>
      <c r="N69" s="7" t="n"/>
      <c r="O69" s="7" t="n"/>
      <c r="P69" s="7" t="n"/>
      <c r="S69" s="11" t="n"/>
      <c r="U69">
        <f>IF($A69="","",IF($Y69=1,Settings!$C$6,Settings!$C$7)*1)</f>
        <v/>
      </c>
      <c r="W69">
        <f>IF($A69="","",IF(COUNTIF($A$2:$A69,$A69)=1,1,0))</f>
        <v/>
      </c>
      <c r="X69">
        <f>IF($W69=1,SUMPRODUCT(--($Z$2:$Z$501&lt;$Z69))+1,"")</f>
        <v/>
      </c>
      <c r="Y69">
        <f>IF($A69="","",IF(OR($V69=TRUE(),$V69="TRUE"),1,0))</f>
        <v/>
      </c>
      <c r="Z69">
        <f>IF($W69=1,IFERROR(IF(VALUE($A69)&lt;100000000,VALUE($A69),1000000000),IFERROR(IF(VALUE(MID($A69,2,20))&lt;100000000,VALUE(MID($A69,2,20)),1000000000),1000000000))+ROW()/100000,"")</f>
        <v/>
      </c>
    </row>
    <row r="70">
      <c r="F70" s="7">
        <f>IF($A70="","",E70*N70/100)</f>
        <v/>
      </c>
      <c r="J70" s="7" t="n"/>
      <c r="K70" s="7">
        <f>IF($A70="","",U70*N70)</f>
        <v/>
      </c>
      <c r="L70" s="7">
        <f>IF($A70="","",N70-K70)</f>
        <v/>
      </c>
      <c r="M70" s="7">
        <f>IF($A70="","",L70-F70)</f>
        <v/>
      </c>
      <c r="N70" s="7" t="n"/>
      <c r="O70" s="7" t="n"/>
      <c r="P70" s="7" t="n"/>
      <c r="S70" s="11" t="n"/>
      <c r="U70">
        <f>IF($A70="","",IF($Y70=1,Settings!$C$6,Settings!$C$7)*1)</f>
        <v/>
      </c>
      <c r="W70">
        <f>IF($A70="","",IF(COUNTIF($A$2:$A70,$A70)=1,1,0))</f>
        <v/>
      </c>
      <c r="X70">
        <f>IF($W70=1,SUMPRODUCT(--($Z$2:$Z$501&lt;$Z70))+1,"")</f>
        <v/>
      </c>
      <c r="Y70">
        <f>IF($A70="","",IF(OR($V70=TRUE(),$V70="TRUE"),1,0))</f>
        <v/>
      </c>
      <c r="Z70">
        <f>IF($W70=1,IFERROR(IF(VALUE($A70)&lt;100000000,VALUE($A70),1000000000),IFERROR(IF(VALUE(MID($A70,2,20))&lt;100000000,VALUE(MID($A70,2,20)),1000000000),1000000000))+ROW()/100000,"")</f>
        <v/>
      </c>
    </row>
    <row r="71">
      <c r="F71" s="7">
        <f>IF($A71="","",E71*N71/100)</f>
        <v/>
      </c>
      <c r="J71" s="7" t="n"/>
      <c r="K71" s="7">
        <f>IF($A71="","",U71*N71)</f>
        <v/>
      </c>
      <c r="L71" s="7">
        <f>IF($A71="","",N71-K71)</f>
        <v/>
      </c>
      <c r="M71" s="7">
        <f>IF($A71="","",L71-F71)</f>
        <v/>
      </c>
      <c r="N71" s="7" t="n"/>
      <c r="O71" s="7" t="n"/>
      <c r="P71" s="7" t="n"/>
      <c r="S71" s="11" t="n"/>
      <c r="U71">
        <f>IF($A71="","",IF($Y71=1,Settings!$C$6,Settings!$C$7)*1)</f>
        <v/>
      </c>
      <c r="W71">
        <f>IF($A71="","",IF(COUNTIF($A$2:$A71,$A71)=1,1,0))</f>
        <v/>
      </c>
      <c r="X71">
        <f>IF($W71=1,SUMPRODUCT(--($Z$2:$Z$501&lt;$Z71))+1,"")</f>
        <v/>
      </c>
      <c r="Y71">
        <f>IF($A71="","",IF(OR($V71=TRUE(),$V71="TRUE"),1,0))</f>
        <v/>
      </c>
      <c r="Z71">
        <f>IF($W71=1,IFERROR(IF(VALUE($A71)&lt;100000000,VALUE($A71),1000000000),IFERROR(IF(VALUE(MID($A71,2,20))&lt;100000000,VALUE(MID($A71,2,20)),1000000000),1000000000))+ROW()/100000,"")</f>
        <v/>
      </c>
    </row>
    <row r="72">
      <c r="F72" s="7">
        <f>IF($A72="","",E72*N72/100)</f>
        <v/>
      </c>
      <c r="J72" s="7" t="n"/>
      <c r="K72" s="7">
        <f>IF($A72="","",U72*N72)</f>
        <v/>
      </c>
      <c r="L72" s="7">
        <f>IF($A72="","",N72-K72)</f>
        <v/>
      </c>
      <c r="M72" s="7">
        <f>IF($A72="","",L72-F72)</f>
        <v/>
      </c>
      <c r="N72" s="7" t="n"/>
      <c r="O72" s="7" t="n"/>
      <c r="P72" s="7" t="n"/>
      <c r="S72" s="11" t="n"/>
      <c r="U72">
        <f>IF($A72="","",IF($Y72=1,Settings!$C$6,Settings!$C$7)*1)</f>
        <v/>
      </c>
      <c r="W72">
        <f>IF($A72="","",IF(COUNTIF($A$2:$A72,$A72)=1,1,0))</f>
        <v/>
      </c>
      <c r="X72">
        <f>IF($W72=1,SUMPRODUCT(--($Z$2:$Z$501&lt;$Z72))+1,"")</f>
        <v/>
      </c>
      <c r="Y72">
        <f>IF($A72="","",IF(OR($V72=TRUE(),$V72="TRUE"),1,0))</f>
        <v/>
      </c>
      <c r="Z72">
        <f>IF($W72=1,IFERROR(IF(VALUE($A72)&lt;100000000,VALUE($A72),1000000000),IFERROR(IF(VALUE(MID($A72,2,20))&lt;100000000,VALUE(MID($A72,2,20)),1000000000),1000000000))+ROW()/100000,"")</f>
        <v/>
      </c>
    </row>
    <row r="73">
      <c r="F73" s="7">
        <f>IF($A73="","",E73*N73/100)</f>
        <v/>
      </c>
      <c r="J73" s="7" t="n"/>
      <c r="K73" s="7">
        <f>IF($A73="","",U73*N73)</f>
        <v/>
      </c>
      <c r="L73" s="7">
        <f>IF($A73="","",N73-K73)</f>
        <v/>
      </c>
      <c r="M73" s="7">
        <f>IF($A73="","",L73-F73)</f>
        <v/>
      </c>
      <c r="N73" s="7" t="n"/>
      <c r="O73" s="7" t="n"/>
      <c r="P73" s="7" t="n"/>
      <c r="S73" s="11" t="n"/>
      <c r="U73">
        <f>IF($A73="","",IF($Y73=1,Settings!$C$6,Settings!$C$7)*1)</f>
        <v/>
      </c>
      <c r="W73">
        <f>IF($A73="","",IF(COUNTIF($A$2:$A73,$A73)=1,1,0))</f>
        <v/>
      </c>
      <c r="X73">
        <f>IF($W73=1,SUMPRODUCT(--($Z$2:$Z$501&lt;$Z73))+1,"")</f>
        <v/>
      </c>
      <c r="Y73">
        <f>IF($A73="","",IF(OR($V73=TRUE(),$V73="TRUE"),1,0))</f>
        <v/>
      </c>
      <c r="Z73">
        <f>IF($W73=1,IFERROR(IF(VALUE($A73)&lt;100000000,VALUE($A73),1000000000),IFERROR(IF(VALUE(MID($A73,2,20))&lt;100000000,VALUE(MID($A73,2,20)),1000000000),1000000000))+ROW()/100000,"")</f>
        <v/>
      </c>
    </row>
    <row r="74">
      <c r="F74" s="7">
        <f>IF($A74="","",E74*N74/100)</f>
        <v/>
      </c>
      <c r="J74" s="7" t="n"/>
      <c r="K74" s="7">
        <f>IF($A74="","",U74*N74)</f>
        <v/>
      </c>
      <c r="L74" s="7">
        <f>IF($A74="","",N74-K74)</f>
        <v/>
      </c>
      <c r="M74" s="7">
        <f>IF($A74="","",L74-F74)</f>
        <v/>
      </c>
      <c r="N74" s="7" t="n"/>
      <c r="O74" s="7" t="n"/>
      <c r="P74" s="7" t="n"/>
      <c r="S74" s="11" t="n"/>
      <c r="U74">
        <f>IF($A74="","",IF($Y74=1,Settings!$C$6,Settings!$C$7)*1)</f>
        <v/>
      </c>
      <c r="W74">
        <f>IF($A74="","",IF(COUNTIF($A$2:$A74,$A74)=1,1,0))</f>
        <v/>
      </c>
      <c r="X74">
        <f>IF($W74=1,SUMPRODUCT(--($Z$2:$Z$501&lt;$Z74))+1,"")</f>
        <v/>
      </c>
      <c r="Y74">
        <f>IF($A74="","",IF(OR($V74=TRUE(),$V74="TRUE"),1,0))</f>
        <v/>
      </c>
      <c r="Z74">
        <f>IF($W74=1,IFERROR(IF(VALUE($A74)&lt;100000000,VALUE($A74),1000000000),IFERROR(IF(VALUE(MID($A74,2,20))&lt;100000000,VALUE(MID($A74,2,20)),1000000000),1000000000))+ROW()/100000,"")</f>
        <v/>
      </c>
    </row>
    <row r="75">
      <c r="F75" s="7">
        <f>IF($A75="","",E75*N75/100)</f>
        <v/>
      </c>
      <c r="J75" s="7" t="n"/>
      <c r="K75" s="7">
        <f>IF($A75="","",U75*N75)</f>
        <v/>
      </c>
      <c r="L75" s="7">
        <f>IF($A75="","",N75-K75)</f>
        <v/>
      </c>
      <c r="M75" s="7">
        <f>IF($A75="","",L75-F75)</f>
        <v/>
      </c>
      <c r="N75" s="7" t="n"/>
      <c r="O75" s="7" t="n"/>
      <c r="P75" s="7" t="n"/>
      <c r="S75" s="11" t="n"/>
      <c r="U75">
        <f>IF($A75="","",IF($Y75=1,Settings!$C$6,Settings!$C$7)*1)</f>
        <v/>
      </c>
      <c r="W75">
        <f>IF($A75="","",IF(COUNTIF($A$2:$A75,$A75)=1,1,0))</f>
        <v/>
      </c>
      <c r="X75">
        <f>IF($W75=1,SUMPRODUCT(--($Z$2:$Z$501&lt;$Z75))+1,"")</f>
        <v/>
      </c>
      <c r="Y75">
        <f>IF($A75="","",IF(OR($V75=TRUE(),$V75="TRUE"),1,0))</f>
        <v/>
      </c>
      <c r="Z75">
        <f>IF($W75=1,IFERROR(IF(VALUE($A75)&lt;100000000,VALUE($A75),1000000000),IFERROR(IF(VALUE(MID($A75,2,20))&lt;100000000,VALUE(MID($A75,2,20)),1000000000),1000000000))+ROW()/100000,"")</f>
        <v/>
      </c>
    </row>
    <row r="76">
      <c r="F76" s="7">
        <f>IF($A76="","",E76*N76/100)</f>
        <v/>
      </c>
      <c r="J76" s="7" t="n"/>
      <c r="K76" s="7">
        <f>IF($A76="","",U76*N76)</f>
        <v/>
      </c>
      <c r="L76" s="7">
        <f>IF($A76="","",N76-K76)</f>
        <v/>
      </c>
      <c r="M76" s="7">
        <f>IF($A76="","",L76-F76)</f>
        <v/>
      </c>
      <c r="N76" s="7" t="n"/>
      <c r="O76" s="7" t="n"/>
      <c r="P76" s="7" t="n"/>
      <c r="S76" s="11" t="n"/>
      <c r="U76">
        <f>IF($A76="","",IF($Y76=1,Settings!$C$6,Settings!$C$7)*1)</f>
        <v/>
      </c>
      <c r="W76">
        <f>IF($A76="","",IF(COUNTIF($A$2:$A76,$A76)=1,1,0))</f>
        <v/>
      </c>
      <c r="X76">
        <f>IF($W76=1,SUMPRODUCT(--($Z$2:$Z$501&lt;$Z76))+1,"")</f>
        <v/>
      </c>
      <c r="Y76">
        <f>IF($A76="","",IF(OR($V76=TRUE(),$V76="TRUE"),1,0))</f>
        <v/>
      </c>
      <c r="Z76">
        <f>IF($W76=1,IFERROR(IF(VALUE($A76)&lt;100000000,VALUE($A76),1000000000),IFERROR(IF(VALUE(MID($A76,2,20))&lt;100000000,VALUE(MID($A76,2,20)),1000000000),1000000000))+ROW()/100000,"")</f>
        <v/>
      </c>
    </row>
    <row r="77">
      <c r="F77" s="7">
        <f>IF($A77="","",E77*N77/100)</f>
        <v/>
      </c>
      <c r="J77" s="7" t="n"/>
      <c r="K77" s="7">
        <f>IF($A77="","",U77*N77)</f>
        <v/>
      </c>
      <c r="L77" s="7">
        <f>IF($A77="","",N77-K77)</f>
        <v/>
      </c>
      <c r="M77" s="7">
        <f>IF($A77="","",L77-F77)</f>
        <v/>
      </c>
      <c r="N77" s="7" t="n"/>
      <c r="O77" s="7" t="n"/>
      <c r="P77" s="7" t="n"/>
      <c r="S77" s="11" t="n"/>
      <c r="U77">
        <f>IF($A77="","",IF($Y77=1,Settings!$C$6,Settings!$C$7)*1)</f>
        <v/>
      </c>
      <c r="W77">
        <f>IF($A77="","",IF(COUNTIF($A$2:$A77,$A77)=1,1,0))</f>
        <v/>
      </c>
      <c r="X77">
        <f>IF($W77=1,SUMPRODUCT(--($Z$2:$Z$501&lt;$Z77))+1,"")</f>
        <v/>
      </c>
      <c r="Y77">
        <f>IF($A77="","",IF(OR($V77=TRUE(),$V77="TRUE"),1,0))</f>
        <v/>
      </c>
      <c r="Z77">
        <f>IF($W77=1,IFERROR(IF(VALUE($A77)&lt;100000000,VALUE($A77),1000000000),IFERROR(IF(VALUE(MID($A77,2,20))&lt;100000000,VALUE(MID($A77,2,20)),1000000000),1000000000))+ROW()/100000,"")</f>
        <v/>
      </c>
    </row>
    <row r="78">
      <c r="F78" s="7">
        <f>IF($A78="","",E78*N78/100)</f>
        <v/>
      </c>
      <c r="J78" s="7" t="n"/>
      <c r="K78" s="7">
        <f>IF($A78="","",U78*N78)</f>
        <v/>
      </c>
      <c r="L78" s="7">
        <f>IF($A78="","",N78-K78)</f>
        <v/>
      </c>
      <c r="M78" s="7">
        <f>IF($A78="","",L78-F78)</f>
        <v/>
      </c>
      <c r="N78" s="7" t="n"/>
      <c r="O78" s="7" t="n"/>
      <c r="P78" s="7" t="n"/>
      <c r="S78" s="11" t="n"/>
      <c r="U78">
        <f>IF($A78="","",IF($Y78=1,Settings!$C$6,Settings!$C$7)*1)</f>
        <v/>
      </c>
      <c r="W78">
        <f>IF($A78="","",IF(COUNTIF($A$2:$A78,$A78)=1,1,0))</f>
        <v/>
      </c>
      <c r="X78">
        <f>IF($W78=1,SUMPRODUCT(--($Z$2:$Z$501&lt;$Z78))+1,"")</f>
        <v/>
      </c>
      <c r="Y78">
        <f>IF($A78="","",IF(OR($V78=TRUE(),$V78="TRUE"),1,0))</f>
        <v/>
      </c>
      <c r="Z78">
        <f>IF($W78=1,IFERROR(IF(VALUE($A78)&lt;100000000,VALUE($A78),1000000000),IFERROR(IF(VALUE(MID($A78,2,20))&lt;100000000,VALUE(MID($A78,2,20)),1000000000),1000000000))+ROW()/100000,"")</f>
        <v/>
      </c>
    </row>
    <row r="79">
      <c r="F79" s="7">
        <f>IF($A79="","",E79*N79/100)</f>
        <v/>
      </c>
      <c r="J79" s="7" t="n"/>
      <c r="K79" s="7">
        <f>IF($A79="","",U79*N79)</f>
        <v/>
      </c>
      <c r="L79" s="7">
        <f>IF($A79="","",N79-K79)</f>
        <v/>
      </c>
      <c r="M79" s="7">
        <f>IF($A79="","",L79-F79)</f>
        <v/>
      </c>
      <c r="N79" s="7" t="n"/>
      <c r="O79" s="7" t="n"/>
      <c r="P79" s="7" t="n"/>
      <c r="S79" s="11" t="n"/>
      <c r="U79">
        <f>IF($A79="","",IF($Y79=1,Settings!$C$6,Settings!$C$7)*1)</f>
        <v/>
      </c>
      <c r="W79">
        <f>IF($A79="","",IF(COUNTIF($A$2:$A79,$A79)=1,1,0))</f>
        <v/>
      </c>
      <c r="X79">
        <f>IF($W79=1,SUMPRODUCT(--($Z$2:$Z$501&lt;$Z79))+1,"")</f>
        <v/>
      </c>
      <c r="Y79">
        <f>IF($A79="","",IF(OR($V79=TRUE(),$V79="TRUE"),1,0))</f>
        <v/>
      </c>
      <c r="Z79">
        <f>IF($W79=1,IFERROR(IF(VALUE($A79)&lt;100000000,VALUE($A79),1000000000),IFERROR(IF(VALUE(MID($A79,2,20))&lt;100000000,VALUE(MID($A79,2,20)),1000000000),1000000000))+ROW()/100000,"")</f>
        <v/>
      </c>
    </row>
    <row r="80">
      <c r="F80" s="7">
        <f>IF($A80="","",E80*N80/100)</f>
        <v/>
      </c>
      <c r="J80" s="7" t="n"/>
      <c r="K80" s="7">
        <f>IF($A80="","",U80*N80)</f>
        <v/>
      </c>
      <c r="L80" s="7">
        <f>IF($A80="","",N80-K80)</f>
        <v/>
      </c>
      <c r="M80" s="7">
        <f>IF($A80="","",L80-F80)</f>
        <v/>
      </c>
      <c r="N80" s="7" t="n"/>
      <c r="O80" s="7" t="n"/>
      <c r="P80" s="7" t="n"/>
      <c r="S80" s="11" t="n"/>
      <c r="U80">
        <f>IF($A80="","",IF($Y80=1,Settings!$C$6,Settings!$C$7)*1)</f>
        <v/>
      </c>
      <c r="W80">
        <f>IF($A80="","",IF(COUNTIF($A$2:$A80,$A80)=1,1,0))</f>
        <v/>
      </c>
      <c r="X80">
        <f>IF($W80=1,SUMPRODUCT(--($Z$2:$Z$501&lt;$Z80))+1,"")</f>
        <v/>
      </c>
      <c r="Y80">
        <f>IF($A80="","",IF(OR($V80=TRUE(),$V80="TRUE"),1,0))</f>
        <v/>
      </c>
      <c r="Z80">
        <f>IF($W80=1,IFERROR(IF(VALUE($A80)&lt;100000000,VALUE($A80),1000000000),IFERROR(IF(VALUE(MID($A80,2,20))&lt;100000000,VALUE(MID($A80,2,20)),1000000000),1000000000))+ROW()/100000,"")</f>
        <v/>
      </c>
    </row>
    <row r="81">
      <c r="F81" s="7">
        <f>IF($A81="","",E81*N81/100)</f>
        <v/>
      </c>
      <c r="J81" s="7" t="n"/>
      <c r="K81" s="7">
        <f>IF($A81="","",U81*N81)</f>
        <v/>
      </c>
      <c r="L81" s="7">
        <f>IF($A81="","",N81-K81)</f>
        <v/>
      </c>
      <c r="M81" s="7">
        <f>IF($A81="","",L81-F81)</f>
        <v/>
      </c>
      <c r="N81" s="7" t="n"/>
      <c r="O81" s="7" t="n"/>
      <c r="P81" s="7" t="n"/>
      <c r="S81" s="11" t="n"/>
      <c r="U81">
        <f>IF($A81="","",IF($Y81=1,Settings!$C$6,Settings!$C$7)*1)</f>
        <v/>
      </c>
      <c r="W81">
        <f>IF($A81="","",IF(COUNTIF($A$2:$A81,$A81)=1,1,0))</f>
        <v/>
      </c>
      <c r="X81">
        <f>IF($W81=1,SUMPRODUCT(--($Z$2:$Z$501&lt;$Z81))+1,"")</f>
        <v/>
      </c>
      <c r="Y81">
        <f>IF($A81="","",IF(OR($V81=TRUE(),$V81="TRUE"),1,0))</f>
        <v/>
      </c>
      <c r="Z81">
        <f>IF($W81=1,IFERROR(IF(VALUE($A81)&lt;100000000,VALUE($A81),1000000000),IFERROR(IF(VALUE(MID($A81,2,20))&lt;100000000,VALUE(MID($A81,2,20)),1000000000),1000000000))+ROW()/100000,"")</f>
        <v/>
      </c>
    </row>
    <row r="82">
      <c r="F82" s="7">
        <f>IF($A82="","",E82*N82/100)</f>
        <v/>
      </c>
      <c r="J82" s="7" t="n"/>
      <c r="K82" s="7">
        <f>IF($A82="","",U82*N82)</f>
        <v/>
      </c>
      <c r="L82" s="7">
        <f>IF($A82="","",N82-K82)</f>
        <v/>
      </c>
      <c r="M82" s="7">
        <f>IF($A82="","",L82-F82)</f>
        <v/>
      </c>
      <c r="N82" s="7" t="n"/>
      <c r="O82" s="7" t="n"/>
      <c r="P82" s="7" t="n"/>
      <c r="S82" s="11" t="n"/>
      <c r="U82">
        <f>IF($A82="","",IF($Y82=1,Settings!$C$6,Settings!$C$7)*1)</f>
        <v/>
      </c>
      <c r="W82">
        <f>IF($A82="","",IF(COUNTIF($A$2:$A82,$A82)=1,1,0))</f>
        <v/>
      </c>
      <c r="X82">
        <f>IF($W82=1,SUMPRODUCT(--($Z$2:$Z$501&lt;$Z82))+1,"")</f>
        <v/>
      </c>
      <c r="Y82">
        <f>IF($A82="","",IF(OR($V82=TRUE(),$V82="TRUE"),1,0))</f>
        <v/>
      </c>
      <c r="Z82">
        <f>IF($W82=1,IFERROR(IF(VALUE($A82)&lt;100000000,VALUE($A82),1000000000),IFERROR(IF(VALUE(MID($A82,2,20))&lt;100000000,VALUE(MID($A82,2,20)),1000000000),1000000000))+ROW()/100000,"")</f>
        <v/>
      </c>
    </row>
    <row r="83">
      <c r="F83" s="7">
        <f>IF($A83="","",E83*N83/100)</f>
        <v/>
      </c>
      <c r="J83" s="7" t="n"/>
      <c r="K83" s="7">
        <f>IF($A83="","",U83*N83)</f>
        <v/>
      </c>
      <c r="L83" s="7">
        <f>IF($A83="","",N83-K83)</f>
        <v/>
      </c>
      <c r="M83" s="7">
        <f>IF($A83="","",L83-F83)</f>
        <v/>
      </c>
      <c r="N83" s="7" t="n"/>
      <c r="O83" s="7" t="n"/>
      <c r="P83" s="7" t="n"/>
      <c r="S83" s="11" t="n"/>
      <c r="U83">
        <f>IF($A83="","",IF($Y83=1,Settings!$C$6,Settings!$C$7)*1)</f>
        <v/>
      </c>
      <c r="W83">
        <f>IF($A83="","",IF(COUNTIF($A$2:$A83,$A83)=1,1,0))</f>
        <v/>
      </c>
      <c r="X83">
        <f>IF($W83=1,SUMPRODUCT(--($Z$2:$Z$501&lt;$Z83))+1,"")</f>
        <v/>
      </c>
      <c r="Y83">
        <f>IF($A83="","",IF(OR($V83=TRUE(),$V83="TRUE"),1,0))</f>
        <v/>
      </c>
      <c r="Z83">
        <f>IF($W83=1,IFERROR(IF(VALUE($A83)&lt;100000000,VALUE($A83),1000000000),IFERROR(IF(VALUE(MID($A83,2,20))&lt;100000000,VALUE(MID($A83,2,20)),1000000000),1000000000))+ROW()/100000,"")</f>
        <v/>
      </c>
    </row>
    <row r="84">
      <c r="F84" s="7">
        <f>IF($A84="","",E84*N84/100)</f>
        <v/>
      </c>
      <c r="J84" s="7" t="n"/>
      <c r="K84" s="7">
        <f>IF($A84="","",U84*N84)</f>
        <v/>
      </c>
      <c r="L84" s="7">
        <f>IF($A84="","",N84-K84)</f>
        <v/>
      </c>
      <c r="M84" s="7">
        <f>IF($A84="","",L84-F84)</f>
        <v/>
      </c>
      <c r="N84" s="7" t="n"/>
      <c r="O84" s="7" t="n"/>
      <c r="P84" s="7" t="n"/>
      <c r="S84" s="11" t="n"/>
      <c r="U84">
        <f>IF($A84="","",IF($Y84=1,Settings!$C$6,Settings!$C$7)*1)</f>
        <v/>
      </c>
      <c r="W84">
        <f>IF($A84="","",IF(COUNTIF($A$2:$A84,$A84)=1,1,0))</f>
        <v/>
      </c>
      <c r="X84">
        <f>IF($W84=1,SUMPRODUCT(--($Z$2:$Z$501&lt;$Z84))+1,"")</f>
        <v/>
      </c>
      <c r="Y84">
        <f>IF($A84="","",IF(OR($V84=TRUE(),$V84="TRUE"),1,0))</f>
        <v/>
      </c>
      <c r="Z84">
        <f>IF($W84=1,IFERROR(IF(VALUE($A84)&lt;100000000,VALUE($A84),1000000000),IFERROR(IF(VALUE(MID($A84,2,20))&lt;100000000,VALUE(MID($A84,2,20)),1000000000),1000000000))+ROW()/100000,"")</f>
        <v/>
      </c>
    </row>
    <row r="85">
      <c r="F85" s="7">
        <f>IF($A85="","",E85*N85/100)</f>
        <v/>
      </c>
      <c r="J85" s="7" t="n"/>
      <c r="K85" s="7">
        <f>IF($A85="","",U85*N85)</f>
        <v/>
      </c>
      <c r="L85" s="7">
        <f>IF($A85="","",N85-K85)</f>
        <v/>
      </c>
      <c r="M85" s="7">
        <f>IF($A85="","",L85-F85)</f>
        <v/>
      </c>
      <c r="N85" s="7" t="n"/>
      <c r="O85" s="7" t="n"/>
      <c r="P85" s="7" t="n"/>
      <c r="S85" s="11" t="n"/>
      <c r="U85">
        <f>IF($A85="","",IF($Y85=1,Settings!$C$6,Settings!$C$7)*1)</f>
        <v/>
      </c>
      <c r="W85">
        <f>IF($A85="","",IF(COUNTIF($A$2:$A85,$A85)=1,1,0))</f>
        <v/>
      </c>
      <c r="X85">
        <f>IF($W85=1,SUMPRODUCT(--($Z$2:$Z$501&lt;$Z85))+1,"")</f>
        <v/>
      </c>
      <c r="Y85">
        <f>IF($A85="","",IF(OR($V85=TRUE(),$V85="TRUE"),1,0))</f>
        <v/>
      </c>
      <c r="Z85">
        <f>IF($W85=1,IFERROR(IF(VALUE($A85)&lt;100000000,VALUE($A85),1000000000),IFERROR(IF(VALUE(MID($A85,2,20))&lt;100000000,VALUE(MID($A85,2,20)),1000000000),1000000000))+ROW()/100000,"")</f>
        <v/>
      </c>
    </row>
    <row r="86">
      <c r="F86" s="7">
        <f>IF($A86="","",E86*N86/100)</f>
        <v/>
      </c>
      <c r="J86" s="7" t="n"/>
      <c r="K86" s="7">
        <f>IF($A86="","",U86*N86)</f>
        <v/>
      </c>
      <c r="L86" s="7">
        <f>IF($A86="","",N86-K86)</f>
        <v/>
      </c>
      <c r="M86" s="7">
        <f>IF($A86="","",L86-F86)</f>
        <v/>
      </c>
      <c r="N86" s="7" t="n"/>
      <c r="O86" s="7" t="n"/>
      <c r="P86" s="7" t="n"/>
      <c r="S86" s="11" t="n"/>
      <c r="U86">
        <f>IF($A86="","",IF($Y86=1,Settings!$C$6,Settings!$C$7)*1)</f>
        <v/>
      </c>
      <c r="W86">
        <f>IF($A86="","",IF(COUNTIF($A$2:$A86,$A86)=1,1,0))</f>
        <v/>
      </c>
      <c r="X86">
        <f>IF($W86=1,SUMPRODUCT(--($Z$2:$Z$501&lt;$Z86))+1,"")</f>
        <v/>
      </c>
      <c r="Y86">
        <f>IF($A86="","",IF(OR($V86=TRUE(),$V86="TRUE"),1,0))</f>
        <v/>
      </c>
      <c r="Z86">
        <f>IF($W86=1,IFERROR(IF(VALUE($A86)&lt;100000000,VALUE($A86),1000000000),IFERROR(IF(VALUE(MID($A86,2,20))&lt;100000000,VALUE(MID($A86,2,20)),1000000000),1000000000))+ROW()/100000,"")</f>
        <v/>
      </c>
    </row>
    <row r="87">
      <c r="F87" s="7">
        <f>IF($A87="","",E87*N87/100)</f>
        <v/>
      </c>
      <c r="J87" s="7" t="n"/>
      <c r="K87" s="7">
        <f>IF($A87="","",U87*N87)</f>
        <v/>
      </c>
      <c r="L87" s="7">
        <f>IF($A87="","",N87-K87)</f>
        <v/>
      </c>
      <c r="M87" s="7">
        <f>IF($A87="","",L87-F87)</f>
        <v/>
      </c>
      <c r="N87" s="7" t="n"/>
      <c r="O87" s="7" t="n"/>
      <c r="P87" s="7" t="n"/>
      <c r="S87" s="11" t="n"/>
      <c r="U87">
        <f>IF($A87="","",IF($Y87=1,Settings!$C$6,Settings!$C$7)*1)</f>
        <v/>
      </c>
      <c r="W87">
        <f>IF($A87="","",IF(COUNTIF($A$2:$A87,$A87)=1,1,0))</f>
        <v/>
      </c>
      <c r="X87">
        <f>IF($W87=1,SUMPRODUCT(--($Z$2:$Z$501&lt;$Z87))+1,"")</f>
        <v/>
      </c>
      <c r="Y87">
        <f>IF($A87="","",IF(OR($V87=TRUE(),$V87="TRUE"),1,0))</f>
        <v/>
      </c>
      <c r="Z87">
        <f>IF($W87=1,IFERROR(IF(VALUE($A87)&lt;100000000,VALUE($A87),1000000000),IFERROR(IF(VALUE(MID($A87,2,20))&lt;100000000,VALUE(MID($A87,2,20)),1000000000),1000000000))+ROW()/100000,"")</f>
        <v/>
      </c>
    </row>
    <row r="88">
      <c r="F88" s="7">
        <f>IF($A88="","",E88*N88/100)</f>
        <v/>
      </c>
      <c r="J88" s="7" t="n"/>
      <c r="K88" s="7">
        <f>IF($A88="","",U88*N88)</f>
        <v/>
      </c>
      <c r="L88" s="7">
        <f>IF($A88="","",N88-K88)</f>
        <v/>
      </c>
      <c r="M88" s="7">
        <f>IF($A88="","",L88-F88)</f>
        <v/>
      </c>
      <c r="N88" s="7" t="n"/>
      <c r="O88" s="7" t="n"/>
      <c r="P88" s="7" t="n"/>
      <c r="S88" s="11" t="n"/>
      <c r="U88">
        <f>IF($A88="","",IF($Y88=1,Settings!$C$6,Settings!$C$7)*1)</f>
        <v/>
      </c>
      <c r="W88">
        <f>IF($A88="","",IF(COUNTIF($A$2:$A88,$A88)=1,1,0))</f>
        <v/>
      </c>
      <c r="X88">
        <f>IF($W88=1,SUMPRODUCT(--($Z$2:$Z$501&lt;$Z88))+1,"")</f>
        <v/>
      </c>
      <c r="Y88">
        <f>IF($A88="","",IF(OR($V88=TRUE(),$V88="TRUE"),1,0))</f>
        <v/>
      </c>
      <c r="Z88">
        <f>IF($W88=1,IFERROR(IF(VALUE($A88)&lt;100000000,VALUE($A88),1000000000),IFERROR(IF(VALUE(MID($A88,2,20))&lt;100000000,VALUE(MID($A88,2,20)),1000000000),1000000000))+ROW()/100000,"")</f>
        <v/>
      </c>
    </row>
    <row r="89">
      <c r="F89" s="7">
        <f>IF($A89="","",E89*N89/100)</f>
        <v/>
      </c>
      <c r="J89" s="7" t="n"/>
      <c r="K89" s="7">
        <f>IF($A89="","",U89*N89)</f>
        <v/>
      </c>
      <c r="L89" s="7">
        <f>IF($A89="","",N89-K89)</f>
        <v/>
      </c>
      <c r="M89" s="7">
        <f>IF($A89="","",L89-F89)</f>
        <v/>
      </c>
      <c r="N89" s="7" t="n"/>
      <c r="O89" s="7" t="n"/>
      <c r="P89" s="7" t="n"/>
      <c r="S89" s="11" t="n"/>
      <c r="U89">
        <f>IF($A89="","",IF($Y89=1,Settings!$C$6,Settings!$C$7)*1)</f>
        <v/>
      </c>
      <c r="W89">
        <f>IF($A89="","",IF(COUNTIF($A$2:$A89,$A89)=1,1,0))</f>
        <v/>
      </c>
      <c r="X89">
        <f>IF($W89=1,SUMPRODUCT(--($Z$2:$Z$501&lt;$Z89))+1,"")</f>
        <v/>
      </c>
      <c r="Y89">
        <f>IF($A89="","",IF(OR($V89=TRUE(),$V89="TRUE"),1,0))</f>
        <v/>
      </c>
      <c r="Z89">
        <f>IF($W89=1,IFERROR(IF(VALUE($A89)&lt;100000000,VALUE($A89),1000000000),IFERROR(IF(VALUE(MID($A89,2,20))&lt;100000000,VALUE(MID($A89,2,20)),1000000000),1000000000))+ROW()/100000,"")</f>
        <v/>
      </c>
    </row>
    <row r="90">
      <c r="F90" s="7">
        <f>IF($A90="","",E90*N90/100)</f>
        <v/>
      </c>
      <c r="J90" s="7" t="n"/>
      <c r="K90" s="7">
        <f>IF($A90="","",U90*N90)</f>
        <v/>
      </c>
      <c r="L90" s="7">
        <f>IF($A90="","",N90-K90)</f>
        <v/>
      </c>
      <c r="M90" s="7">
        <f>IF($A90="","",L90-F90)</f>
        <v/>
      </c>
      <c r="N90" s="7" t="n"/>
      <c r="O90" s="7" t="n"/>
      <c r="P90" s="7" t="n"/>
      <c r="S90" s="11" t="n"/>
      <c r="U90">
        <f>IF($A90="","",IF($Y90=1,Settings!$C$6,Settings!$C$7)*1)</f>
        <v/>
      </c>
      <c r="W90">
        <f>IF($A90="","",IF(COUNTIF($A$2:$A90,$A90)=1,1,0))</f>
        <v/>
      </c>
      <c r="X90">
        <f>IF($W90=1,SUMPRODUCT(--($Z$2:$Z$501&lt;$Z90))+1,"")</f>
        <v/>
      </c>
      <c r="Y90">
        <f>IF($A90="","",IF(OR($V90=TRUE(),$V90="TRUE"),1,0))</f>
        <v/>
      </c>
      <c r="Z90">
        <f>IF($W90=1,IFERROR(IF(VALUE($A90)&lt;100000000,VALUE($A90),1000000000),IFERROR(IF(VALUE(MID($A90,2,20))&lt;100000000,VALUE(MID($A90,2,20)),1000000000),1000000000))+ROW()/100000,"")</f>
        <v/>
      </c>
    </row>
    <row r="91">
      <c r="F91" s="7">
        <f>IF($A91="","",E91*N91/100)</f>
        <v/>
      </c>
      <c r="J91" s="7" t="n"/>
      <c r="K91" s="7">
        <f>IF($A91="","",U91*N91)</f>
        <v/>
      </c>
      <c r="L91" s="7">
        <f>IF($A91="","",N91-K91)</f>
        <v/>
      </c>
      <c r="M91" s="7">
        <f>IF($A91="","",L91-F91)</f>
        <v/>
      </c>
      <c r="N91" s="7" t="n"/>
      <c r="O91" s="7" t="n"/>
      <c r="P91" s="7" t="n"/>
      <c r="S91" s="11" t="n"/>
      <c r="U91">
        <f>IF($A91="","",IF($Y91=1,Settings!$C$6,Settings!$C$7)*1)</f>
        <v/>
      </c>
      <c r="W91">
        <f>IF($A91="","",IF(COUNTIF($A$2:$A91,$A91)=1,1,0))</f>
        <v/>
      </c>
      <c r="X91">
        <f>IF($W91=1,SUMPRODUCT(--($Z$2:$Z$501&lt;$Z91))+1,"")</f>
        <v/>
      </c>
      <c r="Y91">
        <f>IF($A91="","",IF(OR($V91=TRUE(),$V91="TRUE"),1,0))</f>
        <v/>
      </c>
      <c r="Z91">
        <f>IF($W91=1,IFERROR(IF(VALUE($A91)&lt;100000000,VALUE($A91),1000000000),IFERROR(IF(VALUE(MID($A91,2,20))&lt;100000000,VALUE(MID($A91,2,20)),1000000000),1000000000))+ROW()/100000,"")</f>
        <v/>
      </c>
    </row>
    <row r="92">
      <c r="F92" s="7">
        <f>IF($A92="","",E92*N92/100)</f>
        <v/>
      </c>
      <c r="J92" s="7" t="n"/>
      <c r="K92" s="7">
        <f>IF($A92="","",U92*N92)</f>
        <v/>
      </c>
      <c r="L92" s="7">
        <f>IF($A92="","",N92-K92)</f>
        <v/>
      </c>
      <c r="M92" s="7">
        <f>IF($A92="","",L92-F92)</f>
        <v/>
      </c>
      <c r="N92" s="7" t="n"/>
      <c r="O92" s="7" t="n"/>
      <c r="P92" s="7" t="n"/>
      <c r="S92" s="11" t="n"/>
      <c r="U92">
        <f>IF($A92="","",IF($Y92=1,Settings!$C$6,Settings!$C$7)*1)</f>
        <v/>
      </c>
      <c r="W92">
        <f>IF($A92="","",IF(COUNTIF($A$2:$A92,$A92)=1,1,0))</f>
        <v/>
      </c>
      <c r="X92">
        <f>IF($W92=1,SUMPRODUCT(--($Z$2:$Z$501&lt;$Z92))+1,"")</f>
        <v/>
      </c>
      <c r="Y92">
        <f>IF($A92="","",IF(OR($V92=TRUE(),$V92="TRUE"),1,0))</f>
        <v/>
      </c>
      <c r="Z92">
        <f>IF($W92=1,IFERROR(IF(VALUE($A92)&lt;100000000,VALUE($A92),1000000000),IFERROR(IF(VALUE(MID($A92,2,20))&lt;100000000,VALUE(MID($A92,2,20)),1000000000),1000000000))+ROW()/100000,"")</f>
        <v/>
      </c>
    </row>
    <row r="93">
      <c r="F93" s="7">
        <f>IF($A93="","",E93*N93/100)</f>
        <v/>
      </c>
      <c r="J93" s="7" t="n"/>
      <c r="K93" s="7">
        <f>IF($A93="","",U93*N93)</f>
        <v/>
      </c>
      <c r="L93" s="7">
        <f>IF($A93="","",N93-K93)</f>
        <v/>
      </c>
      <c r="M93" s="7">
        <f>IF($A93="","",L93-F93)</f>
        <v/>
      </c>
      <c r="N93" s="7" t="n"/>
      <c r="O93" s="7" t="n"/>
      <c r="P93" s="7" t="n"/>
      <c r="S93" s="11" t="n"/>
      <c r="U93">
        <f>IF($A93="","",IF($Y93=1,Settings!$C$6,Settings!$C$7)*1)</f>
        <v/>
      </c>
      <c r="W93">
        <f>IF($A93="","",IF(COUNTIF($A$2:$A93,$A93)=1,1,0))</f>
        <v/>
      </c>
      <c r="X93">
        <f>IF($W93=1,SUMPRODUCT(--($Z$2:$Z$501&lt;$Z93))+1,"")</f>
        <v/>
      </c>
      <c r="Y93">
        <f>IF($A93="","",IF(OR($V93=TRUE(),$V93="TRUE"),1,0))</f>
        <v/>
      </c>
      <c r="Z93">
        <f>IF($W93=1,IFERROR(IF(VALUE($A93)&lt;100000000,VALUE($A93),1000000000),IFERROR(IF(VALUE(MID($A93,2,20))&lt;100000000,VALUE(MID($A93,2,20)),1000000000),1000000000))+ROW()/100000,"")</f>
        <v/>
      </c>
    </row>
    <row r="94">
      <c r="F94" s="7">
        <f>IF($A94="","",E94*N94/100)</f>
        <v/>
      </c>
      <c r="J94" s="7" t="n"/>
      <c r="K94" s="7">
        <f>IF($A94="","",U94*N94)</f>
        <v/>
      </c>
      <c r="L94" s="7">
        <f>IF($A94="","",N94-K94)</f>
        <v/>
      </c>
      <c r="M94" s="7">
        <f>IF($A94="","",L94-F94)</f>
        <v/>
      </c>
      <c r="N94" s="7" t="n"/>
      <c r="O94" s="7" t="n"/>
      <c r="P94" s="7" t="n"/>
      <c r="S94" s="11" t="n"/>
      <c r="U94">
        <f>IF($A94="","",IF($Y94=1,Settings!$C$6,Settings!$C$7)*1)</f>
        <v/>
      </c>
      <c r="W94">
        <f>IF($A94="","",IF(COUNTIF($A$2:$A94,$A94)=1,1,0))</f>
        <v/>
      </c>
      <c r="X94">
        <f>IF($W94=1,SUMPRODUCT(--($Z$2:$Z$501&lt;$Z94))+1,"")</f>
        <v/>
      </c>
      <c r="Y94">
        <f>IF($A94="","",IF(OR($V94=TRUE(),$V94="TRUE"),1,0))</f>
        <v/>
      </c>
      <c r="Z94">
        <f>IF($W94=1,IFERROR(IF(VALUE($A94)&lt;100000000,VALUE($A94),1000000000),IFERROR(IF(VALUE(MID($A94,2,20))&lt;100000000,VALUE(MID($A94,2,20)),1000000000),1000000000))+ROW()/100000,"")</f>
        <v/>
      </c>
    </row>
    <row r="95">
      <c r="F95" s="7">
        <f>IF($A95="","",E95*N95/100)</f>
        <v/>
      </c>
      <c r="J95" s="7" t="n"/>
      <c r="K95" s="7">
        <f>IF($A95="","",U95*N95)</f>
        <v/>
      </c>
      <c r="L95" s="7">
        <f>IF($A95="","",N95-K95)</f>
        <v/>
      </c>
      <c r="M95" s="7">
        <f>IF($A95="","",L95-F95)</f>
        <v/>
      </c>
      <c r="N95" s="7" t="n"/>
      <c r="O95" s="7" t="n"/>
      <c r="P95" s="7" t="n"/>
      <c r="S95" s="11" t="n"/>
      <c r="U95">
        <f>IF($A95="","",IF($Y95=1,Settings!$C$6,Settings!$C$7)*1)</f>
        <v/>
      </c>
      <c r="W95">
        <f>IF($A95="","",IF(COUNTIF($A$2:$A95,$A95)=1,1,0))</f>
        <v/>
      </c>
      <c r="X95">
        <f>IF($W95=1,SUMPRODUCT(--($Z$2:$Z$501&lt;$Z95))+1,"")</f>
        <v/>
      </c>
      <c r="Y95">
        <f>IF($A95="","",IF(OR($V95=TRUE(),$V95="TRUE"),1,0))</f>
        <v/>
      </c>
      <c r="Z95">
        <f>IF($W95=1,IFERROR(IF(VALUE($A95)&lt;100000000,VALUE($A95),1000000000),IFERROR(IF(VALUE(MID($A95,2,20))&lt;100000000,VALUE(MID($A95,2,20)),1000000000),1000000000))+ROW()/100000,"")</f>
        <v/>
      </c>
    </row>
    <row r="96">
      <c r="F96" s="7">
        <f>IF($A96="","",E96*N96/100)</f>
        <v/>
      </c>
      <c r="J96" s="7" t="n"/>
      <c r="K96" s="7">
        <f>IF($A96="","",U96*N96)</f>
        <v/>
      </c>
      <c r="L96" s="7">
        <f>IF($A96="","",N96-K96)</f>
        <v/>
      </c>
      <c r="M96" s="7">
        <f>IF($A96="","",L96-F96)</f>
        <v/>
      </c>
      <c r="N96" s="7" t="n"/>
      <c r="O96" s="7" t="n"/>
      <c r="P96" s="7" t="n"/>
      <c r="S96" s="11" t="n"/>
      <c r="U96">
        <f>IF($A96="","",IF($Y96=1,Settings!$C$6,Settings!$C$7)*1)</f>
        <v/>
      </c>
      <c r="W96">
        <f>IF($A96="","",IF(COUNTIF($A$2:$A96,$A96)=1,1,0))</f>
        <v/>
      </c>
      <c r="X96">
        <f>IF($W96=1,SUMPRODUCT(--($Z$2:$Z$501&lt;$Z96))+1,"")</f>
        <v/>
      </c>
      <c r="Y96">
        <f>IF($A96="","",IF(OR($V96=TRUE(),$V96="TRUE"),1,0))</f>
        <v/>
      </c>
      <c r="Z96">
        <f>IF($W96=1,IFERROR(IF(VALUE($A96)&lt;100000000,VALUE($A96),1000000000),IFERROR(IF(VALUE(MID($A96,2,20))&lt;100000000,VALUE(MID($A96,2,20)),1000000000),1000000000))+ROW()/100000,"")</f>
        <v/>
      </c>
    </row>
    <row r="97">
      <c r="F97" s="7">
        <f>IF($A97="","",E97*N97/100)</f>
        <v/>
      </c>
      <c r="J97" s="7" t="n"/>
      <c r="K97" s="7">
        <f>IF($A97="","",U97*N97)</f>
        <v/>
      </c>
      <c r="L97" s="7">
        <f>IF($A97="","",N97-K97)</f>
        <v/>
      </c>
      <c r="M97" s="7">
        <f>IF($A97="","",L97-F97)</f>
        <v/>
      </c>
      <c r="N97" s="7" t="n"/>
      <c r="O97" s="7" t="n"/>
      <c r="P97" s="7" t="n"/>
      <c r="S97" s="11" t="n"/>
      <c r="U97">
        <f>IF($A97="","",IF($Y97=1,Settings!$C$6,Settings!$C$7)*1)</f>
        <v/>
      </c>
      <c r="W97">
        <f>IF($A97="","",IF(COUNTIF($A$2:$A97,$A97)=1,1,0))</f>
        <v/>
      </c>
      <c r="X97">
        <f>IF($W97=1,SUMPRODUCT(--($Z$2:$Z$501&lt;$Z97))+1,"")</f>
        <v/>
      </c>
      <c r="Y97">
        <f>IF($A97="","",IF(OR($V97=TRUE(),$V97="TRUE"),1,0))</f>
        <v/>
      </c>
      <c r="Z97">
        <f>IF($W97=1,IFERROR(IF(VALUE($A97)&lt;100000000,VALUE($A97),1000000000),IFERROR(IF(VALUE(MID($A97,2,20))&lt;100000000,VALUE(MID($A97,2,20)),1000000000),1000000000))+ROW()/100000,"")</f>
        <v/>
      </c>
    </row>
    <row r="98">
      <c r="F98" s="7">
        <f>IF($A98="","",E98*N98/100)</f>
        <v/>
      </c>
      <c r="J98" s="7" t="n"/>
      <c r="K98" s="7">
        <f>IF($A98="","",U98*N98)</f>
        <v/>
      </c>
      <c r="L98" s="7">
        <f>IF($A98="","",N98-K98)</f>
        <v/>
      </c>
      <c r="M98" s="7">
        <f>IF($A98="","",L98-F98)</f>
        <v/>
      </c>
      <c r="N98" s="7" t="n"/>
      <c r="O98" s="7" t="n"/>
      <c r="P98" s="7" t="n"/>
      <c r="S98" s="11" t="n"/>
      <c r="U98">
        <f>IF($A98="","",IF($Y98=1,Settings!$C$6,Settings!$C$7)*1)</f>
        <v/>
      </c>
      <c r="W98">
        <f>IF($A98="","",IF(COUNTIF($A$2:$A98,$A98)=1,1,0))</f>
        <v/>
      </c>
      <c r="X98">
        <f>IF($W98=1,SUMPRODUCT(--($Z$2:$Z$501&lt;$Z98))+1,"")</f>
        <v/>
      </c>
      <c r="Y98">
        <f>IF($A98="","",IF(OR($V98=TRUE(),$V98="TRUE"),1,0))</f>
        <v/>
      </c>
      <c r="Z98">
        <f>IF($W98=1,IFERROR(IF(VALUE($A98)&lt;100000000,VALUE($A98),1000000000),IFERROR(IF(VALUE(MID($A98,2,20))&lt;100000000,VALUE(MID($A98,2,20)),1000000000),1000000000))+ROW()/100000,"")</f>
        <v/>
      </c>
    </row>
    <row r="99">
      <c r="F99" s="7">
        <f>IF($A99="","",E99*N99/100)</f>
        <v/>
      </c>
      <c r="J99" s="7" t="n"/>
      <c r="K99" s="7">
        <f>IF($A99="","",U99*N99)</f>
        <v/>
      </c>
      <c r="L99" s="7">
        <f>IF($A99="","",N99-K99)</f>
        <v/>
      </c>
      <c r="M99" s="7">
        <f>IF($A99="","",L99-F99)</f>
        <v/>
      </c>
      <c r="N99" s="7" t="n"/>
      <c r="O99" s="7" t="n"/>
      <c r="P99" s="7" t="n"/>
      <c r="S99" s="11" t="n"/>
      <c r="U99">
        <f>IF($A99="","",IF($Y99=1,Settings!$C$6,Settings!$C$7)*1)</f>
        <v/>
      </c>
      <c r="W99">
        <f>IF($A99="","",IF(COUNTIF($A$2:$A99,$A99)=1,1,0))</f>
        <v/>
      </c>
      <c r="X99">
        <f>IF($W99=1,SUMPRODUCT(--($Z$2:$Z$501&lt;$Z99))+1,"")</f>
        <v/>
      </c>
      <c r="Y99">
        <f>IF($A99="","",IF(OR($V99=TRUE(),$V99="TRUE"),1,0))</f>
        <v/>
      </c>
      <c r="Z99">
        <f>IF($W99=1,IFERROR(IF(VALUE($A99)&lt;100000000,VALUE($A99),1000000000),IFERROR(IF(VALUE(MID($A99,2,20))&lt;100000000,VALUE(MID($A99,2,20)),1000000000),1000000000))+ROW()/100000,"")</f>
        <v/>
      </c>
    </row>
    <row r="100">
      <c r="F100" s="7">
        <f>IF($A100="","",E100*N100/100)</f>
        <v/>
      </c>
      <c r="J100" s="7" t="n"/>
      <c r="K100" s="7">
        <f>IF($A100="","",U100*N100)</f>
        <v/>
      </c>
      <c r="L100" s="7">
        <f>IF($A100="","",N100-K100)</f>
        <v/>
      </c>
      <c r="M100" s="7">
        <f>IF($A100="","",L100-F100)</f>
        <v/>
      </c>
      <c r="N100" s="7" t="n"/>
      <c r="O100" s="7" t="n"/>
      <c r="P100" s="7" t="n"/>
      <c r="S100" s="11" t="n"/>
      <c r="U100">
        <f>IF($A100="","",IF($Y100=1,Settings!$C$6,Settings!$C$7)*1)</f>
        <v/>
      </c>
      <c r="W100">
        <f>IF($A100="","",IF(COUNTIF($A$2:$A100,$A100)=1,1,0))</f>
        <v/>
      </c>
      <c r="X100">
        <f>IF($W100=1,SUMPRODUCT(--($Z$2:$Z$501&lt;$Z100))+1,"")</f>
        <v/>
      </c>
      <c r="Y100">
        <f>IF($A100="","",IF(OR($V100=TRUE(),$V100="TRUE"),1,0))</f>
        <v/>
      </c>
      <c r="Z100">
        <f>IF($W100=1,IFERROR(IF(VALUE($A100)&lt;100000000,VALUE($A100),1000000000),IFERROR(IF(VALUE(MID($A100,2,20))&lt;100000000,VALUE(MID($A100,2,20)),1000000000),1000000000))+ROW()/100000,"")</f>
        <v/>
      </c>
    </row>
    <row r="101">
      <c r="F101" s="7">
        <f>IF($A101="","",E101*N101/100)</f>
        <v/>
      </c>
      <c r="J101" s="7" t="n"/>
      <c r="K101" s="7">
        <f>IF($A101="","",U101*N101)</f>
        <v/>
      </c>
      <c r="L101" s="7">
        <f>IF($A101="","",N101-K101)</f>
        <v/>
      </c>
      <c r="M101" s="7">
        <f>IF($A101="","",L101-F101)</f>
        <v/>
      </c>
      <c r="N101" s="7" t="n"/>
      <c r="O101" s="7" t="n"/>
      <c r="P101" s="7" t="n"/>
      <c r="S101" s="11" t="n"/>
      <c r="U101">
        <f>IF($A101="","",IF($Y101=1,Settings!$C$6,Settings!$C$7)*1)</f>
        <v/>
      </c>
      <c r="W101">
        <f>IF($A101="","",IF(COUNTIF($A$2:$A101,$A101)=1,1,0))</f>
        <v/>
      </c>
      <c r="X101">
        <f>IF($W101=1,SUMPRODUCT(--($Z$2:$Z$501&lt;$Z101))+1,"")</f>
        <v/>
      </c>
      <c r="Y101">
        <f>IF($A101="","",IF(OR($V101=TRUE(),$V101="TRUE"),1,0))</f>
        <v/>
      </c>
      <c r="Z101">
        <f>IF($W101=1,IFERROR(IF(VALUE($A101)&lt;100000000,VALUE($A101),1000000000),IFERROR(IF(VALUE(MID($A101,2,20))&lt;100000000,VALUE(MID($A101,2,20)),1000000000),1000000000))+ROW()/100000,"")</f>
        <v/>
      </c>
    </row>
    <row r="102">
      <c r="F102" s="7">
        <f>IF($A102="","",E102*N102/100)</f>
        <v/>
      </c>
      <c r="J102" s="7" t="n"/>
      <c r="K102" s="7">
        <f>IF($A102="","",U102*N102)</f>
        <v/>
      </c>
      <c r="L102" s="7">
        <f>IF($A102="","",N102-K102)</f>
        <v/>
      </c>
      <c r="M102" s="7">
        <f>IF($A102="","",L102-F102)</f>
        <v/>
      </c>
      <c r="N102" s="7" t="n"/>
      <c r="O102" s="7" t="n"/>
      <c r="P102" s="7" t="n"/>
      <c r="S102" s="11" t="n"/>
      <c r="U102">
        <f>IF($A102="","",IF($Y102=1,Settings!$C$6,Settings!$C$7)*1)</f>
        <v/>
      </c>
      <c r="W102">
        <f>IF($A102="","",IF(COUNTIF($A$2:$A102,$A102)=1,1,0))</f>
        <v/>
      </c>
      <c r="X102">
        <f>IF($W102=1,SUMPRODUCT(--($Z$2:$Z$501&lt;$Z102))+1,"")</f>
        <v/>
      </c>
      <c r="Y102">
        <f>IF($A102="","",IF(OR($V102=TRUE(),$V102="TRUE"),1,0))</f>
        <v/>
      </c>
      <c r="Z102">
        <f>IF($W102=1,IFERROR(IF(VALUE($A102)&lt;100000000,VALUE($A102),1000000000),IFERROR(IF(VALUE(MID($A102,2,20))&lt;100000000,VALUE(MID($A102,2,20)),1000000000),1000000000))+ROW()/100000,"")</f>
        <v/>
      </c>
    </row>
    <row r="103">
      <c r="F103" s="7">
        <f>IF($A103="","",E103*N103/100)</f>
        <v/>
      </c>
      <c r="J103" s="7" t="n"/>
      <c r="K103" s="7">
        <f>IF($A103="","",U103*N103)</f>
        <v/>
      </c>
      <c r="L103" s="7">
        <f>IF($A103="","",N103-K103)</f>
        <v/>
      </c>
      <c r="M103" s="7">
        <f>IF($A103="","",L103-F103)</f>
        <v/>
      </c>
      <c r="N103" s="7" t="n"/>
      <c r="O103" s="7" t="n"/>
      <c r="P103" s="7" t="n"/>
      <c r="S103" s="11" t="n"/>
      <c r="U103">
        <f>IF($A103="","",IF($Y103=1,Settings!$C$6,Settings!$C$7)*1)</f>
        <v/>
      </c>
      <c r="W103">
        <f>IF($A103="","",IF(COUNTIF($A$2:$A103,$A103)=1,1,0))</f>
        <v/>
      </c>
      <c r="X103">
        <f>IF($W103=1,SUMPRODUCT(--($Z$2:$Z$501&lt;$Z103))+1,"")</f>
        <v/>
      </c>
      <c r="Y103">
        <f>IF($A103="","",IF(OR($V103=TRUE(),$V103="TRUE"),1,0))</f>
        <v/>
      </c>
      <c r="Z103">
        <f>IF($W103=1,IFERROR(IF(VALUE($A103)&lt;100000000,VALUE($A103),1000000000),IFERROR(IF(VALUE(MID($A103,2,20))&lt;100000000,VALUE(MID($A103,2,20)),1000000000),1000000000))+ROW()/100000,"")</f>
        <v/>
      </c>
    </row>
    <row r="104">
      <c r="F104" s="7">
        <f>IF($A104="","",E104*N104/100)</f>
        <v/>
      </c>
      <c r="J104" s="7" t="n"/>
      <c r="K104" s="7">
        <f>IF($A104="","",U104*N104)</f>
        <v/>
      </c>
      <c r="L104" s="7">
        <f>IF($A104="","",N104-K104)</f>
        <v/>
      </c>
      <c r="M104" s="7">
        <f>IF($A104="","",L104-F104)</f>
        <v/>
      </c>
      <c r="N104" s="7" t="n"/>
      <c r="O104" s="7" t="n"/>
      <c r="P104" s="7" t="n"/>
      <c r="S104" s="11" t="n"/>
      <c r="U104">
        <f>IF($A104="","",IF($Y104=1,Settings!$C$6,Settings!$C$7)*1)</f>
        <v/>
      </c>
      <c r="W104">
        <f>IF($A104="","",IF(COUNTIF($A$2:$A104,$A104)=1,1,0))</f>
        <v/>
      </c>
      <c r="X104">
        <f>IF($W104=1,SUMPRODUCT(--($Z$2:$Z$501&lt;$Z104))+1,"")</f>
        <v/>
      </c>
      <c r="Y104">
        <f>IF($A104="","",IF(OR($V104=TRUE(),$V104="TRUE"),1,0))</f>
        <v/>
      </c>
      <c r="Z104">
        <f>IF($W104=1,IFERROR(IF(VALUE($A104)&lt;100000000,VALUE($A104),1000000000),IFERROR(IF(VALUE(MID($A104,2,20))&lt;100000000,VALUE(MID($A104,2,20)),1000000000),1000000000))+ROW()/100000,"")</f>
        <v/>
      </c>
    </row>
    <row r="105">
      <c r="F105" s="7">
        <f>IF($A105="","",E105*N105/100)</f>
        <v/>
      </c>
      <c r="J105" s="7" t="n"/>
      <c r="K105" s="7">
        <f>IF($A105="","",U105*N105)</f>
        <v/>
      </c>
      <c r="L105" s="7">
        <f>IF($A105="","",N105-K105)</f>
        <v/>
      </c>
      <c r="M105" s="7">
        <f>IF($A105="","",L105-F105)</f>
        <v/>
      </c>
      <c r="N105" s="7" t="n"/>
      <c r="O105" s="7" t="n"/>
      <c r="P105" s="7" t="n"/>
      <c r="S105" s="11" t="n"/>
      <c r="U105">
        <f>IF($A105="","",IF($Y105=1,Settings!$C$6,Settings!$C$7)*1)</f>
        <v/>
      </c>
      <c r="W105">
        <f>IF($A105="","",IF(COUNTIF($A$2:$A105,$A105)=1,1,0))</f>
        <v/>
      </c>
      <c r="X105">
        <f>IF($W105=1,SUMPRODUCT(--($Z$2:$Z$501&lt;$Z105))+1,"")</f>
        <v/>
      </c>
      <c r="Y105">
        <f>IF($A105="","",IF(OR($V105=TRUE(),$V105="TRUE"),1,0))</f>
        <v/>
      </c>
      <c r="Z105">
        <f>IF($W105=1,IFERROR(IF(VALUE($A105)&lt;100000000,VALUE($A105),1000000000),IFERROR(IF(VALUE(MID($A105,2,20))&lt;100000000,VALUE(MID($A105,2,20)),1000000000),1000000000))+ROW()/100000,"")</f>
        <v/>
      </c>
    </row>
    <row r="106">
      <c r="F106" s="7">
        <f>IF($A106="","",E106*N106/100)</f>
        <v/>
      </c>
      <c r="J106" s="7" t="n"/>
      <c r="K106" s="7">
        <f>IF($A106="","",U106*N106)</f>
        <v/>
      </c>
      <c r="L106" s="7">
        <f>IF($A106="","",N106-K106)</f>
        <v/>
      </c>
      <c r="M106" s="7">
        <f>IF($A106="","",L106-F106)</f>
        <v/>
      </c>
      <c r="N106" s="7" t="n"/>
      <c r="O106" s="7" t="n"/>
      <c r="P106" s="7" t="n"/>
      <c r="S106" s="11" t="n"/>
      <c r="U106">
        <f>IF($A106="","",IF($Y106=1,Settings!$C$6,Settings!$C$7)*1)</f>
        <v/>
      </c>
      <c r="W106">
        <f>IF($A106="","",IF(COUNTIF($A$2:$A106,$A106)=1,1,0))</f>
        <v/>
      </c>
      <c r="X106">
        <f>IF($W106=1,SUMPRODUCT(--($Z$2:$Z$501&lt;$Z106))+1,"")</f>
        <v/>
      </c>
      <c r="Y106">
        <f>IF($A106="","",IF(OR($V106=TRUE(),$V106="TRUE"),1,0))</f>
        <v/>
      </c>
      <c r="Z106">
        <f>IF($W106=1,IFERROR(IF(VALUE($A106)&lt;100000000,VALUE($A106),1000000000),IFERROR(IF(VALUE(MID($A106,2,20))&lt;100000000,VALUE(MID($A106,2,20)),1000000000),1000000000))+ROW()/100000,"")</f>
        <v/>
      </c>
    </row>
    <row r="107">
      <c r="F107" s="7">
        <f>IF($A107="","",E107*N107/100)</f>
        <v/>
      </c>
      <c r="J107" s="7" t="n"/>
      <c r="K107" s="7">
        <f>IF($A107="","",U107*N107)</f>
        <v/>
      </c>
      <c r="L107" s="7">
        <f>IF($A107="","",N107-K107)</f>
        <v/>
      </c>
      <c r="M107" s="7">
        <f>IF($A107="","",L107-F107)</f>
        <v/>
      </c>
      <c r="N107" s="7" t="n"/>
      <c r="O107" s="7" t="n"/>
      <c r="P107" s="7" t="n"/>
      <c r="S107" s="11" t="n"/>
      <c r="U107">
        <f>IF($A107="","",IF($Y107=1,Settings!$C$6,Settings!$C$7)*1)</f>
        <v/>
      </c>
      <c r="W107">
        <f>IF($A107="","",IF(COUNTIF($A$2:$A107,$A107)=1,1,0))</f>
        <v/>
      </c>
      <c r="X107">
        <f>IF($W107=1,SUMPRODUCT(--($Z$2:$Z$501&lt;$Z107))+1,"")</f>
        <v/>
      </c>
      <c r="Y107">
        <f>IF($A107="","",IF(OR($V107=TRUE(),$V107="TRUE"),1,0))</f>
        <v/>
      </c>
      <c r="Z107">
        <f>IF($W107=1,IFERROR(IF(VALUE($A107)&lt;100000000,VALUE($A107),1000000000),IFERROR(IF(VALUE(MID($A107,2,20))&lt;100000000,VALUE(MID($A107,2,20)),1000000000),1000000000))+ROW()/100000,"")</f>
        <v/>
      </c>
    </row>
    <row r="108">
      <c r="F108" s="7">
        <f>IF($A108="","",E108*N108/100)</f>
        <v/>
      </c>
      <c r="J108" s="7" t="n"/>
      <c r="K108" s="7">
        <f>IF($A108="","",U108*N108)</f>
        <v/>
      </c>
      <c r="L108" s="7">
        <f>IF($A108="","",N108-K108)</f>
        <v/>
      </c>
      <c r="M108" s="7">
        <f>IF($A108="","",L108-F108)</f>
        <v/>
      </c>
      <c r="N108" s="7" t="n"/>
      <c r="O108" s="7" t="n"/>
      <c r="P108" s="7" t="n"/>
      <c r="S108" s="11" t="n"/>
      <c r="U108">
        <f>IF($A108="","",IF($Y108=1,Settings!$C$6,Settings!$C$7)*1)</f>
        <v/>
      </c>
      <c r="W108">
        <f>IF($A108="","",IF(COUNTIF($A$2:$A108,$A108)=1,1,0))</f>
        <v/>
      </c>
      <c r="X108">
        <f>IF($W108=1,SUMPRODUCT(--($Z$2:$Z$501&lt;$Z108))+1,"")</f>
        <v/>
      </c>
      <c r="Y108">
        <f>IF($A108="","",IF(OR($V108=TRUE(),$V108="TRUE"),1,0))</f>
        <v/>
      </c>
      <c r="Z108">
        <f>IF($W108=1,IFERROR(IF(VALUE($A108)&lt;100000000,VALUE($A108),1000000000),IFERROR(IF(VALUE(MID($A108,2,20))&lt;100000000,VALUE(MID($A108,2,20)),1000000000),1000000000))+ROW()/100000,"")</f>
        <v/>
      </c>
    </row>
    <row r="109">
      <c r="F109" s="7">
        <f>IF($A109="","",E109*N109/100)</f>
        <v/>
      </c>
      <c r="J109" s="7" t="n"/>
      <c r="K109" s="7">
        <f>IF($A109="","",U109*N109)</f>
        <v/>
      </c>
      <c r="L109" s="7">
        <f>IF($A109="","",N109-K109)</f>
        <v/>
      </c>
      <c r="M109" s="7">
        <f>IF($A109="","",L109-F109)</f>
        <v/>
      </c>
      <c r="N109" s="7" t="n"/>
      <c r="O109" s="7" t="n"/>
      <c r="P109" s="7" t="n"/>
      <c r="S109" s="11" t="n"/>
      <c r="U109">
        <f>IF($A109="","",IF($Y109=1,Settings!$C$6,Settings!$C$7)*1)</f>
        <v/>
      </c>
      <c r="W109">
        <f>IF($A109="","",IF(COUNTIF($A$2:$A109,$A109)=1,1,0))</f>
        <v/>
      </c>
      <c r="X109">
        <f>IF($W109=1,SUMPRODUCT(--($Z$2:$Z$501&lt;$Z109))+1,"")</f>
        <v/>
      </c>
      <c r="Y109">
        <f>IF($A109="","",IF(OR($V109=TRUE(),$V109="TRUE"),1,0))</f>
        <v/>
      </c>
      <c r="Z109">
        <f>IF($W109=1,IFERROR(IF(VALUE($A109)&lt;100000000,VALUE($A109),1000000000),IFERROR(IF(VALUE(MID($A109,2,20))&lt;100000000,VALUE(MID($A109,2,20)),1000000000),1000000000))+ROW()/100000,"")</f>
        <v/>
      </c>
    </row>
    <row r="110">
      <c r="F110" s="7">
        <f>IF($A110="","",E110*N110/100)</f>
        <v/>
      </c>
      <c r="J110" s="7" t="n"/>
      <c r="K110" s="7">
        <f>IF($A110="","",U110*N110)</f>
        <v/>
      </c>
      <c r="L110" s="7">
        <f>IF($A110="","",N110-K110)</f>
        <v/>
      </c>
      <c r="M110" s="7">
        <f>IF($A110="","",L110-F110)</f>
        <v/>
      </c>
      <c r="N110" s="7" t="n"/>
      <c r="O110" s="7" t="n"/>
      <c r="P110" s="7" t="n"/>
      <c r="S110" s="11" t="n"/>
      <c r="U110">
        <f>IF($A110="","",IF($Y110=1,Settings!$C$6,Settings!$C$7)*1)</f>
        <v/>
      </c>
      <c r="W110">
        <f>IF($A110="","",IF(COUNTIF($A$2:$A110,$A110)=1,1,0))</f>
        <v/>
      </c>
      <c r="X110">
        <f>IF($W110=1,SUMPRODUCT(--($Z$2:$Z$501&lt;$Z110))+1,"")</f>
        <v/>
      </c>
      <c r="Y110">
        <f>IF($A110="","",IF(OR($V110=TRUE(),$V110="TRUE"),1,0))</f>
        <v/>
      </c>
      <c r="Z110">
        <f>IF($W110=1,IFERROR(IF(VALUE($A110)&lt;100000000,VALUE($A110),1000000000),IFERROR(IF(VALUE(MID($A110,2,20))&lt;100000000,VALUE(MID($A110,2,20)),1000000000),1000000000))+ROW()/100000,"")</f>
        <v/>
      </c>
    </row>
    <row r="111">
      <c r="F111" s="7">
        <f>IF($A111="","",E111*N111/100)</f>
        <v/>
      </c>
      <c r="J111" s="7" t="n"/>
      <c r="K111" s="7">
        <f>IF($A111="","",U111*N111)</f>
        <v/>
      </c>
      <c r="L111" s="7">
        <f>IF($A111="","",N111-K111)</f>
        <v/>
      </c>
      <c r="M111" s="7">
        <f>IF($A111="","",L111-F111)</f>
        <v/>
      </c>
      <c r="N111" s="7" t="n"/>
      <c r="O111" s="7" t="n"/>
      <c r="P111" s="7" t="n"/>
      <c r="S111" s="11" t="n"/>
      <c r="U111">
        <f>IF($A111="","",IF($Y111=1,Settings!$C$6,Settings!$C$7)*1)</f>
        <v/>
      </c>
      <c r="W111">
        <f>IF($A111="","",IF(COUNTIF($A$2:$A111,$A111)=1,1,0))</f>
        <v/>
      </c>
      <c r="X111">
        <f>IF($W111=1,SUMPRODUCT(--($Z$2:$Z$501&lt;$Z111))+1,"")</f>
        <v/>
      </c>
      <c r="Y111">
        <f>IF($A111="","",IF(OR($V111=TRUE(),$V111="TRUE"),1,0))</f>
        <v/>
      </c>
      <c r="Z111">
        <f>IF($W111=1,IFERROR(IF(VALUE($A111)&lt;100000000,VALUE($A111),1000000000),IFERROR(IF(VALUE(MID($A111,2,20))&lt;100000000,VALUE(MID($A111,2,20)),1000000000),1000000000))+ROW()/100000,"")</f>
        <v/>
      </c>
    </row>
    <row r="112">
      <c r="F112" s="7">
        <f>IF($A112="","",E112*N112/100)</f>
        <v/>
      </c>
      <c r="J112" s="7" t="n"/>
      <c r="K112" s="7">
        <f>IF($A112="","",U112*N112)</f>
        <v/>
      </c>
      <c r="L112" s="7">
        <f>IF($A112="","",N112-K112)</f>
        <v/>
      </c>
      <c r="M112" s="7">
        <f>IF($A112="","",L112-F112)</f>
        <v/>
      </c>
      <c r="N112" s="7" t="n"/>
      <c r="O112" s="7" t="n"/>
      <c r="P112" s="7" t="n"/>
      <c r="S112" s="11" t="n"/>
      <c r="U112">
        <f>IF($A112="","",IF($Y112=1,Settings!$C$6,Settings!$C$7)*1)</f>
        <v/>
      </c>
      <c r="W112">
        <f>IF($A112="","",IF(COUNTIF($A$2:$A112,$A112)=1,1,0))</f>
        <v/>
      </c>
      <c r="X112">
        <f>IF($W112=1,SUMPRODUCT(--($Z$2:$Z$501&lt;$Z112))+1,"")</f>
        <v/>
      </c>
      <c r="Y112">
        <f>IF($A112="","",IF(OR($V112=TRUE(),$V112="TRUE"),1,0))</f>
        <v/>
      </c>
      <c r="Z112">
        <f>IF($W112=1,IFERROR(IF(VALUE($A112)&lt;100000000,VALUE($A112),1000000000),IFERROR(IF(VALUE(MID($A112,2,20))&lt;100000000,VALUE(MID($A112,2,20)),1000000000),1000000000))+ROW()/100000,"")</f>
        <v/>
      </c>
    </row>
    <row r="113">
      <c r="F113" s="7">
        <f>IF($A113="","",E113*N113/100)</f>
        <v/>
      </c>
      <c r="J113" s="7" t="n"/>
      <c r="K113" s="7">
        <f>IF($A113="","",U113*N113)</f>
        <v/>
      </c>
      <c r="L113" s="7">
        <f>IF($A113="","",N113-K113)</f>
        <v/>
      </c>
      <c r="M113" s="7">
        <f>IF($A113="","",L113-F113)</f>
        <v/>
      </c>
      <c r="N113" s="7" t="n"/>
      <c r="O113" s="7" t="n"/>
      <c r="P113" s="7" t="n"/>
      <c r="S113" s="11" t="n"/>
      <c r="U113">
        <f>IF($A113="","",IF($Y113=1,Settings!$C$6,Settings!$C$7)*1)</f>
        <v/>
      </c>
      <c r="W113">
        <f>IF($A113="","",IF(COUNTIF($A$2:$A113,$A113)=1,1,0))</f>
        <v/>
      </c>
      <c r="X113">
        <f>IF($W113=1,SUMPRODUCT(--($Z$2:$Z$501&lt;$Z113))+1,"")</f>
        <v/>
      </c>
      <c r="Y113">
        <f>IF($A113="","",IF(OR($V113=TRUE(),$V113="TRUE"),1,0))</f>
        <v/>
      </c>
      <c r="Z113">
        <f>IF($W113=1,IFERROR(IF(VALUE($A113)&lt;100000000,VALUE($A113),1000000000),IFERROR(IF(VALUE(MID($A113,2,20))&lt;100000000,VALUE(MID($A113,2,20)),1000000000),1000000000))+ROW()/100000,"")</f>
        <v/>
      </c>
    </row>
    <row r="114">
      <c r="F114" s="7">
        <f>IF($A114="","",E114*N114/100)</f>
        <v/>
      </c>
      <c r="J114" s="7" t="n"/>
      <c r="K114" s="7">
        <f>IF($A114="","",U114*N114)</f>
        <v/>
      </c>
      <c r="L114" s="7">
        <f>IF($A114="","",N114-K114)</f>
        <v/>
      </c>
      <c r="M114" s="7">
        <f>IF($A114="","",L114-F114)</f>
        <v/>
      </c>
      <c r="N114" s="7" t="n"/>
      <c r="O114" s="7" t="n"/>
      <c r="P114" s="7" t="n"/>
      <c r="S114" s="11" t="n"/>
      <c r="U114">
        <f>IF($A114="","",IF($Y114=1,Settings!$C$6,Settings!$C$7)*1)</f>
        <v/>
      </c>
      <c r="W114">
        <f>IF($A114="","",IF(COUNTIF($A$2:$A114,$A114)=1,1,0))</f>
        <v/>
      </c>
      <c r="X114">
        <f>IF($W114=1,SUMPRODUCT(--($Z$2:$Z$501&lt;$Z114))+1,"")</f>
        <v/>
      </c>
      <c r="Y114">
        <f>IF($A114="","",IF(OR($V114=TRUE(),$V114="TRUE"),1,0))</f>
        <v/>
      </c>
      <c r="Z114">
        <f>IF($W114=1,IFERROR(IF(VALUE($A114)&lt;100000000,VALUE($A114),1000000000),IFERROR(IF(VALUE(MID($A114,2,20))&lt;100000000,VALUE(MID($A114,2,20)),1000000000),1000000000))+ROW()/100000,"")</f>
        <v/>
      </c>
    </row>
    <row r="115">
      <c r="F115" s="7">
        <f>IF($A115="","",E115*N115/100)</f>
        <v/>
      </c>
      <c r="J115" s="7" t="n"/>
      <c r="K115" s="7">
        <f>IF($A115="","",U115*N115)</f>
        <v/>
      </c>
      <c r="L115" s="7">
        <f>IF($A115="","",N115-K115)</f>
        <v/>
      </c>
      <c r="M115" s="7">
        <f>IF($A115="","",L115-F115)</f>
        <v/>
      </c>
      <c r="N115" s="7" t="n"/>
      <c r="O115" s="7" t="n"/>
      <c r="P115" s="7" t="n"/>
      <c r="S115" s="11" t="n"/>
      <c r="U115">
        <f>IF($A115="","",IF($Y115=1,Settings!$C$6,Settings!$C$7)*1)</f>
        <v/>
      </c>
      <c r="W115">
        <f>IF($A115="","",IF(COUNTIF($A$2:$A115,$A115)=1,1,0))</f>
        <v/>
      </c>
      <c r="X115">
        <f>IF($W115=1,SUMPRODUCT(--($Z$2:$Z$501&lt;$Z115))+1,"")</f>
        <v/>
      </c>
      <c r="Y115">
        <f>IF($A115="","",IF(OR($V115=TRUE(),$V115="TRUE"),1,0))</f>
        <v/>
      </c>
      <c r="Z115">
        <f>IF($W115=1,IFERROR(IF(VALUE($A115)&lt;100000000,VALUE($A115),1000000000),IFERROR(IF(VALUE(MID($A115,2,20))&lt;100000000,VALUE(MID($A115,2,20)),1000000000),1000000000))+ROW()/100000,"")</f>
        <v/>
      </c>
    </row>
    <row r="116">
      <c r="F116" s="7">
        <f>IF($A116="","",E116*N116/100)</f>
        <v/>
      </c>
      <c r="J116" s="7" t="n"/>
      <c r="K116" s="7">
        <f>IF($A116="","",U116*N116)</f>
        <v/>
      </c>
      <c r="L116" s="7">
        <f>IF($A116="","",N116-K116)</f>
        <v/>
      </c>
      <c r="M116" s="7">
        <f>IF($A116="","",L116-F116)</f>
        <v/>
      </c>
      <c r="N116" s="7" t="n"/>
      <c r="O116" s="7" t="n"/>
      <c r="P116" s="7" t="n"/>
      <c r="S116" s="11" t="n"/>
      <c r="U116">
        <f>IF($A116="","",IF($Y116=1,Settings!$C$6,Settings!$C$7)*1)</f>
        <v/>
      </c>
      <c r="W116">
        <f>IF($A116="","",IF(COUNTIF($A$2:$A116,$A116)=1,1,0))</f>
        <v/>
      </c>
      <c r="X116">
        <f>IF($W116=1,SUMPRODUCT(--($Z$2:$Z$501&lt;$Z116))+1,"")</f>
        <v/>
      </c>
      <c r="Y116">
        <f>IF($A116="","",IF(OR($V116=TRUE(),$V116="TRUE"),1,0))</f>
        <v/>
      </c>
      <c r="Z116">
        <f>IF($W116=1,IFERROR(IF(VALUE($A116)&lt;100000000,VALUE($A116),1000000000),IFERROR(IF(VALUE(MID($A116,2,20))&lt;100000000,VALUE(MID($A116,2,20)),1000000000),1000000000))+ROW()/100000,"")</f>
        <v/>
      </c>
    </row>
    <row r="117">
      <c r="F117" s="7">
        <f>IF($A117="","",E117*N117/100)</f>
        <v/>
      </c>
      <c r="J117" s="7" t="n"/>
      <c r="K117" s="7">
        <f>IF($A117="","",U117*N117)</f>
        <v/>
      </c>
      <c r="L117" s="7">
        <f>IF($A117="","",N117-K117)</f>
        <v/>
      </c>
      <c r="M117" s="7">
        <f>IF($A117="","",L117-F117)</f>
        <v/>
      </c>
      <c r="N117" s="7" t="n"/>
      <c r="O117" s="7" t="n"/>
      <c r="P117" s="7" t="n"/>
      <c r="S117" s="11" t="n"/>
      <c r="U117">
        <f>IF($A117="","",IF($Y117=1,Settings!$C$6,Settings!$C$7)*1)</f>
        <v/>
      </c>
      <c r="W117">
        <f>IF($A117="","",IF(COUNTIF($A$2:$A117,$A117)=1,1,0))</f>
        <v/>
      </c>
      <c r="X117">
        <f>IF($W117=1,SUMPRODUCT(--($Z$2:$Z$501&lt;$Z117))+1,"")</f>
        <v/>
      </c>
      <c r="Y117">
        <f>IF($A117="","",IF(OR($V117=TRUE(),$V117="TRUE"),1,0))</f>
        <v/>
      </c>
      <c r="Z117">
        <f>IF($W117=1,IFERROR(IF(VALUE($A117)&lt;100000000,VALUE($A117),1000000000),IFERROR(IF(VALUE(MID($A117,2,20))&lt;100000000,VALUE(MID($A117,2,20)),1000000000),1000000000))+ROW()/100000,"")</f>
        <v/>
      </c>
    </row>
    <row r="118">
      <c r="F118" s="7">
        <f>IF($A118="","",E118*N118/100)</f>
        <v/>
      </c>
      <c r="J118" s="7" t="n"/>
      <c r="K118" s="7">
        <f>IF($A118="","",U118*N118)</f>
        <v/>
      </c>
      <c r="L118" s="7">
        <f>IF($A118="","",N118-K118)</f>
        <v/>
      </c>
      <c r="M118" s="7">
        <f>IF($A118="","",L118-F118)</f>
        <v/>
      </c>
      <c r="N118" s="7" t="n"/>
      <c r="O118" s="7" t="n"/>
      <c r="P118" s="7" t="n"/>
      <c r="S118" s="11" t="n"/>
      <c r="U118">
        <f>IF($A118="","",IF($Y118=1,Settings!$C$6,Settings!$C$7)*1)</f>
        <v/>
      </c>
      <c r="W118">
        <f>IF($A118="","",IF(COUNTIF($A$2:$A118,$A118)=1,1,0))</f>
        <v/>
      </c>
      <c r="X118">
        <f>IF($W118=1,SUMPRODUCT(--($Z$2:$Z$501&lt;$Z118))+1,"")</f>
        <v/>
      </c>
      <c r="Y118">
        <f>IF($A118="","",IF(OR($V118=TRUE(),$V118="TRUE"),1,0))</f>
        <v/>
      </c>
      <c r="Z118">
        <f>IF($W118=1,IFERROR(IF(VALUE($A118)&lt;100000000,VALUE($A118),1000000000),IFERROR(IF(VALUE(MID($A118,2,20))&lt;100000000,VALUE(MID($A118,2,20)),1000000000),1000000000))+ROW()/100000,"")</f>
        <v/>
      </c>
    </row>
    <row r="119">
      <c r="F119" s="7">
        <f>IF($A119="","",E119*N119/100)</f>
        <v/>
      </c>
      <c r="J119" s="7" t="n"/>
      <c r="K119" s="7">
        <f>IF($A119="","",U119*N119)</f>
        <v/>
      </c>
      <c r="L119" s="7">
        <f>IF($A119="","",N119-K119)</f>
        <v/>
      </c>
      <c r="M119" s="7">
        <f>IF($A119="","",L119-F119)</f>
        <v/>
      </c>
      <c r="N119" s="7" t="n"/>
      <c r="O119" s="7" t="n"/>
      <c r="P119" s="7" t="n"/>
      <c r="S119" s="11" t="n"/>
      <c r="U119">
        <f>IF($A119="","",IF($Y119=1,Settings!$C$6,Settings!$C$7)*1)</f>
        <v/>
      </c>
      <c r="W119">
        <f>IF($A119="","",IF(COUNTIF($A$2:$A119,$A119)=1,1,0))</f>
        <v/>
      </c>
      <c r="X119">
        <f>IF($W119=1,SUMPRODUCT(--($Z$2:$Z$501&lt;$Z119))+1,"")</f>
        <v/>
      </c>
      <c r="Y119">
        <f>IF($A119="","",IF(OR($V119=TRUE(),$V119="TRUE"),1,0))</f>
        <v/>
      </c>
      <c r="Z119">
        <f>IF($W119=1,IFERROR(IF(VALUE($A119)&lt;100000000,VALUE($A119),1000000000),IFERROR(IF(VALUE(MID($A119,2,20))&lt;100000000,VALUE(MID($A119,2,20)),1000000000),1000000000))+ROW()/100000,"")</f>
        <v/>
      </c>
    </row>
    <row r="120">
      <c r="F120" s="7">
        <f>IF($A120="","",E120*N120/100)</f>
        <v/>
      </c>
      <c r="J120" s="7" t="n"/>
      <c r="K120" s="7">
        <f>IF($A120="","",U120*N120)</f>
        <v/>
      </c>
      <c r="L120" s="7">
        <f>IF($A120="","",N120-K120)</f>
        <v/>
      </c>
      <c r="M120" s="7">
        <f>IF($A120="","",L120-F120)</f>
        <v/>
      </c>
      <c r="N120" s="7" t="n"/>
      <c r="O120" s="7" t="n"/>
      <c r="P120" s="7" t="n"/>
      <c r="S120" s="11" t="n"/>
      <c r="U120">
        <f>IF($A120="","",IF($Y120=1,Settings!$C$6,Settings!$C$7)*1)</f>
        <v/>
      </c>
      <c r="W120">
        <f>IF($A120="","",IF(COUNTIF($A$2:$A120,$A120)=1,1,0))</f>
        <v/>
      </c>
      <c r="X120">
        <f>IF($W120=1,SUMPRODUCT(--($Z$2:$Z$501&lt;$Z120))+1,"")</f>
        <v/>
      </c>
      <c r="Y120">
        <f>IF($A120="","",IF(OR($V120=TRUE(),$V120="TRUE"),1,0))</f>
        <v/>
      </c>
      <c r="Z120">
        <f>IF($W120=1,IFERROR(IF(VALUE($A120)&lt;100000000,VALUE($A120),1000000000),IFERROR(IF(VALUE(MID($A120,2,20))&lt;100000000,VALUE(MID($A120,2,20)),1000000000),1000000000))+ROW()/100000,"")</f>
        <v/>
      </c>
    </row>
    <row r="121">
      <c r="F121" s="7">
        <f>IF($A121="","",E121*N121/100)</f>
        <v/>
      </c>
      <c r="J121" s="7" t="n"/>
      <c r="K121" s="7">
        <f>IF($A121="","",U121*N121)</f>
        <v/>
      </c>
      <c r="L121" s="7">
        <f>IF($A121="","",N121-K121)</f>
        <v/>
      </c>
      <c r="M121" s="7">
        <f>IF($A121="","",L121-F121)</f>
        <v/>
      </c>
      <c r="N121" s="7" t="n"/>
      <c r="O121" s="7" t="n"/>
      <c r="P121" s="7" t="n"/>
      <c r="S121" s="11" t="n"/>
      <c r="U121">
        <f>IF($A121="","",IF($Y121=1,Settings!$C$6,Settings!$C$7)*1)</f>
        <v/>
      </c>
      <c r="W121">
        <f>IF($A121="","",IF(COUNTIF($A$2:$A121,$A121)=1,1,0))</f>
        <v/>
      </c>
      <c r="X121">
        <f>IF($W121=1,SUMPRODUCT(--($Z$2:$Z$501&lt;$Z121))+1,"")</f>
        <v/>
      </c>
      <c r="Y121">
        <f>IF($A121="","",IF(OR($V121=TRUE(),$V121="TRUE"),1,0))</f>
        <v/>
      </c>
      <c r="Z121">
        <f>IF($W121=1,IFERROR(IF(VALUE($A121)&lt;100000000,VALUE($A121),1000000000),IFERROR(IF(VALUE(MID($A121,2,20))&lt;100000000,VALUE(MID($A121,2,20)),1000000000),1000000000))+ROW()/100000,"")</f>
        <v/>
      </c>
    </row>
    <row r="122">
      <c r="F122" s="7">
        <f>IF($A122="","",E122*N122/100)</f>
        <v/>
      </c>
      <c r="J122" s="7" t="n"/>
      <c r="K122" s="7">
        <f>IF($A122="","",U122*N122)</f>
        <v/>
      </c>
      <c r="L122" s="7">
        <f>IF($A122="","",N122-K122)</f>
        <v/>
      </c>
      <c r="M122" s="7">
        <f>IF($A122="","",L122-F122)</f>
        <v/>
      </c>
      <c r="N122" s="7" t="n"/>
      <c r="O122" s="7" t="n"/>
      <c r="P122" s="7" t="n"/>
      <c r="S122" s="11" t="n"/>
      <c r="U122">
        <f>IF($A122="","",IF($Y122=1,Settings!$C$6,Settings!$C$7)*1)</f>
        <v/>
      </c>
      <c r="W122">
        <f>IF($A122="","",IF(COUNTIF($A$2:$A122,$A122)=1,1,0))</f>
        <v/>
      </c>
      <c r="X122">
        <f>IF($W122=1,SUMPRODUCT(--($Z$2:$Z$501&lt;$Z122))+1,"")</f>
        <v/>
      </c>
      <c r="Y122">
        <f>IF($A122="","",IF(OR($V122=TRUE(),$V122="TRUE"),1,0))</f>
        <v/>
      </c>
      <c r="Z122">
        <f>IF($W122=1,IFERROR(IF(VALUE($A122)&lt;100000000,VALUE($A122),1000000000),IFERROR(IF(VALUE(MID($A122,2,20))&lt;100000000,VALUE(MID($A122,2,20)),1000000000),1000000000))+ROW()/100000,"")</f>
        <v/>
      </c>
    </row>
    <row r="123">
      <c r="F123" s="7">
        <f>IF($A123="","",E123*N123/100)</f>
        <v/>
      </c>
      <c r="J123" s="7" t="n"/>
      <c r="K123" s="7">
        <f>IF($A123="","",U123*N123)</f>
        <v/>
      </c>
      <c r="L123" s="7">
        <f>IF($A123="","",N123-K123)</f>
        <v/>
      </c>
      <c r="M123" s="7">
        <f>IF($A123="","",L123-F123)</f>
        <v/>
      </c>
      <c r="N123" s="7" t="n"/>
      <c r="O123" s="7" t="n"/>
      <c r="P123" s="7" t="n"/>
      <c r="S123" s="11" t="n"/>
      <c r="U123">
        <f>IF($A123="","",IF($Y123=1,Settings!$C$6,Settings!$C$7)*1)</f>
        <v/>
      </c>
      <c r="W123">
        <f>IF($A123="","",IF(COUNTIF($A$2:$A123,$A123)=1,1,0))</f>
        <v/>
      </c>
      <c r="X123">
        <f>IF($W123=1,SUMPRODUCT(--($Z$2:$Z$501&lt;$Z123))+1,"")</f>
        <v/>
      </c>
      <c r="Y123">
        <f>IF($A123="","",IF(OR($V123=TRUE(),$V123="TRUE"),1,0))</f>
        <v/>
      </c>
      <c r="Z123">
        <f>IF($W123=1,IFERROR(IF(VALUE($A123)&lt;100000000,VALUE($A123),1000000000),IFERROR(IF(VALUE(MID($A123,2,20))&lt;100000000,VALUE(MID($A123,2,20)),1000000000),1000000000))+ROW()/100000,"")</f>
        <v/>
      </c>
    </row>
    <row r="124">
      <c r="F124" s="7">
        <f>IF($A124="","",E124*N124/100)</f>
        <v/>
      </c>
      <c r="J124" s="7" t="n"/>
      <c r="K124" s="7">
        <f>IF($A124="","",U124*N124)</f>
        <v/>
      </c>
      <c r="L124" s="7">
        <f>IF($A124="","",N124-K124)</f>
        <v/>
      </c>
      <c r="M124" s="7">
        <f>IF($A124="","",L124-F124)</f>
        <v/>
      </c>
      <c r="N124" s="7" t="n"/>
      <c r="O124" s="7" t="n"/>
      <c r="P124" s="7" t="n"/>
      <c r="S124" s="11" t="n"/>
      <c r="U124">
        <f>IF($A124="","",IF($Y124=1,Settings!$C$6,Settings!$C$7)*1)</f>
        <v/>
      </c>
      <c r="W124">
        <f>IF($A124="","",IF(COUNTIF($A$2:$A124,$A124)=1,1,0))</f>
        <v/>
      </c>
      <c r="X124">
        <f>IF($W124=1,SUMPRODUCT(--($Z$2:$Z$501&lt;$Z124))+1,"")</f>
        <v/>
      </c>
      <c r="Y124">
        <f>IF($A124="","",IF(OR($V124=TRUE(),$V124="TRUE"),1,0))</f>
        <v/>
      </c>
      <c r="Z124">
        <f>IF($W124=1,IFERROR(IF(VALUE($A124)&lt;100000000,VALUE($A124),1000000000),IFERROR(IF(VALUE(MID($A124,2,20))&lt;100000000,VALUE(MID($A124,2,20)),1000000000),1000000000))+ROW()/100000,"")</f>
        <v/>
      </c>
    </row>
    <row r="125">
      <c r="F125" s="7">
        <f>IF($A125="","",E125*N125/100)</f>
        <v/>
      </c>
      <c r="J125" s="7" t="n"/>
      <c r="K125" s="7">
        <f>IF($A125="","",U125*N125)</f>
        <v/>
      </c>
      <c r="L125" s="7">
        <f>IF($A125="","",N125-K125)</f>
        <v/>
      </c>
      <c r="M125" s="7">
        <f>IF($A125="","",L125-F125)</f>
        <v/>
      </c>
      <c r="N125" s="7" t="n"/>
      <c r="O125" s="7" t="n"/>
      <c r="P125" s="7" t="n"/>
      <c r="S125" s="11" t="n"/>
      <c r="U125">
        <f>IF($A125="","",IF($Y125=1,Settings!$C$6,Settings!$C$7)*1)</f>
        <v/>
      </c>
      <c r="W125">
        <f>IF($A125="","",IF(COUNTIF($A$2:$A125,$A125)=1,1,0))</f>
        <v/>
      </c>
      <c r="X125">
        <f>IF($W125=1,SUMPRODUCT(--($Z$2:$Z$501&lt;$Z125))+1,"")</f>
        <v/>
      </c>
      <c r="Y125">
        <f>IF($A125="","",IF(OR($V125=TRUE(),$V125="TRUE"),1,0))</f>
        <v/>
      </c>
      <c r="Z125">
        <f>IF($W125=1,IFERROR(IF(VALUE($A125)&lt;100000000,VALUE($A125),1000000000),IFERROR(IF(VALUE(MID($A125,2,20))&lt;100000000,VALUE(MID($A125,2,20)),1000000000),1000000000))+ROW()/100000,"")</f>
        <v/>
      </c>
    </row>
    <row r="126">
      <c r="F126" s="7">
        <f>IF($A126="","",E126*N126/100)</f>
        <v/>
      </c>
      <c r="J126" s="7" t="n"/>
      <c r="K126" s="7">
        <f>IF($A126="","",U126*N126)</f>
        <v/>
      </c>
      <c r="L126" s="7">
        <f>IF($A126="","",N126-K126)</f>
        <v/>
      </c>
      <c r="M126" s="7">
        <f>IF($A126="","",L126-F126)</f>
        <v/>
      </c>
      <c r="N126" s="7" t="n"/>
      <c r="O126" s="7" t="n"/>
      <c r="P126" s="7" t="n"/>
      <c r="S126" s="11" t="n"/>
      <c r="U126">
        <f>IF($A126="","",IF($Y126=1,Settings!$C$6,Settings!$C$7)*1)</f>
        <v/>
      </c>
      <c r="W126">
        <f>IF($A126="","",IF(COUNTIF($A$2:$A126,$A126)=1,1,0))</f>
        <v/>
      </c>
      <c r="X126">
        <f>IF($W126=1,SUMPRODUCT(--($Z$2:$Z$501&lt;$Z126))+1,"")</f>
        <v/>
      </c>
      <c r="Y126">
        <f>IF($A126="","",IF(OR($V126=TRUE(),$V126="TRUE"),1,0))</f>
        <v/>
      </c>
      <c r="Z126">
        <f>IF($W126=1,IFERROR(IF(VALUE($A126)&lt;100000000,VALUE($A126),1000000000),IFERROR(IF(VALUE(MID($A126,2,20))&lt;100000000,VALUE(MID($A126,2,20)),1000000000),1000000000))+ROW()/100000,"")</f>
        <v/>
      </c>
    </row>
    <row r="127">
      <c r="F127" s="7">
        <f>IF($A127="","",E127*N127/100)</f>
        <v/>
      </c>
      <c r="J127" s="7" t="n"/>
      <c r="K127" s="7">
        <f>IF($A127="","",U127*N127)</f>
        <v/>
      </c>
      <c r="L127" s="7">
        <f>IF($A127="","",N127-K127)</f>
        <v/>
      </c>
      <c r="M127" s="7">
        <f>IF($A127="","",L127-F127)</f>
        <v/>
      </c>
      <c r="N127" s="7" t="n"/>
      <c r="O127" s="7" t="n"/>
      <c r="P127" s="7" t="n"/>
      <c r="S127" s="11" t="n"/>
      <c r="U127">
        <f>IF($A127="","",IF($Y127=1,Settings!$C$6,Settings!$C$7)*1)</f>
        <v/>
      </c>
      <c r="W127">
        <f>IF($A127="","",IF(COUNTIF($A$2:$A127,$A127)=1,1,0))</f>
        <v/>
      </c>
      <c r="X127">
        <f>IF($W127=1,SUMPRODUCT(--($Z$2:$Z$501&lt;$Z127))+1,"")</f>
        <v/>
      </c>
      <c r="Y127">
        <f>IF($A127="","",IF(OR($V127=TRUE(),$V127="TRUE"),1,0))</f>
        <v/>
      </c>
      <c r="Z127">
        <f>IF($W127=1,IFERROR(IF(VALUE($A127)&lt;100000000,VALUE($A127),1000000000),IFERROR(IF(VALUE(MID($A127,2,20))&lt;100000000,VALUE(MID($A127,2,20)),1000000000),1000000000))+ROW()/100000,"")</f>
        <v/>
      </c>
    </row>
    <row r="128">
      <c r="F128" s="7">
        <f>IF($A128="","",E128*N128/100)</f>
        <v/>
      </c>
      <c r="J128" s="7" t="n"/>
      <c r="K128" s="7">
        <f>IF($A128="","",U128*N128)</f>
        <v/>
      </c>
      <c r="L128" s="7">
        <f>IF($A128="","",N128-K128)</f>
        <v/>
      </c>
      <c r="M128" s="7">
        <f>IF($A128="","",L128-F128)</f>
        <v/>
      </c>
      <c r="N128" s="7" t="n"/>
      <c r="O128" s="7" t="n"/>
      <c r="P128" s="7" t="n"/>
      <c r="S128" s="11" t="n"/>
      <c r="U128">
        <f>IF($A128="","",IF($Y128=1,Settings!$C$6,Settings!$C$7)*1)</f>
        <v/>
      </c>
      <c r="W128">
        <f>IF($A128="","",IF(COUNTIF($A$2:$A128,$A128)=1,1,0))</f>
        <v/>
      </c>
      <c r="X128">
        <f>IF($W128=1,SUMPRODUCT(--($Z$2:$Z$501&lt;$Z128))+1,"")</f>
        <v/>
      </c>
      <c r="Y128">
        <f>IF($A128="","",IF(OR($V128=TRUE(),$V128="TRUE"),1,0))</f>
        <v/>
      </c>
      <c r="Z128">
        <f>IF($W128=1,IFERROR(IF(VALUE($A128)&lt;100000000,VALUE($A128),1000000000),IFERROR(IF(VALUE(MID($A128,2,20))&lt;100000000,VALUE(MID($A128,2,20)),1000000000),1000000000))+ROW()/100000,"")</f>
        <v/>
      </c>
    </row>
    <row r="129">
      <c r="F129" s="7">
        <f>IF($A129="","",E129*N129/100)</f>
        <v/>
      </c>
      <c r="J129" s="7" t="n"/>
      <c r="K129" s="7">
        <f>IF($A129="","",U129*N129)</f>
        <v/>
      </c>
      <c r="L129" s="7">
        <f>IF($A129="","",N129-K129)</f>
        <v/>
      </c>
      <c r="M129" s="7">
        <f>IF($A129="","",L129-F129)</f>
        <v/>
      </c>
      <c r="N129" s="7" t="n"/>
      <c r="O129" s="7" t="n"/>
      <c r="P129" s="7" t="n"/>
      <c r="S129" s="11" t="n"/>
      <c r="U129">
        <f>IF($A129="","",IF($Y129=1,Settings!$C$6,Settings!$C$7)*1)</f>
        <v/>
      </c>
      <c r="W129">
        <f>IF($A129="","",IF(COUNTIF($A$2:$A129,$A129)=1,1,0))</f>
        <v/>
      </c>
      <c r="X129">
        <f>IF($W129=1,SUMPRODUCT(--($Z$2:$Z$501&lt;$Z129))+1,"")</f>
        <v/>
      </c>
      <c r="Y129">
        <f>IF($A129="","",IF(OR($V129=TRUE(),$V129="TRUE"),1,0))</f>
        <v/>
      </c>
      <c r="Z129">
        <f>IF($W129=1,IFERROR(IF(VALUE($A129)&lt;100000000,VALUE($A129),1000000000),IFERROR(IF(VALUE(MID($A129,2,20))&lt;100000000,VALUE(MID($A129,2,20)),1000000000),1000000000))+ROW()/100000,"")</f>
        <v/>
      </c>
    </row>
    <row r="130">
      <c r="F130" s="7">
        <f>IF($A130="","",E130*N130/100)</f>
        <v/>
      </c>
      <c r="J130" s="7" t="n"/>
      <c r="K130" s="7">
        <f>IF($A130="","",U130*N130)</f>
        <v/>
      </c>
      <c r="L130" s="7">
        <f>IF($A130="","",N130-K130)</f>
        <v/>
      </c>
      <c r="M130" s="7">
        <f>IF($A130="","",L130-F130)</f>
        <v/>
      </c>
      <c r="N130" s="7" t="n"/>
      <c r="O130" s="7" t="n"/>
      <c r="P130" s="7" t="n"/>
      <c r="S130" s="11" t="n"/>
      <c r="U130">
        <f>IF($A130="","",IF($Y130=1,Settings!$C$6,Settings!$C$7)*1)</f>
        <v/>
      </c>
      <c r="W130">
        <f>IF($A130="","",IF(COUNTIF($A$2:$A130,$A130)=1,1,0))</f>
        <v/>
      </c>
      <c r="X130">
        <f>IF($W130=1,SUMPRODUCT(--($Z$2:$Z$501&lt;$Z130))+1,"")</f>
        <v/>
      </c>
      <c r="Y130">
        <f>IF($A130="","",IF(OR($V130=TRUE(),$V130="TRUE"),1,0))</f>
        <v/>
      </c>
      <c r="Z130">
        <f>IF($W130=1,IFERROR(IF(VALUE($A130)&lt;100000000,VALUE($A130),1000000000),IFERROR(IF(VALUE(MID($A130,2,20))&lt;100000000,VALUE(MID($A130,2,20)),1000000000),1000000000))+ROW()/100000,"")</f>
        <v/>
      </c>
    </row>
    <row r="131">
      <c r="F131" s="7">
        <f>IF($A131="","",E131*N131/100)</f>
        <v/>
      </c>
      <c r="J131" s="7" t="n"/>
      <c r="K131" s="7">
        <f>IF($A131="","",U131*N131)</f>
        <v/>
      </c>
      <c r="L131" s="7">
        <f>IF($A131="","",N131-K131)</f>
        <v/>
      </c>
      <c r="M131" s="7">
        <f>IF($A131="","",L131-F131)</f>
        <v/>
      </c>
      <c r="N131" s="7" t="n"/>
      <c r="O131" s="7" t="n"/>
      <c r="P131" s="7" t="n"/>
      <c r="S131" s="11" t="n"/>
      <c r="U131">
        <f>IF($A131="","",IF($Y131=1,Settings!$C$6,Settings!$C$7)*1)</f>
        <v/>
      </c>
      <c r="W131">
        <f>IF($A131="","",IF(COUNTIF($A$2:$A131,$A131)=1,1,0))</f>
        <v/>
      </c>
      <c r="X131">
        <f>IF($W131=1,SUMPRODUCT(--($Z$2:$Z$501&lt;$Z131))+1,"")</f>
        <v/>
      </c>
      <c r="Y131">
        <f>IF($A131="","",IF(OR($V131=TRUE(),$V131="TRUE"),1,0))</f>
        <v/>
      </c>
      <c r="Z131">
        <f>IF($W131=1,IFERROR(IF(VALUE($A131)&lt;100000000,VALUE($A131),1000000000),IFERROR(IF(VALUE(MID($A131,2,20))&lt;100000000,VALUE(MID($A131,2,20)),1000000000),1000000000))+ROW()/100000,"")</f>
        <v/>
      </c>
    </row>
    <row r="132">
      <c r="F132" s="7">
        <f>IF($A132="","",E132*N132/100)</f>
        <v/>
      </c>
      <c r="J132" s="7" t="n"/>
      <c r="K132" s="7">
        <f>IF($A132="","",U132*N132)</f>
        <v/>
      </c>
      <c r="L132" s="7">
        <f>IF($A132="","",N132-K132)</f>
        <v/>
      </c>
      <c r="M132" s="7">
        <f>IF($A132="","",L132-F132)</f>
        <v/>
      </c>
      <c r="N132" s="7" t="n"/>
      <c r="O132" s="7" t="n"/>
      <c r="P132" s="7" t="n"/>
      <c r="S132" s="11" t="n"/>
      <c r="U132">
        <f>IF($A132="","",IF($Y132=1,Settings!$C$6,Settings!$C$7)*1)</f>
        <v/>
      </c>
      <c r="W132">
        <f>IF($A132="","",IF(COUNTIF($A$2:$A132,$A132)=1,1,0))</f>
        <v/>
      </c>
      <c r="X132">
        <f>IF($W132=1,SUMPRODUCT(--($Z$2:$Z$501&lt;$Z132))+1,"")</f>
        <v/>
      </c>
      <c r="Y132">
        <f>IF($A132="","",IF(OR($V132=TRUE(),$V132="TRUE"),1,0))</f>
        <v/>
      </c>
      <c r="Z132">
        <f>IF($W132=1,IFERROR(IF(VALUE($A132)&lt;100000000,VALUE($A132),1000000000),IFERROR(IF(VALUE(MID($A132,2,20))&lt;100000000,VALUE(MID($A132,2,20)),1000000000),1000000000))+ROW()/100000,"")</f>
        <v/>
      </c>
    </row>
    <row r="133">
      <c r="F133" s="7">
        <f>IF($A133="","",E133*N133/100)</f>
        <v/>
      </c>
      <c r="J133" s="7" t="n"/>
      <c r="K133" s="7">
        <f>IF($A133="","",U133*N133)</f>
        <v/>
      </c>
      <c r="L133" s="7">
        <f>IF($A133="","",N133-K133)</f>
        <v/>
      </c>
      <c r="M133" s="7">
        <f>IF($A133="","",L133-F133)</f>
        <v/>
      </c>
      <c r="N133" s="7" t="n"/>
      <c r="O133" s="7" t="n"/>
      <c r="P133" s="7" t="n"/>
      <c r="S133" s="11" t="n"/>
      <c r="U133">
        <f>IF($A133="","",IF($Y133=1,Settings!$C$6,Settings!$C$7)*1)</f>
        <v/>
      </c>
      <c r="W133">
        <f>IF($A133="","",IF(COUNTIF($A$2:$A133,$A133)=1,1,0))</f>
        <v/>
      </c>
      <c r="X133">
        <f>IF($W133=1,SUMPRODUCT(--($Z$2:$Z$501&lt;$Z133))+1,"")</f>
        <v/>
      </c>
      <c r="Y133">
        <f>IF($A133="","",IF(OR($V133=TRUE(),$V133="TRUE"),1,0))</f>
        <v/>
      </c>
      <c r="Z133">
        <f>IF($W133=1,IFERROR(IF(VALUE($A133)&lt;100000000,VALUE($A133),1000000000),IFERROR(IF(VALUE(MID($A133,2,20))&lt;100000000,VALUE(MID($A133,2,20)),1000000000),1000000000))+ROW()/100000,"")</f>
        <v/>
      </c>
    </row>
    <row r="134">
      <c r="F134" s="7">
        <f>IF($A134="","",E134*N134/100)</f>
        <v/>
      </c>
      <c r="J134" s="7" t="n"/>
      <c r="K134" s="7">
        <f>IF($A134="","",U134*N134)</f>
        <v/>
      </c>
      <c r="L134" s="7">
        <f>IF($A134="","",N134-K134)</f>
        <v/>
      </c>
      <c r="M134" s="7">
        <f>IF($A134="","",L134-F134)</f>
        <v/>
      </c>
      <c r="N134" s="7" t="n"/>
      <c r="O134" s="7" t="n"/>
      <c r="P134" s="7" t="n"/>
      <c r="S134" s="11" t="n"/>
      <c r="U134">
        <f>IF($A134="","",IF($Y134=1,Settings!$C$6,Settings!$C$7)*1)</f>
        <v/>
      </c>
      <c r="W134">
        <f>IF($A134="","",IF(COUNTIF($A$2:$A134,$A134)=1,1,0))</f>
        <v/>
      </c>
      <c r="X134">
        <f>IF($W134=1,SUMPRODUCT(--($Z$2:$Z$501&lt;$Z134))+1,"")</f>
        <v/>
      </c>
      <c r="Y134">
        <f>IF($A134="","",IF(OR($V134=TRUE(),$V134="TRUE"),1,0))</f>
        <v/>
      </c>
      <c r="Z134">
        <f>IF($W134=1,IFERROR(IF(VALUE($A134)&lt;100000000,VALUE($A134),1000000000),IFERROR(IF(VALUE(MID($A134,2,20))&lt;100000000,VALUE(MID($A134,2,20)),1000000000),1000000000))+ROW()/100000,"")</f>
        <v/>
      </c>
    </row>
    <row r="135">
      <c r="F135" s="7">
        <f>IF($A135="","",E135*N135/100)</f>
        <v/>
      </c>
      <c r="J135" s="7" t="n"/>
      <c r="K135" s="7">
        <f>IF($A135="","",U135*N135)</f>
        <v/>
      </c>
      <c r="L135" s="7">
        <f>IF($A135="","",N135-K135)</f>
        <v/>
      </c>
      <c r="M135" s="7">
        <f>IF($A135="","",L135-F135)</f>
        <v/>
      </c>
      <c r="N135" s="7" t="n"/>
      <c r="O135" s="7" t="n"/>
      <c r="P135" s="7" t="n"/>
      <c r="S135" s="11" t="n"/>
      <c r="U135">
        <f>IF($A135="","",IF($Y135=1,Settings!$C$6,Settings!$C$7)*1)</f>
        <v/>
      </c>
      <c r="W135">
        <f>IF($A135="","",IF(COUNTIF($A$2:$A135,$A135)=1,1,0))</f>
        <v/>
      </c>
      <c r="X135">
        <f>IF($W135=1,SUMPRODUCT(--($Z$2:$Z$501&lt;$Z135))+1,"")</f>
        <v/>
      </c>
      <c r="Y135">
        <f>IF($A135="","",IF(OR($V135=TRUE(),$V135="TRUE"),1,0))</f>
        <v/>
      </c>
      <c r="Z135">
        <f>IF($W135=1,IFERROR(IF(VALUE($A135)&lt;100000000,VALUE($A135),1000000000),IFERROR(IF(VALUE(MID($A135,2,20))&lt;100000000,VALUE(MID($A135,2,20)),1000000000),1000000000))+ROW()/100000,"")</f>
        <v/>
      </c>
    </row>
    <row r="136">
      <c r="F136" s="7">
        <f>IF($A136="","",E136*N136/100)</f>
        <v/>
      </c>
      <c r="J136" s="7" t="n"/>
      <c r="K136" s="7">
        <f>IF($A136="","",U136*N136)</f>
        <v/>
      </c>
      <c r="L136" s="7">
        <f>IF($A136="","",N136-K136)</f>
        <v/>
      </c>
      <c r="M136" s="7">
        <f>IF($A136="","",L136-F136)</f>
        <v/>
      </c>
      <c r="N136" s="7" t="n"/>
      <c r="O136" s="7" t="n"/>
      <c r="P136" s="7" t="n"/>
      <c r="S136" s="11" t="n"/>
      <c r="U136">
        <f>IF($A136="","",IF($Y136=1,Settings!$C$6,Settings!$C$7)*1)</f>
        <v/>
      </c>
      <c r="W136">
        <f>IF($A136="","",IF(COUNTIF($A$2:$A136,$A136)=1,1,0))</f>
        <v/>
      </c>
      <c r="X136">
        <f>IF($W136=1,SUMPRODUCT(--($Z$2:$Z$501&lt;$Z136))+1,"")</f>
        <v/>
      </c>
      <c r="Y136">
        <f>IF($A136="","",IF(OR($V136=TRUE(),$V136="TRUE"),1,0))</f>
        <v/>
      </c>
      <c r="Z136">
        <f>IF($W136=1,IFERROR(IF(VALUE($A136)&lt;100000000,VALUE($A136),1000000000),IFERROR(IF(VALUE(MID($A136,2,20))&lt;100000000,VALUE(MID($A136,2,20)),1000000000),1000000000))+ROW()/100000,"")</f>
        <v/>
      </c>
    </row>
    <row r="137">
      <c r="F137" s="7">
        <f>IF($A137="","",E137*N137/100)</f>
        <v/>
      </c>
      <c r="J137" s="7" t="n"/>
      <c r="K137" s="7">
        <f>IF($A137="","",U137*N137)</f>
        <v/>
      </c>
      <c r="L137" s="7">
        <f>IF($A137="","",N137-K137)</f>
        <v/>
      </c>
      <c r="M137" s="7">
        <f>IF($A137="","",L137-F137)</f>
        <v/>
      </c>
      <c r="N137" s="7" t="n"/>
      <c r="O137" s="7" t="n"/>
      <c r="P137" s="7" t="n"/>
      <c r="S137" s="11" t="n"/>
      <c r="U137">
        <f>IF($A137="","",IF($Y137=1,Settings!$C$6,Settings!$C$7)*1)</f>
        <v/>
      </c>
      <c r="W137">
        <f>IF($A137="","",IF(COUNTIF($A$2:$A137,$A137)=1,1,0))</f>
        <v/>
      </c>
      <c r="X137">
        <f>IF($W137=1,SUMPRODUCT(--($Z$2:$Z$501&lt;$Z137))+1,"")</f>
        <v/>
      </c>
      <c r="Y137">
        <f>IF($A137="","",IF(OR($V137=TRUE(),$V137="TRUE"),1,0))</f>
        <v/>
      </c>
      <c r="Z137">
        <f>IF($W137=1,IFERROR(IF(VALUE($A137)&lt;100000000,VALUE($A137),1000000000),IFERROR(IF(VALUE(MID($A137,2,20))&lt;100000000,VALUE(MID($A137,2,20)),1000000000),1000000000))+ROW()/100000,"")</f>
        <v/>
      </c>
    </row>
    <row r="138">
      <c r="F138" s="7">
        <f>IF($A138="","",E138*N138/100)</f>
        <v/>
      </c>
      <c r="J138" s="7" t="n"/>
      <c r="K138" s="7">
        <f>IF($A138="","",U138*N138)</f>
        <v/>
      </c>
      <c r="L138" s="7">
        <f>IF($A138="","",N138-K138)</f>
        <v/>
      </c>
      <c r="M138" s="7">
        <f>IF($A138="","",L138-F138)</f>
        <v/>
      </c>
      <c r="N138" s="7" t="n"/>
      <c r="O138" s="7" t="n"/>
      <c r="P138" s="7" t="n"/>
      <c r="S138" s="11" t="n"/>
      <c r="U138">
        <f>IF($A138="","",IF($Y138=1,Settings!$C$6,Settings!$C$7)*1)</f>
        <v/>
      </c>
      <c r="W138">
        <f>IF($A138="","",IF(COUNTIF($A$2:$A138,$A138)=1,1,0))</f>
        <v/>
      </c>
      <c r="X138">
        <f>IF($W138=1,SUMPRODUCT(--($Z$2:$Z$501&lt;$Z138))+1,"")</f>
        <v/>
      </c>
      <c r="Y138">
        <f>IF($A138="","",IF(OR($V138=TRUE(),$V138="TRUE"),1,0))</f>
        <v/>
      </c>
      <c r="Z138">
        <f>IF($W138=1,IFERROR(IF(VALUE($A138)&lt;100000000,VALUE($A138),1000000000),IFERROR(IF(VALUE(MID($A138,2,20))&lt;100000000,VALUE(MID($A138,2,20)),1000000000),1000000000))+ROW()/100000,"")</f>
        <v/>
      </c>
    </row>
    <row r="139">
      <c r="F139" s="7">
        <f>IF($A139="","",E139*N139/100)</f>
        <v/>
      </c>
      <c r="J139" s="7" t="n"/>
      <c r="K139" s="7">
        <f>IF($A139="","",U139*N139)</f>
        <v/>
      </c>
      <c r="L139" s="7">
        <f>IF($A139="","",N139-K139)</f>
        <v/>
      </c>
      <c r="M139" s="7">
        <f>IF($A139="","",L139-F139)</f>
        <v/>
      </c>
      <c r="N139" s="7" t="n"/>
      <c r="O139" s="7" t="n"/>
      <c r="P139" s="7" t="n"/>
      <c r="S139" s="11" t="n"/>
      <c r="U139">
        <f>IF($A139="","",IF($Y139=1,Settings!$C$6,Settings!$C$7)*1)</f>
        <v/>
      </c>
      <c r="W139">
        <f>IF($A139="","",IF(COUNTIF($A$2:$A139,$A139)=1,1,0))</f>
        <v/>
      </c>
      <c r="X139">
        <f>IF($W139=1,SUMPRODUCT(--($Z$2:$Z$501&lt;$Z139))+1,"")</f>
        <v/>
      </c>
      <c r="Y139">
        <f>IF($A139="","",IF(OR($V139=TRUE(),$V139="TRUE"),1,0))</f>
        <v/>
      </c>
      <c r="Z139">
        <f>IF($W139=1,IFERROR(IF(VALUE($A139)&lt;100000000,VALUE($A139),1000000000),IFERROR(IF(VALUE(MID($A139,2,20))&lt;100000000,VALUE(MID($A139,2,20)),1000000000),1000000000))+ROW()/100000,"")</f>
        <v/>
      </c>
    </row>
    <row r="140">
      <c r="F140" s="7">
        <f>IF($A140="","",E140*N140/100)</f>
        <v/>
      </c>
      <c r="J140" s="7" t="n"/>
      <c r="K140" s="7">
        <f>IF($A140="","",U140*N140)</f>
        <v/>
      </c>
      <c r="L140" s="7">
        <f>IF($A140="","",N140-K140)</f>
        <v/>
      </c>
      <c r="M140" s="7">
        <f>IF($A140="","",L140-F140)</f>
        <v/>
      </c>
      <c r="N140" s="7" t="n"/>
      <c r="O140" s="7" t="n"/>
      <c r="P140" s="7" t="n"/>
      <c r="S140" s="11" t="n"/>
      <c r="U140">
        <f>IF($A140="","",IF($Y140=1,Settings!$C$6,Settings!$C$7)*1)</f>
        <v/>
      </c>
      <c r="W140">
        <f>IF($A140="","",IF(COUNTIF($A$2:$A140,$A140)=1,1,0))</f>
        <v/>
      </c>
      <c r="X140">
        <f>IF($W140=1,SUMPRODUCT(--($Z$2:$Z$501&lt;$Z140))+1,"")</f>
        <v/>
      </c>
      <c r="Y140">
        <f>IF($A140="","",IF(OR($V140=TRUE(),$V140="TRUE"),1,0))</f>
        <v/>
      </c>
      <c r="Z140">
        <f>IF($W140=1,IFERROR(IF(VALUE($A140)&lt;100000000,VALUE($A140),1000000000),IFERROR(IF(VALUE(MID($A140,2,20))&lt;100000000,VALUE(MID($A140,2,20)),1000000000),1000000000))+ROW()/100000,"")</f>
        <v/>
      </c>
    </row>
    <row r="141">
      <c r="F141" s="7">
        <f>IF($A141="","",E141*N141/100)</f>
        <v/>
      </c>
      <c r="J141" s="7" t="n"/>
      <c r="K141" s="7">
        <f>IF($A141="","",U141*N141)</f>
        <v/>
      </c>
      <c r="L141" s="7">
        <f>IF($A141="","",N141-K141)</f>
        <v/>
      </c>
      <c r="M141" s="7">
        <f>IF($A141="","",L141-F141)</f>
        <v/>
      </c>
      <c r="N141" s="7" t="n"/>
      <c r="O141" s="7" t="n"/>
      <c r="P141" s="7" t="n"/>
      <c r="S141" s="11" t="n"/>
      <c r="U141">
        <f>IF($A141="","",IF($Y141=1,Settings!$C$6,Settings!$C$7)*1)</f>
        <v/>
      </c>
      <c r="W141">
        <f>IF($A141="","",IF(COUNTIF($A$2:$A141,$A141)=1,1,0))</f>
        <v/>
      </c>
      <c r="X141">
        <f>IF($W141=1,SUMPRODUCT(--($Z$2:$Z$501&lt;$Z141))+1,"")</f>
        <v/>
      </c>
      <c r="Y141">
        <f>IF($A141="","",IF(OR($V141=TRUE(),$V141="TRUE"),1,0))</f>
        <v/>
      </c>
      <c r="Z141">
        <f>IF($W141=1,IFERROR(IF(VALUE($A141)&lt;100000000,VALUE($A141),1000000000),IFERROR(IF(VALUE(MID($A141,2,20))&lt;100000000,VALUE(MID($A141,2,20)),1000000000),1000000000))+ROW()/100000,"")</f>
        <v/>
      </c>
    </row>
    <row r="142">
      <c r="F142" s="7">
        <f>IF($A142="","",E142*N142/100)</f>
        <v/>
      </c>
      <c r="J142" s="7" t="n"/>
      <c r="K142" s="7">
        <f>IF($A142="","",U142*N142)</f>
        <v/>
      </c>
      <c r="L142" s="7">
        <f>IF($A142="","",N142-K142)</f>
        <v/>
      </c>
      <c r="M142" s="7">
        <f>IF($A142="","",L142-F142)</f>
        <v/>
      </c>
      <c r="N142" s="7" t="n"/>
      <c r="O142" s="7" t="n"/>
      <c r="P142" s="7" t="n"/>
      <c r="S142" s="11" t="n"/>
      <c r="U142">
        <f>IF($A142="","",IF($Y142=1,Settings!$C$6,Settings!$C$7)*1)</f>
        <v/>
      </c>
      <c r="W142">
        <f>IF($A142="","",IF(COUNTIF($A$2:$A142,$A142)=1,1,0))</f>
        <v/>
      </c>
      <c r="X142">
        <f>IF($W142=1,SUMPRODUCT(--($Z$2:$Z$501&lt;$Z142))+1,"")</f>
        <v/>
      </c>
      <c r="Y142">
        <f>IF($A142="","",IF(OR($V142=TRUE(),$V142="TRUE"),1,0))</f>
        <v/>
      </c>
      <c r="Z142">
        <f>IF($W142=1,IFERROR(IF(VALUE($A142)&lt;100000000,VALUE($A142),1000000000),IFERROR(IF(VALUE(MID($A142,2,20))&lt;100000000,VALUE(MID($A142,2,20)),1000000000),1000000000))+ROW()/100000,"")</f>
        <v/>
      </c>
    </row>
    <row r="143">
      <c r="F143" s="7">
        <f>IF($A143="","",E143*N143/100)</f>
        <v/>
      </c>
      <c r="J143" s="7" t="n"/>
      <c r="K143" s="7">
        <f>IF($A143="","",U143*N143)</f>
        <v/>
      </c>
      <c r="L143" s="7">
        <f>IF($A143="","",N143-K143)</f>
        <v/>
      </c>
      <c r="M143" s="7">
        <f>IF($A143="","",L143-F143)</f>
        <v/>
      </c>
      <c r="N143" s="7" t="n"/>
      <c r="O143" s="7" t="n"/>
      <c r="P143" s="7" t="n"/>
      <c r="S143" s="11" t="n"/>
      <c r="U143">
        <f>IF($A143="","",IF($Y143=1,Settings!$C$6,Settings!$C$7)*1)</f>
        <v/>
      </c>
      <c r="W143">
        <f>IF($A143="","",IF(COUNTIF($A$2:$A143,$A143)=1,1,0))</f>
        <v/>
      </c>
      <c r="X143">
        <f>IF($W143=1,SUMPRODUCT(--($Z$2:$Z$501&lt;$Z143))+1,"")</f>
        <v/>
      </c>
      <c r="Y143">
        <f>IF($A143="","",IF(OR($V143=TRUE(),$V143="TRUE"),1,0))</f>
        <v/>
      </c>
      <c r="Z143">
        <f>IF($W143=1,IFERROR(IF(VALUE($A143)&lt;100000000,VALUE($A143),1000000000),IFERROR(IF(VALUE(MID($A143,2,20))&lt;100000000,VALUE(MID($A143,2,20)),1000000000),1000000000))+ROW()/100000,"")</f>
        <v/>
      </c>
    </row>
    <row r="144">
      <c r="F144" s="7">
        <f>IF($A144="","",E144*N144/100)</f>
        <v/>
      </c>
      <c r="J144" s="7" t="n"/>
      <c r="K144" s="7">
        <f>IF($A144="","",U144*N144)</f>
        <v/>
      </c>
      <c r="L144" s="7">
        <f>IF($A144="","",N144-K144)</f>
        <v/>
      </c>
      <c r="M144" s="7">
        <f>IF($A144="","",L144-F144)</f>
        <v/>
      </c>
      <c r="N144" s="7" t="n"/>
      <c r="O144" s="7" t="n"/>
      <c r="P144" s="7" t="n"/>
      <c r="S144" s="11" t="n"/>
      <c r="U144">
        <f>IF($A144="","",IF($Y144=1,Settings!$C$6,Settings!$C$7)*1)</f>
        <v/>
      </c>
      <c r="W144">
        <f>IF($A144="","",IF(COUNTIF($A$2:$A144,$A144)=1,1,0))</f>
        <v/>
      </c>
      <c r="X144">
        <f>IF($W144=1,SUMPRODUCT(--($Z$2:$Z$501&lt;$Z144))+1,"")</f>
        <v/>
      </c>
      <c r="Y144">
        <f>IF($A144="","",IF(OR($V144=TRUE(),$V144="TRUE"),1,0))</f>
        <v/>
      </c>
      <c r="Z144">
        <f>IF($W144=1,IFERROR(IF(VALUE($A144)&lt;100000000,VALUE($A144),1000000000),IFERROR(IF(VALUE(MID($A144,2,20))&lt;100000000,VALUE(MID($A144,2,20)),1000000000),1000000000))+ROW()/100000,"")</f>
        <v/>
      </c>
    </row>
    <row r="145">
      <c r="F145" s="7">
        <f>IF($A145="","",E145*N145/100)</f>
        <v/>
      </c>
      <c r="J145" s="7" t="n"/>
      <c r="K145" s="7">
        <f>IF($A145="","",U145*N145)</f>
        <v/>
      </c>
      <c r="L145" s="7">
        <f>IF($A145="","",N145-K145)</f>
        <v/>
      </c>
      <c r="M145" s="7">
        <f>IF($A145="","",L145-F145)</f>
        <v/>
      </c>
      <c r="N145" s="7" t="n"/>
      <c r="O145" s="7" t="n"/>
      <c r="P145" s="7" t="n"/>
      <c r="S145" s="11" t="n"/>
      <c r="U145">
        <f>IF($A145="","",IF($Y145=1,Settings!$C$6,Settings!$C$7)*1)</f>
        <v/>
      </c>
      <c r="W145">
        <f>IF($A145="","",IF(COUNTIF($A$2:$A145,$A145)=1,1,0))</f>
        <v/>
      </c>
      <c r="X145">
        <f>IF($W145=1,SUMPRODUCT(--($Z$2:$Z$501&lt;$Z145))+1,"")</f>
        <v/>
      </c>
      <c r="Y145">
        <f>IF($A145="","",IF(OR($V145=TRUE(),$V145="TRUE"),1,0))</f>
        <v/>
      </c>
      <c r="Z145">
        <f>IF($W145=1,IFERROR(IF(VALUE($A145)&lt;100000000,VALUE($A145),1000000000),IFERROR(IF(VALUE(MID($A145,2,20))&lt;100000000,VALUE(MID($A145,2,20)),1000000000),1000000000))+ROW()/100000,"")</f>
        <v/>
      </c>
    </row>
    <row r="146">
      <c r="F146" s="7">
        <f>IF($A146="","",E146*N146/100)</f>
        <v/>
      </c>
      <c r="J146" s="7" t="n"/>
      <c r="K146" s="7">
        <f>IF($A146="","",U146*N146)</f>
        <v/>
      </c>
      <c r="L146" s="7">
        <f>IF($A146="","",N146-K146)</f>
        <v/>
      </c>
      <c r="M146" s="7">
        <f>IF($A146="","",L146-F146)</f>
        <v/>
      </c>
      <c r="N146" s="7" t="n"/>
      <c r="O146" s="7" t="n"/>
      <c r="P146" s="7" t="n"/>
      <c r="S146" s="11" t="n"/>
      <c r="U146">
        <f>IF($A146="","",IF($Y146=1,Settings!$C$6,Settings!$C$7)*1)</f>
        <v/>
      </c>
      <c r="W146">
        <f>IF($A146="","",IF(COUNTIF($A$2:$A146,$A146)=1,1,0))</f>
        <v/>
      </c>
      <c r="X146">
        <f>IF($W146=1,SUMPRODUCT(--($Z$2:$Z$501&lt;$Z146))+1,"")</f>
        <v/>
      </c>
      <c r="Y146">
        <f>IF($A146="","",IF(OR($V146=TRUE(),$V146="TRUE"),1,0))</f>
        <v/>
      </c>
      <c r="Z146">
        <f>IF($W146=1,IFERROR(IF(VALUE($A146)&lt;100000000,VALUE($A146),1000000000),IFERROR(IF(VALUE(MID($A146,2,20))&lt;100000000,VALUE(MID($A146,2,20)),1000000000),1000000000))+ROW()/100000,"")</f>
        <v/>
      </c>
    </row>
    <row r="147">
      <c r="F147" s="7">
        <f>IF($A147="","",E147*N147/100)</f>
        <v/>
      </c>
      <c r="J147" s="7" t="n"/>
      <c r="K147" s="7">
        <f>IF($A147="","",U147*N147)</f>
        <v/>
      </c>
      <c r="L147" s="7">
        <f>IF($A147="","",N147-K147)</f>
        <v/>
      </c>
      <c r="M147" s="7">
        <f>IF($A147="","",L147-F147)</f>
        <v/>
      </c>
      <c r="N147" s="7" t="n"/>
      <c r="O147" s="7" t="n"/>
      <c r="P147" s="7" t="n"/>
      <c r="S147" s="11" t="n"/>
      <c r="U147">
        <f>IF($A147="","",IF($Y147=1,Settings!$C$6,Settings!$C$7)*1)</f>
        <v/>
      </c>
      <c r="W147">
        <f>IF($A147="","",IF(COUNTIF($A$2:$A147,$A147)=1,1,0))</f>
        <v/>
      </c>
      <c r="X147">
        <f>IF($W147=1,SUMPRODUCT(--($Z$2:$Z$501&lt;$Z147))+1,"")</f>
        <v/>
      </c>
      <c r="Y147">
        <f>IF($A147="","",IF(OR($V147=TRUE(),$V147="TRUE"),1,0))</f>
        <v/>
      </c>
      <c r="Z147">
        <f>IF($W147=1,IFERROR(IF(VALUE($A147)&lt;100000000,VALUE($A147),1000000000),IFERROR(IF(VALUE(MID($A147,2,20))&lt;100000000,VALUE(MID($A147,2,20)),1000000000),1000000000))+ROW()/100000,"")</f>
        <v/>
      </c>
    </row>
    <row r="148">
      <c r="F148" s="7">
        <f>IF($A148="","",E148*N148/100)</f>
        <v/>
      </c>
      <c r="J148" s="7" t="n"/>
      <c r="K148" s="7">
        <f>IF($A148="","",U148*N148)</f>
        <v/>
      </c>
      <c r="L148" s="7">
        <f>IF($A148="","",N148-K148)</f>
        <v/>
      </c>
      <c r="M148" s="7">
        <f>IF($A148="","",L148-F148)</f>
        <v/>
      </c>
      <c r="N148" s="7" t="n"/>
      <c r="O148" s="7" t="n"/>
      <c r="P148" s="7" t="n"/>
      <c r="S148" s="11" t="n"/>
      <c r="U148">
        <f>IF($A148="","",IF($Y148=1,Settings!$C$6,Settings!$C$7)*1)</f>
        <v/>
      </c>
      <c r="W148">
        <f>IF($A148="","",IF(COUNTIF($A$2:$A148,$A148)=1,1,0))</f>
        <v/>
      </c>
      <c r="X148">
        <f>IF($W148=1,SUMPRODUCT(--($Z$2:$Z$501&lt;$Z148))+1,"")</f>
        <v/>
      </c>
      <c r="Y148">
        <f>IF($A148="","",IF(OR($V148=TRUE(),$V148="TRUE"),1,0))</f>
        <v/>
      </c>
      <c r="Z148">
        <f>IF($W148=1,IFERROR(IF(VALUE($A148)&lt;100000000,VALUE($A148),1000000000),IFERROR(IF(VALUE(MID($A148,2,20))&lt;100000000,VALUE(MID($A148,2,20)),1000000000),1000000000))+ROW()/100000,"")</f>
        <v/>
      </c>
    </row>
    <row r="149">
      <c r="F149" s="7">
        <f>IF($A149="","",E149*N149/100)</f>
        <v/>
      </c>
      <c r="J149" s="7" t="n"/>
      <c r="K149" s="7">
        <f>IF($A149="","",U149*N149)</f>
        <v/>
      </c>
      <c r="L149" s="7">
        <f>IF($A149="","",N149-K149)</f>
        <v/>
      </c>
      <c r="M149" s="7">
        <f>IF($A149="","",L149-F149)</f>
        <v/>
      </c>
      <c r="N149" s="7" t="n"/>
      <c r="O149" s="7" t="n"/>
      <c r="P149" s="7" t="n"/>
      <c r="S149" s="11" t="n"/>
      <c r="U149">
        <f>IF($A149="","",IF($Y149=1,Settings!$C$6,Settings!$C$7)*1)</f>
        <v/>
      </c>
      <c r="W149">
        <f>IF($A149="","",IF(COUNTIF($A$2:$A149,$A149)=1,1,0))</f>
        <v/>
      </c>
      <c r="X149">
        <f>IF($W149=1,SUMPRODUCT(--($Z$2:$Z$501&lt;$Z149))+1,"")</f>
        <v/>
      </c>
      <c r="Y149">
        <f>IF($A149="","",IF(OR($V149=TRUE(),$V149="TRUE"),1,0))</f>
        <v/>
      </c>
      <c r="Z149">
        <f>IF($W149=1,IFERROR(IF(VALUE($A149)&lt;100000000,VALUE($A149),1000000000),IFERROR(IF(VALUE(MID($A149,2,20))&lt;100000000,VALUE(MID($A149,2,20)),1000000000),1000000000))+ROW()/100000,"")</f>
        <v/>
      </c>
    </row>
    <row r="150">
      <c r="F150" s="7">
        <f>IF($A150="","",E150*N150/100)</f>
        <v/>
      </c>
      <c r="J150" s="7" t="n"/>
      <c r="K150" s="7">
        <f>IF($A150="","",U150*N150)</f>
        <v/>
      </c>
      <c r="L150" s="7">
        <f>IF($A150="","",N150-K150)</f>
        <v/>
      </c>
      <c r="M150" s="7">
        <f>IF($A150="","",L150-F150)</f>
        <v/>
      </c>
      <c r="N150" s="7" t="n"/>
      <c r="O150" s="7" t="n"/>
      <c r="P150" s="7" t="n"/>
      <c r="S150" s="11" t="n"/>
      <c r="U150">
        <f>IF($A150="","",IF($Y150=1,Settings!$C$6,Settings!$C$7)*1)</f>
        <v/>
      </c>
      <c r="W150">
        <f>IF($A150="","",IF(COUNTIF($A$2:$A150,$A150)=1,1,0))</f>
        <v/>
      </c>
      <c r="X150">
        <f>IF($W150=1,SUMPRODUCT(--($Z$2:$Z$501&lt;$Z150))+1,"")</f>
        <v/>
      </c>
      <c r="Y150">
        <f>IF($A150="","",IF(OR($V150=TRUE(),$V150="TRUE"),1,0))</f>
        <v/>
      </c>
      <c r="Z150">
        <f>IF($W150=1,IFERROR(IF(VALUE($A150)&lt;100000000,VALUE($A150),1000000000),IFERROR(IF(VALUE(MID($A150,2,20))&lt;100000000,VALUE(MID($A150,2,20)),1000000000),1000000000))+ROW()/100000,"")</f>
        <v/>
      </c>
    </row>
    <row r="151">
      <c r="F151" s="7">
        <f>IF($A151="","",E151*N151/100)</f>
        <v/>
      </c>
      <c r="J151" s="7" t="n"/>
      <c r="K151" s="7">
        <f>IF($A151="","",U151*N151)</f>
        <v/>
      </c>
      <c r="L151" s="7">
        <f>IF($A151="","",N151-K151)</f>
        <v/>
      </c>
      <c r="M151" s="7">
        <f>IF($A151="","",L151-F151)</f>
        <v/>
      </c>
      <c r="N151" s="7" t="n"/>
      <c r="O151" s="7" t="n"/>
      <c r="P151" s="7" t="n"/>
      <c r="S151" s="11" t="n"/>
      <c r="U151">
        <f>IF($A151="","",IF($Y151=1,Settings!$C$6,Settings!$C$7)*1)</f>
        <v/>
      </c>
      <c r="W151">
        <f>IF($A151="","",IF(COUNTIF($A$2:$A151,$A151)=1,1,0))</f>
        <v/>
      </c>
      <c r="X151">
        <f>IF($W151=1,SUMPRODUCT(--($Z$2:$Z$501&lt;$Z151))+1,"")</f>
        <v/>
      </c>
      <c r="Y151">
        <f>IF($A151="","",IF(OR($V151=TRUE(),$V151="TRUE"),1,0))</f>
        <v/>
      </c>
      <c r="Z151">
        <f>IF($W151=1,IFERROR(IF(VALUE($A151)&lt;100000000,VALUE($A151),1000000000),IFERROR(IF(VALUE(MID($A151,2,20))&lt;100000000,VALUE(MID($A151,2,20)),1000000000),1000000000))+ROW()/100000,"")</f>
        <v/>
      </c>
    </row>
    <row r="152">
      <c r="F152" s="7">
        <f>IF($A152="","",E152*N152/100)</f>
        <v/>
      </c>
      <c r="J152" s="7" t="n"/>
      <c r="K152" s="7">
        <f>IF($A152="","",U152*N152)</f>
        <v/>
      </c>
      <c r="L152" s="7">
        <f>IF($A152="","",N152-K152)</f>
        <v/>
      </c>
      <c r="M152" s="7">
        <f>IF($A152="","",L152-F152)</f>
        <v/>
      </c>
      <c r="N152" s="7" t="n"/>
      <c r="O152" s="7" t="n"/>
      <c r="P152" s="7" t="n"/>
      <c r="S152" s="11" t="n"/>
      <c r="U152">
        <f>IF($A152="","",IF($Y152=1,Settings!$C$6,Settings!$C$7)*1)</f>
        <v/>
      </c>
      <c r="W152">
        <f>IF($A152="","",IF(COUNTIF($A$2:$A152,$A152)=1,1,0))</f>
        <v/>
      </c>
      <c r="X152">
        <f>IF($W152=1,SUMPRODUCT(--($Z$2:$Z$501&lt;$Z152))+1,"")</f>
        <v/>
      </c>
      <c r="Y152">
        <f>IF($A152="","",IF(OR($V152=TRUE(),$V152="TRUE"),1,0))</f>
        <v/>
      </c>
      <c r="Z152">
        <f>IF($W152=1,IFERROR(IF(VALUE($A152)&lt;100000000,VALUE($A152),1000000000),IFERROR(IF(VALUE(MID($A152,2,20))&lt;100000000,VALUE(MID($A152,2,20)),1000000000),1000000000))+ROW()/100000,"")</f>
        <v/>
      </c>
    </row>
    <row r="153">
      <c r="F153" s="7">
        <f>IF($A153="","",E153*N153/100)</f>
        <v/>
      </c>
      <c r="J153" s="7" t="n"/>
      <c r="K153" s="7">
        <f>IF($A153="","",U153*N153)</f>
        <v/>
      </c>
      <c r="L153" s="7">
        <f>IF($A153="","",N153-K153)</f>
        <v/>
      </c>
      <c r="M153" s="7">
        <f>IF($A153="","",L153-F153)</f>
        <v/>
      </c>
      <c r="N153" s="7" t="n"/>
      <c r="O153" s="7" t="n"/>
      <c r="P153" s="7" t="n"/>
      <c r="S153" s="11" t="n"/>
      <c r="U153">
        <f>IF($A153="","",IF($Y153=1,Settings!$C$6,Settings!$C$7)*1)</f>
        <v/>
      </c>
      <c r="W153">
        <f>IF($A153="","",IF(COUNTIF($A$2:$A153,$A153)=1,1,0))</f>
        <v/>
      </c>
      <c r="X153">
        <f>IF($W153=1,SUMPRODUCT(--($Z$2:$Z$501&lt;$Z153))+1,"")</f>
        <v/>
      </c>
      <c r="Y153">
        <f>IF($A153="","",IF(OR($V153=TRUE(),$V153="TRUE"),1,0))</f>
        <v/>
      </c>
      <c r="Z153">
        <f>IF($W153=1,IFERROR(IF(VALUE($A153)&lt;100000000,VALUE($A153),1000000000),IFERROR(IF(VALUE(MID($A153,2,20))&lt;100000000,VALUE(MID($A153,2,20)),1000000000),1000000000))+ROW()/100000,"")</f>
        <v/>
      </c>
    </row>
    <row r="154">
      <c r="F154" s="7">
        <f>IF($A154="","",E154*N154/100)</f>
        <v/>
      </c>
      <c r="J154" s="7" t="n"/>
      <c r="K154" s="7">
        <f>IF($A154="","",U154*N154)</f>
        <v/>
      </c>
      <c r="L154" s="7">
        <f>IF($A154="","",N154-K154)</f>
        <v/>
      </c>
      <c r="M154" s="7">
        <f>IF($A154="","",L154-F154)</f>
        <v/>
      </c>
      <c r="N154" s="7" t="n"/>
      <c r="O154" s="7" t="n"/>
      <c r="P154" s="7" t="n"/>
      <c r="S154" s="11" t="n"/>
      <c r="U154">
        <f>IF($A154="","",IF($Y154=1,Settings!$C$6,Settings!$C$7)*1)</f>
        <v/>
      </c>
      <c r="W154">
        <f>IF($A154="","",IF(COUNTIF($A$2:$A154,$A154)=1,1,0))</f>
        <v/>
      </c>
      <c r="X154">
        <f>IF($W154=1,SUMPRODUCT(--($Z$2:$Z$501&lt;$Z154))+1,"")</f>
        <v/>
      </c>
      <c r="Y154">
        <f>IF($A154="","",IF(OR($V154=TRUE(),$V154="TRUE"),1,0))</f>
        <v/>
      </c>
      <c r="Z154">
        <f>IF($W154=1,IFERROR(IF(VALUE($A154)&lt;100000000,VALUE($A154),1000000000),IFERROR(IF(VALUE(MID($A154,2,20))&lt;100000000,VALUE(MID($A154,2,20)),1000000000),1000000000))+ROW()/100000,"")</f>
        <v/>
      </c>
    </row>
    <row r="155">
      <c r="F155" s="7">
        <f>IF($A155="","",E155*N155/100)</f>
        <v/>
      </c>
      <c r="J155" s="7" t="n"/>
      <c r="K155" s="7">
        <f>IF($A155="","",U155*N155)</f>
        <v/>
      </c>
      <c r="L155" s="7">
        <f>IF($A155="","",N155-K155)</f>
        <v/>
      </c>
      <c r="M155" s="7">
        <f>IF($A155="","",L155-F155)</f>
        <v/>
      </c>
      <c r="N155" s="7" t="n"/>
      <c r="O155" s="7" t="n"/>
      <c r="P155" s="7" t="n"/>
      <c r="S155" s="11" t="n"/>
      <c r="U155">
        <f>IF($A155="","",IF($Y155=1,Settings!$C$6,Settings!$C$7)*1)</f>
        <v/>
      </c>
      <c r="W155">
        <f>IF($A155="","",IF(COUNTIF($A$2:$A155,$A155)=1,1,0))</f>
        <v/>
      </c>
      <c r="X155">
        <f>IF($W155=1,SUMPRODUCT(--($Z$2:$Z$501&lt;$Z155))+1,"")</f>
        <v/>
      </c>
      <c r="Y155">
        <f>IF($A155="","",IF(OR($V155=TRUE(),$V155="TRUE"),1,0))</f>
        <v/>
      </c>
      <c r="Z155">
        <f>IF($W155=1,IFERROR(IF(VALUE($A155)&lt;100000000,VALUE($A155),1000000000),IFERROR(IF(VALUE(MID($A155,2,20))&lt;100000000,VALUE(MID($A155,2,20)),1000000000),1000000000))+ROW()/100000,"")</f>
        <v/>
      </c>
    </row>
    <row r="156">
      <c r="F156" s="7">
        <f>IF($A156="","",E156*N156/100)</f>
        <v/>
      </c>
      <c r="J156" s="7" t="n"/>
      <c r="K156" s="7">
        <f>IF($A156="","",U156*N156)</f>
        <v/>
      </c>
      <c r="L156" s="7">
        <f>IF($A156="","",N156-K156)</f>
        <v/>
      </c>
      <c r="M156" s="7">
        <f>IF($A156="","",L156-F156)</f>
        <v/>
      </c>
      <c r="N156" s="7" t="n"/>
      <c r="O156" s="7" t="n"/>
      <c r="P156" s="7" t="n"/>
      <c r="S156" s="11" t="n"/>
      <c r="U156">
        <f>IF($A156="","",IF($Y156=1,Settings!$C$6,Settings!$C$7)*1)</f>
        <v/>
      </c>
      <c r="W156">
        <f>IF($A156="","",IF(COUNTIF($A$2:$A156,$A156)=1,1,0))</f>
        <v/>
      </c>
      <c r="X156">
        <f>IF($W156=1,SUMPRODUCT(--($Z$2:$Z$501&lt;$Z156))+1,"")</f>
        <v/>
      </c>
      <c r="Y156">
        <f>IF($A156="","",IF(OR($V156=TRUE(),$V156="TRUE"),1,0))</f>
        <v/>
      </c>
      <c r="Z156">
        <f>IF($W156=1,IFERROR(IF(VALUE($A156)&lt;100000000,VALUE($A156),1000000000),IFERROR(IF(VALUE(MID($A156,2,20))&lt;100000000,VALUE(MID($A156,2,20)),1000000000),1000000000))+ROW()/100000,"")</f>
        <v/>
      </c>
    </row>
    <row r="157">
      <c r="F157" s="7">
        <f>IF($A157="","",E157*N157/100)</f>
        <v/>
      </c>
      <c r="J157" s="7" t="n"/>
      <c r="K157" s="7">
        <f>IF($A157="","",U157*N157)</f>
        <v/>
      </c>
      <c r="L157" s="7">
        <f>IF($A157="","",N157-K157)</f>
        <v/>
      </c>
      <c r="M157" s="7">
        <f>IF($A157="","",L157-F157)</f>
        <v/>
      </c>
      <c r="N157" s="7" t="n"/>
      <c r="O157" s="7" t="n"/>
      <c r="P157" s="7" t="n"/>
      <c r="S157" s="11" t="n"/>
      <c r="U157">
        <f>IF($A157="","",IF($Y157=1,Settings!$C$6,Settings!$C$7)*1)</f>
        <v/>
      </c>
      <c r="W157">
        <f>IF($A157="","",IF(COUNTIF($A$2:$A157,$A157)=1,1,0))</f>
        <v/>
      </c>
      <c r="X157">
        <f>IF($W157=1,SUMPRODUCT(--($Z$2:$Z$501&lt;$Z157))+1,"")</f>
        <v/>
      </c>
      <c r="Y157">
        <f>IF($A157="","",IF(OR($V157=TRUE(),$V157="TRUE"),1,0))</f>
        <v/>
      </c>
      <c r="Z157">
        <f>IF($W157=1,IFERROR(IF(VALUE($A157)&lt;100000000,VALUE($A157),1000000000),IFERROR(IF(VALUE(MID($A157,2,20))&lt;100000000,VALUE(MID($A157,2,20)),1000000000),1000000000))+ROW()/100000,"")</f>
        <v/>
      </c>
    </row>
    <row r="158">
      <c r="F158" s="7">
        <f>IF($A158="","",E158*N158/100)</f>
        <v/>
      </c>
      <c r="J158" s="7" t="n"/>
      <c r="K158" s="7">
        <f>IF($A158="","",U158*N158)</f>
        <v/>
      </c>
      <c r="L158" s="7">
        <f>IF($A158="","",N158-K158)</f>
        <v/>
      </c>
      <c r="M158" s="7">
        <f>IF($A158="","",L158-F158)</f>
        <v/>
      </c>
      <c r="N158" s="7" t="n"/>
      <c r="O158" s="7" t="n"/>
      <c r="P158" s="7" t="n"/>
      <c r="S158" s="11" t="n"/>
      <c r="U158">
        <f>IF($A158="","",IF($Y158=1,Settings!$C$6,Settings!$C$7)*1)</f>
        <v/>
      </c>
      <c r="W158">
        <f>IF($A158="","",IF(COUNTIF($A$2:$A158,$A158)=1,1,0))</f>
        <v/>
      </c>
      <c r="X158">
        <f>IF($W158=1,SUMPRODUCT(--($Z$2:$Z$501&lt;$Z158))+1,"")</f>
        <v/>
      </c>
      <c r="Y158">
        <f>IF($A158="","",IF(OR($V158=TRUE(),$V158="TRUE"),1,0))</f>
        <v/>
      </c>
      <c r="Z158">
        <f>IF($W158=1,IFERROR(IF(VALUE($A158)&lt;100000000,VALUE($A158),1000000000),IFERROR(IF(VALUE(MID($A158,2,20))&lt;100000000,VALUE(MID($A158,2,20)),1000000000),1000000000))+ROW()/100000,"")</f>
        <v/>
      </c>
    </row>
    <row r="159">
      <c r="F159" s="7">
        <f>IF($A159="","",E159*N159/100)</f>
        <v/>
      </c>
      <c r="J159" s="7" t="n"/>
      <c r="K159" s="7">
        <f>IF($A159="","",U159*N159)</f>
        <v/>
      </c>
      <c r="L159" s="7">
        <f>IF($A159="","",N159-K159)</f>
        <v/>
      </c>
      <c r="M159" s="7">
        <f>IF($A159="","",L159-F159)</f>
        <v/>
      </c>
      <c r="N159" s="7" t="n"/>
      <c r="O159" s="7" t="n"/>
      <c r="P159" s="7" t="n"/>
      <c r="S159" s="11" t="n"/>
      <c r="U159">
        <f>IF($A159="","",IF($Y159=1,Settings!$C$6,Settings!$C$7)*1)</f>
        <v/>
      </c>
      <c r="W159">
        <f>IF($A159="","",IF(COUNTIF($A$2:$A159,$A159)=1,1,0))</f>
        <v/>
      </c>
      <c r="X159">
        <f>IF($W159=1,SUMPRODUCT(--($Z$2:$Z$501&lt;$Z159))+1,"")</f>
        <v/>
      </c>
      <c r="Y159">
        <f>IF($A159="","",IF(OR($V159=TRUE(),$V159="TRUE"),1,0))</f>
        <v/>
      </c>
      <c r="Z159">
        <f>IF($W159=1,IFERROR(IF(VALUE($A159)&lt;100000000,VALUE($A159),1000000000),IFERROR(IF(VALUE(MID($A159,2,20))&lt;100000000,VALUE(MID($A159,2,20)),1000000000),1000000000))+ROW()/100000,"")</f>
        <v/>
      </c>
    </row>
    <row r="160">
      <c r="F160" s="7">
        <f>IF($A160="","",E160*N160/100)</f>
        <v/>
      </c>
      <c r="J160" s="7" t="n"/>
      <c r="K160" s="7">
        <f>IF($A160="","",U160*N160)</f>
        <v/>
      </c>
      <c r="L160" s="7">
        <f>IF($A160="","",N160-K160)</f>
        <v/>
      </c>
      <c r="M160" s="7">
        <f>IF($A160="","",L160-F160)</f>
        <v/>
      </c>
      <c r="N160" s="7" t="n"/>
      <c r="O160" s="7" t="n"/>
      <c r="P160" s="7" t="n"/>
      <c r="S160" s="11" t="n"/>
      <c r="U160">
        <f>IF($A160="","",IF($Y160=1,Settings!$C$6,Settings!$C$7)*1)</f>
        <v/>
      </c>
      <c r="W160">
        <f>IF($A160="","",IF(COUNTIF($A$2:$A160,$A160)=1,1,0))</f>
        <v/>
      </c>
      <c r="X160">
        <f>IF($W160=1,SUMPRODUCT(--($Z$2:$Z$501&lt;$Z160))+1,"")</f>
        <v/>
      </c>
      <c r="Y160">
        <f>IF($A160="","",IF(OR($V160=TRUE(),$V160="TRUE"),1,0))</f>
        <v/>
      </c>
      <c r="Z160">
        <f>IF($W160=1,IFERROR(IF(VALUE($A160)&lt;100000000,VALUE($A160),1000000000),IFERROR(IF(VALUE(MID($A160,2,20))&lt;100000000,VALUE(MID($A160,2,20)),1000000000),1000000000))+ROW()/100000,"")</f>
        <v/>
      </c>
    </row>
    <row r="161">
      <c r="F161" s="7">
        <f>IF($A161="","",E161*N161/100)</f>
        <v/>
      </c>
      <c r="J161" s="7" t="n"/>
      <c r="K161" s="7">
        <f>IF($A161="","",U161*N161)</f>
        <v/>
      </c>
      <c r="L161" s="7">
        <f>IF($A161="","",N161-K161)</f>
        <v/>
      </c>
      <c r="M161" s="7">
        <f>IF($A161="","",L161-F161)</f>
        <v/>
      </c>
      <c r="N161" s="7" t="n"/>
      <c r="O161" s="7" t="n"/>
      <c r="P161" s="7" t="n"/>
      <c r="S161" s="11" t="n"/>
      <c r="U161">
        <f>IF($A161="","",IF($Y161=1,Settings!$C$6,Settings!$C$7)*1)</f>
        <v/>
      </c>
      <c r="W161">
        <f>IF($A161="","",IF(COUNTIF($A$2:$A161,$A161)=1,1,0))</f>
        <v/>
      </c>
      <c r="X161">
        <f>IF($W161=1,SUMPRODUCT(--($Z$2:$Z$501&lt;$Z161))+1,"")</f>
        <v/>
      </c>
      <c r="Y161">
        <f>IF($A161="","",IF(OR($V161=TRUE(),$V161="TRUE"),1,0))</f>
        <v/>
      </c>
      <c r="Z161">
        <f>IF($W161=1,IFERROR(IF(VALUE($A161)&lt;100000000,VALUE($A161),1000000000),IFERROR(IF(VALUE(MID($A161,2,20))&lt;100000000,VALUE(MID($A161,2,20)),1000000000),1000000000))+ROW()/100000,"")</f>
        <v/>
      </c>
    </row>
    <row r="162">
      <c r="F162" s="7">
        <f>IF($A162="","",E162*N162/100)</f>
        <v/>
      </c>
      <c r="J162" s="7" t="n"/>
      <c r="K162" s="7">
        <f>IF($A162="","",U162*N162)</f>
        <v/>
      </c>
      <c r="L162" s="7">
        <f>IF($A162="","",N162-K162)</f>
        <v/>
      </c>
      <c r="M162" s="7">
        <f>IF($A162="","",L162-F162)</f>
        <v/>
      </c>
      <c r="N162" s="7" t="n"/>
      <c r="O162" s="7" t="n"/>
      <c r="P162" s="7" t="n"/>
      <c r="S162" s="11" t="n"/>
      <c r="U162">
        <f>IF($A162="","",IF($Y162=1,Settings!$C$6,Settings!$C$7)*1)</f>
        <v/>
      </c>
      <c r="W162">
        <f>IF($A162="","",IF(COUNTIF($A$2:$A162,$A162)=1,1,0))</f>
        <v/>
      </c>
      <c r="X162">
        <f>IF($W162=1,SUMPRODUCT(--($Z$2:$Z$501&lt;$Z162))+1,"")</f>
        <v/>
      </c>
      <c r="Y162">
        <f>IF($A162="","",IF(OR($V162=TRUE(),$V162="TRUE"),1,0))</f>
        <v/>
      </c>
      <c r="Z162">
        <f>IF($W162=1,IFERROR(IF(VALUE($A162)&lt;100000000,VALUE($A162),1000000000),IFERROR(IF(VALUE(MID($A162,2,20))&lt;100000000,VALUE(MID($A162,2,20)),1000000000),1000000000))+ROW()/100000,"")</f>
        <v/>
      </c>
    </row>
    <row r="163">
      <c r="F163" s="7">
        <f>IF($A163="","",E163*N163/100)</f>
        <v/>
      </c>
      <c r="J163" s="7" t="n"/>
      <c r="K163" s="7">
        <f>IF($A163="","",U163*N163)</f>
        <v/>
      </c>
      <c r="L163" s="7">
        <f>IF($A163="","",N163-K163)</f>
        <v/>
      </c>
      <c r="M163" s="7">
        <f>IF($A163="","",L163-F163)</f>
        <v/>
      </c>
      <c r="N163" s="7" t="n"/>
      <c r="O163" s="7" t="n"/>
      <c r="P163" s="7" t="n"/>
      <c r="S163" s="11" t="n"/>
      <c r="U163">
        <f>IF($A163="","",IF($Y163=1,Settings!$C$6,Settings!$C$7)*1)</f>
        <v/>
      </c>
      <c r="W163">
        <f>IF($A163="","",IF(COUNTIF($A$2:$A163,$A163)=1,1,0))</f>
        <v/>
      </c>
      <c r="X163">
        <f>IF($W163=1,SUMPRODUCT(--($Z$2:$Z$501&lt;$Z163))+1,"")</f>
        <v/>
      </c>
      <c r="Y163">
        <f>IF($A163="","",IF(OR($V163=TRUE(),$V163="TRUE"),1,0))</f>
        <v/>
      </c>
      <c r="Z163">
        <f>IF($W163=1,IFERROR(IF(VALUE($A163)&lt;100000000,VALUE($A163),1000000000),IFERROR(IF(VALUE(MID($A163,2,20))&lt;100000000,VALUE(MID($A163,2,20)),1000000000),1000000000))+ROW()/100000,"")</f>
        <v/>
      </c>
    </row>
    <row r="164">
      <c r="F164" s="7">
        <f>IF($A164="","",E164*N164/100)</f>
        <v/>
      </c>
      <c r="J164" s="7" t="n"/>
      <c r="K164" s="7">
        <f>IF($A164="","",U164*N164)</f>
        <v/>
      </c>
      <c r="L164" s="7">
        <f>IF($A164="","",N164-K164)</f>
        <v/>
      </c>
      <c r="M164" s="7">
        <f>IF($A164="","",L164-F164)</f>
        <v/>
      </c>
      <c r="N164" s="7" t="n"/>
      <c r="O164" s="7" t="n"/>
      <c r="P164" s="7" t="n"/>
      <c r="S164" s="11" t="n"/>
      <c r="U164">
        <f>IF($A164="","",IF($Y164=1,Settings!$C$6,Settings!$C$7)*1)</f>
        <v/>
      </c>
      <c r="W164">
        <f>IF($A164="","",IF(COUNTIF($A$2:$A164,$A164)=1,1,0))</f>
        <v/>
      </c>
      <c r="X164">
        <f>IF($W164=1,SUMPRODUCT(--($Z$2:$Z$501&lt;$Z164))+1,"")</f>
        <v/>
      </c>
      <c r="Y164">
        <f>IF($A164="","",IF(OR($V164=TRUE(),$V164="TRUE"),1,0))</f>
        <v/>
      </c>
      <c r="Z164">
        <f>IF($W164=1,IFERROR(IF(VALUE($A164)&lt;100000000,VALUE($A164),1000000000),IFERROR(IF(VALUE(MID($A164,2,20))&lt;100000000,VALUE(MID($A164,2,20)),1000000000),1000000000))+ROW()/100000,"")</f>
        <v/>
      </c>
    </row>
    <row r="165">
      <c r="F165" s="7">
        <f>IF($A165="","",E165*N165/100)</f>
        <v/>
      </c>
      <c r="J165" s="7" t="n"/>
      <c r="K165" s="7">
        <f>IF($A165="","",U165*N165)</f>
        <v/>
      </c>
      <c r="L165" s="7">
        <f>IF($A165="","",N165-K165)</f>
        <v/>
      </c>
      <c r="M165" s="7">
        <f>IF($A165="","",L165-F165)</f>
        <v/>
      </c>
      <c r="N165" s="7" t="n"/>
      <c r="O165" s="7" t="n"/>
      <c r="P165" s="7" t="n"/>
      <c r="S165" s="11" t="n"/>
      <c r="U165">
        <f>IF($A165="","",IF($Y165=1,Settings!$C$6,Settings!$C$7)*1)</f>
        <v/>
      </c>
      <c r="W165">
        <f>IF($A165="","",IF(COUNTIF($A$2:$A165,$A165)=1,1,0))</f>
        <v/>
      </c>
      <c r="X165">
        <f>IF($W165=1,SUMPRODUCT(--($Z$2:$Z$501&lt;$Z165))+1,"")</f>
        <v/>
      </c>
      <c r="Y165">
        <f>IF($A165="","",IF(OR($V165=TRUE(),$V165="TRUE"),1,0))</f>
        <v/>
      </c>
      <c r="Z165">
        <f>IF($W165=1,IFERROR(IF(VALUE($A165)&lt;100000000,VALUE($A165),1000000000),IFERROR(IF(VALUE(MID($A165,2,20))&lt;100000000,VALUE(MID($A165,2,20)),1000000000),1000000000))+ROW()/100000,"")</f>
        <v/>
      </c>
    </row>
    <row r="166">
      <c r="F166" s="7">
        <f>IF($A166="","",E166*N166/100)</f>
        <v/>
      </c>
      <c r="J166" s="7" t="n"/>
      <c r="K166" s="7">
        <f>IF($A166="","",U166*N166)</f>
        <v/>
      </c>
      <c r="L166" s="7">
        <f>IF($A166="","",N166-K166)</f>
        <v/>
      </c>
      <c r="M166" s="7">
        <f>IF($A166="","",L166-F166)</f>
        <v/>
      </c>
      <c r="N166" s="7" t="n"/>
      <c r="O166" s="7" t="n"/>
      <c r="P166" s="7" t="n"/>
      <c r="S166" s="11" t="n"/>
      <c r="U166">
        <f>IF($A166="","",IF($Y166=1,Settings!$C$6,Settings!$C$7)*1)</f>
        <v/>
      </c>
      <c r="W166">
        <f>IF($A166="","",IF(COUNTIF($A$2:$A166,$A166)=1,1,0))</f>
        <v/>
      </c>
      <c r="X166">
        <f>IF($W166=1,SUMPRODUCT(--($Z$2:$Z$501&lt;$Z166))+1,"")</f>
        <v/>
      </c>
      <c r="Y166">
        <f>IF($A166="","",IF(OR($V166=TRUE(),$V166="TRUE"),1,0))</f>
        <v/>
      </c>
      <c r="Z166">
        <f>IF($W166=1,IFERROR(IF(VALUE($A166)&lt;100000000,VALUE($A166),1000000000),IFERROR(IF(VALUE(MID($A166,2,20))&lt;100000000,VALUE(MID($A166,2,20)),1000000000),1000000000))+ROW()/100000,"")</f>
        <v/>
      </c>
    </row>
    <row r="167">
      <c r="F167" s="7">
        <f>IF($A167="","",E167*N167/100)</f>
        <v/>
      </c>
      <c r="J167" s="7" t="n"/>
      <c r="K167" s="7">
        <f>IF($A167="","",U167*N167)</f>
        <v/>
      </c>
      <c r="L167" s="7">
        <f>IF($A167="","",N167-K167)</f>
        <v/>
      </c>
      <c r="M167" s="7">
        <f>IF($A167="","",L167-F167)</f>
        <v/>
      </c>
      <c r="N167" s="7" t="n"/>
      <c r="O167" s="7" t="n"/>
      <c r="P167" s="7" t="n"/>
      <c r="S167" s="11" t="n"/>
      <c r="U167">
        <f>IF($A167="","",IF($Y167=1,Settings!$C$6,Settings!$C$7)*1)</f>
        <v/>
      </c>
      <c r="W167">
        <f>IF($A167="","",IF(COUNTIF($A$2:$A167,$A167)=1,1,0))</f>
        <v/>
      </c>
      <c r="X167">
        <f>IF($W167=1,SUMPRODUCT(--($Z$2:$Z$501&lt;$Z167))+1,"")</f>
        <v/>
      </c>
      <c r="Y167">
        <f>IF($A167="","",IF(OR($V167=TRUE(),$V167="TRUE"),1,0))</f>
        <v/>
      </c>
      <c r="Z167">
        <f>IF($W167=1,IFERROR(IF(VALUE($A167)&lt;100000000,VALUE($A167),1000000000),IFERROR(IF(VALUE(MID($A167,2,20))&lt;100000000,VALUE(MID($A167,2,20)),1000000000),1000000000))+ROW()/100000,"")</f>
        <v/>
      </c>
    </row>
    <row r="168">
      <c r="F168" s="7">
        <f>IF($A168="","",E168*N168/100)</f>
        <v/>
      </c>
      <c r="J168" s="7" t="n"/>
      <c r="K168" s="7">
        <f>IF($A168="","",U168*N168)</f>
        <v/>
      </c>
      <c r="L168" s="7">
        <f>IF($A168="","",N168-K168)</f>
        <v/>
      </c>
      <c r="M168" s="7">
        <f>IF($A168="","",L168-F168)</f>
        <v/>
      </c>
      <c r="N168" s="7" t="n"/>
      <c r="O168" s="7" t="n"/>
      <c r="P168" s="7" t="n"/>
      <c r="S168" s="11" t="n"/>
      <c r="U168">
        <f>IF($A168="","",IF($Y168=1,Settings!$C$6,Settings!$C$7)*1)</f>
        <v/>
      </c>
      <c r="W168">
        <f>IF($A168="","",IF(COUNTIF($A$2:$A168,$A168)=1,1,0))</f>
        <v/>
      </c>
      <c r="X168">
        <f>IF($W168=1,SUMPRODUCT(--($Z$2:$Z$501&lt;$Z168))+1,"")</f>
        <v/>
      </c>
      <c r="Y168">
        <f>IF($A168="","",IF(OR($V168=TRUE(),$V168="TRUE"),1,0))</f>
        <v/>
      </c>
      <c r="Z168">
        <f>IF($W168=1,IFERROR(IF(VALUE($A168)&lt;100000000,VALUE($A168),1000000000),IFERROR(IF(VALUE(MID($A168,2,20))&lt;100000000,VALUE(MID($A168,2,20)),1000000000),1000000000))+ROW()/100000,"")</f>
        <v/>
      </c>
    </row>
    <row r="169">
      <c r="F169" s="7">
        <f>IF($A169="","",E169*N169/100)</f>
        <v/>
      </c>
      <c r="J169" s="7" t="n"/>
      <c r="K169" s="7">
        <f>IF($A169="","",U169*N169)</f>
        <v/>
      </c>
      <c r="L169" s="7">
        <f>IF($A169="","",N169-K169)</f>
        <v/>
      </c>
      <c r="M169" s="7">
        <f>IF($A169="","",L169-F169)</f>
        <v/>
      </c>
      <c r="N169" s="7" t="n"/>
      <c r="O169" s="7" t="n"/>
      <c r="P169" s="7" t="n"/>
      <c r="S169" s="11" t="n"/>
      <c r="U169">
        <f>IF($A169="","",IF($Y169=1,Settings!$C$6,Settings!$C$7)*1)</f>
        <v/>
      </c>
      <c r="W169">
        <f>IF($A169="","",IF(COUNTIF($A$2:$A169,$A169)=1,1,0))</f>
        <v/>
      </c>
      <c r="X169">
        <f>IF($W169=1,SUMPRODUCT(--($Z$2:$Z$501&lt;$Z169))+1,"")</f>
        <v/>
      </c>
      <c r="Y169">
        <f>IF($A169="","",IF(OR($V169=TRUE(),$V169="TRUE"),1,0))</f>
        <v/>
      </c>
      <c r="Z169">
        <f>IF($W169=1,IFERROR(IF(VALUE($A169)&lt;100000000,VALUE($A169),1000000000),IFERROR(IF(VALUE(MID($A169,2,20))&lt;100000000,VALUE(MID($A169,2,20)),1000000000),1000000000))+ROW()/100000,"")</f>
        <v/>
      </c>
    </row>
    <row r="170">
      <c r="F170" s="7">
        <f>IF($A170="","",E170*N170/100)</f>
        <v/>
      </c>
      <c r="J170" s="7" t="n"/>
      <c r="K170" s="7">
        <f>IF($A170="","",U170*N170)</f>
        <v/>
      </c>
      <c r="L170" s="7">
        <f>IF($A170="","",N170-K170)</f>
        <v/>
      </c>
      <c r="M170" s="7">
        <f>IF($A170="","",L170-F170)</f>
        <v/>
      </c>
      <c r="N170" s="7" t="n"/>
      <c r="O170" s="7" t="n"/>
      <c r="P170" s="7" t="n"/>
      <c r="S170" s="11" t="n"/>
      <c r="U170">
        <f>IF($A170="","",IF($Y170=1,Settings!$C$6,Settings!$C$7)*1)</f>
        <v/>
      </c>
      <c r="W170">
        <f>IF($A170="","",IF(COUNTIF($A$2:$A170,$A170)=1,1,0))</f>
        <v/>
      </c>
      <c r="X170">
        <f>IF($W170=1,SUMPRODUCT(--($Z$2:$Z$501&lt;$Z170))+1,"")</f>
        <v/>
      </c>
      <c r="Y170">
        <f>IF($A170="","",IF(OR($V170=TRUE(),$V170="TRUE"),1,0))</f>
        <v/>
      </c>
      <c r="Z170">
        <f>IF($W170=1,IFERROR(IF(VALUE($A170)&lt;100000000,VALUE($A170),1000000000),IFERROR(IF(VALUE(MID($A170,2,20))&lt;100000000,VALUE(MID($A170,2,20)),1000000000),1000000000))+ROW()/100000,"")</f>
        <v/>
      </c>
    </row>
    <row r="171">
      <c r="F171" s="7">
        <f>IF($A171="","",E171*N171/100)</f>
        <v/>
      </c>
      <c r="J171" s="7" t="n"/>
      <c r="K171" s="7">
        <f>IF($A171="","",U171*N171)</f>
        <v/>
      </c>
      <c r="L171" s="7">
        <f>IF($A171="","",N171-K171)</f>
        <v/>
      </c>
      <c r="M171" s="7">
        <f>IF($A171="","",L171-F171)</f>
        <v/>
      </c>
      <c r="N171" s="7" t="n"/>
      <c r="O171" s="7" t="n"/>
      <c r="P171" s="7" t="n"/>
      <c r="S171" s="11" t="n"/>
      <c r="U171">
        <f>IF($A171="","",IF($Y171=1,Settings!$C$6,Settings!$C$7)*1)</f>
        <v/>
      </c>
      <c r="W171">
        <f>IF($A171="","",IF(COUNTIF($A$2:$A171,$A171)=1,1,0))</f>
        <v/>
      </c>
      <c r="X171">
        <f>IF($W171=1,SUMPRODUCT(--($Z$2:$Z$501&lt;$Z171))+1,"")</f>
        <v/>
      </c>
      <c r="Y171">
        <f>IF($A171="","",IF(OR($V171=TRUE(),$V171="TRUE"),1,0))</f>
        <v/>
      </c>
      <c r="Z171">
        <f>IF($W171=1,IFERROR(IF(VALUE($A171)&lt;100000000,VALUE($A171),1000000000),IFERROR(IF(VALUE(MID($A171,2,20))&lt;100000000,VALUE(MID($A171,2,20)),1000000000),1000000000))+ROW()/100000,"")</f>
        <v/>
      </c>
    </row>
    <row r="172">
      <c r="F172" s="7">
        <f>IF($A172="","",E172*N172/100)</f>
        <v/>
      </c>
      <c r="J172" s="7" t="n"/>
      <c r="K172" s="7">
        <f>IF($A172="","",U172*N172)</f>
        <v/>
      </c>
      <c r="L172" s="7">
        <f>IF($A172="","",N172-K172)</f>
        <v/>
      </c>
      <c r="M172" s="7">
        <f>IF($A172="","",L172-F172)</f>
        <v/>
      </c>
      <c r="N172" s="7" t="n"/>
      <c r="O172" s="7" t="n"/>
      <c r="P172" s="7" t="n"/>
      <c r="S172" s="11" t="n"/>
      <c r="U172">
        <f>IF($A172="","",IF($Y172=1,Settings!$C$6,Settings!$C$7)*1)</f>
        <v/>
      </c>
      <c r="W172">
        <f>IF($A172="","",IF(COUNTIF($A$2:$A172,$A172)=1,1,0))</f>
        <v/>
      </c>
      <c r="X172">
        <f>IF($W172=1,SUMPRODUCT(--($Z$2:$Z$501&lt;$Z172))+1,"")</f>
        <v/>
      </c>
      <c r="Y172">
        <f>IF($A172="","",IF(OR($V172=TRUE(),$V172="TRUE"),1,0))</f>
        <v/>
      </c>
      <c r="Z172">
        <f>IF($W172=1,IFERROR(IF(VALUE($A172)&lt;100000000,VALUE($A172),1000000000),IFERROR(IF(VALUE(MID($A172,2,20))&lt;100000000,VALUE(MID($A172,2,20)),1000000000),1000000000))+ROW()/100000,"")</f>
        <v/>
      </c>
    </row>
    <row r="173">
      <c r="F173" s="7">
        <f>IF($A173="","",E173*N173/100)</f>
        <v/>
      </c>
      <c r="J173" s="7" t="n"/>
      <c r="K173" s="7">
        <f>IF($A173="","",U173*N173)</f>
        <v/>
      </c>
      <c r="L173" s="7">
        <f>IF($A173="","",N173-K173)</f>
        <v/>
      </c>
      <c r="M173" s="7">
        <f>IF($A173="","",L173-F173)</f>
        <v/>
      </c>
      <c r="N173" s="7" t="n"/>
      <c r="O173" s="7" t="n"/>
      <c r="P173" s="7" t="n"/>
      <c r="S173" s="11" t="n"/>
      <c r="U173">
        <f>IF($A173="","",IF($Y173=1,Settings!$C$6,Settings!$C$7)*1)</f>
        <v/>
      </c>
      <c r="W173">
        <f>IF($A173="","",IF(COUNTIF($A$2:$A173,$A173)=1,1,0))</f>
        <v/>
      </c>
      <c r="X173">
        <f>IF($W173=1,SUMPRODUCT(--($Z$2:$Z$501&lt;$Z173))+1,"")</f>
        <v/>
      </c>
      <c r="Y173">
        <f>IF($A173="","",IF(OR($V173=TRUE(),$V173="TRUE"),1,0))</f>
        <v/>
      </c>
      <c r="Z173">
        <f>IF($W173=1,IFERROR(IF(VALUE($A173)&lt;100000000,VALUE($A173),1000000000),IFERROR(IF(VALUE(MID($A173,2,20))&lt;100000000,VALUE(MID($A173,2,20)),1000000000),1000000000))+ROW()/100000,"")</f>
        <v/>
      </c>
    </row>
    <row r="174">
      <c r="F174" s="7">
        <f>IF($A174="","",E174*N174/100)</f>
        <v/>
      </c>
      <c r="J174" s="7" t="n"/>
      <c r="K174" s="7">
        <f>IF($A174="","",U174*N174)</f>
        <v/>
      </c>
      <c r="L174" s="7">
        <f>IF($A174="","",N174-K174)</f>
        <v/>
      </c>
      <c r="M174" s="7">
        <f>IF($A174="","",L174-F174)</f>
        <v/>
      </c>
      <c r="N174" s="7" t="n"/>
      <c r="O174" s="7" t="n"/>
      <c r="P174" s="7" t="n"/>
      <c r="S174" s="11" t="n"/>
      <c r="U174">
        <f>IF($A174="","",IF($Y174=1,Settings!$C$6,Settings!$C$7)*1)</f>
        <v/>
      </c>
      <c r="W174">
        <f>IF($A174="","",IF(COUNTIF($A$2:$A174,$A174)=1,1,0))</f>
        <v/>
      </c>
      <c r="X174">
        <f>IF($W174=1,SUMPRODUCT(--($Z$2:$Z$501&lt;$Z174))+1,"")</f>
        <v/>
      </c>
      <c r="Y174">
        <f>IF($A174="","",IF(OR($V174=TRUE(),$V174="TRUE"),1,0))</f>
        <v/>
      </c>
      <c r="Z174">
        <f>IF($W174=1,IFERROR(IF(VALUE($A174)&lt;100000000,VALUE($A174),1000000000),IFERROR(IF(VALUE(MID($A174,2,20))&lt;100000000,VALUE(MID($A174,2,20)),1000000000),1000000000))+ROW()/100000,"")</f>
        <v/>
      </c>
    </row>
    <row r="175">
      <c r="F175" s="7">
        <f>IF($A175="","",E175*N175/100)</f>
        <v/>
      </c>
      <c r="J175" s="7" t="n"/>
      <c r="K175" s="7">
        <f>IF($A175="","",U175*N175)</f>
        <v/>
      </c>
      <c r="L175" s="7">
        <f>IF($A175="","",N175-K175)</f>
        <v/>
      </c>
      <c r="M175" s="7">
        <f>IF($A175="","",L175-F175)</f>
        <v/>
      </c>
      <c r="N175" s="7" t="n"/>
      <c r="O175" s="7" t="n"/>
      <c r="P175" s="7" t="n"/>
      <c r="S175" s="11" t="n"/>
      <c r="U175">
        <f>IF($A175="","",IF($Y175=1,Settings!$C$6,Settings!$C$7)*1)</f>
        <v/>
      </c>
      <c r="W175">
        <f>IF($A175="","",IF(COUNTIF($A$2:$A175,$A175)=1,1,0))</f>
        <v/>
      </c>
      <c r="X175">
        <f>IF($W175=1,SUMPRODUCT(--($Z$2:$Z$501&lt;$Z175))+1,"")</f>
        <v/>
      </c>
      <c r="Y175">
        <f>IF($A175="","",IF(OR($V175=TRUE(),$V175="TRUE"),1,0))</f>
        <v/>
      </c>
      <c r="Z175">
        <f>IF($W175=1,IFERROR(IF(VALUE($A175)&lt;100000000,VALUE($A175),1000000000),IFERROR(IF(VALUE(MID($A175,2,20))&lt;100000000,VALUE(MID($A175,2,20)),1000000000),1000000000))+ROW()/100000,"")</f>
        <v/>
      </c>
    </row>
    <row r="176">
      <c r="F176" s="7">
        <f>IF($A176="","",E176*N176/100)</f>
        <v/>
      </c>
      <c r="J176" s="7" t="n"/>
      <c r="K176" s="7">
        <f>IF($A176="","",U176*N176)</f>
        <v/>
      </c>
      <c r="L176" s="7">
        <f>IF($A176="","",N176-K176)</f>
        <v/>
      </c>
      <c r="M176" s="7">
        <f>IF($A176="","",L176-F176)</f>
        <v/>
      </c>
      <c r="N176" s="7" t="n"/>
      <c r="O176" s="7" t="n"/>
      <c r="P176" s="7" t="n"/>
      <c r="S176" s="11" t="n"/>
      <c r="U176">
        <f>IF($A176="","",IF($Y176=1,Settings!$C$6,Settings!$C$7)*1)</f>
        <v/>
      </c>
      <c r="W176">
        <f>IF($A176="","",IF(COUNTIF($A$2:$A176,$A176)=1,1,0))</f>
        <v/>
      </c>
      <c r="X176">
        <f>IF($W176=1,SUMPRODUCT(--($Z$2:$Z$501&lt;$Z176))+1,"")</f>
        <v/>
      </c>
      <c r="Y176">
        <f>IF($A176="","",IF(OR($V176=TRUE(),$V176="TRUE"),1,0))</f>
        <v/>
      </c>
      <c r="Z176">
        <f>IF($W176=1,IFERROR(IF(VALUE($A176)&lt;100000000,VALUE($A176),1000000000),IFERROR(IF(VALUE(MID($A176,2,20))&lt;100000000,VALUE(MID($A176,2,20)),1000000000),1000000000))+ROW()/100000,"")</f>
        <v/>
      </c>
    </row>
    <row r="177">
      <c r="F177" s="7">
        <f>IF($A177="","",E177*N177/100)</f>
        <v/>
      </c>
      <c r="J177" s="7" t="n"/>
      <c r="K177" s="7">
        <f>IF($A177="","",U177*N177)</f>
        <v/>
      </c>
      <c r="L177" s="7">
        <f>IF($A177="","",N177-K177)</f>
        <v/>
      </c>
      <c r="M177" s="7">
        <f>IF($A177="","",L177-F177)</f>
        <v/>
      </c>
      <c r="N177" s="7" t="n"/>
      <c r="O177" s="7" t="n"/>
      <c r="P177" s="7" t="n"/>
      <c r="S177" s="11" t="n"/>
      <c r="U177">
        <f>IF($A177="","",IF($Y177=1,Settings!$C$6,Settings!$C$7)*1)</f>
        <v/>
      </c>
      <c r="W177">
        <f>IF($A177="","",IF(COUNTIF($A$2:$A177,$A177)=1,1,0))</f>
        <v/>
      </c>
      <c r="X177">
        <f>IF($W177=1,SUMPRODUCT(--($Z$2:$Z$501&lt;$Z177))+1,"")</f>
        <v/>
      </c>
      <c r="Y177">
        <f>IF($A177="","",IF(OR($V177=TRUE(),$V177="TRUE"),1,0))</f>
        <v/>
      </c>
      <c r="Z177">
        <f>IF($W177=1,IFERROR(IF(VALUE($A177)&lt;100000000,VALUE($A177),1000000000),IFERROR(IF(VALUE(MID($A177,2,20))&lt;100000000,VALUE(MID($A177,2,20)),1000000000),1000000000))+ROW()/100000,"")</f>
        <v/>
      </c>
    </row>
    <row r="178">
      <c r="F178" s="7">
        <f>IF($A178="","",E178*N178/100)</f>
        <v/>
      </c>
      <c r="J178" s="7" t="n"/>
      <c r="K178" s="7">
        <f>IF($A178="","",U178*N178)</f>
        <v/>
      </c>
      <c r="L178" s="7">
        <f>IF($A178="","",N178-K178)</f>
        <v/>
      </c>
      <c r="M178" s="7">
        <f>IF($A178="","",L178-F178)</f>
        <v/>
      </c>
      <c r="N178" s="7" t="n"/>
      <c r="O178" s="7" t="n"/>
      <c r="P178" s="7" t="n"/>
      <c r="S178" s="11" t="n"/>
      <c r="U178">
        <f>IF($A178="","",IF($Y178=1,Settings!$C$6,Settings!$C$7)*1)</f>
        <v/>
      </c>
      <c r="W178">
        <f>IF($A178="","",IF(COUNTIF($A$2:$A178,$A178)=1,1,0))</f>
        <v/>
      </c>
      <c r="X178">
        <f>IF($W178=1,SUMPRODUCT(--($Z$2:$Z$501&lt;$Z178))+1,"")</f>
        <v/>
      </c>
      <c r="Y178">
        <f>IF($A178="","",IF(OR($V178=TRUE(),$V178="TRUE"),1,0))</f>
        <v/>
      </c>
      <c r="Z178">
        <f>IF($W178=1,IFERROR(IF(VALUE($A178)&lt;100000000,VALUE($A178),1000000000),IFERROR(IF(VALUE(MID($A178,2,20))&lt;100000000,VALUE(MID($A178,2,20)),1000000000),1000000000))+ROW()/100000,"")</f>
        <v/>
      </c>
    </row>
    <row r="179">
      <c r="F179" s="7">
        <f>IF($A179="","",E179*N179/100)</f>
        <v/>
      </c>
      <c r="J179" s="7" t="n"/>
      <c r="K179" s="7">
        <f>IF($A179="","",U179*N179)</f>
        <v/>
      </c>
      <c r="L179" s="7">
        <f>IF($A179="","",N179-K179)</f>
        <v/>
      </c>
      <c r="M179" s="7">
        <f>IF($A179="","",L179-F179)</f>
        <v/>
      </c>
      <c r="N179" s="7" t="n"/>
      <c r="O179" s="7" t="n"/>
      <c r="P179" s="7" t="n"/>
      <c r="S179" s="11" t="n"/>
      <c r="U179">
        <f>IF($A179="","",IF($Y179=1,Settings!$C$6,Settings!$C$7)*1)</f>
        <v/>
      </c>
      <c r="W179">
        <f>IF($A179="","",IF(COUNTIF($A$2:$A179,$A179)=1,1,0))</f>
        <v/>
      </c>
      <c r="X179">
        <f>IF($W179=1,SUMPRODUCT(--($Z$2:$Z$501&lt;$Z179))+1,"")</f>
        <v/>
      </c>
      <c r="Y179">
        <f>IF($A179="","",IF(OR($V179=TRUE(),$V179="TRUE"),1,0))</f>
        <v/>
      </c>
      <c r="Z179">
        <f>IF($W179=1,IFERROR(IF(VALUE($A179)&lt;100000000,VALUE($A179),1000000000),IFERROR(IF(VALUE(MID($A179,2,20))&lt;100000000,VALUE(MID($A179,2,20)),1000000000),1000000000))+ROW()/100000,"")</f>
        <v/>
      </c>
    </row>
    <row r="180">
      <c r="F180" s="7">
        <f>IF($A180="","",E180*N180/100)</f>
        <v/>
      </c>
      <c r="J180" s="7" t="n"/>
      <c r="K180" s="7">
        <f>IF($A180="","",U180*N180)</f>
        <v/>
      </c>
      <c r="L180" s="7">
        <f>IF($A180="","",N180-K180)</f>
        <v/>
      </c>
      <c r="M180" s="7">
        <f>IF($A180="","",L180-F180)</f>
        <v/>
      </c>
      <c r="N180" s="7" t="n"/>
      <c r="O180" s="7" t="n"/>
      <c r="P180" s="7" t="n"/>
      <c r="S180" s="11" t="n"/>
      <c r="U180">
        <f>IF($A180="","",IF($Y180=1,Settings!$C$6,Settings!$C$7)*1)</f>
        <v/>
      </c>
      <c r="W180">
        <f>IF($A180="","",IF(COUNTIF($A$2:$A180,$A180)=1,1,0))</f>
        <v/>
      </c>
      <c r="X180">
        <f>IF($W180=1,SUMPRODUCT(--($Z$2:$Z$501&lt;$Z180))+1,"")</f>
        <v/>
      </c>
      <c r="Y180">
        <f>IF($A180="","",IF(OR($V180=TRUE(),$V180="TRUE"),1,0))</f>
        <v/>
      </c>
      <c r="Z180">
        <f>IF($W180=1,IFERROR(IF(VALUE($A180)&lt;100000000,VALUE($A180),1000000000),IFERROR(IF(VALUE(MID($A180,2,20))&lt;100000000,VALUE(MID($A180,2,20)),1000000000),1000000000))+ROW()/100000,"")</f>
        <v/>
      </c>
    </row>
    <row r="181">
      <c r="F181" s="7">
        <f>IF($A181="","",E181*N181/100)</f>
        <v/>
      </c>
      <c r="J181" s="7" t="n"/>
      <c r="K181" s="7">
        <f>IF($A181="","",U181*N181)</f>
        <v/>
      </c>
      <c r="L181" s="7">
        <f>IF($A181="","",N181-K181)</f>
        <v/>
      </c>
      <c r="M181" s="7">
        <f>IF($A181="","",L181-F181)</f>
        <v/>
      </c>
      <c r="N181" s="7" t="n"/>
      <c r="O181" s="7" t="n"/>
      <c r="P181" s="7" t="n"/>
      <c r="S181" s="11" t="n"/>
      <c r="U181">
        <f>IF($A181="","",IF($Y181=1,Settings!$C$6,Settings!$C$7)*1)</f>
        <v/>
      </c>
      <c r="W181">
        <f>IF($A181="","",IF(COUNTIF($A$2:$A181,$A181)=1,1,0))</f>
        <v/>
      </c>
      <c r="X181">
        <f>IF($W181=1,SUMPRODUCT(--($Z$2:$Z$501&lt;$Z181))+1,"")</f>
        <v/>
      </c>
      <c r="Y181">
        <f>IF($A181="","",IF(OR($V181=TRUE(),$V181="TRUE"),1,0))</f>
        <v/>
      </c>
      <c r="Z181">
        <f>IF($W181=1,IFERROR(IF(VALUE($A181)&lt;100000000,VALUE($A181),1000000000),IFERROR(IF(VALUE(MID($A181,2,20))&lt;100000000,VALUE(MID($A181,2,20)),1000000000),1000000000))+ROW()/100000,"")</f>
        <v/>
      </c>
    </row>
    <row r="182">
      <c r="F182" s="7">
        <f>IF($A182="","",E182*N182/100)</f>
        <v/>
      </c>
      <c r="J182" s="7" t="n"/>
      <c r="K182" s="7">
        <f>IF($A182="","",U182*N182)</f>
        <v/>
      </c>
      <c r="L182" s="7">
        <f>IF($A182="","",N182-K182)</f>
        <v/>
      </c>
      <c r="M182" s="7">
        <f>IF($A182="","",L182-F182)</f>
        <v/>
      </c>
      <c r="N182" s="7" t="n"/>
      <c r="O182" s="7" t="n"/>
      <c r="P182" s="7" t="n"/>
      <c r="S182" s="11" t="n"/>
      <c r="U182">
        <f>IF($A182="","",IF($Y182=1,Settings!$C$6,Settings!$C$7)*1)</f>
        <v/>
      </c>
      <c r="W182">
        <f>IF($A182="","",IF(COUNTIF($A$2:$A182,$A182)=1,1,0))</f>
        <v/>
      </c>
      <c r="X182">
        <f>IF($W182=1,SUMPRODUCT(--($Z$2:$Z$501&lt;$Z182))+1,"")</f>
        <v/>
      </c>
      <c r="Y182">
        <f>IF($A182="","",IF(OR($V182=TRUE(),$V182="TRUE"),1,0))</f>
        <v/>
      </c>
      <c r="Z182">
        <f>IF($W182=1,IFERROR(IF(VALUE($A182)&lt;100000000,VALUE($A182),1000000000),IFERROR(IF(VALUE(MID($A182,2,20))&lt;100000000,VALUE(MID($A182,2,20)),1000000000),1000000000))+ROW()/100000,"")</f>
        <v/>
      </c>
    </row>
    <row r="183">
      <c r="F183" s="7">
        <f>IF($A183="","",E183*N183/100)</f>
        <v/>
      </c>
      <c r="J183" s="7" t="n"/>
      <c r="K183" s="7">
        <f>IF($A183="","",U183*N183)</f>
        <v/>
      </c>
      <c r="L183" s="7">
        <f>IF($A183="","",N183-K183)</f>
        <v/>
      </c>
      <c r="M183" s="7">
        <f>IF($A183="","",L183-F183)</f>
        <v/>
      </c>
      <c r="N183" s="7" t="n"/>
      <c r="O183" s="7" t="n"/>
      <c r="P183" s="7" t="n"/>
      <c r="S183" s="11" t="n"/>
      <c r="U183">
        <f>IF($A183="","",IF($Y183=1,Settings!$C$6,Settings!$C$7)*1)</f>
        <v/>
      </c>
      <c r="W183">
        <f>IF($A183="","",IF(COUNTIF($A$2:$A183,$A183)=1,1,0))</f>
        <v/>
      </c>
      <c r="X183">
        <f>IF($W183=1,SUMPRODUCT(--($Z$2:$Z$501&lt;$Z183))+1,"")</f>
        <v/>
      </c>
      <c r="Y183">
        <f>IF($A183="","",IF(OR($V183=TRUE(),$V183="TRUE"),1,0))</f>
        <v/>
      </c>
      <c r="Z183">
        <f>IF($W183=1,IFERROR(IF(VALUE($A183)&lt;100000000,VALUE($A183),1000000000),IFERROR(IF(VALUE(MID($A183,2,20))&lt;100000000,VALUE(MID($A183,2,20)),1000000000),1000000000))+ROW()/100000,"")</f>
        <v/>
      </c>
    </row>
    <row r="184">
      <c r="F184" s="7">
        <f>IF($A184="","",E184*N184/100)</f>
        <v/>
      </c>
      <c r="J184" s="7" t="n"/>
      <c r="K184" s="7">
        <f>IF($A184="","",U184*N184)</f>
        <v/>
      </c>
      <c r="L184" s="7">
        <f>IF($A184="","",N184-K184)</f>
        <v/>
      </c>
      <c r="M184" s="7">
        <f>IF($A184="","",L184-F184)</f>
        <v/>
      </c>
      <c r="N184" s="7" t="n"/>
      <c r="O184" s="7" t="n"/>
      <c r="P184" s="7" t="n"/>
      <c r="S184" s="11" t="n"/>
      <c r="U184">
        <f>IF($A184="","",IF($Y184=1,Settings!$C$6,Settings!$C$7)*1)</f>
        <v/>
      </c>
      <c r="W184">
        <f>IF($A184="","",IF(COUNTIF($A$2:$A184,$A184)=1,1,0))</f>
        <v/>
      </c>
      <c r="X184">
        <f>IF($W184=1,SUMPRODUCT(--($Z$2:$Z$501&lt;$Z184))+1,"")</f>
        <v/>
      </c>
      <c r="Y184">
        <f>IF($A184="","",IF(OR($V184=TRUE(),$V184="TRUE"),1,0))</f>
        <v/>
      </c>
      <c r="Z184">
        <f>IF($W184=1,IFERROR(IF(VALUE($A184)&lt;100000000,VALUE($A184),1000000000),IFERROR(IF(VALUE(MID($A184,2,20))&lt;100000000,VALUE(MID($A184,2,20)),1000000000),1000000000))+ROW()/100000,"")</f>
        <v/>
      </c>
    </row>
    <row r="185">
      <c r="F185" s="7">
        <f>IF($A185="","",E185*N185/100)</f>
        <v/>
      </c>
      <c r="J185" s="7" t="n"/>
      <c r="K185" s="7">
        <f>IF($A185="","",U185*N185)</f>
        <v/>
      </c>
      <c r="L185" s="7">
        <f>IF($A185="","",N185-K185)</f>
        <v/>
      </c>
      <c r="M185" s="7">
        <f>IF($A185="","",L185-F185)</f>
        <v/>
      </c>
      <c r="N185" s="7" t="n"/>
      <c r="O185" s="7" t="n"/>
      <c r="P185" s="7" t="n"/>
      <c r="S185" s="11" t="n"/>
      <c r="U185">
        <f>IF($A185="","",IF($Y185=1,Settings!$C$6,Settings!$C$7)*1)</f>
        <v/>
      </c>
      <c r="W185">
        <f>IF($A185="","",IF(COUNTIF($A$2:$A185,$A185)=1,1,0))</f>
        <v/>
      </c>
      <c r="X185">
        <f>IF($W185=1,SUMPRODUCT(--($Z$2:$Z$501&lt;$Z185))+1,"")</f>
        <v/>
      </c>
      <c r="Y185">
        <f>IF($A185="","",IF(OR($V185=TRUE(),$V185="TRUE"),1,0))</f>
        <v/>
      </c>
      <c r="Z185">
        <f>IF($W185=1,IFERROR(IF(VALUE($A185)&lt;100000000,VALUE($A185),1000000000),IFERROR(IF(VALUE(MID($A185,2,20))&lt;100000000,VALUE(MID($A185,2,20)),1000000000),1000000000))+ROW()/100000,"")</f>
        <v/>
      </c>
    </row>
    <row r="186">
      <c r="F186" s="7">
        <f>IF($A186="","",E186*N186/100)</f>
        <v/>
      </c>
      <c r="J186" s="7" t="n"/>
      <c r="K186" s="7">
        <f>IF($A186="","",U186*N186)</f>
        <v/>
      </c>
      <c r="L186" s="7">
        <f>IF($A186="","",N186-K186)</f>
        <v/>
      </c>
      <c r="M186" s="7">
        <f>IF($A186="","",L186-F186)</f>
        <v/>
      </c>
      <c r="N186" s="7" t="n"/>
      <c r="O186" s="7" t="n"/>
      <c r="P186" s="7" t="n"/>
      <c r="S186" s="11" t="n"/>
      <c r="U186">
        <f>IF($A186="","",IF($Y186=1,Settings!$C$6,Settings!$C$7)*1)</f>
        <v/>
      </c>
      <c r="W186">
        <f>IF($A186="","",IF(COUNTIF($A$2:$A186,$A186)=1,1,0))</f>
        <v/>
      </c>
      <c r="X186">
        <f>IF($W186=1,SUMPRODUCT(--($Z$2:$Z$501&lt;$Z186))+1,"")</f>
        <v/>
      </c>
      <c r="Y186">
        <f>IF($A186="","",IF(OR($V186=TRUE(),$V186="TRUE"),1,0))</f>
        <v/>
      </c>
      <c r="Z186">
        <f>IF($W186=1,IFERROR(IF(VALUE($A186)&lt;100000000,VALUE($A186),1000000000),IFERROR(IF(VALUE(MID($A186,2,20))&lt;100000000,VALUE(MID($A186,2,20)),1000000000),1000000000))+ROW()/100000,"")</f>
        <v/>
      </c>
    </row>
    <row r="187">
      <c r="F187" s="7">
        <f>IF($A187="","",E187*N187/100)</f>
        <v/>
      </c>
      <c r="J187" s="7" t="n"/>
      <c r="K187" s="7">
        <f>IF($A187="","",U187*N187)</f>
        <v/>
      </c>
      <c r="L187" s="7">
        <f>IF($A187="","",N187-K187)</f>
        <v/>
      </c>
      <c r="M187" s="7">
        <f>IF($A187="","",L187-F187)</f>
        <v/>
      </c>
      <c r="N187" s="7" t="n"/>
      <c r="O187" s="7" t="n"/>
      <c r="P187" s="7" t="n"/>
      <c r="S187" s="11" t="n"/>
      <c r="U187">
        <f>IF($A187="","",IF($Y187=1,Settings!$C$6,Settings!$C$7)*1)</f>
        <v/>
      </c>
      <c r="W187">
        <f>IF($A187="","",IF(COUNTIF($A$2:$A187,$A187)=1,1,0))</f>
        <v/>
      </c>
      <c r="X187">
        <f>IF($W187=1,SUMPRODUCT(--($Z$2:$Z$501&lt;$Z187))+1,"")</f>
        <v/>
      </c>
      <c r="Y187">
        <f>IF($A187="","",IF(OR($V187=TRUE(),$V187="TRUE"),1,0))</f>
        <v/>
      </c>
      <c r="Z187">
        <f>IF($W187=1,IFERROR(IF(VALUE($A187)&lt;100000000,VALUE($A187),1000000000),IFERROR(IF(VALUE(MID($A187,2,20))&lt;100000000,VALUE(MID($A187,2,20)),1000000000),1000000000))+ROW()/100000,"")</f>
        <v/>
      </c>
    </row>
    <row r="188">
      <c r="F188" s="7">
        <f>IF($A188="","",E188*N188/100)</f>
        <v/>
      </c>
      <c r="J188" s="7" t="n"/>
      <c r="K188" s="7">
        <f>IF($A188="","",U188*N188)</f>
        <v/>
      </c>
      <c r="L188" s="7">
        <f>IF($A188="","",N188-K188)</f>
        <v/>
      </c>
      <c r="M188" s="7">
        <f>IF($A188="","",L188-F188)</f>
        <v/>
      </c>
      <c r="N188" s="7" t="n"/>
      <c r="O188" s="7" t="n"/>
      <c r="P188" s="7" t="n"/>
      <c r="S188" s="11" t="n"/>
      <c r="U188">
        <f>IF($A188="","",IF($Y188=1,Settings!$C$6,Settings!$C$7)*1)</f>
        <v/>
      </c>
      <c r="W188">
        <f>IF($A188="","",IF(COUNTIF($A$2:$A188,$A188)=1,1,0))</f>
        <v/>
      </c>
      <c r="X188">
        <f>IF($W188=1,SUMPRODUCT(--($Z$2:$Z$501&lt;$Z188))+1,"")</f>
        <v/>
      </c>
      <c r="Y188">
        <f>IF($A188="","",IF(OR($V188=TRUE(),$V188="TRUE"),1,0))</f>
        <v/>
      </c>
      <c r="Z188">
        <f>IF($W188=1,IFERROR(IF(VALUE($A188)&lt;100000000,VALUE($A188),1000000000),IFERROR(IF(VALUE(MID($A188,2,20))&lt;100000000,VALUE(MID($A188,2,20)),1000000000),1000000000))+ROW()/100000,"")</f>
        <v/>
      </c>
    </row>
    <row r="189">
      <c r="F189" s="7">
        <f>IF($A189="","",E189*N189/100)</f>
        <v/>
      </c>
      <c r="J189" s="7" t="n"/>
      <c r="K189" s="7">
        <f>IF($A189="","",U189*N189)</f>
        <v/>
      </c>
      <c r="L189" s="7">
        <f>IF($A189="","",N189-K189)</f>
        <v/>
      </c>
      <c r="M189" s="7">
        <f>IF($A189="","",L189-F189)</f>
        <v/>
      </c>
      <c r="N189" s="7" t="n"/>
      <c r="O189" s="7" t="n"/>
      <c r="P189" s="7" t="n"/>
      <c r="S189" s="11" t="n"/>
      <c r="U189">
        <f>IF($A189="","",IF($Y189=1,Settings!$C$6,Settings!$C$7)*1)</f>
        <v/>
      </c>
      <c r="W189">
        <f>IF($A189="","",IF(COUNTIF($A$2:$A189,$A189)=1,1,0))</f>
        <v/>
      </c>
      <c r="X189">
        <f>IF($W189=1,SUMPRODUCT(--($Z$2:$Z$501&lt;$Z189))+1,"")</f>
        <v/>
      </c>
      <c r="Y189">
        <f>IF($A189="","",IF(OR($V189=TRUE(),$V189="TRUE"),1,0))</f>
        <v/>
      </c>
      <c r="Z189">
        <f>IF($W189=1,IFERROR(IF(VALUE($A189)&lt;100000000,VALUE($A189),1000000000),IFERROR(IF(VALUE(MID($A189,2,20))&lt;100000000,VALUE(MID($A189,2,20)),1000000000),1000000000))+ROW()/100000,"")</f>
        <v/>
      </c>
    </row>
    <row r="190">
      <c r="F190" s="7">
        <f>IF($A190="","",E190*N190/100)</f>
        <v/>
      </c>
      <c r="J190" s="7" t="n"/>
      <c r="K190" s="7">
        <f>IF($A190="","",U190*N190)</f>
        <v/>
      </c>
      <c r="L190" s="7">
        <f>IF($A190="","",N190-K190)</f>
        <v/>
      </c>
      <c r="M190" s="7">
        <f>IF($A190="","",L190-F190)</f>
        <v/>
      </c>
      <c r="N190" s="7" t="n"/>
      <c r="O190" s="7" t="n"/>
      <c r="P190" s="7" t="n"/>
      <c r="S190" s="11" t="n"/>
      <c r="U190">
        <f>IF($A190="","",IF($Y190=1,Settings!$C$6,Settings!$C$7)*1)</f>
        <v/>
      </c>
      <c r="W190">
        <f>IF($A190="","",IF(COUNTIF($A$2:$A190,$A190)=1,1,0))</f>
        <v/>
      </c>
      <c r="X190">
        <f>IF($W190=1,SUMPRODUCT(--($Z$2:$Z$501&lt;$Z190))+1,"")</f>
        <v/>
      </c>
      <c r="Y190">
        <f>IF($A190="","",IF(OR($V190=TRUE(),$V190="TRUE"),1,0))</f>
        <v/>
      </c>
      <c r="Z190">
        <f>IF($W190=1,IFERROR(IF(VALUE($A190)&lt;100000000,VALUE($A190),1000000000),IFERROR(IF(VALUE(MID($A190,2,20))&lt;100000000,VALUE(MID($A190,2,20)),1000000000),1000000000))+ROW()/100000,"")</f>
        <v/>
      </c>
    </row>
    <row r="191">
      <c r="F191" s="7">
        <f>IF($A191="","",E191*N191/100)</f>
        <v/>
      </c>
      <c r="J191" s="7" t="n"/>
      <c r="K191" s="7">
        <f>IF($A191="","",U191*N191)</f>
        <v/>
      </c>
      <c r="L191" s="7">
        <f>IF($A191="","",N191-K191)</f>
        <v/>
      </c>
      <c r="M191" s="7">
        <f>IF($A191="","",L191-F191)</f>
        <v/>
      </c>
      <c r="N191" s="7" t="n"/>
      <c r="O191" s="7" t="n"/>
      <c r="P191" s="7" t="n"/>
      <c r="S191" s="11" t="n"/>
      <c r="U191">
        <f>IF($A191="","",IF($Y191=1,Settings!$C$6,Settings!$C$7)*1)</f>
        <v/>
      </c>
      <c r="W191">
        <f>IF($A191="","",IF(COUNTIF($A$2:$A191,$A191)=1,1,0))</f>
        <v/>
      </c>
      <c r="X191">
        <f>IF($W191=1,SUMPRODUCT(--($Z$2:$Z$501&lt;$Z191))+1,"")</f>
        <v/>
      </c>
      <c r="Y191">
        <f>IF($A191="","",IF(OR($V191=TRUE(),$V191="TRUE"),1,0))</f>
        <v/>
      </c>
      <c r="Z191">
        <f>IF($W191=1,IFERROR(IF(VALUE($A191)&lt;100000000,VALUE($A191),1000000000),IFERROR(IF(VALUE(MID($A191,2,20))&lt;100000000,VALUE(MID($A191,2,20)),1000000000),1000000000))+ROW()/100000,"")</f>
        <v/>
      </c>
    </row>
    <row r="192">
      <c r="F192" s="7">
        <f>IF($A192="","",E192*N192/100)</f>
        <v/>
      </c>
      <c r="J192" s="7" t="n"/>
      <c r="K192" s="7">
        <f>IF($A192="","",U192*N192)</f>
        <v/>
      </c>
      <c r="L192" s="7">
        <f>IF($A192="","",N192-K192)</f>
        <v/>
      </c>
      <c r="M192" s="7">
        <f>IF($A192="","",L192-F192)</f>
        <v/>
      </c>
      <c r="N192" s="7" t="n"/>
      <c r="O192" s="7" t="n"/>
      <c r="P192" s="7" t="n"/>
      <c r="S192" s="11" t="n"/>
      <c r="U192">
        <f>IF($A192="","",IF($Y192=1,Settings!$C$6,Settings!$C$7)*1)</f>
        <v/>
      </c>
      <c r="W192">
        <f>IF($A192="","",IF(COUNTIF($A$2:$A192,$A192)=1,1,0))</f>
        <v/>
      </c>
      <c r="X192">
        <f>IF($W192=1,SUMPRODUCT(--($Z$2:$Z$501&lt;$Z192))+1,"")</f>
        <v/>
      </c>
      <c r="Y192">
        <f>IF($A192="","",IF(OR($V192=TRUE(),$V192="TRUE"),1,0))</f>
        <v/>
      </c>
      <c r="Z192">
        <f>IF($W192=1,IFERROR(IF(VALUE($A192)&lt;100000000,VALUE($A192),1000000000),IFERROR(IF(VALUE(MID($A192,2,20))&lt;100000000,VALUE(MID($A192,2,20)),1000000000),1000000000))+ROW()/100000,"")</f>
        <v/>
      </c>
    </row>
    <row r="193">
      <c r="F193" s="7">
        <f>IF($A193="","",E193*N193/100)</f>
        <v/>
      </c>
      <c r="J193" s="7" t="n"/>
      <c r="K193" s="7">
        <f>IF($A193="","",U193*N193)</f>
        <v/>
      </c>
      <c r="L193" s="7">
        <f>IF($A193="","",N193-K193)</f>
        <v/>
      </c>
      <c r="M193" s="7">
        <f>IF($A193="","",L193-F193)</f>
        <v/>
      </c>
      <c r="N193" s="7" t="n"/>
      <c r="O193" s="7" t="n"/>
      <c r="P193" s="7" t="n"/>
      <c r="S193" s="11" t="n"/>
      <c r="U193">
        <f>IF($A193="","",IF($Y193=1,Settings!$C$6,Settings!$C$7)*1)</f>
        <v/>
      </c>
      <c r="W193">
        <f>IF($A193="","",IF(COUNTIF($A$2:$A193,$A193)=1,1,0))</f>
        <v/>
      </c>
      <c r="X193">
        <f>IF($W193=1,SUMPRODUCT(--($Z$2:$Z$501&lt;$Z193))+1,"")</f>
        <v/>
      </c>
      <c r="Y193">
        <f>IF($A193="","",IF(OR($V193=TRUE(),$V193="TRUE"),1,0))</f>
        <v/>
      </c>
      <c r="Z193">
        <f>IF($W193=1,IFERROR(IF(VALUE($A193)&lt;100000000,VALUE($A193),1000000000),IFERROR(IF(VALUE(MID($A193,2,20))&lt;100000000,VALUE(MID($A193,2,20)),1000000000),1000000000))+ROW()/100000,"")</f>
        <v/>
      </c>
    </row>
    <row r="194">
      <c r="F194" s="7">
        <f>IF($A194="","",E194*N194/100)</f>
        <v/>
      </c>
      <c r="J194" s="7" t="n"/>
      <c r="K194" s="7">
        <f>IF($A194="","",U194*N194)</f>
        <v/>
      </c>
      <c r="L194" s="7">
        <f>IF($A194="","",N194-K194)</f>
        <v/>
      </c>
      <c r="M194" s="7">
        <f>IF($A194="","",L194-F194)</f>
        <v/>
      </c>
      <c r="N194" s="7" t="n"/>
      <c r="O194" s="7" t="n"/>
      <c r="P194" s="7" t="n"/>
      <c r="S194" s="11" t="n"/>
      <c r="U194">
        <f>IF($A194="","",IF($Y194=1,Settings!$C$6,Settings!$C$7)*1)</f>
        <v/>
      </c>
      <c r="W194">
        <f>IF($A194="","",IF(COUNTIF($A$2:$A194,$A194)=1,1,0))</f>
        <v/>
      </c>
      <c r="X194">
        <f>IF($W194=1,SUMPRODUCT(--($Z$2:$Z$501&lt;$Z194))+1,"")</f>
        <v/>
      </c>
      <c r="Y194">
        <f>IF($A194="","",IF(OR($V194=TRUE(),$V194="TRUE"),1,0))</f>
        <v/>
      </c>
      <c r="Z194">
        <f>IF($W194=1,IFERROR(IF(VALUE($A194)&lt;100000000,VALUE($A194),1000000000),IFERROR(IF(VALUE(MID($A194,2,20))&lt;100000000,VALUE(MID($A194,2,20)),1000000000),1000000000))+ROW()/100000,"")</f>
        <v/>
      </c>
    </row>
    <row r="195">
      <c r="F195" s="7">
        <f>IF($A195="","",E195*N195/100)</f>
        <v/>
      </c>
      <c r="J195" s="7" t="n"/>
      <c r="K195" s="7">
        <f>IF($A195="","",U195*N195)</f>
        <v/>
      </c>
      <c r="L195" s="7">
        <f>IF($A195="","",N195-K195)</f>
        <v/>
      </c>
      <c r="M195" s="7">
        <f>IF($A195="","",L195-F195)</f>
        <v/>
      </c>
      <c r="N195" s="7" t="n"/>
      <c r="O195" s="7" t="n"/>
      <c r="P195" s="7" t="n"/>
      <c r="S195" s="11" t="n"/>
      <c r="U195">
        <f>IF($A195="","",IF($Y195=1,Settings!$C$6,Settings!$C$7)*1)</f>
        <v/>
      </c>
      <c r="W195">
        <f>IF($A195="","",IF(COUNTIF($A$2:$A195,$A195)=1,1,0))</f>
        <v/>
      </c>
      <c r="X195">
        <f>IF($W195=1,SUMPRODUCT(--($Z$2:$Z$501&lt;$Z195))+1,"")</f>
        <v/>
      </c>
      <c r="Y195">
        <f>IF($A195="","",IF(OR($V195=TRUE(),$V195="TRUE"),1,0))</f>
        <v/>
      </c>
      <c r="Z195">
        <f>IF($W195=1,IFERROR(IF(VALUE($A195)&lt;100000000,VALUE($A195),1000000000),IFERROR(IF(VALUE(MID($A195,2,20))&lt;100000000,VALUE(MID($A195,2,20)),1000000000),1000000000))+ROW()/100000,"")</f>
        <v/>
      </c>
    </row>
    <row r="196">
      <c r="F196" s="7">
        <f>IF($A196="","",E196*N196/100)</f>
        <v/>
      </c>
      <c r="J196" s="7" t="n"/>
      <c r="K196" s="7">
        <f>IF($A196="","",U196*N196)</f>
        <v/>
      </c>
      <c r="L196" s="7">
        <f>IF($A196="","",N196-K196)</f>
        <v/>
      </c>
      <c r="M196" s="7">
        <f>IF($A196="","",L196-F196)</f>
        <v/>
      </c>
      <c r="N196" s="7" t="n"/>
      <c r="O196" s="7" t="n"/>
      <c r="P196" s="7" t="n"/>
      <c r="S196" s="11" t="n"/>
      <c r="U196">
        <f>IF($A196="","",IF($Y196=1,Settings!$C$6,Settings!$C$7)*1)</f>
        <v/>
      </c>
      <c r="W196">
        <f>IF($A196="","",IF(COUNTIF($A$2:$A196,$A196)=1,1,0))</f>
        <v/>
      </c>
      <c r="X196">
        <f>IF($W196=1,SUMPRODUCT(--($Z$2:$Z$501&lt;$Z196))+1,"")</f>
        <v/>
      </c>
      <c r="Y196">
        <f>IF($A196="","",IF(OR($V196=TRUE(),$V196="TRUE"),1,0))</f>
        <v/>
      </c>
      <c r="Z196">
        <f>IF($W196=1,IFERROR(IF(VALUE($A196)&lt;100000000,VALUE($A196),1000000000),IFERROR(IF(VALUE(MID($A196,2,20))&lt;100000000,VALUE(MID($A196,2,20)),1000000000),1000000000))+ROW()/100000,"")</f>
        <v/>
      </c>
    </row>
    <row r="197">
      <c r="F197" s="7">
        <f>IF($A197="","",E197*N197/100)</f>
        <v/>
      </c>
      <c r="J197" s="7" t="n"/>
      <c r="K197" s="7">
        <f>IF($A197="","",U197*N197)</f>
        <v/>
      </c>
      <c r="L197" s="7">
        <f>IF($A197="","",N197-K197)</f>
        <v/>
      </c>
      <c r="M197" s="7">
        <f>IF($A197="","",L197-F197)</f>
        <v/>
      </c>
      <c r="N197" s="7" t="n"/>
      <c r="O197" s="7" t="n"/>
      <c r="P197" s="7" t="n"/>
      <c r="S197" s="11" t="n"/>
      <c r="U197">
        <f>IF($A197="","",IF($Y197=1,Settings!$C$6,Settings!$C$7)*1)</f>
        <v/>
      </c>
      <c r="W197">
        <f>IF($A197="","",IF(COUNTIF($A$2:$A197,$A197)=1,1,0))</f>
        <v/>
      </c>
      <c r="X197">
        <f>IF($W197=1,SUMPRODUCT(--($Z$2:$Z$501&lt;$Z197))+1,"")</f>
        <v/>
      </c>
      <c r="Y197">
        <f>IF($A197="","",IF(OR($V197=TRUE(),$V197="TRUE"),1,0))</f>
        <v/>
      </c>
      <c r="Z197">
        <f>IF($W197=1,IFERROR(IF(VALUE($A197)&lt;100000000,VALUE($A197),1000000000),IFERROR(IF(VALUE(MID($A197,2,20))&lt;100000000,VALUE(MID($A197,2,20)),1000000000),1000000000))+ROW()/100000,"")</f>
        <v/>
      </c>
    </row>
    <row r="198">
      <c r="F198" s="7">
        <f>IF($A198="","",E198*N198/100)</f>
        <v/>
      </c>
      <c r="J198" s="7" t="n"/>
      <c r="K198" s="7">
        <f>IF($A198="","",U198*N198)</f>
        <v/>
      </c>
      <c r="L198" s="7">
        <f>IF($A198="","",N198-K198)</f>
        <v/>
      </c>
      <c r="M198" s="7">
        <f>IF($A198="","",L198-F198)</f>
        <v/>
      </c>
      <c r="N198" s="7" t="n"/>
      <c r="O198" s="7" t="n"/>
      <c r="P198" s="7" t="n"/>
      <c r="S198" s="11" t="n"/>
      <c r="U198">
        <f>IF($A198="","",IF($Y198=1,Settings!$C$6,Settings!$C$7)*1)</f>
        <v/>
      </c>
      <c r="W198">
        <f>IF($A198="","",IF(COUNTIF($A$2:$A198,$A198)=1,1,0))</f>
        <v/>
      </c>
      <c r="X198">
        <f>IF($W198=1,SUMPRODUCT(--($Z$2:$Z$501&lt;$Z198))+1,"")</f>
        <v/>
      </c>
      <c r="Y198">
        <f>IF($A198="","",IF(OR($V198=TRUE(),$V198="TRUE"),1,0))</f>
        <v/>
      </c>
      <c r="Z198">
        <f>IF($W198=1,IFERROR(IF(VALUE($A198)&lt;100000000,VALUE($A198),1000000000),IFERROR(IF(VALUE(MID($A198,2,20))&lt;100000000,VALUE(MID($A198,2,20)),1000000000),1000000000))+ROW()/100000,"")</f>
        <v/>
      </c>
    </row>
    <row r="199">
      <c r="F199" s="7">
        <f>IF($A199="","",E199*N199/100)</f>
        <v/>
      </c>
      <c r="J199" s="7" t="n"/>
      <c r="K199" s="7">
        <f>IF($A199="","",U199*N199)</f>
        <v/>
      </c>
      <c r="L199" s="7">
        <f>IF($A199="","",N199-K199)</f>
        <v/>
      </c>
      <c r="M199" s="7">
        <f>IF($A199="","",L199-F199)</f>
        <v/>
      </c>
      <c r="N199" s="7" t="n"/>
      <c r="O199" s="7" t="n"/>
      <c r="P199" s="7" t="n"/>
      <c r="S199" s="11" t="n"/>
      <c r="U199">
        <f>IF($A199="","",IF($Y199=1,Settings!$C$6,Settings!$C$7)*1)</f>
        <v/>
      </c>
      <c r="W199">
        <f>IF($A199="","",IF(COUNTIF($A$2:$A199,$A199)=1,1,0))</f>
        <v/>
      </c>
      <c r="X199">
        <f>IF($W199=1,SUMPRODUCT(--($Z$2:$Z$501&lt;$Z199))+1,"")</f>
        <v/>
      </c>
      <c r="Y199">
        <f>IF($A199="","",IF(OR($V199=TRUE(),$V199="TRUE"),1,0))</f>
        <v/>
      </c>
      <c r="Z199">
        <f>IF($W199=1,IFERROR(IF(VALUE($A199)&lt;100000000,VALUE($A199),1000000000),IFERROR(IF(VALUE(MID($A199,2,20))&lt;100000000,VALUE(MID($A199,2,20)),1000000000),1000000000))+ROW()/100000,"")</f>
        <v/>
      </c>
    </row>
    <row r="200">
      <c r="F200" s="7">
        <f>IF($A200="","",E200*N200/100)</f>
        <v/>
      </c>
      <c r="J200" s="7" t="n"/>
      <c r="K200" s="7">
        <f>IF($A200="","",U200*N200)</f>
        <v/>
      </c>
      <c r="L200" s="7">
        <f>IF($A200="","",N200-K200)</f>
        <v/>
      </c>
      <c r="M200" s="7">
        <f>IF($A200="","",L200-F200)</f>
        <v/>
      </c>
      <c r="N200" s="7" t="n"/>
      <c r="O200" s="7" t="n"/>
      <c r="P200" s="7" t="n"/>
      <c r="S200" s="11" t="n"/>
      <c r="U200">
        <f>IF($A200="","",IF($Y200=1,Settings!$C$6,Settings!$C$7)*1)</f>
        <v/>
      </c>
      <c r="W200">
        <f>IF($A200="","",IF(COUNTIF($A$2:$A200,$A200)=1,1,0))</f>
        <v/>
      </c>
      <c r="X200">
        <f>IF($W200=1,SUMPRODUCT(--($Z$2:$Z$501&lt;$Z200))+1,"")</f>
        <v/>
      </c>
      <c r="Y200">
        <f>IF($A200="","",IF(OR($V200=TRUE(),$V200="TRUE"),1,0))</f>
        <v/>
      </c>
      <c r="Z200">
        <f>IF($W200=1,IFERROR(IF(VALUE($A200)&lt;100000000,VALUE($A200),1000000000),IFERROR(IF(VALUE(MID($A200,2,20))&lt;100000000,VALUE(MID($A200,2,20)),1000000000),1000000000))+ROW()/100000,"")</f>
        <v/>
      </c>
    </row>
    <row r="201">
      <c r="F201" s="7">
        <f>IF($A201="","",E201*N201/100)</f>
        <v/>
      </c>
      <c r="J201" s="7" t="n"/>
      <c r="K201" s="7">
        <f>IF($A201="","",U201*N201)</f>
        <v/>
      </c>
      <c r="L201" s="7">
        <f>IF($A201="","",N201-K201)</f>
        <v/>
      </c>
      <c r="M201" s="7">
        <f>IF($A201="","",L201-F201)</f>
        <v/>
      </c>
      <c r="N201" s="7" t="n"/>
      <c r="O201" s="7" t="n"/>
      <c r="P201" s="7" t="n"/>
      <c r="S201" s="11" t="n"/>
      <c r="U201">
        <f>IF($A201="","",IF($Y201=1,Settings!$C$6,Settings!$C$7)*1)</f>
        <v/>
      </c>
      <c r="W201">
        <f>IF($A201="","",IF(COUNTIF($A$2:$A201,$A201)=1,1,0))</f>
        <v/>
      </c>
      <c r="X201">
        <f>IF($W201=1,SUMPRODUCT(--($Z$2:$Z$501&lt;$Z201))+1,"")</f>
        <v/>
      </c>
      <c r="Y201">
        <f>IF($A201="","",IF(OR($V201=TRUE(),$V201="TRUE"),1,0))</f>
        <v/>
      </c>
      <c r="Z201">
        <f>IF($W201=1,IFERROR(IF(VALUE($A201)&lt;100000000,VALUE($A201),1000000000),IFERROR(IF(VALUE(MID($A201,2,20))&lt;100000000,VALUE(MID($A201,2,20)),1000000000),1000000000))+ROW()/100000,"")</f>
        <v/>
      </c>
    </row>
    <row r="202">
      <c r="F202" s="7">
        <f>IF($A202="","",E202*N202/100)</f>
        <v/>
      </c>
      <c r="J202" s="7" t="n"/>
      <c r="K202" s="7">
        <f>IF($A202="","",U202*N202)</f>
        <v/>
      </c>
      <c r="L202" s="7">
        <f>IF($A202="","",N202-K202)</f>
        <v/>
      </c>
      <c r="M202" s="7">
        <f>IF($A202="","",L202-F202)</f>
        <v/>
      </c>
      <c r="N202" s="7" t="n"/>
      <c r="O202" s="7" t="n"/>
      <c r="P202" s="7" t="n"/>
      <c r="S202" s="11" t="n"/>
      <c r="U202">
        <f>IF($A202="","",IF($Y202=1,Settings!$C$6,Settings!$C$7)*1)</f>
        <v/>
      </c>
      <c r="W202">
        <f>IF($A202="","",IF(COUNTIF($A$2:$A202,$A202)=1,1,0))</f>
        <v/>
      </c>
      <c r="X202">
        <f>IF($W202=1,SUMPRODUCT(--($Z$2:$Z$501&lt;$Z202))+1,"")</f>
        <v/>
      </c>
      <c r="Y202">
        <f>IF($A202="","",IF(OR($V202=TRUE(),$V202="TRUE"),1,0))</f>
        <v/>
      </c>
      <c r="Z202">
        <f>IF($W202=1,IFERROR(IF(VALUE($A202)&lt;100000000,VALUE($A202),1000000000),IFERROR(IF(VALUE(MID($A202,2,20))&lt;100000000,VALUE(MID($A202,2,20)),1000000000),1000000000))+ROW()/100000,"")</f>
        <v/>
      </c>
    </row>
    <row r="203">
      <c r="F203" s="7">
        <f>IF($A203="","",E203*N203/100)</f>
        <v/>
      </c>
      <c r="J203" s="7" t="n"/>
      <c r="K203" s="7">
        <f>IF($A203="","",U203*N203)</f>
        <v/>
      </c>
      <c r="L203" s="7">
        <f>IF($A203="","",N203-K203)</f>
        <v/>
      </c>
      <c r="M203" s="7">
        <f>IF($A203="","",L203-F203)</f>
        <v/>
      </c>
      <c r="N203" s="7" t="n"/>
      <c r="O203" s="7" t="n"/>
      <c r="P203" s="7" t="n"/>
      <c r="S203" s="11" t="n"/>
      <c r="U203">
        <f>IF($A203="","",IF($Y203=1,Settings!$C$6,Settings!$C$7)*1)</f>
        <v/>
      </c>
      <c r="W203">
        <f>IF($A203="","",IF(COUNTIF($A$2:$A203,$A203)=1,1,0))</f>
        <v/>
      </c>
      <c r="X203">
        <f>IF($W203=1,SUMPRODUCT(--($Z$2:$Z$501&lt;$Z203))+1,"")</f>
        <v/>
      </c>
      <c r="Y203">
        <f>IF($A203="","",IF(OR($V203=TRUE(),$V203="TRUE"),1,0))</f>
        <v/>
      </c>
      <c r="Z203">
        <f>IF($W203=1,IFERROR(IF(VALUE($A203)&lt;100000000,VALUE($A203),1000000000),IFERROR(IF(VALUE(MID($A203,2,20))&lt;100000000,VALUE(MID($A203,2,20)),1000000000),1000000000))+ROW()/100000,"")</f>
        <v/>
      </c>
    </row>
    <row r="204">
      <c r="F204" s="7">
        <f>IF($A204="","",E204*N204/100)</f>
        <v/>
      </c>
      <c r="J204" s="7" t="n"/>
      <c r="K204" s="7">
        <f>IF($A204="","",U204*N204)</f>
        <v/>
      </c>
      <c r="L204" s="7">
        <f>IF($A204="","",N204-K204)</f>
        <v/>
      </c>
      <c r="M204" s="7">
        <f>IF($A204="","",L204-F204)</f>
        <v/>
      </c>
      <c r="N204" s="7" t="n"/>
      <c r="O204" s="7" t="n"/>
      <c r="P204" s="7" t="n"/>
      <c r="S204" s="11" t="n"/>
      <c r="U204">
        <f>IF($A204="","",IF($Y204=1,Settings!$C$6,Settings!$C$7)*1)</f>
        <v/>
      </c>
      <c r="W204">
        <f>IF($A204="","",IF(COUNTIF($A$2:$A204,$A204)=1,1,0))</f>
        <v/>
      </c>
      <c r="X204">
        <f>IF($W204=1,SUMPRODUCT(--($Z$2:$Z$501&lt;$Z204))+1,"")</f>
        <v/>
      </c>
      <c r="Y204">
        <f>IF($A204="","",IF(OR($V204=TRUE(),$V204="TRUE"),1,0))</f>
        <v/>
      </c>
      <c r="Z204">
        <f>IF($W204=1,IFERROR(IF(VALUE($A204)&lt;100000000,VALUE($A204),1000000000),IFERROR(IF(VALUE(MID($A204,2,20))&lt;100000000,VALUE(MID($A204,2,20)),1000000000),1000000000))+ROW()/100000,"")</f>
        <v/>
      </c>
    </row>
    <row r="205">
      <c r="F205" s="7">
        <f>IF($A205="","",E205*N205/100)</f>
        <v/>
      </c>
      <c r="J205" s="7" t="n"/>
      <c r="K205" s="7">
        <f>IF($A205="","",U205*N205)</f>
        <v/>
      </c>
      <c r="L205" s="7">
        <f>IF($A205="","",N205-K205)</f>
        <v/>
      </c>
      <c r="M205" s="7">
        <f>IF($A205="","",L205-F205)</f>
        <v/>
      </c>
      <c r="N205" s="7" t="n"/>
      <c r="O205" s="7" t="n"/>
      <c r="P205" s="7" t="n"/>
      <c r="S205" s="11" t="n"/>
      <c r="U205">
        <f>IF($A205="","",IF($Y205=1,Settings!$C$6,Settings!$C$7)*1)</f>
        <v/>
      </c>
      <c r="W205">
        <f>IF($A205="","",IF(COUNTIF($A$2:$A205,$A205)=1,1,0))</f>
        <v/>
      </c>
      <c r="X205">
        <f>IF($W205=1,SUMPRODUCT(--($Z$2:$Z$501&lt;$Z205))+1,"")</f>
        <v/>
      </c>
      <c r="Y205">
        <f>IF($A205="","",IF(OR($V205=TRUE(),$V205="TRUE"),1,0))</f>
        <v/>
      </c>
      <c r="Z205">
        <f>IF($W205=1,IFERROR(IF(VALUE($A205)&lt;100000000,VALUE($A205),1000000000),IFERROR(IF(VALUE(MID($A205,2,20))&lt;100000000,VALUE(MID($A205,2,20)),1000000000),1000000000))+ROW()/100000,"")</f>
        <v/>
      </c>
    </row>
    <row r="206">
      <c r="F206" s="7">
        <f>IF($A206="","",E206*N206/100)</f>
        <v/>
      </c>
      <c r="J206" s="7" t="n"/>
      <c r="K206" s="7">
        <f>IF($A206="","",U206*N206)</f>
        <v/>
      </c>
      <c r="L206" s="7">
        <f>IF($A206="","",N206-K206)</f>
        <v/>
      </c>
      <c r="M206" s="7">
        <f>IF($A206="","",L206-F206)</f>
        <v/>
      </c>
      <c r="N206" s="7" t="n"/>
      <c r="O206" s="7" t="n"/>
      <c r="P206" s="7" t="n"/>
      <c r="S206" s="11" t="n"/>
      <c r="U206">
        <f>IF($A206="","",IF($Y206=1,Settings!$C$6,Settings!$C$7)*1)</f>
        <v/>
      </c>
      <c r="W206">
        <f>IF($A206="","",IF(COUNTIF($A$2:$A206,$A206)=1,1,0))</f>
        <v/>
      </c>
      <c r="X206">
        <f>IF($W206=1,SUMPRODUCT(--($Z$2:$Z$501&lt;$Z206))+1,"")</f>
        <v/>
      </c>
      <c r="Y206">
        <f>IF($A206="","",IF(OR($V206=TRUE(),$V206="TRUE"),1,0))</f>
        <v/>
      </c>
      <c r="Z206">
        <f>IF($W206=1,IFERROR(IF(VALUE($A206)&lt;100000000,VALUE($A206),1000000000),IFERROR(IF(VALUE(MID($A206,2,20))&lt;100000000,VALUE(MID($A206,2,20)),1000000000),1000000000))+ROW()/100000,"")</f>
        <v/>
      </c>
    </row>
    <row r="207">
      <c r="F207" s="7">
        <f>IF($A207="","",E207*N207/100)</f>
        <v/>
      </c>
      <c r="J207" s="7" t="n"/>
      <c r="K207" s="7">
        <f>IF($A207="","",U207*N207)</f>
        <v/>
      </c>
      <c r="L207" s="7">
        <f>IF($A207="","",N207-K207)</f>
        <v/>
      </c>
      <c r="M207" s="7">
        <f>IF($A207="","",L207-F207)</f>
        <v/>
      </c>
      <c r="N207" s="7" t="n"/>
      <c r="O207" s="7" t="n"/>
      <c r="P207" s="7" t="n"/>
      <c r="S207" s="11" t="n"/>
      <c r="U207">
        <f>IF($A207="","",IF($Y207=1,Settings!$C$6,Settings!$C$7)*1)</f>
        <v/>
      </c>
      <c r="W207">
        <f>IF($A207="","",IF(COUNTIF($A$2:$A207,$A207)=1,1,0))</f>
        <v/>
      </c>
      <c r="X207">
        <f>IF($W207=1,SUMPRODUCT(--($Z$2:$Z$501&lt;$Z207))+1,"")</f>
        <v/>
      </c>
      <c r="Y207">
        <f>IF($A207="","",IF(OR($V207=TRUE(),$V207="TRUE"),1,0))</f>
        <v/>
      </c>
      <c r="Z207">
        <f>IF($W207=1,IFERROR(IF(VALUE($A207)&lt;100000000,VALUE($A207),1000000000),IFERROR(IF(VALUE(MID($A207,2,20))&lt;100000000,VALUE(MID($A207,2,20)),1000000000),1000000000))+ROW()/100000,"")</f>
        <v/>
      </c>
    </row>
    <row r="208">
      <c r="F208" s="7">
        <f>IF($A208="","",E208*N208/100)</f>
        <v/>
      </c>
      <c r="J208" s="7" t="n"/>
      <c r="K208" s="7">
        <f>IF($A208="","",U208*N208)</f>
        <v/>
      </c>
      <c r="L208" s="7">
        <f>IF($A208="","",N208-K208)</f>
        <v/>
      </c>
      <c r="M208" s="7">
        <f>IF($A208="","",L208-F208)</f>
        <v/>
      </c>
      <c r="N208" s="7" t="n"/>
      <c r="O208" s="7" t="n"/>
      <c r="P208" s="7" t="n"/>
      <c r="S208" s="11" t="n"/>
      <c r="U208">
        <f>IF($A208="","",IF($Y208=1,Settings!$C$6,Settings!$C$7)*1)</f>
        <v/>
      </c>
      <c r="W208">
        <f>IF($A208="","",IF(COUNTIF($A$2:$A208,$A208)=1,1,0))</f>
        <v/>
      </c>
      <c r="X208">
        <f>IF($W208=1,SUMPRODUCT(--($Z$2:$Z$501&lt;$Z208))+1,"")</f>
        <v/>
      </c>
      <c r="Y208">
        <f>IF($A208="","",IF(OR($V208=TRUE(),$V208="TRUE"),1,0))</f>
        <v/>
      </c>
      <c r="Z208">
        <f>IF($W208=1,IFERROR(IF(VALUE($A208)&lt;100000000,VALUE($A208),1000000000),IFERROR(IF(VALUE(MID($A208,2,20))&lt;100000000,VALUE(MID($A208,2,20)),1000000000),1000000000))+ROW()/100000,"")</f>
        <v/>
      </c>
    </row>
    <row r="209">
      <c r="F209" s="7">
        <f>IF($A209="","",E209*N209/100)</f>
        <v/>
      </c>
      <c r="J209" s="7" t="n"/>
      <c r="K209" s="7">
        <f>IF($A209="","",U209*N209)</f>
        <v/>
      </c>
      <c r="L209" s="7">
        <f>IF($A209="","",N209-K209)</f>
        <v/>
      </c>
      <c r="M209" s="7">
        <f>IF($A209="","",L209-F209)</f>
        <v/>
      </c>
      <c r="N209" s="7" t="n"/>
      <c r="O209" s="7" t="n"/>
      <c r="P209" s="7" t="n"/>
      <c r="S209" s="11" t="n"/>
      <c r="U209">
        <f>IF($A209="","",IF($Y209=1,Settings!$C$6,Settings!$C$7)*1)</f>
        <v/>
      </c>
      <c r="W209">
        <f>IF($A209="","",IF(COUNTIF($A$2:$A209,$A209)=1,1,0))</f>
        <v/>
      </c>
      <c r="X209">
        <f>IF($W209=1,SUMPRODUCT(--($Z$2:$Z$501&lt;$Z209))+1,"")</f>
        <v/>
      </c>
      <c r="Y209">
        <f>IF($A209="","",IF(OR($V209=TRUE(),$V209="TRUE"),1,0))</f>
        <v/>
      </c>
      <c r="Z209">
        <f>IF($W209=1,IFERROR(IF(VALUE($A209)&lt;100000000,VALUE($A209),1000000000),IFERROR(IF(VALUE(MID($A209,2,20))&lt;100000000,VALUE(MID($A209,2,20)),1000000000),1000000000))+ROW()/100000,"")</f>
        <v/>
      </c>
    </row>
    <row r="210">
      <c r="F210" s="7">
        <f>IF($A210="","",E210*N210/100)</f>
        <v/>
      </c>
      <c r="J210" s="7" t="n"/>
      <c r="K210" s="7">
        <f>IF($A210="","",U210*N210)</f>
        <v/>
      </c>
      <c r="L210" s="7">
        <f>IF($A210="","",N210-K210)</f>
        <v/>
      </c>
      <c r="M210" s="7">
        <f>IF($A210="","",L210-F210)</f>
        <v/>
      </c>
      <c r="N210" s="7" t="n"/>
      <c r="O210" s="7" t="n"/>
      <c r="P210" s="7" t="n"/>
      <c r="S210" s="11" t="n"/>
      <c r="U210">
        <f>IF($A210="","",IF($Y210=1,Settings!$C$6,Settings!$C$7)*1)</f>
        <v/>
      </c>
      <c r="W210">
        <f>IF($A210="","",IF(COUNTIF($A$2:$A210,$A210)=1,1,0))</f>
        <v/>
      </c>
      <c r="X210">
        <f>IF($W210=1,SUMPRODUCT(--($Z$2:$Z$501&lt;$Z210))+1,"")</f>
        <v/>
      </c>
      <c r="Y210">
        <f>IF($A210="","",IF(OR($V210=TRUE(),$V210="TRUE"),1,0))</f>
        <v/>
      </c>
      <c r="Z210">
        <f>IF($W210=1,IFERROR(IF(VALUE($A210)&lt;100000000,VALUE($A210),1000000000),IFERROR(IF(VALUE(MID($A210,2,20))&lt;100000000,VALUE(MID($A210,2,20)),1000000000),1000000000))+ROW()/100000,"")</f>
        <v/>
      </c>
    </row>
    <row r="211">
      <c r="F211" s="7">
        <f>IF($A211="","",E211*N211/100)</f>
        <v/>
      </c>
      <c r="J211" s="7" t="n"/>
      <c r="K211" s="7">
        <f>IF($A211="","",U211*N211)</f>
        <v/>
      </c>
      <c r="L211" s="7">
        <f>IF($A211="","",N211-K211)</f>
        <v/>
      </c>
      <c r="M211" s="7">
        <f>IF($A211="","",L211-F211)</f>
        <v/>
      </c>
      <c r="N211" s="7" t="n"/>
      <c r="O211" s="7" t="n"/>
      <c r="P211" s="7" t="n"/>
      <c r="S211" s="11" t="n"/>
      <c r="U211">
        <f>IF($A211="","",IF($Y211=1,Settings!$C$6,Settings!$C$7)*1)</f>
        <v/>
      </c>
      <c r="W211">
        <f>IF($A211="","",IF(COUNTIF($A$2:$A211,$A211)=1,1,0))</f>
        <v/>
      </c>
      <c r="X211">
        <f>IF($W211=1,SUMPRODUCT(--($Z$2:$Z$501&lt;$Z211))+1,"")</f>
        <v/>
      </c>
      <c r="Y211">
        <f>IF($A211="","",IF(OR($V211=TRUE(),$V211="TRUE"),1,0))</f>
        <v/>
      </c>
      <c r="Z211">
        <f>IF($W211=1,IFERROR(IF(VALUE($A211)&lt;100000000,VALUE($A211),1000000000),IFERROR(IF(VALUE(MID($A211,2,20))&lt;100000000,VALUE(MID($A211,2,20)),1000000000),1000000000))+ROW()/100000,"")</f>
        <v/>
      </c>
    </row>
    <row r="212">
      <c r="F212" s="7">
        <f>IF($A212="","",E212*N212/100)</f>
        <v/>
      </c>
      <c r="J212" s="7" t="n"/>
      <c r="K212" s="7">
        <f>IF($A212="","",U212*N212)</f>
        <v/>
      </c>
      <c r="L212" s="7">
        <f>IF($A212="","",N212-K212)</f>
        <v/>
      </c>
      <c r="M212" s="7">
        <f>IF($A212="","",L212-F212)</f>
        <v/>
      </c>
      <c r="N212" s="7" t="n"/>
      <c r="O212" s="7" t="n"/>
      <c r="P212" s="7" t="n"/>
      <c r="S212" s="11" t="n"/>
      <c r="U212">
        <f>IF($A212="","",IF($Y212=1,Settings!$C$6,Settings!$C$7)*1)</f>
        <v/>
      </c>
      <c r="W212">
        <f>IF($A212="","",IF(COUNTIF($A$2:$A212,$A212)=1,1,0))</f>
        <v/>
      </c>
      <c r="X212">
        <f>IF($W212=1,SUMPRODUCT(--($Z$2:$Z$501&lt;$Z212))+1,"")</f>
        <v/>
      </c>
      <c r="Y212">
        <f>IF($A212="","",IF(OR($V212=TRUE(),$V212="TRUE"),1,0))</f>
        <v/>
      </c>
      <c r="Z212">
        <f>IF($W212=1,IFERROR(IF(VALUE($A212)&lt;100000000,VALUE($A212),1000000000),IFERROR(IF(VALUE(MID($A212,2,20))&lt;100000000,VALUE(MID($A212,2,20)),1000000000),1000000000))+ROW()/100000,"")</f>
        <v/>
      </c>
    </row>
    <row r="213">
      <c r="F213" s="7">
        <f>IF($A213="","",E213*N213/100)</f>
        <v/>
      </c>
      <c r="J213" s="7" t="n"/>
      <c r="K213" s="7">
        <f>IF($A213="","",U213*N213)</f>
        <v/>
      </c>
      <c r="L213" s="7">
        <f>IF($A213="","",N213-K213)</f>
        <v/>
      </c>
      <c r="M213" s="7">
        <f>IF($A213="","",L213-F213)</f>
        <v/>
      </c>
      <c r="N213" s="7" t="n"/>
      <c r="O213" s="7" t="n"/>
      <c r="P213" s="7" t="n"/>
      <c r="S213" s="11" t="n"/>
      <c r="U213">
        <f>IF($A213="","",IF($Y213=1,Settings!$C$6,Settings!$C$7)*1)</f>
        <v/>
      </c>
      <c r="W213">
        <f>IF($A213="","",IF(COUNTIF($A$2:$A213,$A213)=1,1,0))</f>
        <v/>
      </c>
      <c r="X213">
        <f>IF($W213=1,SUMPRODUCT(--($Z$2:$Z$501&lt;$Z213))+1,"")</f>
        <v/>
      </c>
      <c r="Y213">
        <f>IF($A213="","",IF(OR($V213=TRUE(),$V213="TRUE"),1,0))</f>
        <v/>
      </c>
      <c r="Z213">
        <f>IF($W213=1,IFERROR(IF(VALUE($A213)&lt;100000000,VALUE($A213),1000000000),IFERROR(IF(VALUE(MID($A213,2,20))&lt;100000000,VALUE(MID($A213,2,20)),1000000000),1000000000))+ROW()/100000,"")</f>
        <v/>
      </c>
    </row>
    <row r="214">
      <c r="F214" s="7">
        <f>IF($A214="","",E214*N214/100)</f>
        <v/>
      </c>
      <c r="J214" s="7" t="n"/>
      <c r="K214" s="7">
        <f>IF($A214="","",U214*N214)</f>
        <v/>
      </c>
      <c r="L214" s="7">
        <f>IF($A214="","",N214-K214)</f>
        <v/>
      </c>
      <c r="M214" s="7">
        <f>IF($A214="","",L214-F214)</f>
        <v/>
      </c>
      <c r="N214" s="7" t="n"/>
      <c r="O214" s="7" t="n"/>
      <c r="P214" s="7" t="n"/>
      <c r="S214" s="11" t="n"/>
      <c r="U214">
        <f>IF($A214="","",IF($Y214=1,Settings!$C$6,Settings!$C$7)*1)</f>
        <v/>
      </c>
      <c r="W214">
        <f>IF($A214="","",IF(COUNTIF($A$2:$A214,$A214)=1,1,0))</f>
        <v/>
      </c>
      <c r="X214">
        <f>IF($W214=1,SUMPRODUCT(--($Z$2:$Z$501&lt;$Z214))+1,"")</f>
        <v/>
      </c>
      <c r="Y214">
        <f>IF($A214="","",IF(OR($V214=TRUE(),$V214="TRUE"),1,0))</f>
        <v/>
      </c>
      <c r="Z214">
        <f>IF($W214=1,IFERROR(IF(VALUE($A214)&lt;100000000,VALUE($A214),1000000000),IFERROR(IF(VALUE(MID($A214,2,20))&lt;100000000,VALUE(MID($A214,2,20)),1000000000),1000000000))+ROW()/100000,"")</f>
        <v/>
      </c>
    </row>
    <row r="215">
      <c r="F215" s="7">
        <f>IF($A215="","",E215*N215/100)</f>
        <v/>
      </c>
      <c r="J215" s="7" t="n"/>
      <c r="K215" s="7">
        <f>IF($A215="","",U215*N215)</f>
        <v/>
      </c>
      <c r="L215" s="7">
        <f>IF($A215="","",N215-K215)</f>
        <v/>
      </c>
      <c r="M215" s="7">
        <f>IF($A215="","",L215-F215)</f>
        <v/>
      </c>
      <c r="N215" s="7" t="n"/>
      <c r="O215" s="7" t="n"/>
      <c r="P215" s="7" t="n"/>
      <c r="S215" s="11" t="n"/>
      <c r="U215">
        <f>IF($A215="","",IF($Y215=1,Settings!$C$6,Settings!$C$7)*1)</f>
        <v/>
      </c>
      <c r="W215">
        <f>IF($A215="","",IF(COUNTIF($A$2:$A215,$A215)=1,1,0))</f>
        <v/>
      </c>
      <c r="X215">
        <f>IF($W215=1,SUMPRODUCT(--($Z$2:$Z$501&lt;$Z215))+1,"")</f>
        <v/>
      </c>
      <c r="Y215">
        <f>IF($A215="","",IF(OR($V215=TRUE(),$V215="TRUE"),1,0))</f>
        <v/>
      </c>
      <c r="Z215">
        <f>IF($W215=1,IFERROR(IF(VALUE($A215)&lt;100000000,VALUE($A215),1000000000),IFERROR(IF(VALUE(MID($A215,2,20))&lt;100000000,VALUE(MID($A215,2,20)),1000000000),1000000000))+ROW()/100000,"")</f>
        <v/>
      </c>
    </row>
    <row r="216">
      <c r="F216" s="7">
        <f>IF($A216="","",E216*N216/100)</f>
        <v/>
      </c>
      <c r="J216" s="7" t="n"/>
      <c r="K216" s="7">
        <f>IF($A216="","",U216*N216)</f>
        <v/>
      </c>
      <c r="L216" s="7">
        <f>IF($A216="","",N216-K216)</f>
        <v/>
      </c>
      <c r="M216" s="7">
        <f>IF($A216="","",L216-F216)</f>
        <v/>
      </c>
      <c r="N216" s="7" t="n"/>
      <c r="O216" s="7" t="n"/>
      <c r="P216" s="7" t="n"/>
      <c r="S216" s="11" t="n"/>
      <c r="U216">
        <f>IF($A216="","",IF($Y216=1,Settings!$C$6,Settings!$C$7)*1)</f>
        <v/>
      </c>
      <c r="W216">
        <f>IF($A216="","",IF(COUNTIF($A$2:$A216,$A216)=1,1,0))</f>
        <v/>
      </c>
      <c r="X216">
        <f>IF($W216=1,SUMPRODUCT(--($Z$2:$Z$501&lt;$Z216))+1,"")</f>
        <v/>
      </c>
      <c r="Y216">
        <f>IF($A216="","",IF(OR($V216=TRUE(),$V216="TRUE"),1,0))</f>
        <v/>
      </c>
      <c r="Z216">
        <f>IF($W216=1,IFERROR(IF(VALUE($A216)&lt;100000000,VALUE($A216),1000000000),IFERROR(IF(VALUE(MID($A216,2,20))&lt;100000000,VALUE(MID($A216,2,20)),1000000000),1000000000))+ROW()/100000,"")</f>
        <v/>
      </c>
    </row>
    <row r="217">
      <c r="F217" s="7">
        <f>IF($A217="","",E217*N217/100)</f>
        <v/>
      </c>
      <c r="J217" s="7" t="n"/>
      <c r="K217" s="7">
        <f>IF($A217="","",U217*N217)</f>
        <v/>
      </c>
      <c r="L217" s="7">
        <f>IF($A217="","",N217-K217)</f>
        <v/>
      </c>
      <c r="M217" s="7">
        <f>IF($A217="","",L217-F217)</f>
        <v/>
      </c>
      <c r="N217" s="7" t="n"/>
      <c r="O217" s="7" t="n"/>
      <c r="P217" s="7" t="n"/>
      <c r="S217" s="11" t="n"/>
      <c r="U217">
        <f>IF($A217="","",IF($Y217=1,Settings!$C$6,Settings!$C$7)*1)</f>
        <v/>
      </c>
      <c r="W217">
        <f>IF($A217="","",IF(COUNTIF($A$2:$A217,$A217)=1,1,0))</f>
        <v/>
      </c>
      <c r="X217">
        <f>IF($W217=1,SUMPRODUCT(--($Z$2:$Z$501&lt;$Z217))+1,"")</f>
        <v/>
      </c>
      <c r="Y217">
        <f>IF($A217="","",IF(OR($V217=TRUE(),$V217="TRUE"),1,0))</f>
        <v/>
      </c>
      <c r="Z217">
        <f>IF($W217=1,IFERROR(IF(VALUE($A217)&lt;100000000,VALUE($A217),1000000000),IFERROR(IF(VALUE(MID($A217,2,20))&lt;100000000,VALUE(MID($A217,2,20)),1000000000),1000000000))+ROW()/100000,"")</f>
        <v/>
      </c>
    </row>
    <row r="218">
      <c r="F218" s="7">
        <f>IF($A218="","",E218*N218/100)</f>
        <v/>
      </c>
      <c r="J218" s="7" t="n"/>
      <c r="K218" s="7">
        <f>IF($A218="","",U218*N218)</f>
        <v/>
      </c>
      <c r="L218" s="7">
        <f>IF($A218="","",N218-K218)</f>
        <v/>
      </c>
      <c r="M218" s="7">
        <f>IF($A218="","",L218-F218)</f>
        <v/>
      </c>
      <c r="N218" s="7" t="n"/>
      <c r="O218" s="7" t="n"/>
      <c r="P218" s="7" t="n"/>
      <c r="S218" s="11" t="n"/>
      <c r="U218">
        <f>IF($A218="","",IF($Y218=1,Settings!$C$6,Settings!$C$7)*1)</f>
        <v/>
      </c>
      <c r="W218">
        <f>IF($A218="","",IF(COUNTIF($A$2:$A218,$A218)=1,1,0))</f>
        <v/>
      </c>
      <c r="X218">
        <f>IF($W218=1,SUMPRODUCT(--($Z$2:$Z$501&lt;$Z218))+1,"")</f>
        <v/>
      </c>
      <c r="Y218">
        <f>IF($A218="","",IF(OR($V218=TRUE(),$V218="TRUE"),1,0))</f>
        <v/>
      </c>
      <c r="Z218">
        <f>IF($W218=1,IFERROR(IF(VALUE($A218)&lt;100000000,VALUE($A218),1000000000),IFERROR(IF(VALUE(MID($A218,2,20))&lt;100000000,VALUE(MID($A218,2,20)),1000000000),1000000000))+ROW()/100000,"")</f>
        <v/>
      </c>
    </row>
    <row r="219">
      <c r="F219" s="7">
        <f>IF($A219="","",E219*N219/100)</f>
        <v/>
      </c>
      <c r="J219" s="7" t="n"/>
      <c r="K219" s="7">
        <f>IF($A219="","",U219*N219)</f>
        <v/>
      </c>
      <c r="L219" s="7">
        <f>IF($A219="","",N219-K219)</f>
        <v/>
      </c>
      <c r="M219" s="7">
        <f>IF($A219="","",L219-F219)</f>
        <v/>
      </c>
      <c r="N219" s="7" t="n"/>
      <c r="O219" s="7" t="n"/>
      <c r="P219" s="7" t="n"/>
      <c r="S219" s="11" t="n"/>
      <c r="U219">
        <f>IF($A219="","",IF($Y219=1,Settings!$C$6,Settings!$C$7)*1)</f>
        <v/>
      </c>
      <c r="W219">
        <f>IF($A219="","",IF(COUNTIF($A$2:$A219,$A219)=1,1,0))</f>
        <v/>
      </c>
      <c r="X219">
        <f>IF($W219=1,SUMPRODUCT(--($Z$2:$Z$501&lt;$Z219))+1,"")</f>
        <v/>
      </c>
      <c r="Y219">
        <f>IF($A219="","",IF(OR($V219=TRUE(),$V219="TRUE"),1,0))</f>
        <v/>
      </c>
      <c r="Z219">
        <f>IF($W219=1,IFERROR(IF(VALUE($A219)&lt;100000000,VALUE($A219),1000000000),IFERROR(IF(VALUE(MID($A219,2,20))&lt;100000000,VALUE(MID($A219,2,20)),1000000000),1000000000))+ROW()/100000,"")</f>
        <v/>
      </c>
    </row>
    <row r="220">
      <c r="F220" s="7">
        <f>IF($A220="","",E220*N220/100)</f>
        <v/>
      </c>
      <c r="J220" s="7" t="n"/>
      <c r="K220" s="7">
        <f>IF($A220="","",U220*N220)</f>
        <v/>
      </c>
      <c r="L220" s="7">
        <f>IF($A220="","",N220-K220)</f>
        <v/>
      </c>
      <c r="M220" s="7">
        <f>IF($A220="","",L220-F220)</f>
        <v/>
      </c>
      <c r="N220" s="7" t="n"/>
      <c r="O220" s="7" t="n"/>
      <c r="P220" s="7" t="n"/>
      <c r="S220" s="11" t="n"/>
      <c r="U220">
        <f>IF($A220="","",IF($Y220=1,Settings!$C$6,Settings!$C$7)*1)</f>
        <v/>
      </c>
      <c r="W220">
        <f>IF($A220="","",IF(COUNTIF($A$2:$A220,$A220)=1,1,0))</f>
        <v/>
      </c>
      <c r="X220">
        <f>IF($W220=1,SUMPRODUCT(--($Z$2:$Z$501&lt;$Z220))+1,"")</f>
        <v/>
      </c>
      <c r="Y220">
        <f>IF($A220="","",IF(OR($V220=TRUE(),$V220="TRUE"),1,0))</f>
        <v/>
      </c>
      <c r="Z220">
        <f>IF($W220=1,IFERROR(IF(VALUE($A220)&lt;100000000,VALUE($A220),1000000000),IFERROR(IF(VALUE(MID($A220,2,20))&lt;100000000,VALUE(MID($A220,2,20)),1000000000),1000000000))+ROW()/100000,"")</f>
        <v/>
      </c>
    </row>
    <row r="221">
      <c r="F221" s="7">
        <f>IF($A221="","",E221*N221/100)</f>
        <v/>
      </c>
      <c r="J221" s="7" t="n"/>
      <c r="K221" s="7">
        <f>IF($A221="","",U221*N221)</f>
        <v/>
      </c>
      <c r="L221" s="7">
        <f>IF($A221="","",N221-K221)</f>
        <v/>
      </c>
      <c r="M221" s="7">
        <f>IF($A221="","",L221-F221)</f>
        <v/>
      </c>
      <c r="N221" s="7" t="n"/>
      <c r="O221" s="7" t="n"/>
      <c r="P221" s="7" t="n"/>
      <c r="S221" s="11" t="n"/>
      <c r="U221">
        <f>IF($A221="","",IF($Y221=1,Settings!$C$6,Settings!$C$7)*1)</f>
        <v/>
      </c>
      <c r="W221">
        <f>IF($A221="","",IF(COUNTIF($A$2:$A221,$A221)=1,1,0))</f>
        <v/>
      </c>
      <c r="X221">
        <f>IF($W221=1,SUMPRODUCT(--($Z$2:$Z$501&lt;$Z221))+1,"")</f>
        <v/>
      </c>
      <c r="Y221">
        <f>IF($A221="","",IF(OR($V221=TRUE(),$V221="TRUE"),1,0))</f>
        <v/>
      </c>
      <c r="Z221">
        <f>IF($W221=1,IFERROR(IF(VALUE($A221)&lt;100000000,VALUE($A221),1000000000),IFERROR(IF(VALUE(MID($A221,2,20))&lt;100000000,VALUE(MID($A221,2,20)),1000000000),1000000000))+ROW()/100000,"")</f>
        <v/>
      </c>
    </row>
    <row r="222">
      <c r="F222" s="7">
        <f>IF($A222="","",E222*N222/100)</f>
        <v/>
      </c>
      <c r="J222" s="7" t="n"/>
      <c r="K222" s="7">
        <f>IF($A222="","",U222*N222)</f>
        <v/>
      </c>
      <c r="L222" s="7">
        <f>IF($A222="","",N222-K222)</f>
        <v/>
      </c>
      <c r="M222" s="7">
        <f>IF($A222="","",L222-F222)</f>
        <v/>
      </c>
      <c r="N222" s="7" t="n"/>
      <c r="O222" s="7" t="n"/>
      <c r="P222" s="7" t="n"/>
      <c r="S222" s="11" t="n"/>
      <c r="U222">
        <f>IF($A222="","",IF($Y222=1,Settings!$C$6,Settings!$C$7)*1)</f>
        <v/>
      </c>
      <c r="W222">
        <f>IF($A222="","",IF(COUNTIF($A$2:$A222,$A222)=1,1,0))</f>
        <v/>
      </c>
      <c r="X222">
        <f>IF($W222=1,SUMPRODUCT(--($Z$2:$Z$501&lt;$Z222))+1,"")</f>
        <v/>
      </c>
      <c r="Y222">
        <f>IF($A222="","",IF(OR($V222=TRUE(),$V222="TRUE"),1,0))</f>
        <v/>
      </c>
      <c r="Z222">
        <f>IF($W222=1,IFERROR(IF(VALUE($A222)&lt;100000000,VALUE($A222),1000000000),IFERROR(IF(VALUE(MID($A222,2,20))&lt;100000000,VALUE(MID($A222,2,20)),1000000000),1000000000))+ROW()/100000,"")</f>
        <v/>
      </c>
    </row>
    <row r="223">
      <c r="F223" s="7">
        <f>IF($A223="","",E223*N223/100)</f>
        <v/>
      </c>
      <c r="J223" s="7" t="n"/>
      <c r="K223" s="7">
        <f>IF($A223="","",U223*N223)</f>
        <v/>
      </c>
      <c r="L223" s="7">
        <f>IF($A223="","",N223-K223)</f>
        <v/>
      </c>
      <c r="M223" s="7">
        <f>IF($A223="","",L223-F223)</f>
        <v/>
      </c>
      <c r="N223" s="7" t="n"/>
      <c r="O223" s="7" t="n"/>
      <c r="P223" s="7" t="n"/>
      <c r="S223" s="11" t="n"/>
      <c r="U223">
        <f>IF($A223="","",IF($Y223=1,Settings!$C$6,Settings!$C$7)*1)</f>
        <v/>
      </c>
      <c r="W223">
        <f>IF($A223="","",IF(COUNTIF($A$2:$A223,$A223)=1,1,0))</f>
        <v/>
      </c>
      <c r="X223">
        <f>IF($W223=1,SUMPRODUCT(--($Z$2:$Z$501&lt;$Z223))+1,"")</f>
        <v/>
      </c>
      <c r="Y223">
        <f>IF($A223="","",IF(OR($V223=TRUE(),$V223="TRUE"),1,0))</f>
        <v/>
      </c>
      <c r="Z223">
        <f>IF($W223=1,IFERROR(IF(VALUE($A223)&lt;100000000,VALUE($A223),1000000000),IFERROR(IF(VALUE(MID($A223,2,20))&lt;100000000,VALUE(MID($A223,2,20)),1000000000),1000000000))+ROW()/100000,"")</f>
        <v/>
      </c>
    </row>
    <row r="224">
      <c r="F224" s="7">
        <f>IF($A224="","",E224*N224/100)</f>
        <v/>
      </c>
      <c r="J224" s="7" t="n"/>
      <c r="K224" s="7">
        <f>IF($A224="","",U224*N224)</f>
        <v/>
      </c>
      <c r="L224" s="7">
        <f>IF($A224="","",N224-K224)</f>
        <v/>
      </c>
      <c r="M224" s="7">
        <f>IF($A224="","",L224-F224)</f>
        <v/>
      </c>
      <c r="N224" s="7" t="n"/>
      <c r="O224" s="7" t="n"/>
      <c r="P224" s="7" t="n"/>
      <c r="S224" s="11" t="n"/>
      <c r="U224">
        <f>IF($A224="","",IF($Y224=1,Settings!$C$6,Settings!$C$7)*1)</f>
        <v/>
      </c>
      <c r="W224">
        <f>IF($A224="","",IF(COUNTIF($A$2:$A224,$A224)=1,1,0))</f>
        <v/>
      </c>
      <c r="X224">
        <f>IF($W224=1,SUMPRODUCT(--($Z$2:$Z$501&lt;$Z224))+1,"")</f>
        <v/>
      </c>
      <c r="Y224">
        <f>IF($A224="","",IF(OR($V224=TRUE(),$V224="TRUE"),1,0))</f>
        <v/>
      </c>
      <c r="Z224">
        <f>IF($W224=1,IFERROR(IF(VALUE($A224)&lt;100000000,VALUE($A224),1000000000),IFERROR(IF(VALUE(MID($A224,2,20))&lt;100000000,VALUE(MID($A224,2,20)),1000000000),1000000000))+ROW()/100000,"")</f>
        <v/>
      </c>
    </row>
    <row r="225">
      <c r="F225" s="7">
        <f>IF($A225="","",E225*N225/100)</f>
        <v/>
      </c>
      <c r="J225" s="7" t="n"/>
      <c r="K225" s="7">
        <f>IF($A225="","",U225*N225)</f>
        <v/>
      </c>
      <c r="L225" s="7">
        <f>IF($A225="","",N225-K225)</f>
        <v/>
      </c>
      <c r="M225" s="7">
        <f>IF($A225="","",L225-F225)</f>
        <v/>
      </c>
      <c r="N225" s="7" t="n"/>
      <c r="O225" s="7" t="n"/>
      <c r="P225" s="7" t="n"/>
      <c r="S225" s="11" t="n"/>
      <c r="U225">
        <f>IF($A225="","",IF($Y225=1,Settings!$C$6,Settings!$C$7)*1)</f>
        <v/>
      </c>
      <c r="W225">
        <f>IF($A225="","",IF(COUNTIF($A$2:$A225,$A225)=1,1,0))</f>
        <v/>
      </c>
      <c r="X225">
        <f>IF($W225=1,SUMPRODUCT(--($Z$2:$Z$501&lt;$Z225))+1,"")</f>
        <v/>
      </c>
      <c r="Y225">
        <f>IF($A225="","",IF(OR($V225=TRUE(),$V225="TRUE"),1,0))</f>
        <v/>
      </c>
      <c r="Z225">
        <f>IF($W225=1,IFERROR(IF(VALUE($A225)&lt;100000000,VALUE($A225),1000000000),IFERROR(IF(VALUE(MID($A225,2,20))&lt;100000000,VALUE(MID($A225,2,20)),1000000000),1000000000))+ROW()/100000,"")</f>
        <v/>
      </c>
    </row>
    <row r="226">
      <c r="F226" s="7">
        <f>IF($A226="","",E226*N226/100)</f>
        <v/>
      </c>
      <c r="J226" s="7" t="n"/>
      <c r="K226" s="7">
        <f>IF($A226="","",U226*N226)</f>
        <v/>
      </c>
      <c r="L226" s="7">
        <f>IF($A226="","",N226-K226)</f>
        <v/>
      </c>
      <c r="M226" s="7">
        <f>IF($A226="","",L226-F226)</f>
        <v/>
      </c>
      <c r="N226" s="7" t="n"/>
      <c r="O226" s="7" t="n"/>
      <c r="P226" s="7" t="n"/>
      <c r="S226" s="11" t="n"/>
      <c r="U226">
        <f>IF($A226="","",IF($Y226=1,Settings!$C$6,Settings!$C$7)*1)</f>
        <v/>
      </c>
      <c r="W226">
        <f>IF($A226="","",IF(COUNTIF($A$2:$A226,$A226)=1,1,0))</f>
        <v/>
      </c>
      <c r="X226">
        <f>IF($W226=1,SUMPRODUCT(--($Z$2:$Z$501&lt;$Z226))+1,"")</f>
        <v/>
      </c>
      <c r="Y226">
        <f>IF($A226="","",IF(OR($V226=TRUE(),$V226="TRUE"),1,0))</f>
        <v/>
      </c>
      <c r="Z226">
        <f>IF($W226=1,IFERROR(IF(VALUE($A226)&lt;100000000,VALUE($A226),1000000000),IFERROR(IF(VALUE(MID($A226,2,20))&lt;100000000,VALUE(MID($A226,2,20)),1000000000),1000000000))+ROW()/100000,"")</f>
        <v/>
      </c>
    </row>
    <row r="227">
      <c r="F227" s="7">
        <f>IF($A227="","",E227*N227/100)</f>
        <v/>
      </c>
      <c r="J227" s="7" t="n"/>
      <c r="K227" s="7">
        <f>IF($A227="","",U227*N227)</f>
        <v/>
      </c>
      <c r="L227" s="7">
        <f>IF($A227="","",N227-K227)</f>
        <v/>
      </c>
      <c r="M227" s="7">
        <f>IF($A227="","",L227-F227)</f>
        <v/>
      </c>
      <c r="N227" s="7" t="n"/>
      <c r="O227" s="7" t="n"/>
      <c r="P227" s="7" t="n"/>
      <c r="S227" s="11" t="n"/>
      <c r="U227">
        <f>IF($A227="","",IF($Y227=1,Settings!$C$6,Settings!$C$7)*1)</f>
        <v/>
      </c>
      <c r="W227">
        <f>IF($A227="","",IF(COUNTIF($A$2:$A227,$A227)=1,1,0))</f>
        <v/>
      </c>
      <c r="X227">
        <f>IF($W227=1,SUMPRODUCT(--($Z$2:$Z$501&lt;$Z227))+1,"")</f>
        <v/>
      </c>
      <c r="Y227">
        <f>IF($A227="","",IF(OR($V227=TRUE(),$V227="TRUE"),1,0))</f>
        <v/>
      </c>
      <c r="Z227">
        <f>IF($W227=1,IFERROR(IF(VALUE($A227)&lt;100000000,VALUE($A227),1000000000),IFERROR(IF(VALUE(MID($A227,2,20))&lt;100000000,VALUE(MID($A227,2,20)),1000000000),1000000000))+ROW()/100000,"")</f>
        <v/>
      </c>
    </row>
    <row r="228">
      <c r="F228" s="7">
        <f>IF($A228="","",E228*N228/100)</f>
        <v/>
      </c>
      <c r="J228" s="7" t="n"/>
      <c r="K228" s="7">
        <f>IF($A228="","",U228*N228)</f>
        <v/>
      </c>
      <c r="L228" s="7">
        <f>IF($A228="","",N228-K228)</f>
        <v/>
      </c>
      <c r="M228" s="7">
        <f>IF($A228="","",L228-F228)</f>
        <v/>
      </c>
      <c r="N228" s="7" t="n"/>
      <c r="O228" s="7" t="n"/>
      <c r="P228" s="7" t="n"/>
      <c r="S228" s="11" t="n"/>
      <c r="U228">
        <f>IF($A228="","",IF($Y228=1,Settings!$C$6,Settings!$C$7)*1)</f>
        <v/>
      </c>
      <c r="W228">
        <f>IF($A228="","",IF(COUNTIF($A$2:$A228,$A228)=1,1,0))</f>
        <v/>
      </c>
      <c r="X228">
        <f>IF($W228=1,SUMPRODUCT(--($Z$2:$Z$501&lt;$Z228))+1,"")</f>
        <v/>
      </c>
      <c r="Y228">
        <f>IF($A228="","",IF(OR($V228=TRUE(),$V228="TRUE"),1,0))</f>
        <v/>
      </c>
      <c r="Z228">
        <f>IF($W228=1,IFERROR(IF(VALUE($A228)&lt;100000000,VALUE($A228),1000000000),IFERROR(IF(VALUE(MID($A228,2,20))&lt;100000000,VALUE(MID($A228,2,20)),1000000000),1000000000))+ROW()/100000,"")</f>
        <v/>
      </c>
    </row>
    <row r="229">
      <c r="F229" s="7">
        <f>IF($A229="","",E229*N229/100)</f>
        <v/>
      </c>
      <c r="J229" s="7" t="n"/>
      <c r="K229" s="7">
        <f>IF($A229="","",U229*N229)</f>
        <v/>
      </c>
      <c r="L229" s="7">
        <f>IF($A229="","",N229-K229)</f>
        <v/>
      </c>
      <c r="M229" s="7">
        <f>IF($A229="","",L229-F229)</f>
        <v/>
      </c>
      <c r="N229" s="7" t="n"/>
      <c r="O229" s="7" t="n"/>
      <c r="P229" s="7" t="n"/>
      <c r="S229" s="11" t="n"/>
      <c r="U229">
        <f>IF($A229="","",IF($Y229=1,Settings!$C$6,Settings!$C$7)*1)</f>
        <v/>
      </c>
      <c r="W229">
        <f>IF($A229="","",IF(COUNTIF($A$2:$A229,$A229)=1,1,0))</f>
        <v/>
      </c>
      <c r="X229">
        <f>IF($W229=1,SUMPRODUCT(--($Z$2:$Z$501&lt;$Z229))+1,"")</f>
        <v/>
      </c>
      <c r="Y229">
        <f>IF($A229="","",IF(OR($V229=TRUE(),$V229="TRUE"),1,0))</f>
        <v/>
      </c>
      <c r="Z229">
        <f>IF($W229=1,IFERROR(IF(VALUE($A229)&lt;100000000,VALUE($A229),1000000000),IFERROR(IF(VALUE(MID($A229,2,20))&lt;100000000,VALUE(MID($A229,2,20)),1000000000),1000000000))+ROW()/100000,"")</f>
        <v/>
      </c>
    </row>
    <row r="230">
      <c r="F230" s="7">
        <f>IF($A230="","",E230*N230/100)</f>
        <v/>
      </c>
      <c r="J230" s="7" t="n"/>
      <c r="K230" s="7">
        <f>IF($A230="","",U230*N230)</f>
        <v/>
      </c>
      <c r="L230" s="7">
        <f>IF($A230="","",N230-K230)</f>
        <v/>
      </c>
      <c r="M230" s="7">
        <f>IF($A230="","",L230-F230)</f>
        <v/>
      </c>
      <c r="N230" s="7" t="n"/>
      <c r="O230" s="7" t="n"/>
      <c r="P230" s="7" t="n"/>
      <c r="S230" s="11" t="n"/>
      <c r="U230">
        <f>IF($A230="","",IF($Y230=1,Settings!$C$6,Settings!$C$7)*1)</f>
        <v/>
      </c>
      <c r="W230">
        <f>IF($A230="","",IF(COUNTIF($A$2:$A230,$A230)=1,1,0))</f>
        <v/>
      </c>
      <c r="X230">
        <f>IF($W230=1,SUMPRODUCT(--($Z$2:$Z$501&lt;$Z230))+1,"")</f>
        <v/>
      </c>
      <c r="Y230">
        <f>IF($A230="","",IF(OR($V230=TRUE(),$V230="TRUE"),1,0))</f>
        <v/>
      </c>
      <c r="Z230">
        <f>IF($W230=1,IFERROR(IF(VALUE($A230)&lt;100000000,VALUE($A230),1000000000),IFERROR(IF(VALUE(MID($A230,2,20))&lt;100000000,VALUE(MID($A230,2,20)),1000000000),1000000000))+ROW()/100000,"")</f>
        <v/>
      </c>
    </row>
    <row r="231">
      <c r="F231" s="7">
        <f>IF($A231="","",E231*N231/100)</f>
        <v/>
      </c>
      <c r="J231" s="7" t="n"/>
      <c r="K231" s="7">
        <f>IF($A231="","",U231*N231)</f>
        <v/>
      </c>
      <c r="L231" s="7">
        <f>IF($A231="","",N231-K231)</f>
        <v/>
      </c>
      <c r="M231" s="7">
        <f>IF($A231="","",L231-F231)</f>
        <v/>
      </c>
      <c r="N231" s="7" t="n"/>
      <c r="O231" s="7" t="n"/>
      <c r="P231" s="7" t="n"/>
      <c r="S231" s="11" t="n"/>
      <c r="U231">
        <f>IF($A231="","",IF($Y231=1,Settings!$C$6,Settings!$C$7)*1)</f>
        <v/>
      </c>
      <c r="W231">
        <f>IF($A231="","",IF(COUNTIF($A$2:$A231,$A231)=1,1,0))</f>
        <v/>
      </c>
      <c r="X231">
        <f>IF($W231=1,SUMPRODUCT(--($Z$2:$Z$501&lt;$Z231))+1,"")</f>
        <v/>
      </c>
      <c r="Y231">
        <f>IF($A231="","",IF(OR($V231=TRUE(),$V231="TRUE"),1,0))</f>
        <v/>
      </c>
      <c r="Z231">
        <f>IF($W231=1,IFERROR(IF(VALUE($A231)&lt;100000000,VALUE($A231),1000000000),IFERROR(IF(VALUE(MID($A231,2,20))&lt;100000000,VALUE(MID($A231,2,20)),1000000000),1000000000))+ROW()/100000,"")</f>
        <v/>
      </c>
    </row>
    <row r="232">
      <c r="F232" s="7">
        <f>IF($A232="","",E232*N232/100)</f>
        <v/>
      </c>
      <c r="J232" s="7" t="n"/>
      <c r="K232" s="7">
        <f>IF($A232="","",U232*N232)</f>
        <v/>
      </c>
      <c r="L232" s="7">
        <f>IF($A232="","",N232-K232)</f>
        <v/>
      </c>
      <c r="M232" s="7">
        <f>IF($A232="","",L232-F232)</f>
        <v/>
      </c>
      <c r="N232" s="7" t="n"/>
      <c r="O232" s="7" t="n"/>
      <c r="P232" s="7" t="n"/>
      <c r="S232" s="11" t="n"/>
      <c r="U232">
        <f>IF($A232="","",IF($Y232=1,Settings!$C$6,Settings!$C$7)*1)</f>
        <v/>
      </c>
      <c r="W232">
        <f>IF($A232="","",IF(COUNTIF($A$2:$A232,$A232)=1,1,0))</f>
        <v/>
      </c>
      <c r="X232">
        <f>IF($W232=1,SUMPRODUCT(--($Z$2:$Z$501&lt;$Z232))+1,"")</f>
        <v/>
      </c>
      <c r="Y232">
        <f>IF($A232="","",IF(OR($V232=TRUE(),$V232="TRUE"),1,0))</f>
        <v/>
      </c>
      <c r="Z232">
        <f>IF($W232=1,IFERROR(IF(VALUE($A232)&lt;100000000,VALUE($A232),1000000000),IFERROR(IF(VALUE(MID($A232,2,20))&lt;100000000,VALUE(MID($A232,2,20)),1000000000),1000000000))+ROW()/100000,"")</f>
        <v/>
      </c>
    </row>
    <row r="233">
      <c r="F233" s="7">
        <f>IF($A233="","",E233*N233/100)</f>
        <v/>
      </c>
      <c r="J233" s="7" t="n"/>
      <c r="K233" s="7">
        <f>IF($A233="","",U233*N233)</f>
        <v/>
      </c>
      <c r="L233" s="7">
        <f>IF($A233="","",N233-K233)</f>
        <v/>
      </c>
      <c r="M233" s="7">
        <f>IF($A233="","",L233-F233)</f>
        <v/>
      </c>
      <c r="N233" s="7" t="n"/>
      <c r="O233" s="7" t="n"/>
      <c r="P233" s="7" t="n"/>
      <c r="S233" s="11" t="n"/>
      <c r="U233">
        <f>IF($A233="","",IF($Y233=1,Settings!$C$6,Settings!$C$7)*1)</f>
        <v/>
      </c>
      <c r="W233">
        <f>IF($A233="","",IF(COUNTIF($A$2:$A233,$A233)=1,1,0))</f>
        <v/>
      </c>
      <c r="X233">
        <f>IF($W233=1,SUMPRODUCT(--($Z$2:$Z$501&lt;$Z233))+1,"")</f>
        <v/>
      </c>
      <c r="Y233">
        <f>IF($A233="","",IF(OR($V233=TRUE(),$V233="TRUE"),1,0))</f>
        <v/>
      </c>
      <c r="Z233">
        <f>IF($W233=1,IFERROR(IF(VALUE($A233)&lt;100000000,VALUE($A233),1000000000),IFERROR(IF(VALUE(MID($A233,2,20))&lt;100000000,VALUE(MID($A233,2,20)),1000000000),1000000000))+ROW()/100000,"")</f>
        <v/>
      </c>
    </row>
    <row r="234">
      <c r="F234" s="7">
        <f>IF($A234="","",E234*N234/100)</f>
        <v/>
      </c>
      <c r="J234" s="7" t="n"/>
      <c r="K234" s="7">
        <f>IF($A234="","",U234*N234)</f>
        <v/>
      </c>
      <c r="L234" s="7">
        <f>IF($A234="","",N234-K234)</f>
        <v/>
      </c>
      <c r="M234" s="7">
        <f>IF($A234="","",L234-F234)</f>
        <v/>
      </c>
      <c r="N234" s="7" t="n"/>
      <c r="O234" s="7" t="n"/>
      <c r="P234" s="7" t="n"/>
      <c r="S234" s="11" t="n"/>
      <c r="U234">
        <f>IF($A234="","",IF($Y234=1,Settings!$C$6,Settings!$C$7)*1)</f>
        <v/>
      </c>
      <c r="W234">
        <f>IF($A234="","",IF(COUNTIF($A$2:$A234,$A234)=1,1,0))</f>
        <v/>
      </c>
      <c r="X234">
        <f>IF($W234=1,SUMPRODUCT(--($Z$2:$Z$501&lt;$Z234))+1,"")</f>
        <v/>
      </c>
      <c r="Y234">
        <f>IF($A234="","",IF(OR($V234=TRUE(),$V234="TRUE"),1,0))</f>
        <v/>
      </c>
      <c r="Z234">
        <f>IF($W234=1,IFERROR(IF(VALUE($A234)&lt;100000000,VALUE($A234),1000000000),IFERROR(IF(VALUE(MID($A234,2,20))&lt;100000000,VALUE(MID($A234,2,20)),1000000000),1000000000))+ROW()/100000,"")</f>
        <v/>
      </c>
    </row>
    <row r="235">
      <c r="F235" s="7">
        <f>IF($A235="","",E235*N235/100)</f>
        <v/>
      </c>
      <c r="J235" s="7" t="n"/>
      <c r="K235" s="7">
        <f>IF($A235="","",U235*N235)</f>
        <v/>
      </c>
      <c r="L235" s="7">
        <f>IF($A235="","",N235-K235)</f>
        <v/>
      </c>
      <c r="M235" s="7">
        <f>IF($A235="","",L235-F235)</f>
        <v/>
      </c>
      <c r="N235" s="7" t="n"/>
      <c r="O235" s="7" t="n"/>
      <c r="P235" s="7" t="n"/>
      <c r="S235" s="11" t="n"/>
      <c r="U235">
        <f>IF($A235="","",IF($Y235=1,Settings!$C$6,Settings!$C$7)*1)</f>
        <v/>
      </c>
      <c r="W235">
        <f>IF($A235="","",IF(COUNTIF($A$2:$A235,$A235)=1,1,0))</f>
        <v/>
      </c>
      <c r="X235">
        <f>IF($W235=1,SUMPRODUCT(--($Z$2:$Z$501&lt;$Z235))+1,"")</f>
        <v/>
      </c>
      <c r="Y235">
        <f>IF($A235="","",IF(OR($V235=TRUE(),$V235="TRUE"),1,0))</f>
        <v/>
      </c>
      <c r="Z235">
        <f>IF($W235=1,IFERROR(IF(VALUE($A235)&lt;100000000,VALUE($A235),1000000000),IFERROR(IF(VALUE(MID($A235,2,20))&lt;100000000,VALUE(MID($A235,2,20)),1000000000),1000000000))+ROW()/100000,"")</f>
        <v/>
      </c>
    </row>
    <row r="236">
      <c r="F236" s="7">
        <f>IF($A236="","",E236*N236/100)</f>
        <v/>
      </c>
      <c r="J236" s="7" t="n"/>
      <c r="K236" s="7">
        <f>IF($A236="","",U236*N236)</f>
        <v/>
      </c>
      <c r="L236" s="7">
        <f>IF($A236="","",N236-K236)</f>
        <v/>
      </c>
      <c r="M236" s="7">
        <f>IF($A236="","",L236-F236)</f>
        <v/>
      </c>
      <c r="N236" s="7" t="n"/>
      <c r="O236" s="7" t="n"/>
      <c r="P236" s="7" t="n"/>
      <c r="S236" s="11" t="n"/>
      <c r="U236">
        <f>IF($A236="","",IF($Y236=1,Settings!$C$6,Settings!$C$7)*1)</f>
        <v/>
      </c>
      <c r="W236">
        <f>IF($A236="","",IF(COUNTIF($A$2:$A236,$A236)=1,1,0))</f>
        <v/>
      </c>
      <c r="X236">
        <f>IF($W236=1,SUMPRODUCT(--($Z$2:$Z$501&lt;$Z236))+1,"")</f>
        <v/>
      </c>
      <c r="Y236">
        <f>IF($A236="","",IF(OR($V236=TRUE(),$V236="TRUE"),1,0))</f>
        <v/>
      </c>
      <c r="Z236">
        <f>IF($W236=1,IFERROR(IF(VALUE($A236)&lt;100000000,VALUE($A236),1000000000),IFERROR(IF(VALUE(MID($A236,2,20))&lt;100000000,VALUE(MID($A236,2,20)),1000000000),1000000000))+ROW()/100000,"")</f>
        <v/>
      </c>
    </row>
    <row r="237">
      <c r="F237" s="7">
        <f>IF($A237="","",E237*N237/100)</f>
        <v/>
      </c>
      <c r="J237" s="7" t="n"/>
      <c r="K237" s="7">
        <f>IF($A237="","",U237*N237)</f>
        <v/>
      </c>
      <c r="L237" s="7">
        <f>IF($A237="","",N237-K237)</f>
        <v/>
      </c>
      <c r="M237" s="7">
        <f>IF($A237="","",L237-F237)</f>
        <v/>
      </c>
      <c r="N237" s="7" t="n"/>
      <c r="O237" s="7" t="n"/>
      <c r="P237" s="7" t="n"/>
      <c r="S237" s="11" t="n"/>
      <c r="U237">
        <f>IF($A237="","",IF($Y237=1,Settings!$C$6,Settings!$C$7)*1)</f>
        <v/>
      </c>
      <c r="W237">
        <f>IF($A237="","",IF(COUNTIF($A$2:$A237,$A237)=1,1,0))</f>
        <v/>
      </c>
      <c r="X237">
        <f>IF($W237=1,SUMPRODUCT(--($Z$2:$Z$501&lt;$Z237))+1,"")</f>
        <v/>
      </c>
      <c r="Y237">
        <f>IF($A237="","",IF(OR($V237=TRUE(),$V237="TRUE"),1,0))</f>
        <v/>
      </c>
      <c r="Z237">
        <f>IF($W237=1,IFERROR(IF(VALUE($A237)&lt;100000000,VALUE($A237),1000000000),IFERROR(IF(VALUE(MID($A237,2,20))&lt;100000000,VALUE(MID($A237,2,20)),1000000000),1000000000))+ROW()/100000,"")</f>
        <v/>
      </c>
    </row>
    <row r="238">
      <c r="F238" s="7">
        <f>IF($A238="","",E238*N238/100)</f>
        <v/>
      </c>
      <c r="J238" s="7" t="n"/>
      <c r="K238" s="7">
        <f>IF($A238="","",U238*N238)</f>
        <v/>
      </c>
      <c r="L238" s="7">
        <f>IF($A238="","",N238-K238)</f>
        <v/>
      </c>
      <c r="M238" s="7">
        <f>IF($A238="","",L238-F238)</f>
        <v/>
      </c>
      <c r="N238" s="7" t="n"/>
      <c r="O238" s="7" t="n"/>
      <c r="P238" s="7" t="n"/>
      <c r="S238" s="11" t="n"/>
      <c r="U238">
        <f>IF($A238="","",IF($Y238=1,Settings!$C$6,Settings!$C$7)*1)</f>
        <v/>
      </c>
      <c r="W238">
        <f>IF($A238="","",IF(COUNTIF($A$2:$A238,$A238)=1,1,0))</f>
        <v/>
      </c>
      <c r="X238">
        <f>IF($W238=1,SUMPRODUCT(--($Z$2:$Z$501&lt;$Z238))+1,"")</f>
        <v/>
      </c>
      <c r="Y238">
        <f>IF($A238="","",IF(OR($V238=TRUE(),$V238="TRUE"),1,0))</f>
        <v/>
      </c>
      <c r="Z238">
        <f>IF($W238=1,IFERROR(IF(VALUE($A238)&lt;100000000,VALUE($A238),1000000000),IFERROR(IF(VALUE(MID($A238,2,20))&lt;100000000,VALUE(MID($A238,2,20)),1000000000),1000000000))+ROW()/100000,"")</f>
        <v/>
      </c>
    </row>
    <row r="239">
      <c r="F239" s="7">
        <f>IF($A239="","",E239*N239/100)</f>
        <v/>
      </c>
      <c r="J239" s="7" t="n"/>
      <c r="K239" s="7">
        <f>IF($A239="","",U239*N239)</f>
        <v/>
      </c>
      <c r="L239" s="7">
        <f>IF($A239="","",N239-K239)</f>
        <v/>
      </c>
      <c r="M239" s="7">
        <f>IF($A239="","",L239-F239)</f>
        <v/>
      </c>
      <c r="N239" s="7" t="n"/>
      <c r="O239" s="7" t="n"/>
      <c r="P239" s="7" t="n"/>
      <c r="S239" s="11" t="n"/>
      <c r="U239">
        <f>IF($A239="","",IF($Y239=1,Settings!$C$6,Settings!$C$7)*1)</f>
        <v/>
      </c>
      <c r="W239">
        <f>IF($A239="","",IF(COUNTIF($A$2:$A239,$A239)=1,1,0))</f>
        <v/>
      </c>
      <c r="X239">
        <f>IF($W239=1,SUMPRODUCT(--($Z$2:$Z$501&lt;$Z239))+1,"")</f>
        <v/>
      </c>
      <c r="Y239">
        <f>IF($A239="","",IF(OR($V239=TRUE(),$V239="TRUE"),1,0))</f>
        <v/>
      </c>
      <c r="Z239">
        <f>IF($W239=1,IFERROR(IF(VALUE($A239)&lt;100000000,VALUE($A239),1000000000),IFERROR(IF(VALUE(MID($A239,2,20))&lt;100000000,VALUE(MID($A239,2,20)),1000000000),1000000000))+ROW()/100000,"")</f>
        <v/>
      </c>
    </row>
    <row r="240">
      <c r="F240" s="7">
        <f>IF($A240="","",E240*N240/100)</f>
        <v/>
      </c>
      <c r="J240" s="7" t="n"/>
      <c r="K240" s="7">
        <f>IF($A240="","",U240*N240)</f>
        <v/>
      </c>
      <c r="L240" s="7">
        <f>IF($A240="","",N240-K240)</f>
        <v/>
      </c>
      <c r="M240" s="7">
        <f>IF($A240="","",L240-F240)</f>
        <v/>
      </c>
      <c r="N240" s="7" t="n"/>
      <c r="O240" s="7" t="n"/>
      <c r="P240" s="7" t="n"/>
      <c r="S240" s="11" t="n"/>
      <c r="U240">
        <f>IF($A240="","",IF($Y240=1,Settings!$C$6,Settings!$C$7)*1)</f>
        <v/>
      </c>
      <c r="W240">
        <f>IF($A240="","",IF(COUNTIF($A$2:$A240,$A240)=1,1,0))</f>
        <v/>
      </c>
      <c r="X240">
        <f>IF($W240=1,SUMPRODUCT(--($Z$2:$Z$501&lt;$Z240))+1,"")</f>
        <v/>
      </c>
      <c r="Y240">
        <f>IF($A240="","",IF(OR($V240=TRUE(),$V240="TRUE"),1,0))</f>
        <v/>
      </c>
      <c r="Z240">
        <f>IF($W240=1,IFERROR(IF(VALUE($A240)&lt;100000000,VALUE($A240),1000000000),IFERROR(IF(VALUE(MID($A240,2,20))&lt;100000000,VALUE(MID($A240,2,20)),1000000000),1000000000))+ROW()/100000,"")</f>
        <v/>
      </c>
    </row>
    <row r="241">
      <c r="F241" s="7">
        <f>IF($A241="","",E241*N241/100)</f>
        <v/>
      </c>
      <c r="J241" s="7" t="n"/>
      <c r="K241" s="7">
        <f>IF($A241="","",U241*N241)</f>
        <v/>
      </c>
      <c r="L241" s="7">
        <f>IF($A241="","",N241-K241)</f>
        <v/>
      </c>
      <c r="M241" s="7">
        <f>IF($A241="","",L241-F241)</f>
        <v/>
      </c>
      <c r="N241" s="7" t="n"/>
      <c r="O241" s="7" t="n"/>
      <c r="P241" s="7" t="n"/>
      <c r="S241" s="11" t="n"/>
      <c r="U241">
        <f>IF($A241="","",IF($Y241=1,Settings!$C$6,Settings!$C$7)*1)</f>
        <v/>
      </c>
      <c r="W241">
        <f>IF($A241="","",IF(COUNTIF($A$2:$A241,$A241)=1,1,0))</f>
        <v/>
      </c>
      <c r="X241">
        <f>IF($W241=1,SUMPRODUCT(--($Z$2:$Z$501&lt;$Z241))+1,"")</f>
        <v/>
      </c>
      <c r="Y241">
        <f>IF($A241="","",IF(OR($V241=TRUE(),$V241="TRUE"),1,0))</f>
        <v/>
      </c>
      <c r="Z241">
        <f>IF($W241=1,IFERROR(IF(VALUE($A241)&lt;100000000,VALUE($A241),1000000000),IFERROR(IF(VALUE(MID($A241,2,20))&lt;100000000,VALUE(MID($A241,2,20)),1000000000),1000000000))+ROW()/100000,"")</f>
        <v/>
      </c>
    </row>
    <row r="242">
      <c r="F242" s="7">
        <f>IF($A242="","",E242*N242/100)</f>
        <v/>
      </c>
      <c r="J242" s="7" t="n"/>
      <c r="K242" s="7">
        <f>IF($A242="","",U242*N242)</f>
        <v/>
      </c>
      <c r="L242" s="7">
        <f>IF($A242="","",N242-K242)</f>
        <v/>
      </c>
      <c r="M242" s="7">
        <f>IF($A242="","",L242-F242)</f>
        <v/>
      </c>
      <c r="N242" s="7" t="n"/>
      <c r="O242" s="7" t="n"/>
      <c r="P242" s="7" t="n"/>
      <c r="S242" s="11" t="n"/>
      <c r="U242">
        <f>IF($A242="","",IF($Y242=1,Settings!$C$6,Settings!$C$7)*1)</f>
        <v/>
      </c>
      <c r="W242">
        <f>IF($A242="","",IF(COUNTIF($A$2:$A242,$A242)=1,1,0))</f>
        <v/>
      </c>
      <c r="X242">
        <f>IF($W242=1,SUMPRODUCT(--($Z$2:$Z$501&lt;$Z242))+1,"")</f>
        <v/>
      </c>
      <c r="Y242">
        <f>IF($A242="","",IF(OR($V242=TRUE(),$V242="TRUE"),1,0))</f>
        <v/>
      </c>
      <c r="Z242">
        <f>IF($W242=1,IFERROR(IF(VALUE($A242)&lt;100000000,VALUE($A242),1000000000),IFERROR(IF(VALUE(MID($A242,2,20))&lt;100000000,VALUE(MID($A242,2,20)),1000000000),1000000000))+ROW()/100000,"")</f>
        <v/>
      </c>
    </row>
    <row r="243">
      <c r="F243" s="7">
        <f>IF($A243="","",E243*N243/100)</f>
        <v/>
      </c>
      <c r="J243" s="7" t="n"/>
      <c r="K243" s="7">
        <f>IF($A243="","",U243*N243)</f>
        <v/>
      </c>
      <c r="L243" s="7">
        <f>IF($A243="","",N243-K243)</f>
        <v/>
      </c>
      <c r="M243" s="7">
        <f>IF($A243="","",L243-F243)</f>
        <v/>
      </c>
      <c r="N243" s="7" t="n"/>
      <c r="O243" s="7" t="n"/>
      <c r="P243" s="7" t="n"/>
      <c r="S243" s="11" t="n"/>
      <c r="U243">
        <f>IF($A243="","",IF($Y243=1,Settings!$C$6,Settings!$C$7)*1)</f>
        <v/>
      </c>
      <c r="W243">
        <f>IF($A243="","",IF(COUNTIF($A$2:$A243,$A243)=1,1,0))</f>
        <v/>
      </c>
      <c r="X243">
        <f>IF($W243=1,SUMPRODUCT(--($Z$2:$Z$501&lt;$Z243))+1,"")</f>
        <v/>
      </c>
      <c r="Y243">
        <f>IF($A243="","",IF(OR($V243=TRUE(),$V243="TRUE"),1,0))</f>
        <v/>
      </c>
      <c r="Z243">
        <f>IF($W243=1,IFERROR(IF(VALUE($A243)&lt;100000000,VALUE($A243),1000000000),IFERROR(IF(VALUE(MID($A243,2,20))&lt;100000000,VALUE(MID($A243,2,20)),1000000000),1000000000))+ROW()/100000,"")</f>
        <v/>
      </c>
    </row>
    <row r="244">
      <c r="F244" s="7">
        <f>IF($A244="","",E244*N244/100)</f>
        <v/>
      </c>
      <c r="J244" s="7" t="n"/>
      <c r="K244" s="7">
        <f>IF($A244="","",U244*N244)</f>
        <v/>
      </c>
      <c r="L244" s="7">
        <f>IF($A244="","",N244-K244)</f>
        <v/>
      </c>
      <c r="M244" s="7">
        <f>IF($A244="","",L244-F244)</f>
        <v/>
      </c>
      <c r="N244" s="7" t="n"/>
      <c r="O244" s="7" t="n"/>
      <c r="P244" s="7" t="n"/>
      <c r="S244" s="11" t="n"/>
      <c r="U244">
        <f>IF($A244="","",IF($Y244=1,Settings!$C$6,Settings!$C$7)*1)</f>
        <v/>
      </c>
      <c r="W244">
        <f>IF($A244="","",IF(COUNTIF($A$2:$A244,$A244)=1,1,0))</f>
        <v/>
      </c>
      <c r="X244">
        <f>IF($W244=1,SUMPRODUCT(--($Z$2:$Z$501&lt;$Z244))+1,"")</f>
        <v/>
      </c>
      <c r="Y244">
        <f>IF($A244="","",IF(OR($V244=TRUE(),$V244="TRUE"),1,0))</f>
        <v/>
      </c>
      <c r="Z244">
        <f>IF($W244=1,IFERROR(IF(VALUE($A244)&lt;100000000,VALUE($A244),1000000000),IFERROR(IF(VALUE(MID($A244,2,20))&lt;100000000,VALUE(MID($A244,2,20)),1000000000),1000000000))+ROW()/100000,"")</f>
        <v/>
      </c>
    </row>
    <row r="245">
      <c r="F245" s="7">
        <f>IF($A245="","",E245*N245/100)</f>
        <v/>
      </c>
      <c r="J245" s="7" t="n"/>
      <c r="K245" s="7">
        <f>IF($A245="","",U245*N245)</f>
        <v/>
      </c>
      <c r="L245" s="7">
        <f>IF($A245="","",N245-K245)</f>
        <v/>
      </c>
      <c r="M245" s="7">
        <f>IF($A245="","",L245-F245)</f>
        <v/>
      </c>
      <c r="N245" s="7" t="n"/>
      <c r="O245" s="7" t="n"/>
      <c r="P245" s="7" t="n"/>
      <c r="S245" s="11" t="n"/>
      <c r="U245">
        <f>IF($A245="","",IF($Y245=1,Settings!$C$6,Settings!$C$7)*1)</f>
        <v/>
      </c>
      <c r="W245">
        <f>IF($A245="","",IF(COUNTIF($A$2:$A245,$A245)=1,1,0))</f>
        <v/>
      </c>
      <c r="X245">
        <f>IF($W245=1,SUMPRODUCT(--($Z$2:$Z$501&lt;$Z245))+1,"")</f>
        <v/>
      </c>
      <c r="Y245">
        <f>IF($A245="","",IF(OR($V245=TRUE(),$V245="TRUE"),1,0))</f>
        <v/>
      </c>
      <c r="Z245">
        <f>IF($W245=1,IFERROR(IF(VALUE($A245)&lt;100000000,VALUE($A245),1000000000),IFERROR(IF(VALUE(MID($A245,2,20))&lt;100000000,VALUE(MID($A245,2,20)),1000000000),1000000000))+ROW()/100000,"")</f>
        <v/>
      </c>
    </row>
    <row r="246">
      <c r="F246" s="7">
        <f>IF($A246="","",E246*N246/100)</f>
        <v/>
      </c>
      <c r="J246" s="7" t="n"/>
      <c r="K246" s="7">
        <f>IF($A246="","",U246*N246)</f>
        <v/>
      </c>
      <c r="L246" s="7">
        <f>IF($A246="","",N246-K246)</f>
        <v/>
      </c>
      <c r="M246" s="7">
        <f>IF($A246="","",L246-F246)</f>
        <v/>
      </c>
      <c r="N246" s="7" t="n"/>
      <c r="O246" s="7" t="n"/>
      <c r="P246" s="7" t="n"/>
      <c r="S246" s="11" t="n"/>
      <c r="U246">
        <f>IF($A246="","",IF($Y246=1,Settings!$C$6,Settings!$C$7)*1)</f>
        <v/>
      </c>
      <c r="W246">
        <f>IF($A246="","",IF(COUNTIF($A$2:$A246,$A246)=1,1,0))</f>
        <v/>
      </c>
      <c r="X246">
        <f>IF($W246=1,SUMPRODUCT(--($Z$2:$Z$501&lt;$Z246))+1,"")</f>
        <v/>
      </c>
      <c r="Y246">
        <f>IF($A246="","",IF(OR($V246=TRUE(),$V246="TRUE"),1,0))</f>
        <v/>
      </c>
      <c r="Z246">
        <f>IF($W246=1,IFERROR(IF(VALUE($A246)&lt;100000000,VALUE($A246),1000000000),IFERROR(IF(VALUE(MID($A246,2,20))&lt;100000000,VALUE(MID($A246,2,20)),1000000000),1000000000))+ROW()/100000,"")</f>
        <v/>
      </c>
    </row>
    <row r="247">
      <c r="F247" s="7">
        <f>IF($A247="","",E247*N247/100)</f>
        <v/>
      </c>
      <c r="J247" s="7" t="n"/>
      <c r="K247" s="7">
        <f>IF($A247="","",U247*N247)</f>
        <v/>
      </c>
      <c r="L247" s="7">
        <f>IF($A247="","",N247-K247)</f>
        <v/>
      </c>
      <c r="M247" s="7">
        <f>IF($A247="","",L247-F247)</f>
        <v/>
      </c>
      <c r="N247" s="7" t="n"/>
      <c r="O247" s="7" t="n"/>
      <c r="P247" s="7" t="n"/>
      <c r="S247" s="11" t="n"/>
      <c r="U247">
        <f>IF($A247="","",IF($Y247=1,Settings!$C$6,Settings!$C$7)*1)</f>
        <v/>
      </c>
      <c r="W247">
        <f>IF($A247="","",IF(COUNTIF($A$2:$A247,$A247)=1,1,0))</f>
        <v/>
      </c>
      <c r="X247">
        <f>IF($W247=1,SUMPRODUCT(--($Z$2:$Z$501&lt;$Z247))+1,"")</f>
        <v/>
      </c>
      <c r="Y247">
        <f>IF($A247="","",IF(OR($V247=TRUE(),$V247="TRUE"),1,0))</f>
        <v/>
      </c>
      <c r="Z247">
        <f>IF($W247=1,IFERROR(IF(VALUE($A247)&lt;100000000,VALUE($A247),1000000000),IFERROR(IF(VALUE(MID($A247,2,20))&lt;100000000,VALUE(MID($A247,2,20)),1000000000),1000000000))+ROW()/100000,"")</f>
        <v/>
      </c>
    </row>
    <row r="248">
      <c r="F248" s="7">
        <f>IF($A248="","",E248*N248/100)</f>
        <v/>
      </c>
      <c r="J248" s="7" t="n"/>
      <c r="K248" s="7">
        <f>IF($A248="","",U248*N248)</f>
        <v/>
      </c>
      <c r="L248" s="7">
        <f>IF($A248="","",N248-K248)</f>
        <v/>
      </c>
      <c r="M248" s="7">
        <f>IF($A248="","",L248-F248)</f>
        <v/>
      </c>
      <c r="N248" s="7" t="n"/>
      <c r="O248" s="7" t="n"/>
      <c r="P248" s="7" t="n"/>
      <c r="S248" s="11" t="n"/>
      <c r="U248">
        <f>IF($A248="","",IF($Y248=1,Settings!$C$6,Settings!$C$7)*1)</f>
        <v/>
      </c>
      <c r="W248">
        <f>IF($A248="","",IF(COUNTIF($A$2:$A248,$A248)=1,1,0))</f>
        <v/>
      </c>
      <c r="X248">
        <f>IF($W248=1,SUMPRODUCT(--($Z$2:$Z$501&lt;$Z248))+1,"")</f>
        <v/>
      </c>
      <c r="Y248">
        <f>IF($A248="","",IF(OR($V248=TRUE(),$V248="TRUE"),1,0))</f>
        <v/>
      </c>
      <c r="Z248">
        <f>IF($W248=1,IFERROR(IF(VALUE($A248)&lt;100000000,VALUE($A248),1000000000),IFERROR(IF(VALUE(MID($A248,2,20))&lt;100000000,VALUE(MID($A248,2,20)),1000000000),1000000000))+ROW()/100000,"")</f>
        <v/>
      </c>
    </row>
    <row r="249">
      <c r="F249" s="7">
        <f>IF($A249="","",E249*N249/100)</f>
        <v/>
      </c>
      <c r="J249" s="7" t="n"/>
      <c r="K249" s="7">
        <f>IF($A249="","",U249*N249)</f>
        <v/>
      </c>
      <c r="L249" s="7">
        <f>IF($A249="","",N249-K249)</f>
        <v/>
      </c>
      <c r="M249" s="7">
        <f>IF($A249="","",L249-F249)</f>
        <v/>
      </c>
      <c r="N249" s="7" t="n"/>
      <c r="O249" s="7" t="n"/>
      <c r="P249" s="7" t="n"/>
      <c r="S249" s="11" t="n"/>
      <c r="U249">
        <f>IF($A249="","",IF($Y249=1,Settings!$C$6,Settings!$C$7)*1)</f>
        <v/>
      </c>
      <c r="W249">
        <f>IF($A249="","",IF(COUNTIF($A$2:$A249,$A249)=1,1,0))</f>
        <v/>
      </c>
      <c r="X249">
        <f>IF($W249=1,SUMPRODUCT(--($Z$2:$Z$501&lt;$Z249))+1,"")</f>
        <v/>
      </c>
      <c r="Y249">
        <f>IF($A249="","",IF(OR($V249=TRUE(),$V249="TRUE"),1,0))</f>
        <v/>
      </c>
      <c r="Z249">
        <f>IF($W249=1,IFERROR(IF(VALUE($A249)&lt;100000000,VALUE($A249),1000000000),IFERROR(IF(VALUE(MID($A249,2,20))&lt;100000000,VALUE(MID($A249,2,20)),1000000000),1000000000))+ROW()/100000,"")</f>
        <v/>
      </c>
    </row>
    <row r="250">
      <c r="F250" s="7">
        <f>IF($A250="","",E250*N250/100)</f>
        <v/>
      </c>
      <c r="J250" s="7" t="n"/>
      <c r="K250" s="7">
        <f>IF($A250="","",U250*N250)</f>
        <v/>
      </c>
      <c r="L250" s="7">
        <f>IF($A250="","",N250-K250)</f>
        <v/>
      </c>
      <c r="M250" s="7">
        <f>IF($A250="","",L250-F250)</f>
        <v/>
      </c>
      <c r="N250" s="7" t="n"/>
      <c r="O250" s="7" t="n"/>
      <c r="P250" s="7" t="n"/>
      <c r="S250" s="11" t="n"/>
      <c r="U250">
        <f>IF($A250="","",IF($Y250=1,Settings!$C$6,Settings!$C$7)*1)</f>
        <v/>
      </c>
      <c r="W250">
        <f>IF($A250="","",IF(COUNTIF($A$2:$A250,$A250)=1,1,0))</f>
        <v/>
      </c>
      <c r="X250">
        <f>IF($W250=1,SUMPRODUCT(--($Z$2:$Z$501&lt;$Z250))+1,"")</f>
        <v/>
      </c>
      <c r="Y250">
        <f>IF($A250="","",IF(OR($V250=TRUE(),$V250="TRUE"),1,0))</f>
        <v/>
      </c>
      <c r="Z250">
        <f>IF($W250=1,IFERROR(IF(VALUE($A250)&lt;100000000,VALUE($A250),1000000000),IFERROR(IF(VALUE(MID($A250,2,20))&lt;100000000,VALUE(MID($A250,2,20)),1000000000),1000000000))+ROW()/100000,"")</f>
        <v/>
      </c>
    </row>
    <row r="251">
      <c r="F251" s="7">
        <f>IF($A251="","",E251*N251/100)</f>
        <v/>
      </c>
      <c r="J251" s="7" t="n"/>
      <c r="K251" s="7">
        <f>IF($A251="","",U251*N251)</f>
        <v/>
      </c>
      <c r="L251" s="7">
        <f>IF($A251="","",N251-K251)</f>
        <v/>
      </c>
      <c r="M251" s="7">
        <f>IF($A251="","",L251-F251)</f>
        <v/>
      </c>
      <c r="N251" s="7" t="n"/>
      <c r="O251" s="7" t="n"/>
      <c r="P251" s="7" t="n"/>
      <c r="S251" s="11" t="n"/>
      <c r="U251">
        <f>IF($A251="","",IF($Y251=1,Settings!$C$6,Settings!$C$7)*1)</f>
        <v/>
      </c>
      <c r="W251">
        <f>IF($A251="","",IF(COUNTIF($A$2:$A251,$A251)=1,1,0))</f>
        <v/>
      </c>
      <c r="X251">
        <f>IF($W251=1,SUMPRODUCT(--($Z$2:$Z$501&lt;$Z251))+1,"")</f>
        <v/>
      </c>
      <c r="Y251">
        <f>IF($A251="","",IF(OR($V251=TRUE(),$V251="TRUE"),1,0))</f>
        <v/>
      </c>
      <c r="Z251">
        <f>IF($W251=1,IFERROR(IF(VALUE($A251)&lt;100000000,VALUE($A251),1000000000),IFERROR(IF(VALUE(MID($A251,2,20))&lt;100000000,VALUE(MID($A251,2,20)),1000000000),1000000000))+ROW()/100000,"")</f>
        <v/>
      </c>
    </row>
    <row r="252">
      <c r="F252" s="7">
        <f>IF($A252="","",E252*N252/100)</f>
        <v/>
      </c>
      <c r="J252" s="7" t="n"/>
      <c r="K252" s="7">
        <f>IF($A252="","",U252*N252)</f>
        <v/>
      </c>
      <c r="L252" s="7">
        <f>IF($A252="","",N252-K252)</f>
        <v/>
      </c>
      <c r="M252" s="7">
        <f>IF($A252="","",L252-F252)</f>
        <v/>
      </c>
      <c r="N252" s="7" t="n"/>
      <c r="O252" s="7" t="n"/>
      <c r="P252" s="7" t="n"/>
      <c r="S252" s="11" t="n"/>
      <c r="U252">
        <f>IF($A252="","",IF($Y252=1,Settings!$C$6,Settings!$C$7)*1)</f>
        <v/>
      </c>
      <c r="W252">
        <f>IF($A252="","",IF(COUNTIF($A$2:$A252,$A252)=1,1,0))</f>
        <v/>
      </c>
      <c r="X252">
        <f>IF($W252=1,SUMPRODUCT(--($Z$2:$Z$501&lt;$Z252))+1,"")</f>
        <v/>
      </c>
      <c r="Y252">
        <f>IF($A252="","",IF(OR($V252=TRUE(),$V252="TRUE"),1,0))</f>
        <v/>
      </c>
      <c r="Z252">
        <f>IF($W252=1,IFERROR(IF(VALUE($A252)&lt;100000000,VALUE($A252),1000000000),IFERROR(IF(VALUE(MID($A252,2,20))&lt;100000000,VALUE(MID($A252,2,20)),1000000000),1000000000))+ROW()/100000,"")</f>
        <v/>
      </c>
    </row>
    <row r="253">
      <c r="F253" s="7">
        <f>IF($A253="","",E253*N253/100)</f>
        <v/>
      </c>
      <c r="J253" s="7" t="n"/>
      <c r="K253" s="7">
        <f>IF($A253="","",U253*N253)</f>
        <v/>
      </c>
      <c r="L253" s="7">
        <f>IF($A253="","",N253-K253)</f>
        <v/>
      </c>
      <c r="M253" s="7">
        <f>IF($A253="","",L253-F253)</f>
        <v/>
      </c>
      <c r="N253" s="7" t="n"/>
      <c r="O253" s="7" t="n"/>
      <c r="P253" s="7" t="n"/>
      <c r="S253" s="11" t="n"/>
      <c r="U253">
        <f>IF($A253="","",IF($Y253=1,Settings!$C$6,Settings!$C$7)*1)</f>
        <v/>
      </c>
      <c r="W253">
        <f>IF($A253="","",IF(COUNTIF($A$2:$A253,$A253)=1,1,0))</f>
        <v/>
      </c>
      <c r="X253">
        <f>IF($W253=1,SUMPRODUCT(--($Z$2:$Z$501&lt;$Z253))+1,"")</f>
        <v/>
      </c>
      <c r="Y253">
        <f>IF($A253="","",IF(OR($V253=TRUE(),$V253="TRUE"),1,0))</f>
        <v/>
      </c>
      <c r="Z253">
        <f>IF($W253=1,IFERROR(IF(VALUE($A253)&lt;100000000,VALUE($A253),1000000000),IFERROR(IF(VALUE(MID($A253,2,20))&lt;100000000,VALUE(MID($A253,2,20)),1000000000),1000000000))+ROW()/100000,"")</f>
        <v/>
      </c>
    </row>
    <row r="254">
      <c r="F254" s="7">
        <f>IF($A254="","",E254*N254/100)</f>
        <v/>
      </c>
      <c r="J254" s="7" t="n"/>
      <c r="K254" s="7">
        <f>IF($A254="","",U254*N254)</f>
        <v/>
      </c>
      <c r="L254" s="7">
        <f>IF($A254="","",N254-K254)</f>
        <v/>
      </c>
      <c r="M254" s="7">
        <f>IF($A254="","",L254-F254)</f>
        <v/>
      </c>
      <c r="N254" s="7" t="n"/>
      <c r="O254" s="7" t="n"/>
      <c r="P254" s="7" t="n"/>
      <c r="S254" s="11" t="n"/>
      <c r="U254">
        <f>IF($A254="","",IF($Y254=1,Settings!$C$6,Settings!$C$7)*1)</f>
        <v/>
      </c>
      <c r="W254">
        <f>IF($A254="","",IF(COUNTIF($A$2:$A254,$A254)=1,1,0))</f>
        <v/>
      </c>
      <c r="X254">
        <f>IF($W254=1,SUMPRODUCT(--($Z$2:$Z$501&lt;$Z254))+1,"")</f>
        <v/>
      </c>
      <c r="Y254">
        <f>IF($A254="","",IF(OR($V254=TRUE(),$V254="TRUE"),1,0))</f>
        <v/>
      </c>
      <c r="Z254">
        <f>IF($W254=1,IFERROR(IF(VALUE($A254)&lt;100000000,VALUE($A254),1000000000),IFERROR(IF(VALUE(MID($A254,2,20))&lt;100000000,VALUE(MID($A254,2,20)),1000000000),1000000000))+ROW()/100000,"")</f>
        <v/>
      </c>
    </row>
    <row r="255">
      <c r="F255" s="7">
        <f>IF($A255="","",E255*N255/100)</f>
        <v/>
      </c>
      <c r="J255" s="7" t="n"/>
      <c r="K255" s="7">
        <f>IF($A255="","",U255*N255)</f>
        <v/>
      </c>
      <c r="L255" s="7">
        <f>IF($A255="","",N255-K255)</f>
        <v/>
      </c>
      <c r="M255" s="7">
        <f>IF($A255="","",L255-F255)</f>
        <v/>
      </c>
      <c r="N255" s="7" t="n"/>
      <c r="O255" s="7" t="n"/>
      <c r="P255" s="7" t="n"/>
      <c r="S255" s="11" t="n"/>
      <c r="U255">
        <f>IF($A255="","",IF($Y255=1,Settings!$C$6,Settings!$C$7)*1)</f>
        <v/>
      </c>
      <c r="W255">
        <f>IF($A255="","",IF(COUNTIF($A$2:$A255,$A255)=1,1,0))</f>
        <v/>
      </c>
      <c r="X255">
        <f>IF($W255=1,SUMPRODUCT(--($Z$2:$Z$501&lt;$Z255))+1,"")</f>
        <v/>
      </c>
      <c r="Y255">
        <f>IF($A255="","",IF(OR($V255=TRUE(),$V255="TRUE"),1,0))</f>
        <v/>
      </c>
      <c r="Z255">
        <f>IF($W255=1,IFERROR(IF(VALUE($A255)&lt;100000000,VALUE($A255),1000000000),IFERROR(IF(VALUE(MID($A255,2,20))&lt;100000000,VALUE(MID($A255,2,20)),1000000000),1000000000))+ROW()/100000,"")</f>
        <v/>
      </c>
    </row>
    <row r="256">
      <c r="F256" s="7">
        <f>IF($A256="","",E256*N256/100)</f>
        <v/>
      </c>
      <c r="J256" s="7" t="n"/>
      <c r="K256" s="7">
        <f>IF($A256="","",U256*N256)</f>
        <v/>
      </c>
      <c r="L256" s="7">
        <f>IF($A256="","",N256-K256)</f>
        <v/>
      </c>
      <c r="M256" s="7">
        <f>IF($A256="","",L256-F256)</f>
        <v/>
      </c>
      <c r="N256" s="7" t="n"/>
      <c r="O256" s="7" t="n"/>
      <c r="P256" s="7" t="n"/>
      <c r="S256" s="11" t="n"/>
      <c r="U256">
        <f>IF($A256="","",IF($Y256=1,Settings!$C$6,Settings!$C$7)*1)</f>
        <v/>
      </c>
      <c r="W256">
        <f>IF($A256="","",IF(COUNTIF($A$2:$A256,$A256)=1,1,0))</f>
        <v/>
      </c>
      <c r="X256">
        <f>IF($W256=1,SUMPRODUCT(--($Z$2:$Z$501&lt;$Z256))+1,"")</f>
        <v/>
      </c>
      <c r="Y256">
        <f>IF($A256="","",IF(OR($V256=TRUE(),$V256="TRUE"),1,0))</f>
        <v/>
      </c>
      <c r="Z256">
        <f>IF($W256=1,IFERROR(IF(VALUE($A256)&lt;100000000,VALUE($A256),1000000000),IFERROR(IF(VALUE(MID($A256,2,20))&lt;100000000,VALUE(MID($A256,2,20)),1000000000),1000000000))+ROW()/100000,"")</f>
        <v/>
      </c>
    </row>
    <row r="257">
      <c r="F257" s="7">
        <f>IF($A257="","",E257*N257/100)</f>
        <v/>
      </c>
      <c r="J257" s="7" t="n"/>
      <c r="K257" s="7">
        <f>IF($A257="","",U257*N257)</f>
        <v/>
      </c>
      <c r="L257" s="7">
        <f>IF($A257="","",N257-K257)</f>
        <v/>
      </c>
      <c r="M257" s="7">
        <f>IF($A257="","",L257-F257)</f>
        <v/>
      </c>
      <c r="N257" s="7" t="n"/>
      <c r="O257" s="7" t="n"/>
      <c r="P257" s="7" t="n"/>
      <c r="S257" s="11" t="n"/>
      <c r="U257">
        <f>IF($A257="","",IF($Y257=1,Settings!$C$6,Settings!$C$7)*1)</f>
        <v/>
      </c>
      <c r="W257">
        <f>IF($A257="","",IF(COUNTIF($A$2:$A257,$A257)=1,1,0))</f>
        <v/>
      </c>
      <c r="X257">
        <f>IF($W257=1,SUMPRODUCT(--($Z$2:$Z$501&lt;$Z257))+1,"")</f>
        <v/>
      </c>
      <c r="Y257">
        <f>IF($A257="","",IF(OR($V257=TRUE(),$V257="TRUE"),1,0))</f>
        <v/>
      </c>
      <c r="Z257">
        <f>IF($W257=1,IFERROR(IF(VALUE($A257)&lt;100000000,VALUE($A257),1000000000),IFERROR(IF(VALUE(MID($A257,2,20))&lt;100000000,VALUE(MID($A257,2,20)),1000000000),1000000000))+ROW()/100000,"")</f>
        <v/>
      </c>
    </row>
    <row r="258">
      <c r="F258" s="7">
        <f>IF($A258="","",E258*N258/100)</f>
        <v/>
      </c>
      <c r="J258" s="7" t="n"/>
      <c r="K258" s="7">
        <f>IF($A258="","",U258*N258)</f>
        <v/>
      </c>
      <c r="L258" s="7">
        <f>IF($A258="","",N258-K258)</f>
        <v/>
      </c>
      <c r="M258" s="7">
        <f>IF($A258="","",L258-F258)</f>
        <v/>
      </c>
      <c r="N258" s="7" t="n"/>
      <c r="O258" s="7" t="n"/>
      <c r="P258" s="7" t="n"/>
      <c r="S258" s="11" t="n"/>
      <c r="U258">
        <f>IF($A258="","",IF($Y258=1,Settings!$C$6,Settings!$C$7)*1)</f>
        <v/>
      </c>
      <c r="W258">
        <f>IF($A258="","",IF(COUNTIF($A$2:$A258,$A258)=1,1,0))</f>
        <v/>
      </c>
      <c r="X258">
        <f>IF($W258=1,SUMPRODUCT(--($Z$2:$Z$501&lt;$Z258))+1,"")</f>
        <v/>
      </c>
      <c r="Y258">
        <f>IF($A258="","",IF(OR($V258=TRUE(),$V258="TRUE"),1,0))</f>
        <v/>
      </c>
      <c r="Z258">
        <f>IF($W258=1,IFERROR(IF(VALUE($A258)&lt;100000000,VALUE($A258),1000000000),IFERROR(IF(VALUE(MID($A258,2,20))&lt;100000000,VALUE(MID($A258,2,20)),1000000000),1000000000))+ROW()/100000,"")</f>
        <v/>
      </c>
    </row>
    <row r="259">
      <c r="F259" s="7">
        <f>IF($A259="","",E259*N259/100)</f>
        <v/>
      </c>
      <c r="J259" s="7" t="n"/>
      <c r="K259" s="7">
        <f>IF($A259="","",U259*N259)</f>
        <v/>
      </c>
      <c r="L259" s="7">
        <f>IF($A259="","",N259-K259)</f>
        <v/>
      </c>
      <c r="M259" s="7">
        <f>IF($A259="","",L259-F259)</f>
        <v/>
      </c>
      <c r="N259" s="7" t="n"/>
      <c r="O259" s="7" t="n"/>
      <c r="P259" s="7" t="n"/>
      <c r="S259" s="11" t="n"/>
      <c r="U259">
        <f>IF($A259="","",IF($Y259=1,Settings!$C$6,Settings!$C$7)*1)</f>
        <v/>
      </c>
      <c r="W259">
        <f>IF($A259="","",IF(COUNTIF($A$2:$A259,$A259)=1,1,0))</f>
        <v/>
      </c>
      <c r="X259">
        <f>IF($W259=1,SUMPRODUCT(--($Z$2:$Z$501&lt;$Z259))+1,"")</f>
        <v/>
      </c>
      <c r="Y259">
        <f>IF($A259="","",IF(OR($V259=TRUE(),$V259="TRUE"),1,0))</f>
        <v/>
      </c>
      <c r="Z259">
        <f>IF($W259=1,IFERROR(IF(VALUE($A259)&lt;100000000,VALUE($A259),1000000000),IFERROR(IF(VALUE(MID($A259,2,20))&lt;100000000,VALUE(MID($A259,2,20)),1000000000),1000000000))+ROW()/100000,"")</f>
        <v/>
      </c>
    </row>
    <row r="260">
      <c r="F260" s="7">
        <f>IF($A260="","",E260*N260/100)</f>
        <v/>
      </c>
      <c r="J260" s="7" t="n"/>
      <c r="K260" s="7">
        <f>IF($A260="","",U260*N260)</f>
        <v/>
      </c>
      <c r="L260" s="7">
        <f>IF($A260="","",N260-K260)</f>
        <v/>
      </c>
      <c r="M260" s="7">
        <f>IF($A260="","",L260-F260)</f>
        <v/>
      </c>
      <c r="N260" s="7" t="n"/>
      <c r="O260" s="7" t="n"/>
      <c r="P260" s="7" t="n"/>
      <c r="S260" s="11" t="n"/>
      <c r="U260">
        <f>IF($A260="","",IF($Y260=1,Settings!$C$6,Settings!$C$7)*1)</f>
        <v/>
      </c>
      <c r="W260">
        <f>IF($A260="","",IF(COUNTIF($A$2:$A260,$A260)=1,1,0))</f>
        <v/>
      </c>
      <c r="X260">
        <f>IF($W260=1,SUMPRODUCT(--($Z$2:$Z$501&lt;$Z260))+1,"")</f>
        <v/>
      </c>
      <c r="Y260">
        <f>IF($A260="","",IF(OR($V260=TRUE(),$V260="TRUE"),1,0))</f>
        <v/>
      </c>
      <c r="Z260">
        <f>IF($W260=1,IFERROR(IF(VALUE($A260)&lt;100000000,VALUE($A260),1000000000),IFERROR(IF(VALUE(MID($A260,2,20))&lt;100000000,VALUE(MID($A260,2,20)),1000000000),1000000000))+ROW()/100000,"")</f>
        <v/>
      </c>
    </row>
    <row r="261">
      <c r="F261" s="7">
        <f>IF($A261="","",E261*N261/100)</f>
        <v/>
      </c>
      <c r="J261" s="7" t="n"/>
      <c r="K261" s="7">
        <f>IF($A261="","",U261*N261)</f>
        <v/>
      </c>
      <c r="L261" s="7">
        <f>IF($A261="","",N261-K261)</f>
        <v/>
      </c>
      <c r="M261" s="7">
        <f>IF($A261="","",L261-F261)</f>
        <v/>
      </c>
      <c r="N261" s="7" t="n"/>
      <c r="O261" s="7" t="n"/>
      <c r="P261" s="7" t="n"/>
      <c r="S261" s="11" t="n"/>
      <c r="U261">
        <f>IF($A261="","",IF($Y261=1,Settings!$C$6,Settings!$C$7)*1)</f>
        <v/>
      </c>
      <c r="W261">
        <f>IF($A261="","",IF(COUNTIF($A$2:$A261,$A261)=1,1,0))</f>
        <v/>
      </c>
      <c r="X261">
        <f>IF($W261=1,SUMPRODUCT(--($Z$2:$Z$501&lt;$Z261))+1,"")</f>
        <v/>
      </c>
      <c r="Y261">
        <f>IF($A261="","",IF(OR($V261=TRUE(),$V261="TRUE"),1,0))</f>
        <v/>
      </c>
      <c r="Z261">
        <f>IF($W261=1,IFERROR(IF(VALUE($A261)&lt;100000000,VALUE($A261),1000000000),IFERROR(IF(VALUE(MID($A261,2,20))&lt;100000000,VALUE(MID($A261,2,20)),1000000000),1000000000))+ROW()/100000,"")</f>
        <v/>
      </c>
    </row>
    <row r="262">
      <c r="F262" s="7">
        <f>IF($A262="","",E262*N262/100)</f>
        <v/>
      </c>
      <c r="J262" s="7" t="n"/>
      <c r="K262" s="7">
        <f>IF($A262="","",U262*N262)</f>
        <v/>
      </c>
      <c r="L262" s="7">
        <f>IF($A262="","",N262-K262)</f>
        <v/>
      </c>
      <c r="M262" s="7">
        <f>IF($A262="","",L262-F262)</f>
        <v/>
      </c>
      <c r="N262" s="7" t="n"/>
      <c r="O262" s="7" t="n"/>
      <c r="P262" s="7" t="n"/>
      <c r="S262" s="11" t="n"/>
      <c r="U262">
        <f>IF($A262="","",IF($Y262=1,Settings!$C$6,Settings!$C$7)*1)</f>
        <v/>
      </c>
      <c r="W262">
        <f>IF($A262="","",IF(COUNTIF($A$2:$A262,$A262)=1,1,0))</f>
        <v/>
      </c>
      <c r="X262">
        <f>IF($W262=1,SUMPRODUCT(--($Z$2:$Z$501&lt;$Z262))+1,"")</f>
        <v/>
      </c>
      <c r="Y262">
        <f>IF($A262="","",IF(OR($V262=TRUE(),$V262="TRUE"),1,0))</f>
        <v/>
      </c>
      <c r="Z262">
        <f>IF($W262=1,IFERROR(IF(VALUE($A262)&lt;100000000,VALUE($A262),1000000000),IFERROR(IF(VALUE(MID($A262,2,20))&lt;100000000,VALUE(MID($A262,2,20)),1000000000),1000000000))+ROW()/100000,"")</f>
        <v/>
      </c>
    </row>
    <row r="263">
      <c r="F263" s="7">
        <f>IF($A263="","",E263*N263/100)</f>
        <v/>
      </c>
      <c r="J263" s="7" t="n"/>
      <c r="K263" s="7">
        <f>IF($A263="","",U263*N263)</f>
        <v/>
      </c>
      <c r="L263" s="7">
        <f>IF($A263="","",N263-K263)</f>
        <v/>
      </c>
      <c r="M263" s="7">
        <f>IF($A263="","",L263-F263)</f>
        <v/>
      </c>
      <c r="N263" s="7" t="n"/>
      <c r="O263" s="7" t="n"/>
      <c r="P263" s="7" t="n"/>
      <c r="S263" s="11" t="n"/>
      <c r="U263">
        <f>IF($A263="","",IF($Y263=1,Settings!$C$6,Settings!$C$7)*1)</f>
        <v/>
      </c>
      <c r="W263">
        <f>IF($A263="","",IF(COUNTIF($A$2:$A263,$A263)=1,1,0))</f>
        <v/>
      </c>
      <c r="X263">
        <f>IF($W263=1,SUMPRODUCT(--($Z$2:$Z$501&lt;$Z263))+1,"")</f>
        <v/>
      </c>
      <c r="Y263">
        <f>IF($A263="","",IF(OR($V263=TRUE(),$V263="TRUE"),1,0))</f>
        <v/>
      </c>
      <c r="Z263">
        <f>IF($W263=1,IFERROR(IF(VALUE($A263)&lt;100000000,VALUE($A263),1000000000),IFERROR(IF(VALUE(MID($A263,2,20))&lt;100000000,VALUE(MID($A263,2,20)),1000000000),1000000000))+ROW()/100000,"")</f>
        <v/>
      </c>
    </row>
    <row r="264">
      <c r="F264" s="7">
        <f>IF($A264="","",E264*N264/100)</f>
        <v/>
      </c>
      <c r="J264" s="7" t="n"/>
      <c r="K264" s="7">
        <f>IF($A264="","",U264*N264)</f>
        <v/>
      </c>
      <c r="L264" s="7">
        <f>IF($A264="","",N264-K264)</f>
        <v/>
      </c>
      <c r="M264" s="7">
        <f>IF($A264="","",L264-F264)</f>
        <v/>
      </c>
      <c r="N264" s="7" t="n"/>
      <c r="O264" s="7" t="n"/>
      <c r="P264" s="7" t="n"/>
      <c r="S264" s="11" t="n"/>
      <c r="U264">
        <f>IF($A264="","",IF($Y264=1,Settings!$C$6,Settings!$C$7)*1)</f>
        <v/>
      </c>
      <c r="W264">
        <f>IF($A264="","",IF(COUNTIF($A$2:$A264,$A264)=1,1,0))</f>
        <v/>
      </c>
      <c r="X264">
        <f>IF($W264=1,SUMPRODUCT(--($Z$2:$Z$501&lt;$Z264))+1,"")</f>
        <v/>
      </c>
      <c r="Y264">
        <f>IF($A264="","",IF(OR($V264=TRUE(),$V264="TRUE"),1,0))</f>
        <v/>
      </c>
      <c r="Z264">
        <f>IF($W264=1,IFERROR(IF(VALUE($A264)&lt;100000000,VALUE($A264),1000000000),IFERROR(IF(VALUE(MID($A264,2,20))&lt;100000000,VALUE(MID($A264,2,20)),1000000000),1000000000))+ROW()/100000,"")</f>
        <v/>
      </c>
    </row>
    <row r="265">
      <c r="F265" s="7">
        <f>IF($A265="","",E265*N265/100)</f>
        <v/>
      </c>
      <c r="J265" s="7" t="n"/>
      <c r="K265" s="7">
        <f>IF($A265="","",U265*N265)</f>
        <v/>
      </c>
      <c r="L265" s="7">
        <f>IF($A265="","",N265-K265)</f>
        <v/>
      </c>
      <c r="M265" s="7">
        <f>IF($A265="","",L265-F265)</f>
        <v/>
      </c>
      <c r="N265" s="7" t="n"/>
      <c r="O265" s="7" t="n"/>
      <c r="P265" s="7" t="n"/>
      <c r="S265" s="11" t="n"/>
      <c r="U265">
        <f>IF($A265="","",IF($Y265=1,Settings!$C$6,Settings!$C$7)*1)</f>
        <v/>
      </c>
      <c r="W265">
        <f>IF($A265="","",IF(COUNTIF($A$2:$A265,$A265)=1,1,0))</f>
        <v/>
      </c>
      <c r="X265">
        <f>IF($W265=1,SUMPRODUCT(--($Z$2:$Z$501&lt;$Z265))+1,"")</f>
        <v/>
      </c>
      <c r="Y265">
        <f>IF($A265="","",IF(OR($V265=TRUE(),$V265="TRUE"),1,0))</f>
        <v/>
      </c>
      <c r="Z265">
        <f>IF($W265=1,IFERROR(IF(VALUE($A265)&lt;100000000,VALUE($A265),1000000000),IFERROR(IF(VALUE(MID($A265,2,20))&lt;100000000,VALUE(MID($A265,2,20)),1000000000),1000000000))+ROW()/100000,"")</f>
        <v/>
      </c>
    </row>
    <row r="266">
      <c r="F266" s="7">
        <f>IF($A266="","",E266*N266/100)</f>
        <v/>
      </c>
      <c r="J266" s="7" t="n"/>
      <c r="K266" s="7">
        <f>IF($A266="","",U266*N266)</f>
        <v/>
      </c>
      <c r="L266" s="7">
        <f>IF($A266="","",N266-K266)</f>
        <v/>
      </c>
      <c r="M266" s="7">
        <f>IF($A266="","",L266-F266)</f>
        <v/>
      </c>
      <c r="N266" s="7" t="n"/>
      <c r="O266" s="7" t="n"/>
      <c r="P266" s="7" t="n"/>
      <c r="S266" s="11" t="n"/>
      <c r="U266">
        <f>IF($A266="","",IF($Y266=1,Settings!$C$6,Settings!$C$7)*1)</f>
        <v/>
      </c>
      <c r="W266">
        <f>IF($A266="","",IF(COUNTIF($A$2:$A266,$A266)=1,1,0))</f>
        <v/>
      </c>
      <c r="X266">
        <f>IF($W266=1,SUMPRODUCT(--($Z$2:$Z$501&lt;$Z266))+1,"")</f>
        <v/>
      </c>
      <c r="Y266">
        <f>IF($A266="","",IF(OR($V266=TRUE(),$V266="TRUE"),1,0))</f>
        <v/>
      </c>
      <c r="Z266">
        <f>IF($W266=1,IFERROR(IF(VALUE($A266)&lt;100000000,VALUE($A266),1000000000),IFERROR(IF(VALUE(MID($A266,2,20))&lt;100000000,VALUE(MID($A266,2,20)),1000000000),1000000000))+ROW()/100000,"")</f>
        <v/>
      </c>
    </row>
    <row r="267">
      <c r="F267" s="7">
        <f>IF($A267="","",E267*N267/100)</f>
        <v/>
      </c>
      <c r="J267" s="7" t="n"/>
      <c r="K267" s="7">
        <f>IF($A267="","",U267*N267)</f>
        <v/>
      </c>
      <c r="L267" s="7">
        <f>IF($A267="","",N267-K267)</f>
        <v/>
      </c>
      <c r="M267" s="7">
        <f>IF($A267="","",L267-F267)</f>
        <v/>
      </c>
      <c r="N267" s="7" t="n"/>
      <c r="O267" s="7" t="n"/>
      <c r="P267" s="7" t="n"/>
      <c r="S267" s="11" t="n"/>
      <c r="U267">
        <f>IF($A267="","",IF($Y267=1,Settings!$C$6,Settings!$C$7)*1)</f>
        <v/>
      </c>
      <c r="W267">
        <f>IF($A267="","",IF(COUNTIF($A$2:$A267,$A267)=1,1,0))</f>
        <v/>
      </c>
      <c r="X267">
        <f>IF($W267=1,SUMPRODUCT(--($Z$2:$Z$501&lt;$Z267))+1,"")</f>
        <v/>
      </c>
      <c r="Y267">
        <f>IF($A267="","",IF(OR($V267=TRUE(),$V267="TRUE"),1,0))</f>
        <v/>
      </c>
      <c r="Z267">
        <f>IF($W267=1,IFERROR(IF(VALUE($A267)&lt;100000000,VALUE($A267),1000000000),IFERROR(IF(VALUE(MID($A267,2,20))&lt;100000000,VALUE(MID($A267,2,20)),1000000000),1000000000))+ROW()/100000,"")</f>
        <v/>
      </c>
    </row>
    <row r="268">
      <c r="F268" s="7">
        <f>IF($A268="","",E268*N268/100)</f>
        <v/>
      </c>
      <c r="J268" s="7" t="n"/>
      <c r="K268" s="7">
        <f>IF($A268="","",U268*N268)</f>
        <v/>
      </c>
      <c r="L268" s="7">
        <f>IF($A268="","",N268-K268)</f>
        <v/>
      </c>
      <c r="M268" s="7">
        <f>IF($A268="","",L268-F268)</f>
        <v/>
      </c>
      <c r="N268" s="7" t="n"/>
      <c r="O268" s="7" t="n"/>
      <c r="P268" s="7" t="n"/>
      <c r="S268" s="11" t="n"/>
      <c r="U268">
        <f>IF($A268="","",IF($Y268=1,Settings!$C$6,Settings!$C$7)*1)</f>
        <v/>
      </c>
      <c r="W268">
        <f>IF($A268="","",IF(COUNTIF($A$2:$A268,$A268)=1,1,0))</f>
        <v/>
      </c>
      <c r="X268">
        <f>IF($W268=1,SUMPRODUCT(--($Z$2:$Z$501&lt;$Z268))+1,"")</f>
        <v/>
      </c>
      <c r="Y268">
        <f>IF($A268="","",IF(OR($V268=TRUE(),$V268="TRUE"),1,0))</f>
        <v/>
      </c>
      <c r="Z268">
        <f>IF($W268=1,IFERROR(IF(VALUE($A268)&lt;100000000,VALUE($A268),1000000000),IFERROR(IF(VALUE(MID($A268,2,20))&lt;100000000,VALUE(MID($A268,2,20)),1000000000),1000000000))+ROW()/100000,"")</f>
        <v/>
      </c>
    </row>
    <row r="269">
      <c r="F269" s="7">
        <f>IF($A269="","",E269*N269/100)</f>
        <v/>
      </c>
      <c r="J269" s="7" t="n"/>
      <c r="K269" s="7">
        <f>IF($A269="","",U269*N269)</f>
        <v/>
      </c>
      <c r="L269" s="7">
        <f>IF($A269="","",N269-K269)</f>
        <v/>
      </c>
      <c r="M269" s="7">
        <f>IF($A269="","",L269-F269)</f>
        <v/>
      </c>
      <c r="N269" s="7" t="n"/>
      <c r="O269" s="7" t="n"/>
      <c r="P269" s="7" t="n"/>
      <c r="S269" s="11" t="n"/>
      <c r="U269">
        <f>IF($A269="","",IF($Y269=1,Settings!$C$6,Settings!$C$7)*1)</f>
        <v/>
      </c>
      <c r="W269">
        <f>IF($A269="","",IF(COUNTIF($A$2:$A269,$A269)=1,1,0))</f>
        <v/>
      </c>
      <c r="X269">
        <f>IF($W269=1,SUMPRODUCT(--($Z$2:$Z$501&lt;$Z269))+1,"")</f>
        <v/>
      </c>
      <c r="Y269">
        <f>IF($A269="","",IF(OR($V269=TRUE(),$V269="TRUE"),1,0))</f>
        <v/>
      </c>
      <c r="Z269">
        <f>IF($W269=1,IFERROR(IF(VALUE($A269)&lt;100000000,VALUE($A269),1000000000),IFERROR(IF(VALUE(MID($A269,2,20))&lt;100000000,VALUE(MID($A269,2,20)),1000000000),1000000000))+ROW()/100000,"")</f>
        <v/>
      </c>
    </row>
    <row r="270">
      <c r="F270" s="7">
        <f>IF($A270="","",E270*N270/100)</f>
        <v/>
      </c>
      <c r="J270" s="7" t="n"/>
      <c r="K270" s="7">
        <f>IF($A270="","",U270*N270)</f>
        <v/>
      </c>
      <c r="L270" s="7">
        <f>IF($A270="","",N270-K270)</f>
        <v/>
      </c>
      <c r="M270" s="7">
        <f>IF($A270="","",L270-F270)</f>
        <v/>
      </c>
      <c r="N270" s="7" t="n"/>
      <c r="O270" s="7" t="n"/>
      <c r="P270" s="7" t="n"/>
      <c r="S270" s="11" t="n"/>
      <c r="U270">
        <f>IF($A270="","",IF($Y270=1,Settings!$C$6,Settings!$C$7)*1)</f>
        <v/>
      </c>
      <c r="W270">
        <f>IF($A270="","",IF(COUNTIF($A$2:$A270,$A270)=1,1,0))</f>
        <v/>
      </c>
      <c r="X270">
        <f>IF($W270=1,SUMPRODUCT(--($Z$2:$Z$501&lt;$Z270))+1,"")</f>
        <v/>
      </c>
      <c r="Y270">
        <f>IF($A270="","",IF(OR($V270=TRUE(),$V270="TRUE"),1,0))</f>
        <v/>
      </c>
      <c r="Z270">
        <f>IF($W270=1,IFERROR(IF(VALUE($A270)&lt;100000000,VALUE($A270),1000000000),IFERROR(IF(VALUE(MID($A270,2,20))&lt;100000000,VALUE(MID($A270,2,20)),1000000000),1000000000))+ROW()/100000,"")</f>
        <v/>
      </c>
    </row>
    <row r="271">
      <c r="F271" s="7">
        <f>IF($A271="","",E271*N271/100)</f>
        <v/>
      </c>
      <c r="J271" s="7" t="n"/>
      <c r="K271" s="7">
        <f>IF($A271="","",U271*N271)</f>
        <v/>
      </c>
      <c r="L271" s="7">
        <f>IF($A271="","",N271-K271)</f>
        <v/>
      </c>
      <c r="M271" s="7">
        <f>IF($A271="","",L271-F271)</f>
        <v/>
      </c>
      <c r="N271" s="7" t="n"/>
      <c r="O271" s="7" t="n"/>
      <c r="P271" s="7" t="n"/>
      <c r="S271" s="11" t="n"/>
      <c r="U271">
        <f>IF($A271="","",IF($Y271=1,Settings!$C$6,Settings!$C$7)*1)</f>
        <v/>
      </c>
      <c r="W271">
        <f>IF($A271="","",IF(COUNTIF($A$2:$A271,$A271)=1,1,0))</f>
        <v/>
      </c>
      <c r="X271">
        <f>IF($W271=1,SUMPRODUCT(--($Z$2:$Z$501&lt;$Z271))+1,"")</f>
        <v/>
      </c>
      <c r="Y271">
        <f>IF($A271="","",IF(OR($V271=TRUE(),$V271="TRUE"),1,0))</f>
        <v/>
      </c>
      <c r="Z271">
        <f>IF($W271=1,IFERROR(IF(VALUE($A271)&lt;100000000,VALUE($A271),1000000000),IFERROR(IF(VALUE(MID($A271,2,20))&lt;100000000,VALUE(MID($A271,2,20)),1000000000),1000000000))+ROW()/100000,"")</f>
        <v/>
      </c>
    </row>
    <row r="272">
      <c r="F272" s="7">
        <f>IF($A272="","",E272*N272/100)</f>
        <v/>
      </c>
      <c r="J272" s="7" t="n"/>
      <c r="K272" s="7">
        <f>IF($A272="","",U272*N272)</f>
        <v/>
      </c>
      <c r="L272" s="7">
        <f>IF($A272="","",N272-K272)</f>
        <v/>
      </c>
      <c r="M272" s="7">
        <f>IF($A272="","",L272-F272)</f>
        <v/>
      </c>
      <c r="N272" s="7" t="n"/>
      <c r="O272" s="7" t="n"/>
      <c r="P272" s="7" t="n"/>
      <c r="S272" s="11" t="n"/>
      <c r="U272">
        <f>IF($A272="","",IF($Y272=1,Settings!$C$6,Settings!$C$7)*1)</f>
        <v/>
      </c>
      <c r="W272">
        <f>IF($A272="","",IF(COUNTIF($A$2:$A272,$A272)=1,1,0))</f>
        <v/>
      </c>
      <c r="X272">
        <f>IF($W272=1,SUMPRODUCT(--($Z$2:$Z$501&lt;$Z272))+1,"")</f>
        <v/>
      </c>
      <c r="Y272">
        <f>IF($A272="","",IF(OR($V272=TRUE(),$V272="TRUE"),1,0))</f>
        <v/>
      </c>
      <c r="Z272">
        <f>IF($W272=1,IFERROR(IF(VALUE($A272)&lt;100000000,VALUE($A272),1000000000),IFERROR(IF(VALUE(MID($A272,2,20))&lt;100000000,VALUE(MID($A272,2,20)),1000000000),1000000000))+ROW()/100000,"")</f>
        <v/>
      </c>
    </row>
    <row r="273">
      <c r="F273" s="7">
        <f>IF($A273="","",E273*N273/100)</f>
        <v/>
      </c>
      <c r="J273" s="7" t="n"/>
      <c r="K273" s="7">
        <f>IF($A273="","",U273*N273)</f>
        <v/>
      </c>
      <c r="L273" s="7">
        <f>IF($A273="","",N273-K273)</f>
        <v/>
      </c>
      <c r="M273" s="7">
        <f>IF($A273="","",L273-F273)</f>
        <v/>
      </c>
      <c r="N273" s="7" t="n"/>
      <c r="O273" s="7" t="n"/>
      <c r="P273" s="7" t="n"/>
      <c r="S273" s="11" t="n"/>
      <c r="U273">
        <f>IF($A273="","",IF($Y273=1,Settings!$C$6,Settings!$C$7)*1)</f>
        <v/>
      </c>
      <c r="W273">
        <f>IF($A273="","",IF(COUNTIF($A$2:$A273,$A273)=1,1,0))</f>
        <v/>
      </c>
      <c r="X273">
        <f>IF($W273=1,SUMPRODUCT(--($Z$2:$Z$501&lt;$Z273))+1,"")</f>
        <v/>
      </c>
      <c r="Y273">
        <f>IF($A273="","",IF(OR($V273=TRUE(),$V273="TRUE"),1,0))</f>
        <v/>
      </c>
      <c r="Z273">
        <f>IF($W273=1,IFERROR(IF(VALUE($A273)&lt;100000000,VALUE($A273),1000000000),IFERROR(IF(VALUE(MID($A273,2,20))&lt;100000000,VALUE(MID($A273,2,20)),1000000000),1000000000))+ROW()/100000,"")</f>
        <v/>
      </c>
    </row>
    <row r="274">
      <c r="F274" s="7">
        <f>IF($A274="","",E274*N274/100)</f>
        <v/>
      </c>
      <c r="J274" s="7" t="n"/>
      <c r="K274" s="7">
        <f>IF($A274="","",U274*N274)</f>
        <v/>
      </c>
      <c r="L274" s="7">
        <f>IF($A274="","",N274-K274)</f>
        <v/>
      </c>
      <c r="M274" s="7">
        <f>IF($A274="","",L274-F274)</f>
        <v/>
      </c>
      <c r="N274" s="7" t="n"/>
      <c r="O274" s="7" t="n"/>
      <c r="P274" s="7" t="n"/>
      <c r="S274" s="11" t="n"/>
      <c r="U274">
        <f>IF($A274="","",IF($Y274=1,Settings!$C$6,Settings!$C$7)*1)</f>
        <v/>
      </c>
      <c r="W274">
        <f>IF($A274="","",IF(COUNTIF($A$2:$A274,$A274)=1,1,0))</f>
        <v/>
      </c>
      <c r="X274">
        <f>IF($W274=1,SUMPRODUCT(--($Z$2:$Z$501&lt;$Z274))+1,"")</f>
        <v/>
      </c>
      <c r="Y274">
        <f>IF($A274="","",IF(OR($V274=TRUE(),$V274="TRUE"),1,0))</f>
        <v/>
      </c>
      <c r="Z274">
        <f>IF($W274=1,IFERROR(IF(VALUE($A274)&lt;100000000,VALUE($A274),1000000000),IFERROR(IF(VALUE(MID($A274,2,20))&lt;100000000,VALUE(MID($A274,2,20)),1000000000),1000000000))+ROW()/100000,"")</f>
        <v/>
      </c>
    </row>
    <row r="275">
      <c r="F275" s="7">
        <f>IF($A275="","",E275*N275/100)</f>
        <v/>
      </c>
      <c r="J275" s="7" t="n"/>
      <c r="K275" s="7">
        <f>IF($A275="","",U275*N275)</f>
        <v/>
      </c>
      <c r="L275" s="7">
        <f>IF($A275="","",N275-K275)</f>
        <v/>
      </c>
      <c r="M275" s="7">
        <f>IF($A275="","",L275-F275)</f>
        <v/>
      </c>
      <c r="N275" s="7" t="n"/>
      <c r="O275" s="7" t="n"/>
      <c r="P275" s="7" t="n"/>
      <c r="S275" s="11" t="n"/>
      <c r="U275">
        <f>IF($A275="","",IF($Y275=1,Settings!$C$6,Settings!$C$7)*1)</f>
        <v/>
      </c>
      <c r="W275">
        <f>IF($A275="","",IF(COUNTIF($A$2:$A275,$A275)=1,1,0))</f>
        <v/>
      </c>
      <c r="X275">
        <f>IF($W275=1,SUMPRODUCT(--($Z$2:$Z$501&lt;$Z275))+1,"")</f>
        <v/>
      </c>
      <c r="Y275">
        <f>IF($A275="","",IF(OR($V275=TRUE(),$V275="TRUE"),1,0))</f>
        <v/>
      </c>
      <c r="Z275">
        <f>IF($W275=1,IFERROR(IF(VALUE($A275)&lt;100000000,VALUE($A275),1000000000),IFERROR(IF(VALUE(MID($A275,2,20))&lt;100000000,VALUE(MID($A275,2,20)),1000000000),1000000000))+ROW()/100000,"")</f>
        <v/>
      </c>
    </row>
    <row r="276">
      <c r="F276" s="7">
        <f>IF($A276="","",E276*N276/100)</f>
        <v/>
      </c>
      <c r="J276" s="7" t="n"/>
      <c r="K276" s="7">
        <f>IF($A276="","",U276*N276)</f>
        <v/>
      </c>
      <c r="L276" s="7">
        <f>IF($A276="","",N276-K276)</f>
        <v/>
      </c>
      <c r="M276" s="7">
        <f>IF($A276="","",L276-F276)</f>
        <v/>
      </c>
      <c r="N276" s="7" t="n"/>
      <c r="O276" s="7" t="n"/>
      <c r="P276" s="7" t="n"/>
      <c r="S276" s="11" t="n"/>
      <c r="U276">
        <f>IF($A276="","",IF($Y276=1,Settings!$C$6,Settings!$C$7)*1)</f>
        <v/>
      </c>
      <c r="W276">
        <f>IF($A276="","",IF(COUNTIF($A$2:$A276,$A276)=1,1,0))</f>
        <v/>
      </c>
      <c r="X276">
        <f>IF($W276=1,SUMPRODUCT(--($Z$2:$Z$501&lt;$Z276))+1,"")</f>
        <v/>
      </c>
      <c r="Y276">
        <f>IF($A276="","",IF(OR($V276=TRUE(),$V276="TRUE"),1,0))</f>
        <v/>
      </c>
      <c r="Z276">
        <f>IF($W276=1,IFERROR(IF(VALUE($A276)&lt;100000000,VALUE($A276),1000000000),IFERROR(IF(VALUE(MID($A276,2,20))&lt;100000000,VALUE(MID($A276,2,20)),1000000000),1000000000))+ROW()/100000,"")</f>
        <v/>
      </c>
    </row>
    <row r="277">
      <c r="F277" s="7">
        <f>IF($A277="","",E277*N277/100)</f>
        <v/>
      </c>
      <c r="J277" s="7" t="n"/>
      <c r="K277" s="7">
        <f>IF($A277="","",U277*N277)</f>
        <v/>
      </c>
      <c r="L277" s="7">
        <f>IF($A277="","",N277-K277)</f>
        <v/>
      </c>
      <c r="M277" s="7">
        <f>IF($A277="","",L277-F277)</f>
        <v/>
      </c>
      <c r="N277" s="7" t="n"/>
      <c r="O277" s="7" t="n"/>
      <c r="P277" s="7" t="n"/>
      <c r="S277" s="11" t="n"/>
      <c r="U277">
        <f>IF($A277="","",IF($Y277=1,Settings!$C$6,Settings!$C$7)*1)</f>
        <v/>
      </c>
      <c r="W277">
        <f>IF($A277="","",IF(COUNTIF($A$2:$A277,$A277)=1,1,0))</f>
        <v/>
      </c>
      <c r="X277">
        <f>IF($W277=1,SUMPRODUCT(--($Z$2:$Z$501&lt;$Z277))+1,"")</f>
        <v/>
      </c>
      <c r="Y277">
        <f>IF($A277="","",IF(OR($V277=TRUE(),$V277="TRUE"),1,0))</f>
        <v/>
      </c>
      <c r="Z277">
        <f>IF($W277=1,IFERROR(IF(VALUE($A277)&lt;100000000,VALUE($A277),1000000000),IFERROR(IF(VALUE(MID($A277,2,20))&lt;100000000,VALUE(MID($A277,2,20)),1000000000),1000000000))+ROW()/100000,"")</f>
        <v/>
      </c>
    </row>
    <row r="278">
      <c r="F278" s="7">
        <f>IF($A278="","",E278*N278/100)</f>
        <v/>
      </c>
      <c r="J278" s="7" t="n"/>
      <c r="K278" s="7">
        <f>IF($A278="","",U278*N278)</f>
        <v/>
      </c>
      <c r="L278" s="7">
        <f>IF($A278="","",N278-K278)</f>
        <v/>
      </c>
      <c r="M278" s="7">
        <f>IF($A278="","",L278-F278)</f>
        <v/>
      </c>
      <c r="N278" s="7" t="n"/>
      <c r="O278" s="7" t="n"/>
      <c r="P278" s="7" t="n"/>
      <c r="S278" s="11" t="n"/>
      <c r="U278">
        <f>IF($A278="","",IF($Y278=1,Settings!$C$6,Settings!$C$7)*1)</f>
        <v/>
      </c>
      <c r="W278">
        <f>IF($A278="","",IF(COUNTIF($A$2:$A278,$A278)=1,1,0))</f>
        <v/>
      </c>
      <c r="X278">
        <f>IF($W278=1,SUMPRODUCT(--($Z$2:$Z$501&lt;$Z278))+1,"")</f>
        <v/>
      </c>
      <c r="Y278">
        <f>IF($A278="","",IF(OR($V278=TRUE(),$V278="TRUE"),1,0))</f>
        <v/>
      </c>
      <c r="Z278">
        <f>IF($W278=1,IFERROR(IF(VALUE($A278)&lt;100000000,VALUE($A278),1000000000),IFERROR(IF(VALUE(MID($A278,2,20))&lt;100000000,VALUE(MID($A278,2,20)),1000000000),1000000000))+ROW()/100000,"")</f>
        <v/>
      </c>
    </row>
    <row r="279">
      <c r="F279" s="7">
        <f>IF($A279="","",E279*N279/100)</f>
        <v/>
      </c>
      <c r="J279" s="7" t="n"/>
      <c r="K279" s="7">
        <f>IF($A279="","",U279*N279)</f>
        <v/>
      </c>
      <c r="L279" s="7">
        <f>IF($A279="","",N279-K279)</f>
        <v/>
      </c>
      <c r="M279" s="7">
        <f>IF($A279="","",L279-F279)</f>
        <v/>
      </c>
      <c r="N279" s="7" t="n"/>
      <c r="O279" s="7" t="n"/>
      <c r="P279" s="7" t="n"/>
      <c r="S279" s="11" t="n"/>
      <c r="U279">
        <f>IF($A279="","",IF($Y279=1,Settings!$C$6,Settings!$C$7)*1)</f>
        <v/>
      </c>
      <c r="W279">
        <f>IF($A279="","",IF(COUNTIF($A$2:$A279,$A279)=1,1,0))</f>
        <v/>
      </c>
      <c r="X279">
        <f>IF($W279=1,SUMPRODUCT(--($Z$2:$Z$501&lt;$Z279))+1,"")</f>
        <v/>
      </c>
      <c r="Y279">
        <f>IF($A279="","",IF(OR($V279=TRUE(),$V279="TRUE"),1,0))</f>
        <v/>
      </c>
      <c r="Z279">
        <f>IF($W279=1,IFERROR(IF(VALUE($A279)&lt;100000000,VALUE($A279),1000000000),IFERROR(IF(VALUE(MID($A279,2,20))&lt;100000000,VALUE(MID($A279,2,20)),1000000000),1000000000))+ROW()/100000,"")</f>
        <v/>
      </c>
    </row>
    <row r="280">
      <c r="F280" s="7">
        <f>IF($A280="","",E280*N280/100)</f>
        <v/>
      </c>
      <c r="J280" s="7" t="n"/>
      <c r="K280" s="7">
        <f>IF($A280="","",U280*N280)</f>
        <v/>
      </c>
      <c r="L280" s="7">
        <f>IF($A280="","",N280-K280)</f>
        <v/>
      </c>
      <c r="M280" s="7">
        <f>IF($A280="","",L280-F280)</f>
        <v/>
      </c>
      <c r="N280" s="7" t="n"/>
      <c r="O280" s="7" t="n"/>
      <c r="P280" s="7" t="n"/>
      <c r="S280" s="11" t="n"/>
      <c r="U280">
        <f>IF($A280="","",IF($Y280=1,Settings!$C$6,Settings!$C$7)*1)</f>
        <v/>
      </c>
      <c r="W280">
        <f>IF($A280="","",IF(COUNTIF($A$2:$A280,$A280)=1,1,0))</f>
        <v/>
      </c>
      <c r="X280">
        <f>IF($W280=1,SUMPRODUCT(--($Z$2:$Z$501&lt;$Z280))+1,"")</f>
        <v/>
      </c>
      <c r="Y280">
        <f>IF($A280="","",IF(OR($V280=TRUE(),$V280="TRUE"),1,0))</f>
        <v/>
      </c>
      <c r="Z280">
        <f>IF($W280=1,IFERROR(IF(VALUE($A280)&lt;100000000,VALUE($A280),1000000000),IFERROR(IF(VALUE(MID($A280,2,20))&lt;100000000,VALUE(MID($A280,2,20)),1000000000),1000000000))+ROW()/100000,"")</f>
        <v/>
      </c>
    </row>
    <row r="281">
      <c r="F281" s="7">
        <f>IF($A281="","",E281*N281/100)</f>
        <v/>
      </c>
      <c r="J281" s="7" t="n"/>
      <c r="K281" s="7">
        <f>IF($A281="","",U281*N281)</f>
        <v/>
      </c>
      <c r="L281" s="7">
        <f>IF($A281="","",N281-K281)</f>
        <v/>
      </c>
      <c r="M281" s="7">
        <f>IF($A281="","",L281-F281)</f>
        <v/>
      </c>
      <c r="N281" s="7" t="n"/>
      <c r="O281" s="7" t="n"/>
      <c r="P281" s="7" t="n"/>
      <c r="S281" s="11" t="n"/>
      <c r="U281">
        <f>IF($A281="","",IF($Y281=1,Settings!$C$6,Settings!$C$7)*1)</f>
        <v/>
      </c>
      <c r="W281">
        <f>IF($A281="","",IF(COUNTIF($A$2:$A281,$A281)=1,1,0))</f>
        <v/>
      </c>
      <c r="X281">
        <f>IF($W281=1,SUMPRODUCT(--($Z$2:$Z$501&lt;$Z281))+1,"")</f>
        <v/>
      </c>
      <c r="Y281">
        <f>IF($A281="","",IF(OR($V281=TRUE(),$V281="TRUE"),1,0))</f>
        <v/>
      </c>
      <c r="Z281">
        <f>IF($W281=1,IFERROR(IF(VALUE($A281)&lt;100000000,VALUE($A281),1000000000),IFERROR(IF(VALUE(MID($A281,2,20))&lt;100000000,VALUE(MID($A281,2,20)),1000000000),1000000000))+ROW()/100000,"")</f>
        <v/>
      </c>
    </row>
    <row r="282">
      <c r="F282" s="7">
        <f>IF($A282="","",E282*N282/100)</f>
        <v/>
      </c>
      <c r="J282" s="7" t="n"/>
      <c r="K282" s="7">
        <f>IF($A282="","",U282*N282)</f>
        <v/>
      </c>
      <c r="L282" s="7">
        <f>IF($A282="","",N282-K282)</f>
        <v/>
      </c>
      <c r="M282" s="7">
        <f>IF($A282="","",L282-F282)</f>
        <v/>
      </c>
      <c r="N282" s="7" t="n"/>
      <c r="O282" s="7" t="n"/>
      <c r="P282" s="7" t="n"/>
      <c r="S282" s="11" t="n"/>
      <c r="U282">
        <f>IF($A282="","",IF($Y282=1,Settings!$C$6,Settings!$C$7)*1)</f>
        <v/>
      </c>
      <c r="W282">
        <f>IF($A282="","",IF(COUNTIF($A$2:$A282,$A282)=1,1,0))</f>
        <v/>
      </c>
      <c r="X282">
        <f>IF($W282=1,SUMPRODUCT(--($Z$2:$Z$501&lt;$Z282))+1,"")</f>
        <v/>
      </c>
      <c r="Y282">
        <f>IF($A282="","",IF(OR($V282=TRUE(),$V282="TRUE"),1,0))</f>
        <v/>
      </c>
      <c r="Z282">
        <f>IF($W282=1,IFERROR(IF(VALUE($A282)&lt;100000000,VALUE($A282),1000000000),IFERROR(IF(VALUE(MID($A282,2,20))&lt;100000000,VALUE(MID($A282,2,20)),1000000000),1000000000))+ROW()/100000,"")</f>
        <v/>
      </c>
    </row>
    <row r="283">
      <c r="F283" s="7">
        <f>IF($A283="","",E283*N283/100)</f>
        <v/>
      </c>
      <c r="J283" s="7" t="n"/>
      <c r="K283" s="7">
        <f>IF($A283="","",U283*N283)</f>
        <v/>
      </c>
      <c r="L283" s="7">
        <f>IF($A283="","",N283-K283)</f>
        <v/>
      </c>
      <c r="M283" s="7">
        <f>IF($A283="","",L283-F283)</f>
        <v/>
      </c>
      <c r="N283" s="7" t="n"/>
      <c r="O283" s="7" t="n"/>
      <c r="P283" s="7" t="n"/>
      <c r="S283" s="11" t="n"/>
      <c r="U283">
        <f>IF($A283="","",IF($Y283=1,Settings!$C$6,Settings!$C$7)*1)</f>
        <v/>
      </c>
      <c r="W283">
        <f>IF($A283="","",IF(COUNTIF($A$2:$A283,$A283)=1,1,0))</f>
        <v/>
      </c>
      <c r="X283">
        <f>IF($W283=1,SUMPRODUCT(--($Z$2:$Z$501&lt;$Z283))+1,"")</f>
        <v/>
      </c>
      <c r="Y283">
        <f>IF($A283="","",IF(OR($V283=TRUE(),$V283="TRUE"),1,0))</f>
        <v/>
      </c>
      <c r="Z283">
        <f>IF($W283=1,IFERROR(IF(VALUE($A283)&lt;100000000,VALUE($A283),1000000000),IFERROR(IF(VALUE(MID($A283,2,20))&lt;100000000,VALUE(MID($A283,2,20)),1000000000),1000000000))+ROW()/100000,"")</f>
        <v/>
      </c>
    </row>
    <row r="284">
      <c r="F284" s="7">
        <f>IF($A284="","",E284*N284/100)</f>
        <v/>
      </c>
      <c r="J284" s="7" t="n"/>
      <c r="K284" s="7">
        <f>IF($A284="","",U284*N284)</f>
        <v/>
      </c>
      <c r="L284" s="7">
        <f>IF($A284="","",N284-K284)</f>
        <v/>
      </c>
      <c r="M284" s="7">
        <f>IF($A284="","",L284-F284)</f>
        <v/>
      </c>
      <c r="N284" s="7" t="n"/>
      <c r="O284" s="7" t="n"/>
      <c r="P284" s="7" t="n"/>
      <c r="S284" s="11" t="n"/>
      <c r="U284">
        <f>IF($A284="","",IF($Y284=1,Settings!$C$6,Settings!$C$7)*1)</f>
        <v/>
      </c>
      <c r="W284">
        <f>IF($A284="","",IF(COUNTIF($A$2:$A284,$A284)=1,1,0))</f>
        <v/>
      </c>
      <c r="X284">
        <f>IF($W284=1,SUMPRODUCT(--($Z$2:$Z$501&lt;$Z284))+1,"")</f>
        <v/>
      </c>
      <c r="Y284">
        <f>IF($A284="","",IF(OR($V284=TRUE(),$V284="TRUE"),1,0))</f>
        <v/>
      </c>
      <c r="Z284">
        <f>IF($W284=1,IFERROR(IF(VALUE($A284)&lt;100000000,VALUE($A284),1000000000),IFERROR(IF(VALUE(MID($A284,2,20))&lt;100000000,VALUE(MID($A284,2,20)),1000000000),1000000000))+ROW()/100000,"")</f>
        <v/>
      </c>
    </row>
    <row r="285">
      <c r="F285" s="7">
        <f>IF($A285="","",E285*N285/100)</f>
        <v/>
      </c>
      <c r="J285" s="7" t="n"/>
      <c r="K285" s="7">
        <f>IF($A285="","",U285*N285)</f>
        <v/>
      </c>
      <c r="L285" s="7">
        <f>IF($A285="","",N285-K285)</f>
        <v/>
      </c>
      <c r="M285" s="7">
        <f>IF($A285="","",L285-F285)</f>
        <v/>
      </c>
      <c r="N285" s="7" t="n"/>
      <c r="O285" s="7" t="n"/>
      <c r="P285" s="7" t="n"/>
      <c r="S285" s="11" t="n"/>
      <c r="U285">
        <f>IF($A285="","",IF($Y285=1,Settings!$C$6,Settings!$C$7)*1)</f>
        <v/>
      </c>
      <c r="W285">
        <f>IF($A285="","",IF(COUNTIF($A$2:$A285,$A285)=1,1,0))</f>
        <v/>
      </c>
      <c r="X285">
        <f>IF($W285=1,SUMPRODUCT(--($Z$2:$Z$501&lt;$Z285))+1,"")</f>
        <v/>
      </c>
      <c r="Y285">
        <f>IF($A285="","",IF(OR($V285=TRUE(),$V285="TRUE"),1,0))</f>
        <v/>
      </c>
      <c r="Z285">
        <f>IF($W285=1,IFERROR(IF(VALUE($A285)&lt;100000000,VALUE($A285),1000000000),IFERROR(IF(VALUE(MID($A285,2,20))&lt;100000000,VALUE(MID($A285,2,20)),1000000000),1000000000))+ROW()/100000,"")</f>
        <v/>
      </c>
    </row>
    <row r="286">
      <c r="F286" s="7">
        <f>IF($A286="","",E286*N286/100)</f>
        <v/>
      </c>
      <c r="J286" s="7" t="n"/>
      <c r="K286" s="7">
        <f>IF($A286="","",U286*N286)</f>
        <v/>
      </c>
      <c r="L286" s="7">
        <f>IF($A286="","",N286-K286)</f>
        <v/>
      </c>
      <c r="M286" s="7">
        <f>IF($A286="","",L286-F286)</f>
        <v/>
      </c>
      <c r="N286" s="7" t="n"/>
      <c r="O286" s="7" t="n"/>
      <c r="P286" s="7" t="n"/>
      <c r="S286" s="11" t="n"/>
      <c r="U286">
        <f>IF($A286="","",IF($Y286=1,Settings!$C$6,Settings!$C$7)*1)</f>
        <v/>
      </c>
      <c r="W286">
        <f>IF($A286="","",IF(COUNTIF($A$2:$A286,$A286)=1,1,0))</f>
        <v/>
      </c>
      <c r="X286">
        <f>IF($W286=1,SUMPRODUCT(--($Z$2:$Z$501&lt;$Z286))+1,"")</f>
        <v/>
      </c>
      <c r="Y286">
        <f>IF($A286="","",IF(OR($V286=TRUE(),$V286="TRUE"),1,0))</f>
        <v/>
      </c>
      <c r="Z286">
        <f>IF($W286=1,IFERROR(IF(VALUE($A286)&lt;100000000,VALUE($A286),1000000000),IFERROR(IF(VALUE(MID($A286,2,20))&lt;100000000,VALUE(MID($A286,2,20)),1000000000),1000000000))+ROW()/100000,"")</f>
        <v/>
      </c>
    </row>
    <row r="287">
      <c r="F287" s="7">
        <f>IF($A287="","",E287*N287/100)</f>
        <v/>
      </c>
      <c r="J287" s="7" t="n"/>
      <c r="K287" s="7">
        <f>IF($A287="","",U287*N287)</f>
        <v/>
      </c>
      <c r="L287" s="7">
        <f>IF($A287="","",N287-K287)</f>
        <v/>
      </c>
      <c r="M287" s="7">
        <f>IF($A287="","",L287-F287)</f>
        <v/>
      </c>
      <c r="N287" s="7" t="n"/>
      <c r="O287" s="7" t="n"/>
      <c r="P287" s="7" t="n"/>
      <c r="S287" s="11" t="n"/>
      <c r="U287">
        <f>IF($A287="","",IF($Y287=1,Settings!$C$6,Settings!$C$7)*1)</f>
        <v/>
      </c>
      <c r="W287">
        <f>IF($A287="","",IF(COUNTIF($A$2:$A287,$A287)=1,1,0))</f>
        <v/>
      </c>
      <c r="X287">
        <f>IF($W287=1,SUMPRODUCT(--($Z$2:$Z$501&lt;$Z287))+1,"")</f>
        <v/>
      </c>
      <c r="Y287">
        <f>IF($A287="","",IF(OR($V287=TRUE(),$V287="TRUE"),1,0))</f>
        <v/>
      </c>
      <c r="Z287">
        <f>IF($W287=1,IFERROR(IF(VALUE($A287)&lt;100000000,VALUE($A287),1000000000),IFERROR(IF(VALUE(MID($A287,2,20))&lt;100000000,VALUE(MID($A287,2,20)),1000000000),1000000000))+ROW()/100000,"")</f>
        <v/>
      </c>
    </row>
    <row r="288">
      <c r="F288" s="7">
        <f>IF($A288="","",E288*N288/100)</f>
        <v/>
      </c>
      <c r="J288" s="7" t="n"/>
      <c r="K288" s="7">
        <f>IF($A288="","",U288*N288)</f>
        <v/>
      </c>
      <c r="L288" s="7">
        <f>IF($A288="","",N288-K288)</f>
        <v/>
      </c>
      <c r="M288" s="7">
        <f>IF($A288="","",L288-F288)</f>
        <v/>
      </c>
      <c r="N288" s="7" t="n"/>
      <c r="O288" s="7" t="n"/>
      <c r="P288" s="7" t="n"/>
      <c r="S288" s="11" t="n"/>
      <c r="U288">
        <f>IF($A288="","",IF($Y288=1,Settings!$C$6,Settings!$C$7)*1)</f>
        <v/>
      </c>
      <c r="W288">
        <f>IF($A288="","",IF(COUNTIF($A$2:$A288,$A288)=1,1,0))</f>
        <v/>
      </c>
      <c r="X288">
        <f>IF($W288=1,SUMPRODUCT(--($Z$2:$Z$501&lt;$Z288))+1,"")</f>
        <v/>
      </c>
      <c r="Y288">
        <f>IF($A288="","",IF(OR($V288=TRUE(),$V288="TRUE"),1,0))</f>
        <v/>
      </c>
      <c r="Z288">
        <f>IF($W288=1,IFERROR(IF(VALUE($A288)&lt;100000000,VALUE($A288),1000000000),IFERROR(IF(VALUE(MID($A288,2,20))&lt;100000000,VALUE(MID($A288,2,20)),1000000000),1000000000))+ROW()/100000,"")</f>
        <v/>
      </c>
    </row>
    <row r="289">
      <c r="F289" s="7">
        <f>IF($A289="","",E289*N289/100)</f>
        <v/>
      </c>
      <c r="J289" s="7" t="n"/>
      <c r="K289" s="7">
        <f>IF($A289="","",U289*N289)</f>
        <v/>
      </c>
      <c r="L289" s="7">
        <f>IF($A289="","",N289-K289)</f>
        <v/>
      </c>
      <c r="M289" s="7">
        <f>IF($A289="","",L289-F289)</f>
        <v/>
      </c>
      <c r="N289" s="7" t="n"/>
      <c r="O289" s="7" t="n"/>
      <c r="P289" s="7" t="n"/>
      <c r="S289" s="11" t="n"/>
      <c r="U289">
        <f>IF($A289="","",IF($Y289=1,Settings!$C$6,Settings!$C$7)*1)</f>
        <v/>
      </c>
      <c r="W289">
        <f>IF($A289="","",IF(COUNTIF($A$2:$A289,$A289)=1,1,0))</f>
        <v/>
      </c>
      <c r="X289">
        <f>IF($W289=1,SUMPRODUCT(--($Z$2:$Z$501&lt;$Z289))+1,"")</f>
        <v/>
      </c>
      <c r="Y289">
        <f>IF($A289="","",IF(OR($V289=TRUE(),$V289="TRUE"),1,0))</f>
        <v/>
      </c>
      <c r="Z289">
        <f>IF($W289=1,IFERROR(IF(VALUE($A289)&lt;100000000,VALUE($A289),1000000000),IFERROR(IF(VALUE(MID($A289,2,20))&lt;100000000,VALUE(MID($A289,2,20)),1000000000),1000000000))+ROW()/100000,"")</f>
        <v/>
      </c>
    </row>
    <row r="290">
      <c r="F290" s="7">
        <f>IF($A290="","",E290*N290/100)</f>
        <v/>
      </c>
      <c r="J290" s="7" t="n"/>
      <c r="K290" s="7">
        <f>IF($A290="","",U290*N290)</f>
        <v/>
      </c>
      <c r="L290" s="7">
        <f>IF($A290="","",N290-K290)</f>
        <v/>
      </c>
      <c r="M290" s="7">
        <f>IF($A290="","",L290-F290)</f>
        <v/>
      </c>
      <c r="N290" s="7" t="n"/>
      <c r="O290" s="7" t="n"/>
      <c r="P290" s="7" t="n"/>
      <c r="S290" s="11" t="n"/>
      <c r="U290">
        <f>IF($A290="","",IF($Y290=1,Settings!$C$6,Settings!$C$7)*1)</f>
        <v/>
      </c>
      <c r="W290">
        <f>IF($A290="","",IF(COUNTIF($A$2:$A290,$A290)=1,1,0))</f>
        <v/>
      </c>
      <c r="X290">
        <f>IF($W290=1,SUMPRODUCT(--($Z$2:$Z$501&lt;$Z290))+1,"")</f>
        <v/>
      </c>
      <c r="Y290">
        <f>IF($A290="","",IF(OR($V290=TRUE(),$V290="TRUE"),1,0))</f>
        <v/>
      </c>
      <c r="Z290">
        <f>IF($W290=1,IFERROR(IF(VALUE($A290)&lt;100000000,VALUE($A290),1000000000),IFERROR(IF(VALUE(MID($A290,2,20))&lt;100000000,VALUE(MID($A290,2,20)),1000000000),1000000000))+ROW()/100000,"")</f>
        <v/>
      </c>
    </row>
    <row r="291">
      <c r="F291" s="7">
        <f>IF($A291="","",E291*N291/100)</f>
        <v/>
      </c>
      <c r="J291" s="7" t="n"/>
      <c r="K291" s="7">
        <f>IF($A291="","",U291*N291)</f>
        <v/>
      </c>
      <c r="L291" s="7">
        <f>IF($A291="","",N291-K291)</f>
        <v/>
      </c>
      <c r="M291" s="7">
        <f>IF($A291="","",L291-F291)</f>
        <v/>
      </c>
      <c r="N291" s="7" t="n"/>
      <c r="O291" s="7" t="n"/>
      <c r="P291" s="7" t="n"/>
      <c r="S291" s="11" t="n"/>
      <c r="U291">
        <f>IF($A291="","",IF($Y291=1,Settings!$C$6,Settings!$C$7)*1)</f>
        <v/>
      </c>
      <c r="W291">
        <f>IF($A291="","",IF(COUNTIF($A$2:$A291,$A291)=1,1,0))</f>
        <v/>
      </c>
      <c r="X291">
        <f>IF($W291=1,SUMPRODUCT(--($Z$2:$Z$501&lt;$Z291))+1,"")</f>
        <v/>
      </c>
      <c r="Y291">
        <f>IF($A291="","",IF(OR($V291=TRUE(),$V291="TRUE"),1,0))</f>
        <v/>
      </c>
      <c r="Z291">
        <f>IF($W291=1,IFERROR(IF(VALUE($A291)&lt;100000000,VALUE($A291),1000000000),IFERROR(IF(VALUE(MID($A291,2,20))&lt;100000000,VALUE(MID($A291,2,20)),1000000000),1000000000))+ROW()/100000,"")</f>
        <v/>
      </c>
    </row>
    <row r="292">
      <c r="F292" s="7">
        <f>IF($A292="","",E292*N292/100)</f>
        <v/>
      </c>
      <c r="J292" s="7" t="n"/>
      <c r="K292" s="7">
        <f>IF($A292="","",U292*N292)</f>
        <v/>
      </c>
      <c r="L292" s="7">
        <f>IF($A292="","",N292-K292)</f>
        <v/>
      </c>
      <c r="M292" s="7">
        <f>IF($A292="","",L292-F292)</f>
        <v/>
      </c>
      <c r="N292" s="7" t="n"/>
      <c r="O292" s="7" t="n"/>
      <c r="P292" s="7" t="n"/>
      <c r="S292" s="11" t="n"/>
      <c r="U292">
        <f>IF($A292="","",IF($Y292=1,Settings!$C$6,Settings!$C$7)*1)</f>
        <v/>
      </c>
      <c r="W292">
        <f>IF($A292="","",IF(COUNTIF($A$2:$A292,$A292)=1,1,0))</f>
        <v/>
      </c>
      <c r="X292">
        <f>IF($W292=1,SUMPRODUCT(--($Z$2:$Z$501&lt;$Z292))+1,"")</f>
        <v/>
      </c>
      <c r="Y292">
        <f>IF($A292="","",IF(OR($V292=TRUE(),$V292="TRUE"),1,0))</f>
        <v/>
      </c>
      <c r="Z292">
        <f>IF($W292=1,IFERROR(IF(VALUE($A292)&lt;100000000,VALUE($A292),1000000000),IFERROR(IF(VALUE(MID($A292,2,20))&lt;100000000,VALUE(MID($A292,2,20)),1000000000),1000000000))+ROW()/100000,"")</f>
        <v/>
      </c>
    </row>
    <row r="293">
      <c r="F293" s="7">
        <f>IF($A293="","",E293*N293/100)</f>
        <v/>
      </c>
      <c r="J293" s="7" t="n"/>
      <c r="K293" s="7">
        <f>IF($A293="","",U293*N293)</f>
        <v/>
      </c>
      <c r="L293" s="7">
        <f>IF($A293="","",N293-K293)</f>
        <v/>
      </c>
      <c r="M293" s="7">
        <f>IF($A293="","",L293-F293)</f>
        <v/>
      </c>
      <c r="N293" s="7" t="n"/>
      <c r="O293" s="7" t="n"/>
      <c r="P293" s="7" t="n"/>
      <c r="S293" s="11" t="n"/>
      <c r="U293">
        <f>IF($A293="","",IF($Y293=1,Settings!$C$6,Settings!$C$7)*1)</f>
        <v/>
      </c>
      <c r="W293">
        <f>IF($A293="","",IF(COUNTIF($A$2:$A293,$A293)=1,1,0))</f>
        <v/>
      </c>
      <c r="X293">
        <f>IF($W293=1,SUMPRODUCT(--($Z$2:$Z$501&lt;$Z293))+1,"")</f>
        <v/>
      </c>
      <c r="Y293">
        <f>IF($A293="","",IF(OR($V293=TRUE(),$V293="TRUE"),1,0))</f>
        <v/>
      </c>
      <c r="Z293">
        <f>IF($W293=1,IFERROR(IF(VALUE($A293)&lt;100000000,VALUE($A293),1000000000),IFERROR(IF(VALUE(MID($A293,2,20))&lt;100000000,VALUE(MID($A293,2,20)),1000000000),1000000000))+ROW()/100000,"")</f>
        <v/>
      </c>
    </row>
    <row r="294">
      <c r="F294" s="7">
        <f>IF($A294="","",E294*N294/100)</f>
        <v/>
      </c>
      <c r="J294" s="7" t="n"/>
      <c r="K294" s="7">
        <f>IF($A294="","",U294*N294)</f>
        <v/>
      </c>
      <c r="L294" s="7">
        <f>IF($A294="","",N294-K294)</f>
        <v/>
      </c>
      <c r="M294" s="7">
        <f>IF($A294="","",L294-F294)</f>
        <v/>
      </c>
      <c r="N294" s="7" t="n"/>
      <c r="O294" s="7" t="n"/>
      <c r="P294" s="7" t="n"/>
      <c r="S294" s="11" t="n"/>
      <c r="U294">
        <f>IF($A294="","",IF($Y294=1,Settings!$C$6,Settings!$C$7)*1)</f>
        <v/>
      </c>
      <c r="W294">
        <f>IF($A294="","",IF(COUNTIF($A$2:$A294,$A294)=1,1,0))</f>
        <v/>
      </c>
      <c r="X294">
        <f>IF($W294=1,SUMPRODUCT(--($Z$2:$Z$501&lt;$Z294))+1,"")</f>
        <v/>
      </c>
      <c r="Y294">
        <f>IF($A294="","",IF(OR($V294=TRUE(),$V294="TRUE"),1,0))</f>
        <v/>
      </c>
      <c r="Z294">
        <f>IF($W294=1,IFERROR(IF(VALUE($A294)&lt;100000000,VALUE($A294),1000000000),IFERROR(IF(VALUE(MID($A294,2,20))&lt;100000000,VALUE(MID($A294,2,20)),1000000000),1000000000))+ROW()/100000,"")</f>
        <v/>
      </c>
    </row>
    <row r="295">
      <c r="F295" s="7">
        <f>IF($A295="","",E295*N295/100)</f>
        <v/>
      </c>
      <c r="J295" s="7" t="n"/>
      <c r="K295" s="7">
        <f>IF($A295="","",U295*N295)</f>
        <v/>
      </c>
      <c r="L295" s="7">
        <f>IF($A295="","",N295-K295)</f>
        <v/>
      </c>
      <c r="M295" s="7">
        <f>IF($A295="","",L295-F295)</f>
        <v/>
      </c>
      <c r="N295" s="7" t="n"/>
      <c r="O295" s="7" t="n"/>
      <c r="P295" s="7" t="n"/>
      <c r="S295" s="11" t="n"/>
      <c r="U295">
        <f>IF($A295="","",IF($Y295=1,Settings!$C$6,Settings!$C$7)*1)</f>
        <v/>
      </c>
      <c r="W295">
        <f>IF($A295="","",IF(COUNTIF($A$2:$A295,$A295)=1,1,0))</f>
        <v/>
      </c>
      <c r="X295">
        <f>IF($W295=1,SUMPRODUCT(--($Z$2:$Z$501&lt;$Z295))+1,"")</f>
        <v/>
      </c>
      <c r="Y295">
        <f>IF($A295="","",IF(OR($V295=TRUE(),$V295="TRUE"),1,0))</f>
        <v/>
      </c>
      <c r="Z295">
        <f>IF($W295=1,IFERROR(IF(VALUE($A295)&lt;100000000,VALUE($A295),1000000000),IFERROR(IF(VALUE(MID($A295,2,20))&lt;100000000,VALUE(MID($A295,2,20)),1000000000),1000000000))+ROW()/100000,"")</f>
        <v/>
      </c>
    </row>
    <row r="296">
      <c r="F296" s="7">
        <f>IF($A296="","",E296*N296/100)</f>
        <v/>
      </c>
      <c r="J296" s="7" t="n"/>
      <c r="K296" s="7">
        <f>IF($A296="","",U296*N296)</f>
        <v/>
      </c>
      <c r="L296" s="7">
        <f>IF($A296="","",N296-K296)</f>
        <v/>
      </c>
      <c r="M296" s="7">
        <f>IF($A296="","",L296-F296)</f>
        <v/>
      </c>
      <c r="N296" s="7" t="n"/>
      <c r="O296" s="7" t="n"/>
      <c r="P296" s="7" t="n"/>
      <c r="S296" s="11" t="n"/>
      <c r="U296">
        <f>IF($A296="","",IF($Y296=1,Settings!$C$6,Settings!$C$7)*1)</f>
        <v/>
      </c>
      <c r="W296">
        <f>IF($A296="","",IF(COUNTIF($A$2:$A296,$A296)=1,1,0))</f>
        <v/>
      </c>
      <c r="X296">
        <f>IF($W296=1,SUMPRODUCT(--($Z$2:$Z$501&lt;$Z296))+1,"")</f>
        <v/>
      </c>
      <c r="Y296">
        <f>IF($A296="","",IF(OR($V296=TRUE(),$V296="TRUE"),1,0))</f>
        <v/>
      </c>
      <c r="Z296">
        <f>IF($W296=1,IFERROR(IF(VALUE($A296)&lt;100000000,VALUE($A296),1000000000),IFERROR(IF(VALUE(MID($A296,2,20))&lt;100000000,VALUE(MID($A296,2,20)),1000000000),1000000000))+ROW()/100000,"")</f>
        <v/>
      </c>
    </row>
    <row r="297">
      <c r="F297" s="7">
        <f>IF($A297="","",E297*N297/100)</f>
        <v/>
      </c>
      <c r="J297" s="7" t="n"/>
      <c r="K297" s="7">
        <f>IF($A297="","",U297*N297)</f>
        <v/>
      </c>
      <c r="L297" s="7">
        <f>IF($A297="","",N297-K297)</f>
        <v/>
      </c>
      <c r="M297" s="7">
        <f>IF($A297="","",L297-F297)</f>
        <v/>
      </c>
      <c r="N297" s="7" t="n"/>
      <c r="O297" s="7" t="n"/>
      <c r="P297" s="7" t="n"/>
      <c r="S297" s="11" t="n"/>
      <c r="U297">
        <f>IF($A297="","",IF($Y297=1,Settings!$C$6,Settings!$C$7)*1)</f>
        <v/>
      </c>
      <c r="W297">
        <f>IF($A297="","",IF(COUNTIF($A$2:$A297,$A297)=1,1,0))</f>
        <v/>
      </c>
      <c r="X297">
        <f>IF($W297=1,SUMPRODUCT(--($Z$2:$Z$501&lt;$Z297))+1,"")</f>
        <v/>
      </c>
      <c r="Y297">
        <f>IF($A297="","",IF(OR($V297=TRUE(),$V297="TRUE"),1,0))</f>
        <v/>
      </c>
      <c r="Z297">
        <f>IF($W297=1,IFERROR(IF(VALUE($A297)&lt;100000000,VALUE($A297),1000000000),IFERROR(IF(VALUE(MID($A297,2,20))&lt;100000000,VALUE(MID($A297,2,20)),1000000000),1000000000))+ROW()/100000,"")</f>
        <v/>
      </c>
    </row>
    <row r="298">
      <c r="F298" s="7">
        <f>IF($A298="","",E298*N298/100)</f>
        <v/>
      </c>
      <c r="J298" s="7" t="n"/>
      <c r="K298" s="7">
        <f>IF($A298="","",U298*N298)</f>
        <v/>
      </c>
      <c r="L298" s="7">
        <f>IF($A298="","",N298-K298)</f>
        <v/>
      </c>
      <c r="M298" s="7">
        <f>IF($A298="","",L298-F298)</f>
        <v/>
      </c>
      <c r="N298" s="7" t="n"/>
      <c r="O298" s="7" t="n"/>
      <c r="P298" s="7" t="n"/>
      <c r="S298" s="11" t="n"/>
      <c r="U298">
        <f>IF($A298="","",IF($Y298=1,Settings!$C$6,Settings!$C$7)*1)</f>
        <v/>
      </c>
      <c r="W298">
        <f>IF($A298="","",IF(COUNTIF($A$2:$A298,$A298)=1,1,0))</f>
        <v/>
      </c>
      <c r="X298">
        <f>IF($W298=1,SUMPRODUCT(--($Z$2:$Z$501&lt;$Z298))+1,"")</f>
        <v/>
      </c>
      <c r="Y298">
        <f>IF($A298="","",IF(OR($V298=TRUE(),$V298="TRUE"),1,0))</f>
        <v/>
      </c>
      <c r="Z298">
        <f>IF($W298=1,IFERROR(IF(VALUE($A298)&lt;100000000,VALUE($A298),1000000000),IFERROR(IF(VALUE(MID($A298,2,20))&lt;100000000,VALUE(MID($A298,2,20)),1000000000),1000000000))+ROW()/100000,"")</f>
        <v/>
      </c>
    </row>
    <row r="299">
      <c r="F299" s="7">
        <f>IF($A299="","",E299*N299/100)</f>
        <v/>
      </c>
      <c r="J299" s="7" t="n"/>
      <c r="K299" s="7">
        <f>IF($A299="","",U299*N299)</f>
        <v/>
      </c>
      <c r="L299" s="7">
        <f>IF($A299="","",N299-K299)</f>
        <v/>
      </c>
      <c r="M299" s="7">
        <f>IF($A299="","",L299-F299)</f>
        <v/>
      </c>
      <c r="N299" s="7" t="n"/>
      <c r="O299" s="7" t="n"/>
      <c r="P299" s="7" t="n"/>
      <c r="S299" s="11" t="n"/>
      <c r="U299">
        <f>IF($A299="","",IF($Y299=1,Settings!$C$6,Settings!$C$7)*1)</f>
        <v/>
      </c>
      <c r="W299">
        <f>IF($A299="","",IF(COUNTIF($A$2:$A299,$A299)=1,1,0))</f>
        <v/>
      </c>
      <c r="X299">
        <f>IF($W299=1,SUMPRODUCT(--($Z$2:$Z$501&lt;$Z299))+1,"")</f>
        <v/>
      </c>
      <c r="Y299">
        <f>IF($A299="","",IF(OR($V299=TRUE(),$V299="TRUE"),1,0))</f>
        <v/>
      </c>
      <c r="Z299">
        <f>IF($W299=1,IFERROR(IF(VALUE($A299)&lt;100000000,VALUE($A299),1000000000),IFERROR(IF(VALUE(MID($A299,2,20))&lt;100000000,VALUE(MID($A299,2,20)),1000000000),1000000000))+ROW()/100000,"")</f>
        <v/>
      </c>
    </row>
    <row r="300">
      <c r="F300" s="7">
        <f>IF($A300="","",E300*N300/100)</f>
        <v/>
      </c>
      <c r="J300" s="7" t="n"/>
      <c r="K300" s="7">
        <f>IF($A300="","",U300*N300)</f>
        <v/>
      </c>
      <c r="L300" s="7">
        <f>IF($A300="","",N300-K300)</f>
        <v/>
      </c>
      <c r="M300" s="7">
        <f>IF($A300="","",L300-F300)</f>
        <v/>
      </c>
      <c r="N300" s="7" t="n"/>
      <c r="O300" s="7" t="n"/>
      <c r="P300" s="7" t="n"/>
      <c r="S300" s="11" t="n"/>
      <c r="U300">
        <f>IF($A300="","",IF($Y300=1,Settings!$C$6,Settings!$C$7)*1)</f>
        <v/>
      </c>
      <c r="W300">
        <f>IF($A300="","",IF(COUNTIF($A$2:$A300,$A300)=1,1,0))</f>
        <v/>
      </c>
      <c r="X300">
        <f>IF($W300=1,SUMPRODUCT(--($Z$2:$Z$501&lt;$Z300))+1,"")</f>
        <v/>
      </c>
      <c r="Y300">
        <f>IF($A300="","",IF(OR($V300=TRUE(),$V300="TRUE"),1,0))</f>
        <v/>
      </c>
      <c r="Z300">
        <f>IF($W300=1,IFERROR(IF(VALUE($A300)&lt;100000000,VALUE($A300),1000000000),IFERROR(IF(VALUE(MID($A300,2,20))&lt;100000000,VALUE(MID($A300,2,20)),1000000000),1000000000))+ROW()/100000,"")</f>
        <v/>
      </c>
    </row>
    <row r="301">
      <c r="F301" s="7">
        <f>IF($A301="","",E301*N301/100)</f>
        <v/>
      </c>
      <c r="J301" s="7" t="n"/>
      <c r="K301" s="7">
        <f>IF($A301="","",U301*N301)</f>
        <v/>
      </c>
      <c r="L301" s="7">
        <f>IF($A301="","",N301-K301)</f>
        <v/>
      </c>
      <c r="M301" s="7">
        <f>IF($A301="","",L301-F301)</f>
        <v/>
      </c>
      <c r="N301" s="7" t="n"/>
      <c r="O301" s="7" t="n"/>
      <c r="P301" s="7" t="n"/>
      <c r="S301" s="11" t="n"/>
      <c r="U301">
        <f>IF($A301="","",IF($Y301=1,Settings!$C$6,Settings!$C$7)*1)</f>
        <v/>
      </c>
      <c r="W301">
        <f>IF($A301="","",IF(COUNTIF($A$2:$A301,$A301)=1,1,0))</f>
        <v/>
      </c>
      <c r="X301">
        <f>IF($W301=1,SUMPRODUCT(--($Z$2:$Z$501&lt;$Z301))+1,"")</f>
        <v/>
      </c>
      <c r="Y301">
        <f>IF($A301="","",IF(OR($V301=TRUE(),$V301="TRUE"),1,0))</f>
        <v/>
      </c>
      <c r="Z301">
        <f>IF($W301=1,IFERROR(IF(VALUE($A301)&lt;100000000,VALUE($A301),1000000000),IFERROR(IF(VALUE(MID($A301,2,20))&lt;100000000,VALUE(MID($A301,2,20)),1000000000),1000000000))+ROW()/100000,"")</f>
        <v/>
      </c>
    </row>
    <row r="302">
      <c r="F302" s="7">
        <f>IF($A302="","",E302*N302/100)</f>
        <v/>
      </c>
      <c r="J302" s="7" t="n"/>
      <c r="K302" s="7">
        <f>IF($A302="","",U302*N302)</f>
        <v/>
      </c>
      <c r="L302" s="7">
        <f>IF($A302="","",N302-K302)</f>
        <v/>
      </c>
      <c r="M302" s="7">
        <f>IF($A302="","",L302-F302)</f>
        <v/>
      </c>
      <c r="N302" s="7" t="n"/>
      <c r="O302" s="7" t="n"/>
      <c r="P302" s="7" t="n"/>
      <c r="S302" s="11" t="n"/>
      <c r="U302">
        <f>IF($A302="","",IF($Y302=1,Settings!$C$6,Settings!$C$7)*1)</f>
        <v/>
      </c>
      <c r="W302">
        <f>IF($A302="","",IF(COUNTIF($A$2:$A302,$A302)=1,1,0))</f>
        <v/>
      </c>
      <c r="X302">
        <f>IF($W302=1,SUMPRODUCT(--($Z$2:$Z$501&lt;$Z302))+1,"")</f>
        <v/>
      </c>
      <c r="Y302">
        <f>IF($A302="","",IF(OR($V302=TRUE(),$V302="TRUE"),1,0))</f>
        <v/>
      </c>
      <c r="Z302">
        <f>IF($W302=1,IFERROR(IF(VALUE($A302)&lt;100000000,VALUE($A302),1000000000),IFERROR(IF(VALUE(MID($A302,2,20))&lt;100000000,VALUE(MID($A302,2,20)),1000000000),1000000000))+ROW()/100000,"")</f>
        <v/>
      </c>
    </row>
    <row r="303">
      <c r="F303" s="7">
        <f>IF($A303="","",E303*N303/100)</f>
        <v/>
      </c>
      <c r="J303" s="7" t="n"/>
      <c r="K303" s="7">
        <f>IF($A303="","",U303*N303)</f>
        <v/>
      </c>
      <c r="L303" s="7">
        <f>IF($A303="","",N303-K303)</f>
        <v/>
      </c>
      <c r="M303" s="7">
        <f>IF($A303="","",L303-F303)</f>
        <v/>
      </c>
      <c r="N303" s="7" t="n"/>
      <c r="O303" s="7" t="n"/>
      <c r="P303" s="7" t="n"/>
      <c r="S303" s="11" t="n"/>
      <c r="U303">
        <f>IF($A303="","",IF($Y303=1,Settings!$C$6,Settings!$C$7)*1)</f>
        <v/>
      </c>
      <c r="W303">
        <f>IF($A303="","",IF(COUNTIF($A$2:$A303,$A303)=1,1,0))</f>
        <v/>
      </c>
      <c r="X303">
        <f>IF($W303=1,SUMPRODUCT(--($Z$2:$Z$501&lt;$Z303))+1,"")</f>
        <v/>
      </c>
      <c r="Y303">
        <f>IF($A303="","",IF(OR($V303=TRUE(),$V303="TRUE"),1,0))</f>
        <v/>
      </c>
      <c r="Z303">
        <f>IF($W303=1,IFERROR(IF(VALUE($A303)&lt;100000000,VALUE($A303),1000000000),IFERROR(IF(VALUE(MID($A303,2,20))&lt;100000000,VALUE(MID($A303,2,20)),1000000000),1000000000))+ROW()/100000,"")</f>
        <v/>
      </c>
    </row>
    <row r="304">
      <c r="F304" s="7">
        <f>IF($A304="","",E304*N304/100)</f>
        <v/>
      </c>
      <c r="J304" s="7" t="n"/>
      <c r="K304" s="7">
        <f>IF($A304="","",U304*N304)</f>
        <v/>
      </c>
      <c r="L304" s="7">
        <f>IF($A304="","",N304-K304)</f>
        <v/>
      </c>
      <c r="M304" s="7">
        <f>IF($A304="","",L304-F304)</f>
        <v/>
      </c>
      <c r="N304" s="7" t="n"/>
      <c r="O304" s="7" t="n"/>
      <c r="P304" s="7" t="n"/>
      <c r="S304" s="11" t="n"/>
      <c r="U304">
        <f>IF($A304="","",IF($Y304=1,Settings!$C$6,Settings!$C$7)*1)</f>
        <v/>
      </c>
      <c r="W304">
        <f>IF($A304="","",IF(COUNTIF($A$2:$A304,$A304)=1,1,0))</f>
        <v/>
      </c>
      <c r="X304">
        <f>IF($W304=1,SUMPRODUCT(--($Z$2:$Z$501&lt;$Z304))+1,"")</f>
        <v/>
      </c>
      <c r="Y304">
        <f>IF($A304="","",IF(OR($V304=TRUE(),$V304="TRUE"),1,0))</f>
        <v/>
      </c>
      <c r="Z304">
        <f>IF($W304=1,IFERROR(IF(VALUE($A304)&lt;100000000,VALUE($A304),1000000000),IFERROR(IF(VALUE(MID($A304,2,20))&lt;100000000,VALUE(MID($A304,2,20)),1000000000),1000000000))+ROW()/100000,"")</f>
        <v/>
      </c>
    </row>
    <row r="305">
      <c r="F305" s="7">
        <f>IF($A305="","",E305*N305/100)</f>
        <v/>
      </c>
      <c r="J305" s="7" t="n"/>
      <c r="K305" s="7">
        <f>IF($A305="","",U305*N305)</f>
        <v/>
      </c>
      <c r="L305" s="7">
        <f>IF($A305="","",N305-K305)</f>
        <v/>
      </c>
      <c r="M305" s="7">
        <f>IF($A305="","",L305-F305)</f>
        <v/>
      </c>
      <c r="N305" s="7" t="n"/>
      <c r="O305" s="7" t="n"/>
      <c r="P305" s="7" t="n"/>
      <c r="S305" s="11" t="n"/>
      <c r="U305">
        <f>IF($A305="","",IF($Y305=1,Settings!$C$6,Settings!$C$7)*1)</f>
        <v/>
      </c>
      <c r="W305">
        <f>IF($A305="","",IF(COUNTIF($A$2:$A305,$A305)=1,1,0))</f>
        <v/>
      </c>
      <c r="X305">
        <f>IF($W305=1,SUMPRODUCT(--($Z$2:$Z$501&lt;$Z305))+1,"")</f>
        <v/>
      </c>
      <c r="Y305">
        <f>IF($A305="","",IF(OR($V305=TRUE(),$V305="TRUE"),1,0))</f>
        <v/>
      </c>
      <c r="Z305">
        <f>IF($W305=1,IFERROR(IF(VALUE($A305)&lt;100000000,VALUE($A305),1000000000),IFERROR(IF(VALUE(MID($A305,2,20))&lt;100000000,VALUE(MID($A305,2,20)),1000000000),1000000000))+ROW()/100000,"")</f>
        <v/>
      </c>
    </row>
    <row r="306">
      <c r="F306" s="7">
        <f>IF($A306="","",E306*N306/100)</f>
        <v/>
      </c>
      <c r="J306" s="7" t="n"/>
      <c r="K306" s="7">
        <f>IF($A306="","",U306*N306)</f>
        <v/>
      </c>
      <c r="L306" s="7">
        <f>IF($A306="","",N306-K306)</f>
        <v/>
      </c>
      <c r="M306" s="7">
        <f>IF($A306="","",L306-F306)</f>
        <v/>
      </c>
      <c r="N306" s="7" t="n"/>
      <c r="O306" s="7" t="n"/>
      <c r="P306" s="7" t="n"/>
      <c r="S306" s="11" t="n"/>
      <c r="U306">
        <f>IF($A306="","",IF($Y306=1,Settings!$C$6,Settings!$C$7)*1)</f>
        <v/>
      </c>
      <c r="W306">
        <f>IF($A306="","",IF(COUNTIF($A$2:$A306,$A306)=1,1,0))</f>
        <v/>
      </c>
      <c r="X306">
        <f>IF($W306=1,SUMPRODUCT(--($Z$2:$Z$501&lt;$Z306))+1,"")</f>
        <v/>
      </c>
      <c r="Y306">
        <f>IF($A306="","",IF(OR($V306=TRUE(),$V306="TRUE"),1,0))</f>
        <v/>
      </c>
      <c r="Z306">
        <f>IF($W306=1,IFERROR(IF(VALUE($A306)&lt;100000000,VALUE($A306),1000000000),IFERROR(IF(VALUE(MID($A306,2,20))&lt;100000000,VALUE(MID($A306,2,20)),1000000000),1000000000))+ROW()/100000,"")</f>
        <v/>
      </c>
    </row>
    <row r="307">
      <c r="F307" s="7">
        <f>IF($A307="","",E307*N307/100)</f>
        <v/>
      </c>
      <c r="J307" s="7" t="n"/>
      <c r="K307" s="7">
        <f>IF($A307="","",U307*N307)</f>
        <v/>
      </c>
      <c r="L307" s="7">
        <f>IF($A307="","",N307-K307)</f>
        <v/>
      </c>
      <c r="M307" s="7">
        <f>IF($A307="","",L307-F307)</f>
        <v/>
      </c>
      <c r="N307" s="7" t="n"/>
      <c r="O307" s="7" t="n"/>
      <c r="P307" s="7" t="n"/>
      <c r="S307" s="11" t="n"/>
      <c r="U307">
        <f>IF($A307="","",IF($Y307=1,Settings!$C$6,Settings!$C$7)*1)</f>
        <v/>
      </c>
      <c r="W307">
        <f>IF($A307="","",IF(COUNTIF($A$2:$A307,$A307)=1,1,0))</f>
        <v/>
      </c>
      <c r="X307">
        <f>IF($W307=1,SUMPRODUCT(--($Z$2:$Z$501&lt;$Z307))+1,"")</f>
        <v/>
      </c>
      <c r="Y307">
        <f>IF($A307="","",IF(OR($V307=TRUE(),$V307="TRUE"),1,0))</f>
        <v/>
      </c>
      <c r="Z307">
        <f>IF($W307=1,IFERROR(IF(VALUE($A307)&lt;100000000,VALUE($A307),1000000000),IFERROR(IF(VALUE(MID($A307,2,20))&lt;100000000,VALUE(MID($A307,2,20)),1000000000),1000000000))+ROW()/100000,"")</f>
        <v/>
      </c>
    </row>
    <row r="308">
      <c r="F308" s="7">
        <f>IF($A308="","",E308*N308/100)</f>
        <v/>
      </c>
      <c r="J308" s="7" t="n"/>
      <c r="K308" s="7">
        <f>IF($A308="","",U308*N308)</f>
        <v/>
      </c>
      <c r="L308" s="7">
        <f>IF($A308="","",N308-K308)</f>
        <v/>
      </c>
      <c r="M308" s="7">
        <f>IF($A308="","",L308-F308)</f>
        <v/>
      </c>
      <c r="N308" s="7" t="n"/>
      <c r="O308" s="7" t="n"/>
      <c r="P308" s="7" t="n"/>
      <c r="S308" s="11" t="n"/>
      <c r="U308">
        <f>IF($A308="","",IF($Y308=1,Settings!$C$6,Settings!$C$7)*1)</f>
        <v/>
      </c>
      <c r="W308">
        <f>IF($A308="","",IF(COUNTIF($A$2:$A308,$A308)=1,1,0))</f>
        <v/>
      </c>
      <c r="X308">
        <f>IF($W308=1,SUMPRODUCT(--($Z$2:$Z$501&lt;$Z308))+1,"")</f>
        <v/>
      </c>
      <c r="Y308">
        <f>IF($A308="","",IF(OR($V308=TRUE(),$V308="TRUE"),1,0))</f>
        <v/>
      </c>
      <c r="Z308">
        <f>IF($W308=1,IFERROR(IF(VALUE($A308)&lt;100000000,VALUE($A308),1000000000),IFERROR(IF(VALUE(MID($A308,2,20))&lt;100000000,VALUE(MID($A308,2,20)),1000000000),1000000000))+ROW()/100000,"")</f>
        <v/>
      </c>
    </row>
    <row r="309">
      <c r="F309" s="7">
        <f>IF($A309="","",E309*N309/100)</f>
        <v/>
      </c>
      <c r="J309" s="7" t="n"/>
      <c r="K309" s="7">
        <f>IF($A309="","",U309*N309)</f>
        <v/>
      </c>
      <c r="L309" s="7">
        <f>IF($A309="","",N309-K309)</f>
        <v/>
      </c>
      <c r="M309" s="7">
        <f>IF($A309="","",L309-F309)</f>
        <v/>
      </c>
      <c r="N309" s="7" t="n"/>
      <c r="O309" s="7" t="n"/>
      <c r="P309" s="7" t="n"/>
      <c r="S309" s="11" t="n"/>
      <c r="U309">
        <f>IF($A309="","",IF($Y309=1,Settings!$C$6,Settings!$C$7)*1)</f>
        <v/>
      </c>
      <c r="W309">
        <f>IF($A309="","",IF(COUNTIF($A$2:$A309,$A309)=1,1,0))</f>
        <v/>
      </c>
      <c r="X309">
        <f>IF($W309=1,SUMPRODUCT(--($Z$2:$Z$501&lt;$Z309))+1,"")</f>
        <v/>
      </c>
      <c r="Y309">
        <f>IF($A309="","",IF(OR($V309=TRUE(),$V309="TRUE"),1,0))</f>
        <v/>
      </c>
      <c r="Z309">
        <f>IF($W309=1,IFERROR(IF(VALUE($A309)&lt;100000000,VALUE($A309),1000000000),IFERROR(IF(VALUE(MID($A309,2,20))&lt;100000000,VALUE(MID($A309,2,20)),1000000000),1000000000))+ROW()/100000,"")</f>
        <v/>
      </c>
    </row>
    <row r="310">
      <c r="F310" s="7">
        <f>IF($A310="","",E310*N310/100)</f>
        <v/>
      </c>
      <c r="J310" s="7" t="n"/>
      <c r="K310" s="7">
        <f>IF($A310="","",U310*N310)</f>
        <v/>
      </c>
      <c r="L310" s="7">
        <f>IF($A310="","",N310-K310)</f>
        <v/>
      </c>
      <c r="M310" s="7">
        <f>IF($A310="","",L310-F310)</f>
        <v/>
      </c>
      <c r="N310" s="7" t="n"/>
      <c r="O310" s="7" t="n"/>
      <c r="P310" s="7" t="n"/>
      <c r="S310" s="11" t="n"/>
      <c r="U310">
        <f>IF($A310="","",IF($Y310=1,Settings!$C$6,Settings!$C$7)*1)</f>
        <v/>
      </c>
      <c r="W310">
        <f>IF($A310="","",IF(COUNTIF($A$2:$A310,$A310)=1,1,0))</f>
        <v/>
      </c>
      <c r="X310">
        <f>IF($W310=1,SUMPRODUCT(--($Z$2:$Z$501&lt;$Z310))+1,"")</f>
        <v/>
      </c>
      <c r="Y310">
        <f>IF($A310="","",IF(OR($V310=TRUE(),$V310="TRUE"),1,0))</f>
        <v/>
      </c>
      <c r="Z310">
        <f>IF($W310=1,IFERROR(IF(VALUE($A310)&lt;100000000,VALUE($A310),1000000000),IFERROR(IF(VALUE(MID($A310,2,20))&lt;100000000,VALUE(MID($A310,2,20)),1000000000),1000000000))+ROW()/100000,"")</f>
        <v/>
      </c>
    </row>
    <row r="311">
      <c r="F311" s="7">
        <f>IF($A311="","",E311*N311/100)</f>
        <v/>
      </c>
      <c r="J311" s="7" t="n"/>
      <c r="K311" s="7">
        <f>IF($A311="","",U311*N311)</f>
        <v/>
      </c>
      <c r="L311" s="7">
        <f>IF($A311="","",N311-K311)</f>
        <v/>
      </c>
      <c r="M311" s="7">
        <f>IF($A311="","",L311-F311)</f>
        <v/>
      </c>
      <c r="N311" s="7" t="n"/>
      <c r="O311" s="7" t="n"/>
      <c r="P311" s="7" t="n"/>
      <c r="S311" s="11" t="n"/>
      <c r="U311">
        <f>IF($A311="","",IF($Y311=1,Settings!$C$6,Settings!$C$7)*1)</f>
        <v/>
      </c>
      <c r="W311">
        <f>IF($A311="","",IF(COUNTIF($A$2:$A311,$A311)=1,1,0))</f>
        <v/>
      </c>
      <c r="X311">
        <f>IF($W311=1,SUMPRODUCT(--($Z$2:$Z$501&lt;$Z311))+1,"")</f>
        <v/>
      </c>
      <c r="Y311">
        <f>IF($A311="","",IF(OR($V311=TRUE(),$V311="TRUE"),1,0))</f>
        <v/>
      </c>
      <c r="Z311">
        <f>IF($W311=1,IFERROR(IF(VALUE($A311)&lt;100000000,VALUE($A311),1000000000),IFERROR(IF(VALUE(MID($A311,2,20))&lt;100000000,VALUE(MID($A311,2,20)),1000000000),1000000000))+ROW()/100000,"")</f>
        <v/>
      </c>
    </row>
    <row r="312">
      <c r="F312" s="7">
        <f>IF($A312="","",E312*N312/100)</f>
        <v/>
      </c>
      <c r="J312" s="7" t="n"/>
      <c r="K312" s="7">
        <f>IF($A312="","",U312*N312)</f>
        <v/>
      </c>
      <c r="L312" s="7">
        <f>IF($A312="","",N312-K312)</f>
        <v/>
      </c>
      <c r="M312" s="7">
        <f>IF($A312="","",L312-F312)</f>
        <v/>
      </c>
      <c r="N312" s="7" t="n"/>
      <c r="O312" s="7" t="n"/>
      <c r="P312" s="7" t="n"/>
      <c r="S312" s="11" t="n"/>
      <c r="U312">
        <f>IF($A312="","",IF($Y312=1,Settings!$C$6,Settings!$C$7)*1)</f>
        <v/>
      </c>
      <c r="W312">
        <f>IF($A312="","",IF(COUNTIF($A$2:$A312,$A312)=1,1,0))</f>
        <v/>
      </c>
      <c r="X312">
        <f>IF($W312=1,SUMPRODUCT(--($Z$2:$Z$501&lt;$Z312))+1,"")</f>
        <v/>
      </c>
      <c r="Y312">
        <f>IF($A312="","",IF(OR($V312=TRUE(),$V312="TRUE"),1,0))</f>
        <v/>
      </c>
      <c r="Z312">
        <f>IF($W312=1,IFERROR(IF(VALUE($A312)&lt;100000000,VALUE($A312),1000000000),IFERROR(IF(VALUE(MID($A312,2,20))&lt;100000000,VALUE(MID($A312,2,20)),1000000000),1000000000))+ROW()/100000,"")</f>
        <v/>
      </c>
    </row>
    <row r="313">
      <c r="F313" s="7">
        <f>IF($A313="","",E313*N313/100)</f>
        <v/>
      </c>
      <c r="J313" s="7" t="n"/>
      <c r="K313" s="7">
        <f>IF($A313="","",U313*N313)</f>
        <v/>
      </c>
      <c r="L313" s="7">
        <f>IF($A313="","",N313-K313)</f>
        <v/>
      </c>
      <c r="M313" s="7">
        <f>IF($A313="","",L313-F313)</f>
        <v/>
      </c>
      <c r="N313" s="7" t="n"/>
      <c r="O313" s="7" t="n"/>
      <c r="P313" s="7" t="n"/>
      <c r="S313" s="11" t="n"/>
      <c r="U313">
        <f>IF($A313="","",IF($Y313=1,Settings!$C$6,Settings!$C$7)*1)</f>
        <v/>
      </c>
      <c r="W313">
        <f>IF($A313="","",IF(COUNTIF($A$2:$A313,$A313)=1,1,0))</f>
        <v/>
      </c>
      <c r="X313">
        <f>IF($W313=1,SUMPRODUCT(--($Z$2:$Z$501&lt;$Z313))+1,"")</f>
        <v/>
      </c>
      <c r="Y313">
        <f>IF($A313="","",IF(OR($V313=TRUE(),$V313="TRUE"),1,0))</f>
        <v/>
      </c>
      <c r="Z313">
        <f>IF($W313=1,IFERROR(IF(VALUE($A313)&lt;100000000,VALUE($A313),1000000000),IFERROR(IF(VALUE(MID($A313,2,20))&lt;100000000,VALUE(MID($A313,2,20)),1000000000),1000000000))+ROW()/100000,"")</f>
        <v/>
      </c>
    </row>
    <row r="314">
      <c r="F314" s="7">
        <f>IF($A314="","",E314*N314/100)</f>
        <v/>
      </c>
      <c r="J314" s="7" t="n"/>
      <c r="K314" s="7">
        <f>IF($A314="","",U314*N314)</f>
        <v/>
      </c>
      <c r="L314" s="7">
        <f>IF($A314="","",N314-K314)</f>
        <v/>
      </c>
      <c r="M314" s="7">
        <f>IF($A314="","",L314-F314)</f>
        <v/>
      </c>
      <c r="N314" s="7" t="n"/>
      <c r="O314" s="7" t="n"/>
      <c r="P314" s="7" t="n"/>
      <c r="S314" s="11" t="n"/>
      <c r="U314">
        <f>IF($A314="","",IF($Y314=1,Settings!$C$6,Settings!$C$7)*1)</f>
        <v/>
      </c>
      <c r="W314">
        <f>IF($A314="","",IF(COUNTIF($A$2:$A314,$A314)=1,1,0))</f>
        <v/>
      </c>
      <c r="X314">
        <f>IF($W314=1,SUMPRODUCT(--($Z$2:$Z$501&lt;$Z314))+1,"")</f>
        <v/>
      </c>
      <c r="Y314">
        <f>IF($A314="","",IF(OR($V314=TRUE(),$V314="TRUE"),1,0))</f>
        <v/>
      </c>
      <c r="Z314">
        <f>IF($W314=1,IFERROR(IF(VALUE($A314)&lt;100000000,VALUE($A314),1000000000),IFERROR(IF(VALUE(MID($A314,2,20))&lt;100000000,VALUE(MID($A314,2,20)),1000000000),1000000000))+ROW()/100000,"")</f>
        <v/>
      </c>
    </row>
    <row r="315">
      <c r="F315" s="7">
        <f>IF($A315="","",E315*N315/100)</f>
        <v/>
      </c>
      <c r="J315" s="7" t="n"/>
      <c r="K315" s="7">
        <f>IF($A315="","",U315*N315)</f>
        <v/>
      </c>
      <c r="L315" s="7">
        <f>IF($A315="","",N315-K315)</f>
        <v/>
      </c>
      <c r="M315" s="7">
        <f>IF($A315="","",L315-F315)</f>
        <v/>
      </c>
      <c r="N315" s="7" t="n"/>
      <c r="O315" s="7" t="n"/>
      <c r="P315" s="7" t="n"/>
      <c r="S315" s="11" t="n"/>
      <c r="U315">
        <f>IF($A315="","",IF($Y315=1,Settings!$C$6,Settings!$C$7)*1)</f>
        <v/>
      </c>
      <c r="W315">
        <f>IF($A315="","",IF(COUNTIF($A$2:$A315,$A315)=1,1,0))</f>
        <v/>
      </c>
      <c r="X315">
        <f>IF($W315=1,SUMPRODUCT(--($Z$2:$Z$501&lt;$Z315))+1,"")</f>
        <v/>
      </c>
      <c r="Y315">
        <f>IF($A315="","",IF(OR($V315=TRUE(),$V315="TRUE"),1,0))</f>
        <v/>
      </c>
      <c r="Z315">
        <f>IF($W315=1,IFERROR(IF(VALUE($A315)&lt;100000000,VALUE($A315),1000000000),IFERROR(IF(VALUE(MID($A315,2,20))&lt;100000000,VALUE(MID($A315,2,20)),1000000000),1000000000))+ROW()/100000,"")</f>
        <v/>
      </c>
    </row>
    <row r="316">
      <c r="F316" s="7">
        <f>IF($A316="","",E316*N316/100)</f>
        <v/>
      </c>
      <c r="J316" s="7" t="n"/>
      <c r="K316" s="7">
        <f>IF($A316="","",U316*N316)</f>
        <v/>
      </c>
      <c r="L316" s="7">
        <f>IF($A316="","",N316-K316)</f>
        <v/>
      </c>
      <c r="M316" s="7">
        <f>IF($A316="","",L316-F316)</f>
        <v/>
      </c>
      <c r="N316" s="7" t="n"/>
      <c r="O316" s="7" t="n"/>
      <c r="P316" s="7" t="n"/>
      <c r="S316" s="11" t="n"/>
      <c r="U316">
        <f>IF($A316="","",IF($Y316=1,Settings!$C$6,Settings!$C$7)*1)</f>
        <v/>
      </c>
      <c r="W316">
        <f>IF($A316="","",IF(COUNTIF($A$2:$A316,$A316)=1,1,0))</f>
        <v/>
      </c>
      <c r="X316">
        <f>IF($W316=1,SUMPRODUCT(--($Z$2:$Z$501&lt;$Z316))+1,"")</f>
        <v/>
      </c>
      <c r="Y316">
        <f>IF($A316="","",IF(OR($V316=TRUE(),$V316="TRUE"),1,0))</f>
        <v/>
      </c>
      <c r="Z316">
        <f>IF($W316=1,IFERROR(IF(VALUE($A316)&lt;100000000,VALUE($A316),1000000000),IFERROR(IF(VALUE(MID($A316,2,20))&lt;100000000,VALUE(MID($A316,2,20)),1000000000),1000000000))+ROW()/100000,"")</f>
        <v/>
      </c>
    </row>
    <row r="317">
      <c r="F317" s="7">
        <f>IF($A317="","",E317*N317/100)</f>
        <v/>
      </c>
      <c r="J317" s="7" t="n"/>
      <c r="K317" s="7">
        <f>IF($A317="","",U317*N317)</f>
        <v/>
      </c>
      <c r="L317" s="7">
        <f>IF($A317="","",N317-K317)</f>
        <v/>
      </c>
      <c r="M317" s="7">
        <f>IF($A317="","",L317-F317)</f>
        <v/>
      </c>
      <c r="N317" s="7" t="n"/>
      <c r="O317" s="7" t="n"/>
      <c r="P317" s="7" t="n"/>
      <c r="S317" s="11" t="n"/>
      <c r="U317">
        <f>IF($A317="","",IF($Y317=1,Settings!$C$6,Settings!$C$7)*1)</f>
        <v/>
      </c>
      <c r="W317">
        <f>IF($A317="","",IF(COUNTIF($A$2:$A317,$A317)=1,1,0))</f>
        <v/>
      </c>
      <c r="X317">
        <f>IF($W317=1,SUMPRODUCT(--($Z$2:$Z$501&lt;$Z317))+1,"")</f>
        <v/>
      </c>
      <c r="Y317">
        <f>IF($A317="","",IF(OR($V317=TRUE(),$V317="TRUE"),1,0))</f>
        <v/>
      </c>
      <c r="Z317">
        <f>IF($W317=1,IFERROR(IF(VALUE($A317)&lt;100000000,VALUE($A317),1000000000),IFERROR(IF(VALUE(MID($A317,2,20))&lt;100000000,VALUE(MID($A317,2,20)),1000000000),1000000000))+ROW()/100000,"")</f>
        <v/>
      </c>
    </row>
    <row r="318">
      <c r="F318" s="7">
        <f>IF($A318="","",E318*N318/100)</f>
        <v/>
      </c>
      <c r="J318" s="7" t="n"/>
      <c r="K318" s="7">
        <f>IF($A318="","",U318*N318)</f>
        <v/>
      </c>
      <c r="L318" s="7">
        <f>IF($A318="","",N318-K318)</f>
        <v/>
      </c>
      <c r="M318" s="7">
        <f>IF($A318="","",L318-F318)</f>
        <v/>
      </c>
      <c r="N318" s="7" t="n"/>
      <c r="O318" s="7" t="n"/>
      <c r="P318" s="7" t="n"/>
      <c r="S318" s="11" t="n"/>
      <c r="U318">
        <f>IF($A318="","",IF($Y318=1,Settings!$C$6,Settings!$C$7)*1)</f>
        <v/>
      </c>
      <c r="W318">
        <f>IF($A318="","",IF(COUNTIF($A$2:$A318,$A318)=1,1,0))</f>
        <v/>
      </c>
      <c r="X318">
        <f>IF($W318=1,SUMPRODUCT(--($Z$2:$Z$501&lt;$Z318))+1,"")</f>
        <v/>
      </c>
      <c r="Y318">
        <f>IF($A318="","",IF(OR($V318=TRUE(),$V318="TRUE"),1,0))</f>
        <v/>
      </c>
      <c r="Z318">
        <f>IF($W318=1,IFERROR(IF(VALUE($A318)&lt;100000000,VALUE($A318),1000000000),IFERROR(IF(VALUE(MID($A318,2,20))&lt;100000000,VALUE(MID($A318,2,20)),1000000000),1000000000))+ROW()/100000,"")</f>
        <v/>
      </c>
    </row>
    <row r="319">
      <c r="F319" s="7">
        <f>IF($A319="","",E319*N319/100)</f>
        <v/>
      </c>
      <c r="J319" s="7" t="n"/>
      <c r="K319" s="7">
        <f>IF($A319="","",U319*N319)</f>
        <v/>
      </c>
      <c r="L319" s="7">
        <f>IF($A319="","",N319-K319)</f>
        <v/>
      </c>
      <c r="M319" s="7">
        <f>IF($A319="","",L319-F319)</f>
        <v/>
      </c>
      <c r="N319" s="7" t="n"/>
      <c r="O319" s="7" t="n"/>
      <c r="P319" s="7" t="n"/>
      <c r="S319" s="11" t="n"/>
      <c r="U319">
        <f>IF($A319="","",IF($Y319=1,Settings!$C$6,Settings!$C$7)*1)</f>
        <v/>
      </c>
      <c r="W319">
        <f>IF($A319="","",IF(COUNTIF($A$2:$A319,$A319)=1,1,0))</f>
        <v/>
      </c>
      <c r="X319">
        <f>IF($W319=1,SUMPRODUCT(--($Z$2:$Z$501&lt;$Z319))+1,"")</f>
        <v/>
      </c>
      <c r="Y319">
        <f>IF($A319="","",IF(OR($V319=TRUE(),$V319="TRUE"),1,0))</f>
        <v/>
      </c>
      <c r="Z319">
        <f>IF($W319=1,IFERROR(IF(VALUE($A319)&lt;100000000,VALUE($A319),1000000000),IFERROR(IF(VALUE(MID($A319,2,20))&lt;100000000,VALUE(MID($A319,2,20)),1000000000),1000000000))+ROW()/100000,"")</f>
        <v/>
      </c>
    </row>
    <row r="320">
      <c r="F320" s="7">
        <f>IF($A320="","",E320*N320/100)</f>
        <v/>
      </c>
      <c r="J320" s="7" t="n"/>
      <c r="K320" s="7">
        <f>IF($A320="","",U320*N320)</f>
        <v/>
      </c>
      <c r="L320" s="7">
        <f>IF($A320="","",N320-K320)</f>
        <v/>
      </c>
      <c r="M320" s="7">
        <f>IF($A320="","",L320-F320)</f>
        <v/>
      </c>
      <c r="N320" s="7" t="n"/>
      <c r="O320" s="7" t="n"/>
      <c r="P320" s="7" t="n"/>
      <c r="S320" s="11" t="n"/>
      <c r="U320">
        <f>IF($A320="","",IF($Y320=1,Settings!$C$6,Settings!$C$7)*1)</f>
        <v/>
      </c>
      <c r="W320">
        <f>IF($A320="","",IF(COUNTIF($A$2:$A320,$A320)=1,1,0))</f>
        <v/>
      </c>
      <c r="X320">
        <f>IF($W320=1,SUMPRODUCT(--($Z$2:$Z$501&lt;$Z320))+1,"")</f>
        <v/>
      </c>
      <c r="Y320">
        <f>IF($A320="","",IF(OR($V320=TRUE(),$V320="TRUE"),1,0))</f>
        <v/>
      </c>
      <c r="Z320">
        <f>IF($W320=1,IFERROR(IF(VALUE($A320)&lt;100000000,VALUE($A320),1000000000),IFERROR(IF(VALUE(MID($A320,2,20))&lt;100000000,VALUE(MID($A320,2,20)),1000000000),1000000000))+ROW()/100000,"")</f>
        <v/>
      </c>
    </row>
    <row r="321">
      <c r="F321" s="7">
        <f>IF($A321="","",E321*N321/100)</f>
        <v/>
      </c>
      <c r="J321" s="7" t="n"/>
      <c r="K321" s="7">
        <f>IF($A321="","",U321*N321)</f>
        <v/>
      </c>
      <c r="L321" s="7">
        <f>IF($A321="","",N321-K321)</f>
        <v/>
      </c>
      <c r="M321" s="7">
        <f>IF($A321="","",L321-F321)</f>
        <v/>
      </c>
      <c r="N321" s="7" t="n"/>
      <c r="O321" s="7" t="n"/>
      <c r="P321" s="7" t="n"/>
      <c r="S321" s="11" t="n"/>
      <c r="U321">
        <f>IF($A321="","",IF($Y321=1,Settings!$C$6,Settings!$C$7)*1)</f>
        <v/>
      </c>
      <c r="W321">
        <f>IF($A321="","",IF(COUNTIF($A$2:$A321,$A321)=1,1,0))</f>
        <v/>
      </c>
      <c r="X321">
        <f>IF($W321=1,SUMPRODUCT(--($Z$2:$Z$501&lt;$Z321))+1,"")</f>
        <v/>
      </c>
      <c r="Y321">
        <f>IF($A321="","",IF(OR($V321=TRUE(),$V321="TRUE"),1,0))</f>
        <v/>
      </c>
      <c r="Z321">
        <f>IF($W321=1,IFERROR(IF(VALUE($A321)&lt;100000000,VALUE($A321),1000000000),IFERROR(IF(VALUE(MID($A321,2,20))&lt;100000000,VALUE(MID($A321,2,20)),1000000000),1000000000))+ROW()/100000,"")</f>
        <v/>
      </c>
    </row>
    <row r="322">
      <c r="F322" s="7">
        <f>IF($A322="","",E322*N322/100)</f>
        <v/>
      </c>
      <c r="J322" s="7" t="n"/>
      <c r="K322" s="7">
        <f>IF($A322="","",U322*N322)</f>
        <v/>
      </c>
      <c r="L322" s="7">
        <f>IF($A322="","",N322-K322)</f>
        <v/>
      </c>
      <c r="M322" s="7">
        <f>IF($A322="","",L322-F322)</f>
        <v/>
      </c>
      <c r="N322" s="7" t="n"/>
      <c r="O322" s="7" t="n"/>
      <c r="P322" s="7" t="n"/>
      <c r="S322" s="11" t="n"/>
      <c r="U322">
        <f>IF($A322="","",IF($Y322=1,Settings!$C$6,Settings!$C$7)*1)</f>
        <v/>
      </c>
      <c r="W322">
        <f>IF($A322="","",IF(COUNTIF($A$2:$A322,$A322)=1,1,0))</f>
        <v/>
      </c>
      <c r="X322">
        <f>IF($W322=1,SUMPRODUCT(--($Z$2:$Z$501&lt;$Z322))+1,"")</f>
        <v/>
      </c>
      <c r="Y322">
        <f>IF($A322="","",IF(OR($V322=TRUE(),$V322="TRUE"),1,0))</f>
        <v/>
      </c>
      <c r="Z322">
        <f>IF($W322=1,IFERROR(IF(VALUE($A322)&lt;100000000,VALUE($A322),1000000000),IFERROR(IF(VALUE(MID($A322,2,20))&lt;100000000,VALUE(MID($A322,2,20)),1000000000),1000000000))+ROW()/100000,"")</f>
        <v/>
      </c>
    </row>
    <row r="323">
      <c r="F323" s="7">
        <f>IF($A323="","",E323*N323/100)</f>
        <v/>
      </c>
      <c r="J323" s="7" t="n"/>
      <c r="K323" s="7">
        <f>IF($A323="","",U323*N323)</f>
        <v/>
      </c>
      <c r="L323" s="7">
        <f>IF($A323="","",N323-K323)</f>
        <v/>
      </c>
      <c r="M323" s="7">
        <f>IF($A323="","",L323-F323)</f>
        <v/>
      </c>
      <c r="N323" s="7" t="n"/>
      <c r="O323" s="7" t="n"/>
      <c r="P323" s="7" t="n"/>
      <c r="S323" s="11" t="n"/>
      <c r="U323">
        <f>IF($A323="","",IF($Y323=1,Settings!$C$6,Settings!$C$7)*1)</f>
        <v/>
      </c>
      <c r="W323">
        <f>IF($A323="","",IF(COUNTIF($A$2:$A323,$A323)=1,1,0))</f>
        <v/>
      </c>
      <c r="X323">
        <f>IF($W323=1,SUMPRODUCT(--($Z$2:$Z$501&lt;$Z323))+1,"")</f>
        <v/>
      </c>
      <c r="Y323">
        <f>IF($A323="","",IF(OR($V323=TRUE(),$V323="TRUE"),1,0))</f>
        <v/>
      </c>
      <c r="Z323">
        <f>IF($W323=1,IFERROR(IF(VALUE($A323)&lt;100000000,VALUE($A323),1000000000),IFERROR(IF(VALUE(MID($A323,2,20))&lt;100000000,VALUE(MID($A323,2,20)),1000000000),1000000000))+ROW()/100000,"")</f>
        <v/>
      </c>
    </row>
    <row r="324">
      <c r="F324" s="7">
        <f>IF($A324="","",E324*N324/100)</f>
        <v/>
      </c>
      <c r="J324" s="7" t="n"/>
      <c r="K324" s="7">
        <f>IF($A324="","",U324*N324)</f>
        <v/>
      </c>
      <c r="L324" s="7">
        <f>IF($A324="","",N324-K324)</f>
        <v/>
      </c>
      <c r="M324" s="7">
        <f>IF($A324="","",L324-F324)</f>
        <v/>
      </c>
      <c r="N324" s="7" t="n"/>
      <c r="O324" s="7" t="n"/>
      <c r="P324" s="7" t="n"/>
      <c r="S324" s="11" t="n"/>
      <c r="U324">
        <f>IF($A324="","",IF($Y324=1,Settings!$C$6,Settings!$C$7)*1)</f>
        <v/>
      </c>
      <c r="W324">
        <f>IF($A324="","",IF(COUNTIF($A$2:$A324,$A324)=1,1,0))</f>
        <v/>
      </c>
      <c r="X324">
        <f>IF($W324=1,SUMPRODUCT(--($Z$2:$Z$501&lt;$Z324))+1,"")</f>
        <v/>
      </c>
      <c r="Y324">
        <f>IF($A324="","",IF(OR($V324=TRUE(),$V324="TRUE"),1,0))</f>
        <v/>
      </c>
      <c r="Z324">
        <f>IF($W324=1,IFERROR(IF(VALUE($A324)&lt;100000000,VALUE($A324),1000000000),IFERROR(IF(VALUE(MID($A324,2,20))&lt;100000000,VALUE(MID($A324,2,20)),1000000000),1000000000))+ROW()/100000,"")</f>
        <v/>
      </c>
    </row>
    <row r="325">
      <c r="F325" s="7">
        <f>IF($A325="","",E325*N325/100)</f>
        <v/>
      </c>
      <c r="J325" s="7" t="n"/>
      <c r="K325" s="7">
        <f>IF($A325="","",U325*N325)</f>
        <v/>
      </c>
      <c r="L325" s="7">
        <f>IF($A325="","",N325-K325)</f>
        <v/>
      </c>
      <c r="M325" s="7">
        <f>IF($A325="","",L325-F325)</f>
        <v/>
      </c>
      <c r="N325" s="7" t="n"/>
      <c r="O325" s="7" t="n"/>
      <c r="P325" s="7" t="n"/>
      <c r="S325" s="11" t="n"/>
      <c r="U325">
        <f>IF($A325="","",IF($Y325=1,Settings!$C$6,Settings!$C$7)*1)</f>
        <v/>
      </c>
      <c r="W325">
        <f>IF($A325="","",IF(COUNTIF($A$2:$A325,$A325)=1,1,0))</f>
        <v/>
      </c>
      <c r="X325">
        <f>IF($W325=1,SUMPRODUCT(--($Z$2:$Z$501&lt;$Z325))+1,"")</f>
        <v/>
      </c>
      <c r="Y325">
        <f>IF($A325="","",IF(OR($V325=TRUE(),$V325="TRUE"),1,0))</f>
        <v/>
      </c>
      <c r="Z325">
        <f>IF($W325=1,IFERROR(IF(VALUE($A325)&lt;100000000,VALUE($A325),1000000000),IFERROR(IF(VALUE(MID($A325,2,20))&lt;100000000,VALUE(MID($A325,2,20)),1000000000),1000000000))+ROW()/100000,"")</f>
        <v/>
      </c>
    </row>
    <row r="326">
      <c r="F326" s="7">
        <f>IF($A326="","",E326*N326/100)</f>
        <v/>
      </c>
      <c r="J326" s="7" t="n"/>
      <c r="K326" s="7">
        <f>IF($A326="","",U326*N326)</f>
        <v/>
      </c>
      <c r="L326" s="7">
        <f>IF($A326="","",N326-K326)</f>
        <v/>
      </c>
      <c r="M326" s="7">
        <f>IF($A326="","",L326-F326)</f>
        <v/>
      </c>
      <c r="N326" s="7" t="n"/>
      <c r="O326" s="7" t="n"/>
      <c r="P326" s="7" t="n"/>
      <c r="S326" s="11" t="n"/>
      <c r="U326">
        <f>IF($A326="","",IF($Y326=1,Settings!$C$6,Settings!$C$7)*1)</f>
        <v/>
      </c>
      <c r="W326">
        <f>IF($A326="","",IF(COUNTIF($A$2:$A326,$A326)=1,1,0))</f>
        <v/>
      </c>
      <c r="X326">
        <f>IF($W326=1,SUMPRODUCT(--($Z$2:$Z$501&lt;$Z326))+1,"")</f>
        <v/>
      </c>
      <c r="Y326">
        <f>IF($A326="","",IF(OR($V326=TRUE(),$V326="TRUE"),1,0))</f>
        <v/>
      </c>
      <c r="Z326">
        <f>IF($W326=1,IFERROR(IF(VALUE($A326)&lt;100000000,VALUE($A326),1000000000),IFERROR(IF(VALUE(MID($A326,2,20))&lt;100000000,VALUE(MID($A326,2,20)),1000000000),1000000000))+ROW()/100000,"")</f>
        <v/>
      </c>
    </row>
    <row r="327">
      <c r="F327" s="7">
        <f>IF($A327="","",E327*N327/100)</f>
        <v/>
      </c>
      <c r="J327" s="7" t="n"/>
      <c r="K327" s="7">
        <f>IF($A327="","",U327*N327)</f>
        <v/>
      </c>
      <c r="L327" s="7">
        <f>IF($A327="","",N327-K327)</f>
        <v/>
      </c>
      <c r="M327" s="7">
        <f>IF($A327="","",L327-F327)</f>
        <v/>
      </c>
      <c r="N327" s="7" t="n"/>
      <c r="O327" s="7" t="n"/>
      <c r="P327" s="7" t="n"/>
      <c r="S327" s="11" t="n"/>
      <c r="U327">
        <f>IF($A327="","",IF($Y327=1,Settings!$C$6,Settings!$C$7)*1)</f>
        <v/>
      </c>
      <c r="W327">
        <f>IF($A327="","",IF(COUNTIF($A$2:$A327,$A327)=1,1,0))</f>
        <v/>
      </c>
      <c r="X327">
        <f>IF($W327=1,SUMPRODUCT(--($Z$2:$Z$501&lt;$Z327))+1,"")</f>
        <v/>
      </c>
      <c r="Y327">
        <f>IF($A327="","",IF(OR($V327=TRUE(),$V327="TRUE"),1,0))</f>
        <v/>
      </c>
      <c r="Z327">
        <f>IF($W327=1,IFERROR(IF(VALUE($A327)&lt;100000000,VALUE($A327),1000000000),IFERROR(IF(VALUE(MID($A327,2,20))&lt;100000000,VALUE(MID($A327,2,20)),1000000000),1000000000))+ROW()/100000,"")</f>
        <v/>
      </c>
    </row>
    <row r="328">
      <c r="F328" s="7">
        <f>IF($A328="","",E328*N328/100)</f>
        <v/>
      </c>
      <c r="J328" s="7" t="n"/>
      <c r="K328" s="7">
        <f>IF($A328="","",U328*N328)</f>
        <v/>
      </c>
      <c r="L328" s="7">
        <f>IF($A328="","",N328-K328)</f>
        <v/>
      </c>
      <c r="M328" s="7">
        <f>IF($A328="","",L328-F328)</f>
        <v/>
      </c>
      <c r="N328" s="7" t="n"/>
      <c r="O328" s="7" t="n"/>
      <c r="P328" s="7" t="n"/>
      <c r="S328" s="11" t="n"/>
      <c r="U328">
        <f>IF($A328="","",IF($Y328=1,Settings!$C$6,Settings!$C$7)*1)</f>
        <v/>
      </c>
      <c r="W328">
        <f>IF($A328="","",IF(COUNTIF($A$2:$A328,$A328)=1,1,0))</f>
        <v/>
      </c>
      <c r="X328">
        <f>IF($W328=1,SUMPRODUCT(--($Z$2:$Z$501&lt;$Z328))+1,"")</f>
        <v/>
      </c>
      <c r="Y328">
        <f>IF($A328="","",IF(OR($V328=TRUE(),$V328="TRUE"),1,0))</f>
        <v/>
      </c>
      <c r="Z328">
        <f>IF($W328=1,IFERROR(IF(VALUE($A328)&lt;100000000,VALUE($A328),1000000000),IFERROR(IF(VALUE(MID($A328,2,20))&lt;100000000,VALUE(MID($A328,2,20)),1000000000),1000000000))+ROW()/100000,"")</f>
        <v/>
      </c>
    </row>
    <row r="329">
      <c r="F329" s="7">
        <f>IF($A329="","",E329*N329/100)</f>
        <v/>
      </c>
      <c r="J329" s="7" t="n"/>
      <c r="K329" s="7">
        <f>IF($A329="","",U329*N329)</f>
        <v/>
      </c>
      <c r="L329" s="7">
        <f>IF($A329="","",N329-K329)</f>
        <v/>
      </c>
      <c r="M329" s="7">
        <f>IF($A329="","",L329-F329)</f>
        <v/>
      </c>
      <c r="N329" s="7" t="n"/>
      <c r="O329" s="7" t="n"/>
      <c r="P329" s="7" t="n"/>
      <c r="S329" s="11" t="n"/>
      <c r="U329">
        <f>IF($A329="","",IF($Y329=1,Settings!$C$6,Settings!$C$7)*1)</f>
        <v/>
      </c>
      <c r="W329">
        <f>IF($A329="","",IF(COUNTIF($A$2:$A329,$A329)=1,1,0))</f>
        <v/>
      </c>
      <c r="X329">
        <f>IF($W329=1,SUMPRODUCT(--($Z$2:$Z$501&lt;$Z329))+1,"")</f>
        <v/>
      </c>
      <c r="Y329">
        <f>IF($A329="","",IF(OR($V329=TRUE(),$V329="TRUE"),1,0))</f>
        <v/>
      </c>
      <c r="Z329">
        <f>IF($W329=1,IFERROR(IF(VALUE($A329)&lt;100000000,VALUE($A329),1000000000),IFERROR(IF(VALUE(MID($A329,2,20))&lt;100000000,VALUE(MID($A329,2,20)),1000000000),1000000000))+ROW()/100000,"")</f>
        <v/>
      </c>
    </row>
    <row r="330">
      <c r="F330" s="7">
        <f>IF($A330="","",E330*N330/100)</f>
        <v/>
      </c>
      <c r="J330" s="7" t="n"/>
      <c r="K330" s="7">
        <f>IF($A330="","",U330*N330)</f>
        <v/>
      </c>
      <c r="L330" s="7">
        <f>IF($A330="","",N330-K330)</f>
        <v/>
      </c>
      <c r="M330" s="7">
        <f>IF($A330="","",L330-F330)</f>
        <v/>
      </c>
      <c r="N330" s="7" t="n"/>
      <c r="O330" s="7" t="n"/>
      <c r="P330" s="7" t="n"/>
      <c r="S330" s="11" t="n"/>
      <c r="U330">
        <f>IF($A330="","",IF($Y330=1,Settings!$C$6,Settings!$C$7)*1)</f>
        <v/>
      </c>
      <c r="W330">
        <f>IF($A330="","",IF(COUNTIF($A$2:$A330,$A330)=1,1,0))</f>
        <v/>
      </c>
      <c r="X330">
        <f>IF($W330=1,SUMPRODUCT(--($Z$2:$Z$501&lt;$Z330))+1,"")</f>
        <v/>
      </c>
      <c r="Y330">
        <f>IF($A330="","",IF(OR($V330=TRUE(),$V330="TRUE"),1,0))</f>
        <v/>
      </c>
      <c r="Z330">
        <f>IF($W330=1,IFERROR(IF(VALUE($A330)&lt;100000000,VALUE($A330),1000000000),IFERROR(IF(VALUE(MID($A330,2,20))&lt;100000000,VALUE(MID($A330,2,20)),1000000000),1000000000))+ROW()/100000,"")</f>
        <v/>
      </c>
    </row>
    <row r="331">
      <c r="F331" s="7">
        <f>IF($A331="","",E331*N331/100)</f>
        <v/>
      </c>
      <c r="J331" s="7" t="n"/>
      <c r="K331" s="7">
        <f>IF($A331="","",U331*N331)</f>
        <v/>
      </c>
      <c r="L331" s="7">
        <f>IF($A331="","",N331-K331)</f>
        <v/>
      </c>
      <c r="M331" s="7">
        <f>IF($A331="","",L331-F331)</f>
        <v/>
      </c>
      <c r="N331" s="7" t="n"/>
      <c r="O331" s="7" t="n"/>
      <c r="P331" s="7" t="n"/>
      <c r="S331" s="11" t="n"/>
      <c r="U331">
        <f>IF($A331="","",IF($Y331=1,Settings!$C$6,Settings!$C$7)*1)</f>
        <v/>
      </c>
      <c r="W331">
        <f>IF($A331="","",IF(COUNTIF($A$2:$A331,$A331)=1,1,0))</f>
        <v/>
      </c>
      <c r="X331">
        <f>IF($W331=1,SUMPRODUCT(--($Z$2:$Z$501&lt;$Z331))+1,"")</f>
        <v/>
      </c>
      <c r="Y331">
        <f>IF($A331="","",IF(OR($V331=TRUE(),$V331="TRUE"),1,0))</f>
        <v/>
      </c>
      <c r="Z331">
        <f>IF($W331=1,IFERROR(IF(VALUE($A331)&lt;100000000,VALUE($A331),1000000000),IFERROR(IF(VALUE(MID($A331,2,20))&lt;100000000,VALUE(MID($A331,2,20)),1000000000),1000000000))+ROW()/100000,"")</f>
        <v/>
      </c>
    </row>
    <row r="332">
      <c r="F332" s="7">
        <f>IF($A332="","",E332*N332/100)</f>
        <v/>
      </c>
      <c r="J332" s="7" t="n"/>
      <c r="K332" s="7">
        <f>IF($A332="","",U332*N332)</f>
        <v/>
      </c>
      <c r="L332" s="7">
        <f>IF($A332="","",N332-K332)</f>
        <v/>
      </c>
      <c r="M332" s="7">
        <f>IF($A332="","",L332-F332)</f>
        <v/>
      </c>
      <c r="N332" s="7" t="n"/>
      <c r="O332" s="7" t="n"/>
      <c r="P332" s="7" t="n"/>
      <c r="S332" s="11" t="n"/>
      <c r="U332">
        <f>IF($A332="","",IF($Y332=1,Settings!$C$6,Settings!$C$7)*1)</f>
        <v/>
      </c>
      <c r="W332">
        <f>IF($A332="","",IF(COUNTIF($A$2:$A332,$A332)=1,1,0))</f>
        <v/>
      </c>
      <c r="X332">
        <f>IF($W332=1,SUMPRODUCT(--($Z$2:$Z$501&lt;$Z332))+1,"")</f>
        <v/>
      </c>
      <c r="Y332">
        <f>IF($A332="","",IF(OR($V332=TRUE(),$V332="TRUE"),1,0))</f>
        <v/>
      </c>
      <c r="Z332">
        <f>IF($W332=1,IFERROR(IF(VALUE($A332)&lt;100000000,VALUE($A332),1000000000),IFERROR(IF(VALUE(MID($A332,2,20))&lt;100000000,VALUE(MID($A332,2,20)),1000000000),1000000000))+ROW()/100000,"")</f>
        <v/>
      </c>
    </row>
    <row r="333">
      <c r="F333" s="7">
        <f>IF($A333="","",E333*N333/100)</f>
        <v/>
      </c>
      <c r="J333" s="7" t="n"/>
      <c r="K333" s="7">
        <f>IF($A333="","",U333*N333)</f>
        <v/>
      </c>
      <c r="L333" s="7">
        <f>IF($A333="","",N333-K333)</f>
        <v/>
      </c>
      <c r="M333" s="7">
        <f>IF($A333="","",L333-F333)</f>
        <v/>
      </c>
      <c r="N333" s="7" t="n"/>
      <c r="O333" s="7" t="n"/>
      <c r="P333" s="7" t="n"/>
      <c r="S333" s="11" t="n"/>
      <c r="U333">
        <f>IF($A333="","",IF($Y333=1,Settings!$C$6,Settings!$C$7)*1)</f>
        <v/>
      </c>
      <c r="W333">
        <f>IF($A333="","",IF(COUNTIF($A$2:$A333,$A333)=1,1,0))</f>
        <v/>
      </c>
      <c r="X333">
        <f>IF($W333=1,SUMPRODUCT(--($Z$2:$Z$501&lt;$Z333))+1,"")</f>
        <v/>
      </c>
      <c r="Y333">
        <f>IF($A333="","",IF(OR($V333=TRUE(),$V333="TRUE"),1,0))</f>
        <v/>
      </c>
      <c r="Z333">
        <f>IF($W333=1,IFERROR(IF(VALUE($A333)&lt;100000000,VALUE($A333),1000000000),IFERROR(IF(VALUE(MID($A333,2,20))&lt;100000000,VALUE(MID($A333,2,20)),1000000000),1000000000))+ROW()/100000,"")</f>
        <v/>
      </c>
    </row>
    <row r="334">
      <c r="F334" s="7">
        <f>IF($A334="","",E334*N334/100)</f>
        <v/>
      </c>
      <c r="J334" s="7" t="n"/>
      <c r="K334" s="7">
        <f>IF($A334="","",U334*N334)</f>
        <v/>
      </c>
      <c r="L334" s="7">
        <f>IF($A334="","",N334-K334)</f>
        <v/>
      </c>
      <c r="M334" s="7">
        <f>IF($A334="","",L334-F334)</f>
        <v/>
      </c>
      <c r="N334" s="7" t="n"/>
      <c r="O334" s="7" t="n"/>
      <c r="P334" s="7" t="n"/>
      <c r="S334" s="11" t="n"/>
      <c r="U334">
        <f>IF($A334="","",IF($Y334=1,Settings!$C$6,Settings!$C$7)*1)</f>
        <v/>
      </c>
      <c r="W334">
        <f>IF($A334="","",IF(COUNTIF($A$2:$A334,$A334)=1,1,0))</f>
        <v/>
      </c>
      <c r="X334">
        <f>IF($W334=1,SUMPRODUCT(--($Z$2:$Z$501&lt;$Z334))+1,"")</f>
        <v/>
      </c>
      <c r="Y334">
        <f>IF($A334="","",IF(OR($V334=TRUE(),$V334="TRUE"),1,0))</f>
        <v/>
      </c>
      <c r="Z334">
        <f>IF($W334=1,IFERROR(IF(VALUE($A334)&lt;100000000,VALUE($A334),1000000000),IFERROR(IF(VALUE(MID($A334,2,20))&lt;100000000,VALUE(MID($A334,2,20)),1000000000),1000000000))+ROW()/100000,"")</f>
        <v/>
      </c>
    </row>
    <row r="335">
      <c r="F335" s="7">
        <f>IF($A335="","",E335*N335/100)</f>
        <v/>
      </c>
      <c r="J335" s="7" t="n"/>
      <c r="K335" s="7">
        <f>IF($A335="","",U335*N335)</f>
        <v/>
      </c>
      <c r="L335" s="7">
        <f>IF($A335="","",N335-K335)</f>
        <v/>
      </c>
      <c r="M335" s="7">
        <f>IF($A335="","",L335-F335)</f>
        <v/>
      </c>
      <c r="N335" s="7" t="n"/>
      <c r="O335" s="7" t="n"/>
      <c r="P335" s="7" t="n"/>
      <c r="S335" s="11" t="n"/>
      <c r="U335">
        <f>IF($A335="","",IF($Y335=1,Settings!$C$6,Settings!$C$7)*1)</f>
        <v/>
      </c>
      <c r="W335">
        <f>IF($A335="","",IF(COUNTIF($A$2:$A335,$A335)=1,1,0))</f>
        <v/>
      </c>
      <c r="X335">
        <f>IF($W335=1,SUMPRODUCT(--($Z$2:$Z$501&lt;$Z335))+1,"")</f>
        <v/>
      </c>
      <c r="Y335">
        <f>IF($A335="","",IF(OR($V335=TRUE(),$V335="TRUE"),1,0))</f>
        <v/>
      </c>
      <c r="Z335">
        <f>IF($W335=1,IFERROR(IF(VALUE($A335)&lt;100000000,VALUE($A335),1000000000),IFERROR(IF(VALUE(MID($A335,2,20))&lt;100000000,VALUE(MID($A335,2,20)),1000000000),1000000000))+ROW()/100000,"")</f>
        <v/>
      </c>
    </row>
    <row r="336">
      <c r="F336" s="7">
        <f>IF($A336="","",E336*N336/100)</f>
        <v/>
      </c>
      <c r="J336" s="7" t="n"/>
      <c r="K336" s="7">
        <f>IF($A336="","",U336*N336)</f>
        <v/>
      </c>
      <c r="L336" s="7">
        <f>IF($A336="","",N336-K336)</f>
        <v/>
      </c>
      <c r="M336" s="7">
        <f>IF($A336="","",L336-F336)</f>
        <v/>
      </c>
      <c r="N336" s="7" t="n"/>
      <c r="O336" s="7" t="n"/>
      <c r="P336" s="7" t="n"/>
      <c r="S336" s="11" t="n"/>
      <c r="U336">
        <f>IF($A336="","",IF($Y336=1,Settings!$C$6,Settings!$C$7)*1)</f>
        <v/>
      </c>
      <c r="W336">
        <f>IF($A336="","",IF(COUNTIF($A$2:$A336,$A336)=1,1,0))</f>
        <v/>
      </c>
      <c r="X336">
        <f>IF($W336=1,SUMPRODUCT(--($Z$2:$Z$501&lt;$Z336))+1,"")</f>
        <v/>
      </c>
      <c r="Y336">
        <f>IF($A336="","",IF(OR($V336=TRUE(),$V336="TRUE"),1,0))</f>
        <v/>
      </c>
      <c r="Z336">
        <f>IF($W336=1,IFERROR(IF(VALUE($A336)&lt;100000000,VALUE($A336),1000000000),IFERROR(IF(VALUE(MID($A336,2,20))&lt;100000000,VALUE(MID($A336,2,20)),1000000000),1000000000))+ROW()/100000,"")</f>
        <v/>
      </c>
    </row>
    <row r="337">
      <c r="F337" s="7">
        <f>IF($A337="","",E337*N337/100)</f>
        <v/>
      </c>
      <c r="J337" s="7" t="n"/>
      <c r="K337" s="7">
        <f>IF($A337="","",U337*N337)</f>
        <v/>
      </c>
      <c r="L337" s="7">
        <f>IF($A337="","",N337-K337)</f>
        <v/>
      </c>
      <c r="M337" s="7">
        <f>IF($A337="","",L337-F337)</f>
        <v/>
      </c>
      <c r="N337" s="7" t="n"/>
      <c r="O337" s="7" t="n"/>
      <c r="P337" s="7" t="n"/>
      <c r="S337" s="11" t="n"/>
      <c r="U337">
        <f>IF($A337="","",IF($Y337=1,Settings!$C$6,Settings!$C$7)*1)</f>
        <v/>
      </c>
      <c r="W337">
        <f>IF($A337="","",IF(COUNTIF($A$2:$A337,$A337)=1,1,0))</f>
        <v/>
      </c>
      <c r="X337">
        <f>IF($W337=1,SUMPRODUCT(--($Z$2:$Z$501&lt;$Z337))+1,"")</f>
        <v/>
      </c>
      <c r="Y337">
        <f>IF($A337="","",IF(OR($V337=TRUE(),$V337="TRUE"),1,0))</f>
        <v/>
      </c>
      <c r="Z337">
        <f>IF($W337=1,IFERROR(IF(VALUE($A337)&lt;100000000,VALUE($A337),1000000000),IFERROR(IF(VALUE(MID($A337,2,20))&lt;100000000,VALUE(MID($A337,2,20)),1000000000),1000000000))+ROW()/100000,"")</f>
        <v/>
      </c>
    </row>
    <row r="338">
      <c r="F338" s="7">
        <f>IF($A338="","",E338*N338/100)</f>
        <v/>
      </c>
      <c r="J338" s="7" t="n"/>
      <c r="K338" s="7">
        <f>IF($A338="","",U338*N338)</f>
        <v/>
      </c>
      <c r="L338" s="7">
        <f>IF($A338="","",N338-K338)</f>
        <v/>
      </c>
      <c r="M338" s="7">
        <f>IF($A338="","",L338-F338)</f>
        <v/>
      </c>
      <c r="N338" s="7" t="n"/>
      <c r="O338" s="7" t="n"/>
      <c r="P338" s="7" t="n"/>
      <c r="S338" s="11" t="n"/>
      <c r="U338">
        <f>IF($A338="","",IF($Y338=1,Settings!$C$6,Settings!$C$7)*1)</f>
        <v/>
      </c>
      <c r="W338">
        <f>IF($A338="","",IF(COUNTIF($A$2:$A338,$A338)=1,1,0))</f>
        <v/>
      </c>
      <c r="X338">
        <f>IF($W338=1,SUMPRODUCT(--($Z$2:$Z$501&lt;$Z338))+1,"")</f>
        <v/>
      </c>
      <c r="Y338">
        <f>IF($A338="","",IF(OR($V338=TRUE(),$V338="TRUE"),1,0))</f>
        <v/>
      </c>
      <c r="Z338">
        <f>IF($W338=1,IFERROR(IF(VALUE($A338)&lt;100000000,VALUE($A338),1000000000),IFERROR(IF(VALUE(MID($A338,2,20))&lt;100000000,VALUE(MID($A338,2,20)),1000000000),1000000000))+ROW()/100000,"")</f>
        <v/>
      </c>
    </row>
    <row r="339">
      <c r="F339" s="7">
        <f>IF($A339="","",E339*N339/100)</f>
        <v/>
      </c>
      <c r="J339" s="7" t="n"/>
      <c r="K339" s="7">
        <f>IF($A339="","",U339*N339)</f>
        <v/>
      </c>
      <c r="L339" s="7">
        <f>IF($A339="","",N339-K339)</f>
        <v/>
      </c>
      <c r="M339" s="7">
        <f>IF($A339="","",L339-F339)</f>
        <v/>
      </c>
      <c r="N339" s="7" t="n"/>
      <c r="O339" s="7" t="n"/>
      <c r="P339" s="7" t="n"/>
      <c r="S339" s="11" t="n"/>
      <c r="U339">
        <f>IF($A339="","",IF($Y339=1,Settings!$C$6,Settings!$C$7)*1)</f>
        <v/>
      </c>
      <c r="W339">
        <f>IF($A339="","",IF(COUNTIF($A$2:$A339,$A339)=1,1,0))</f>
        <v/>
      </c>
      <c r="X339">
        <f>IF($W339=1,SUMPRODUCT(--($Z$2:$Z$501&lt;$Z339))+1,"")</f>
        <v/>
      </c>
      <c r="Y339">
        <f>IF($A339="","",IF(OR($V339=TRUE(),$V339="TRUE"),1,0))</f>
        <v/>
      </c>
      <c r="Z339">
        <f>IF($W339=1,IFERROR(IF(VALUE($A339)&lt;100000000,VALUE($A339),1000000000),IFERROR(IF(VALUE(MID($A339,2,20))&lt;100000000,VALUE(MID($A339,2,20)),1000000000),1000000000))+ROW()/100000,"")</f>
        <v/>
      </c>
    </row>
    <row r="340">
      <c r="F340" s="7">
        <f>IF($A340="","",E340*N340/100)</f>
        <v/>
      </c>
      <c r="J340" s="7" t="n"/>
      <c r="K340" s="7">
        <f>IF($A340="","",U340*N340)</f>
        <v/>
      </c>
      <c r="L340" s="7">
        <f>IF($A340="","",N340-K340)</f>
        <v/>
      </c>
      <c r="M340" s="7">
        <f>IF($A340="","",L340-F340)</f>
        <v/>
      </c>
      <c r="N340" s="7" t="n"/>
      <c r="O340" s="7" t="n"/>
      <c r="P340" s="7" t="n"/>
      <c r="S340" s="11" t="n"/>
      <c r="U340">
        <f>IF($A340="","",IF($Y340=1,Settings!$C$6,Settings!$C$7)*1)</f>
        <v/>
      </c>
      <c r="W340">
        <f>IF($A340="","",IF(COUNTIF($A$2:$A340,$A340)=1,1,0))</f>
        <v/>
      </c>
      <c r="X340">
        <f>IF($W340=1,SUMPRODUCT(--($Z$2:$Z$501&lt;$Z340))+1,"")</f>
        <v/>
      </c>
      <c r="Y340">
        <f>IF($A340="","",IF(OR($V340=TRUE(),$V340="TRUE"),1,0))</f>
        <v/>
      </c>
      <c r="Z340">
        <f>IF($W340=1,IFERROR(IF(VALUE($A340)&lt;100000000,VALUE($A340),1000000000),IFERROR(IF(VALUE(MID($A340,2,20))&lt;100000000,VALUE(MID($A340,2,20)),1000000000),1000000000))+ROW()/100000,"")</f>
        <v/>
      </c>
    </row>
    <row r="341">
      <c r="F341" s="7">
        <f>IF($A341="","",E341*N341/100)</f>
        <v/>
      </c>
      <c r="J341" s="7" t="n"/>
      <c r="K341" s="7">
        <f>IF($A341="","",U341*N341)</f>
        <v/>
      </c>
      <c r="L341" s="7">
        <f>IF($A341="","",N341-K341)</f>
        <v/>
      </c>
      <c r="M341" s="7">
        <f>IF($A341="","",L341-F341)</f>
        <v/>
      </c>
      <c r="N341" s="7" t="n"/>
      <c r="O341" s="7" t="n"/>
      <c r="P341" s="7" t="n"/>
      <c r="S341" s="11" t="n"/>
      <c r="U341">
        <f>IF($A341="","",IF($Y341=1,Settings!$C$6,Settings!$C$7)*1)</f>
        <v/>
      </c>
      <c r="W341">
        <f>IF($A341="","",IF(COUNTIF($A$2:$A341,$A341)=1,1,0))</f>
        <v/>
      </c>
      <c r="X341">
        <f>IF($W341=1,SUMPRODUCT(--($Z$2:$Z$501&lt;$Z341))+1,"")</f>
        <v/>
      </c>
      <c r="Y341">
        <f>IF($A341="","",IF(OR($V341=TRUE(),$V341="TRUE"),1,0))</f>
        <v/>
      </c>
      <c r="Z341">
        <f>IF($W341=1,IFERROR(IF(VALUE($A341)&lt;100000000,VALUE($A341),1000000000),IFERROR(IF(VALUE(MID($A341,2,20))&lt;100000000,VALUE(MID($A341,2,20)),1000000000),1000000000))+ROW()/100000,"")</f>
        <v/>
      </c>
    </row>
    <row r="342">
      <c r="F342" s="7">
        <f>IF($A342="","",E342*N342/100)</f>
        <v/>
      </c>
      <c r="J342" s="7" t="n"/>
      <c r="K342" s="7">
        <f>IF($A342="","",U342*N342)</f>
        <v/>
      </c>
      <c r="L342" s="7">
        <f>IF($A342="","",N342-K342)</f>
        <v/>
      </c>
      <c r="M342" s="7">
        <f>IF($A342="","",L342-F342)</f>
        <v/>
      </c>
      <c r="N342" s="7" t="n"/>
      <c r="O342" s="7" t="n"/>
      <c r="P342" s="7" t="n"/>
      <c r="S342" s="11" t="n"/>
      <c r="U342">
        <f>IF($A342="","",IF($Y342=1,Settings!$C$6,Settings!$C$7)*1)</f>
        <v/>
      </c>
      <c r="W342">
        <f>IF($A342="","",IF(COUNTIF($A$2:$A342,$A342)=1,1,0))</f>
        <v/>
      </c>
      <c r="X342">
        <f>IF($W342=1,SUMPRODUCT(--($Z$2:$Z$501&lt;$Z342))+1,"")</f>
        <v/>
      </c>
      <c r="Y342">
        <f>IF($A342="","",IF(OR($V342=TRUE(),$V342="TRUE"),1,0))</f>
        <v/>
      </c>
      <c r="Z342">
        <f>IF($W342=1,IFERROR(IF(VALUE($A342)&lt;100000000,VALUE($A342),1000000000),IFERROR(IF(VALUE(MID($A342,2,20))&lt;100000000,VALUE(MID($A342,2,20)),1000000000),1000000000))+ROW()/100000,"")</f>
        <v/>
      </c>
    </row>
    <row r="343">
      <c r="F343" s="7">
        <f>IF($A343="","",E343*N343/100)</f>
        <v/>
      </c>
      <c r="J343" s="7" t="n"/>
      <c r="K343" s="7">
        <f>IF($A343="","",U343*N343)</f>
        <v/>
      </c>
      <c r="L343" s="7">
        <f>IF($A343="","",N343-K343)</f>
        <v/>
      </c>
      <c r="M343" s="7">
        <f>IF($A343="","",L343-F343)</f>
        <v/>
      </c>
      <c r="N343" s="7" t="n"/>
      <c r="O343" s="7" t="n"/>
      <c r="P343" s="7" t="n"/>
      <c r="S343" s="11" t="n"/>
      <c r="U343">
        <f>IF($A343="","",IF($Y343=1,Settings!$C$6,Settings!$C$7)*1)</f>
        <v/>
      </c>
      <c r="W343">
        <f>IF($A343="","",IF(COUNTIF($A$2:$A343,$A343)=1,1,0))</f>
        <v/>
      </c>
      <c r="X343">
        <f>IF($W343=1,SUMPRODUCT(--($Z$2:$Z$501&lt;$Z343))+1,"")</f>
        <v/>
      </c>
      <c r="Y343">
        <f>IF($A343="","",IF(OR($V343=TRUE(),$V343="TRUE"),1,0))</f>
        <v/>
      </c>
      <c r="Z343">
        <f>IF($W343=1,IFERROR(IF(VALUE($A343)&lt;100000000,VALUE($A343),1000000000),IFERROR(IF(VALUE(MID($A343,2,20))&lt;100000000,VALUE(MID($A343,2,20)),1000000000),1000000000))+ROW()/100000,"")</f>
        <v/>
      </c>
    </row>
    <row r="344">
      <c r="F344" s="7">
        <f>IF($A344="","",E344*N344/100)</f>
        <v/>
      </c>
      <c r="J344" s="7" t="n"/>
      <c r="K344" s="7">
        <f>IF($A344="","",U344*N344)</f>
        <v/>
      </c>
      <c r="L344" s="7">
        <f>IF($A344="","",N344-K344)</f>
        <v/>
      </c>
      <c r="M344" s="7">
        <f>IF($A344="","",L344-F344)</f>
        <v/>
      </c>
      <c r="N344" s="7" t="n"/>
      <c r="O344" s="7" t="n"/>
      <c r="P344" s="7" t="n"/>
      <c r="S344" s="11" t="n"/>
      <c r="U344">
        <f>IF($A344="","",IF($Y344=1,Settings!$C$6,Settings!$C$7)*1)</f>
        <v/>
      </c>
      <c r="W344">
        <f>IF($A344="","",IF(COUNTIF($A$2:$A344,$A344)=1,1,0))</f>
        <v/>
      </c>
      <c r="X344">
        <f>IF($W344=1,SUMPRODUCT(--($Z$2:$Z$501&lt;$Z344))+1,"")</f>
        <v/>
      </c>
      <c r="Y344">
        <f>IF($A344="","",IF(OR($V344=TRUE(),$V344="TRUE"),1,0))</f>
        <v/>
      </c>
      <c r="Z344">
        <f>IF($W344=1,IFERROR(IF(VALUE($A344)&lt;100000000,VALUE($A344),1000000000),IFERROR(IF(VALUE(MID($A344,2,20))&lt;100000000,VALUE(MID($A344,2,20)),1000000000),1000000000))+ROW()/100000,"")</f>
        <v/>
      </c>
    </row>
    <row r="345">
      <c r="F345" s="7">
        <f>IF($A345="","",E345*N345/100)</f>
        <v/>
      </c>
      <c r="J345" s="7" t="n"/>
      <c r="K345" s="7">
        <f>IF($A345="","",U345*N345)</f>
        <v/>
      </c>
      <c r="L345" s="7">
        <f>IF($A345="","",N345-K345)</f>
        <v/>
      </c>
      <c r="M345" s="7">
        <f>IF($A345="","",L345-F345)</f>
        <v/>
      </c>
      <c r="N345" s="7" t="n"/>
      <c r="O345" s="7" t="n"/>
      <c r="P345" s="7" t="n"/>
      <c r="S345" s="11" t="n"/>
      <c r="U345">
        <f>IF($A345="","",IF($Y345=1,Settings!$C$6,Settings!$C$7)*1)</f>
        <v/>
      </c>
      <c r="W345">
        <f>IF($A345="","",IF(COUNTIF($A$2:$A345,$A345)=1,1,0))</f>
        <v/>
      </c>
      <c r="X345">
        <f>IF($W345=1,SUMPRODUCT(--($Z$2:$Z$501&lt;$Z345))+1,"")</f>
        <v/>
      </c>
      <c r="Y345">
        <f>IF($A345="","",IF(OR($V345=TRUE(),$V345="TRUE"),1,0))</f>
        <v/>
      </c>
      <c r="Z345">
        <f>IF($W345=1,IFERROR(IF(VALUE($A345)&lt;100000000,VALUE($A345),1000000000),IFERROR(IF(VALUE(MID($A345,2,20))&lt;100000000,VALUE(MID($A345,2,20)),1000000000),1000000000))+ROW()/100000,"")</f>
        <v/>
      </c>
    </row>
    <row r="346">
      <c r="F346" s="7">
        <f>IF($A346="","",E346*N346/100)</f>
        <v/>
      </c>
      <c r="J346" s="7" t="n"/>
      <c r="K346" s="7">
        <f>IF($A346="","",U346*N346)</f>
        <v/>
      </c>
      <c r="L346" s="7">
        <f>IF($A346="","",N346-K346)</f>
        <v/>
      </c>
      <c r="M346" s="7">
        <f>IF($A346="","",L346-F346)</f>
        <v/>
      </c>
      <c r="N346" s="7" t="n"/>
      <c r="O346" s="7" t="n"/>
      <c r="P346" s="7" t="n"/>
      <c r="S346" s="11" t="n"/>
      <c r="U346">
        <f>IF($A346="","",IF($Y346=1,Settings!$C$6,Settings!$C$7)*1)</f>
        <v/>
      </c>
      <c r="W346">
        <f>IF($A346="","",IF(COUNTIF($A$2:$A346,$A346)=1,1,0))</f>
        <v/>
      </c>
      <c r="X346">
        <f>IF($W346=1,SUMPRODUCT(--($Z$2:$Z$501&lt;$Z346))+1,"")</f>
        <v/>
      </c>
      <c r="Y346">
        <f>IF($A346="","",IF(OR($V346=TRUE(),$V346="TRUE"),1,0))</f>
        <v/>
      </c>
      <c r="Z346">
        <f>IF($W346=1,IFERROR(IF(VALUE($A346)&lt;100000000,VALUE($A346),1000000000),IFERROR(IF(VALUE(MID($A346,2,20))&lt;100000000,VALUE(MID($A346,2,20)),1000000000),1000000000))+ROW()/100000,"")</f>
        <v/>
      </c>
    </row>
    <row r="347">
      <c r="F347" s="7">
        <f>IF($A347="","",E347*N347/100)</f>
        <v/>
      </c>
      <c r="J347" s="7" t="n"/>
      <c r="K347" s="7">
        <f>IF($A347="","",U347*N347)</f>
        <v/>
      </c>
      <c r="L347" s="7">
        <f>IF($A347="","",N347-K347)</f>
        <v/>
      </c>
      <c r="M347" s="7">
        <f>IF($A347="","",L347-F347)</f>
        <v/>
      </c>
      <c r="N347" s="7" t="n"/>
      <c r="O347" s="7" t="n"/>
      <c r="P347" s="7" t="n"/>
      <c r="S347" s="11" t="n"/>
      <c r="U347">
        <f>IF($A347="","",IF($Y347=1,Settings!$C$6,Settings!$C$7)*1)</f>
        <v/>
      </c>
      <c r="W347">
        <f>IF($A347="","",IF(COUNTIF($A$2:$A347,$A347)=1,1,0))</f>
        <v/>
      </c>
      <c r="X347">
        <f>IF($W347=1,SUMPRODUCT(--($Z$2:$Z$501&lt;$Z347))+1,"")</f>
        <v/>
      </c>
      <c r="Y347">
        <f>IF($A347="","",IF(OR($V347=TRUE(),$V347="TRUE"),1,0))</f>
        <v/>
      </c>
      <c r="Z347">
        <f>IF($W347=1,IFERROR(IF(VALUE($A347)&lt;100000000,VALUE($A347),1000000000),IFERROR(IF(VALUE(MID($A347,2,20))&lt;100000000,VALUE(MID($A347,2,20)),1000000000),1000000000))+ROW()/100000,"")</f>
        <v/>
      </c>
    </row>
    <row r="348">
      <c r="F348" s="7">
        <f>IF($A348="","",E348*N348/100)</f>
        <v/>
      </c>
      <c r="J348" s="7" t="n"/>
      <c r="K348" s="7">
        <f>IF($A348="","",U348*N348)</f>
        <v/>
      </c>
      <c r="L348" s="7">
        <f>IF($A348="","",N348-K348)</f>
        <v/>
      </c>
      <c r="M348" s="7">
        <f>IF($A348="","",L348-F348)</f>
        <v/>
      </c>
      <c r="N348" s="7" t="n"/>
      <c r="O348" s="7" t="n"/>
      <c r="P348" s="7" t="n"/>
      <c r="S348" s="11" t="n"/>
      <c r="U348">
        <f>IF($A348="","",IF($Y348=1,Settings!$C$6,Settings!$C$7)*1)</f>
        <v/>
      </c>
      <c r="W348">
        <f>IF($A348="","",IF(COUNTIF($A$2:$A348,$A348)=1,1,0))</f>
        <v/>
      </c>
      <c r="X348">
        <f>IF($W348=1,SUMPRODUCT(--($Z$2:$Z$501&lt;$Z348))+1,"")</f>
        <v/>
      </c>
      <c r="Y348">
        <f>IF($A348="","",IF(OR($V348=TRUE(),$V348="TRUE"),1,0))</f>
        <v/>
      </c>
      <c r="Z348">
        <f>IF($W348=1,IFERROR(IF(VALUE($A348)&lt;100000000,VALUE($A348),1000000000),IFERROR(IF(VALUE(MID($A348,2,20))&lt;100000000,VALUE(MID($A348,2,20)),1000000000),1000000000))+ROW()/100000,"")</f>
        <v/>
      </c>
    </row>
    <row r="349">
      <c r="F349" s="7">
        <f>IF($A349="","",E349*N349/100)</f>
        <v/>
      </c>
      <c r="J349" s="7" t="n"/>
      <c r="K349" s="7">
        <f>IF($A349="","",U349*N349)</f>
        <v/>
      </c>
      <c r="L349" s="7">
        <f>IF($A349="","",N349-K349)</f>
        <v/>
      </c>
      <c r="M349" s="7">
        <f>IF($A349="","",L349-F349)</f>
        <v/>
      </c>
      <c r="N349" s="7" t="n"/>
      <c r="O349" s="7" t="n"/>
      <c r="P349" s="7" t="n"/>
      <c r="S349" s="11" t="n"/>
      <c r="U349">
        <f>IF($A349="","",IF($Y349=1,Settings!$C$6,Settings!$C$7)*1)</f>
        <v/>
      </c>
      <c r="W349">
        <f>IF($A349="","",IF(COUNTIF($A$2:$A349,$A349)=1,1,0))</f>
        <v/>
      </c>
      <c r="X349">
        <f>IF($W349=1,SUMPRODUCT(--($Z$2:$Z$501&lt;$Z349))+1,"")</f>
        <v/>
      </c>
      <c r="Y349">
        <f>IF($A349="","",IF(OR($V349=TRUE(),$V349="TRUE"),1,0))</f>
        <v/>
      </c>
      <c r="Z349">
        <f>IF($W349=1,IFERROR(IF(VALUE($A349)&lt;100000000,VALUE($A349),1000000000),IFERROR(IF(VALUE(MID($A349,2,20))&lt;100000000,VALUE(MID($A349,2,20)),1000000000),1000000000))+ROW()/100000,"")</f>
        <v/>
      </c>
    </row>
    <row r="350">
      <c r="F350" s="7">
        <f>IF($A350="","",E350*N350/100)</f>
        <v/>
      </c>
      <c r="J350" s="7" t="n"/>
      <c r="K350" s="7">
        <f>IF($A350="","",U350*N350)</f>
        <v/>
      </c>
      <c r="L350" s="7">
        <f>IF($A350="","",N350-K350)</f>
        <v/>
      </c>
      <c r="M350" s="7">
        <f>IF($A350="","",L350-F350)</f>
        <v/>
      </c>
      <c r="N350" s="7" t="n"/>
      <c r="O350" s="7" t="n"/>
      <c r="P350" s="7" t="n"/>
      <c r="S350" s="11" t="n"/>
      <c r="U350">
        <f>IF($A350="","",IF($Y350=1,Settings!$C$6,Settings!$C$7)*1)</f>
        <v/>
      </c>
      <c r="W350">
        <f>IF($A350="","",IF(COUNTIF($A$2:$A350,$A350)=1,1,0))</f>
        <v/>
      </c>
      <c r="X350">
        <f>IF($W350=1,SUMPRODUCT(--($Z$2:$Z$501&lt;$Z350))+1,"")</f>
        <v/>
      </c>
      <c r="Y350">
        <f>IF($A350="","",IF(OR($V350=TRUE(),$V350="TRUE"),1,0))</f>
        <v/>
      </c>
      <c r="Z350">
        <f>IF($W350=1,IFERROR(IF(VALUE($A350)&lt;100000000,VALUE($A350),1000000000),IFERROR(IF(VALUE(MID($A350,2,20))&lt;100000000,VALUE(MID($A350,2,20)),1000000000),1000000000))+ROW()/100000,"")</f>
        <v/>
      </c>
    </row>
    <row r="351">
      <c r="F351" s="7">
        <f>IF($A351="","",E351*N351/100)</f>
        <v/>
      </c>
      <c r="J351" s="7" t="n"/>
      <c r="K351" s="7">
        <f>IF($A351="","",U351*N351)</f>
        <v/>
      </c>
      <c r="L351" s="7">
        <f>IF($A351="","",N351-K351)</f>
        <v/>
      </c>
      <c r="M351" s="7">
        <f>IF($A351="","",L351-F351)</f>
        <v/>
      </c>
      <c r="N351" s="7" t="n"/>
      <c r="O351" s="7" t="n"/>
      <c r="P351" s="7" t="n"/>
      <c r="S351" s="11" t="n"/>
      <c r="U351">
        <f>IF($A351="","",IF($Y351=1,Settings!$C$6,Settings!$C$7)*1)</f>
        <v/>
      </c>
      <c r="W351">
        <f>IF($A351="","",IF(COUNTIF($A$2:$A351,$A351)=1,1,0))</f>
        <v/>
      </c>
      <c r="X351">
        <f>IF($W351=1,SUMPRODUCT(--($Z$2:$Z$501&lt;$Z351))+1,"")</f>
        <v/>
      </c>
      <c r="Y351">
        <f>IF($A351="","",IF(OR($V351=TRUE(),$V351="TRUE"),1,0))</f>
        <v/>
      </c>
      <c r="Z351">
        <f>IF($W351=1,IFERROR(IF(VALUE($A351)&lt;100000000,VALUE($A351),1000000000),IFERROR(IF(VALUE(MID($A351,2,20))&lt;100000000,VALUE(MID($A351,2,20)),1000000000),1000000000))+ROW()/100000,"")</f>
        <v/>
      </c>
    </row>
    <row r="352">
      <c r="F352" s="7">
        <f>IF($A352="","",E352*N352/100)</f>
        <v/>
      </c>
      <c r="J352" s="7" t="n"/>
      <c r="K352" s="7">
        <f>IF($A352="","",U352*N352)</f>
        <v/>
      </c>
      <c r="L352" s="7">
        <f>IF($A352="","",N352-K352)</f>
        <v/>
      </c>
      <c r="M352" s="7">
        <f>IF($A352="","",L352-F352)</f>
        <v/>
      </c>
      <c r="N352" s="7" t="n"/>
      <c r="O352" s="7" t="n"/>
      <c r="P352" s="7" t="n"/>
      <c r="S352" s="11" t="n"/>
      <c r="U352">
        <f>IF($A352="","",IF($Y352=1,Settings!$C$6,Settings!$C$7)*1)</f>
        <v/>
      </c>
      <c r="W352">
        <f>IF($A352="","",IF(COUNTIF($A$2:$A352,$A352)=1,1,0))</f>
        <v/>
      </c>
      <c r="X352">
        <f>IF($W352=1,SUMPRODUCT(--($Z$2:$Z$501&lt;$Z352))+1,"")</f>
        <v/>
      </c>
      <c r="Y352">
        <f>IF($A352="","",IF(OR($V352=TRUE(),$V352="TRUE"),1,0))</f>
        <v/>
      </c>
      <c r="Z352">
        <f>IF($W352=1,IFERROR(IF(VALUE($A352)&lt;100000000,VALUE($A352),1000000000),IFERROR(IF(VALUE(MID($A352,2,20))&lt;100000000,VALUE(MID($A352,2,20)),1000000000),1000000000))+ROW()/100000,"")</f>
        <v/>
      </c>
    </row>
    <row r="353">
      <c r="F353" s="7">
        <f>IF($A353="","",E353*N353/100)</f>
        <v/>
      </c>
      <c r="J353" s="7" t="n"/>
      <c r="K353" s="7">
        <f>IF($A353="","",U353*N353)</f>
        <v/>
      </c>
      <c r="L353" s="7">
        <f>IF($A353="","",N353-K353)</f>
        <v/>
      </c>
      <c r="M353" s="7">
        <f>IF($A353="","",L353-F353)</f>
        <v/>
      </c>
      <c r="N353" s="7" t="n"/>
      <c r="O353" s="7" t="n"/>
      <c r="P353" s="7" t="n"/>
      <c r="S353" s="11" t="n"/>
      <c r="U353">
        <f>IF($A353="","",IF($Y353=1,Settings!$C$6,Settings!$C$7)*1)</f>
        <v/>
      </c>
      <c r="W353">
        <f>IF($A353="","",IF(COUNTIF($A$2:$A353,$A353)=1,1,0))</f>
        <v/>
      </c>
      <c r="X353">
        <f>IF($W353=1,SUMPRODUCT(--($Z$2:$Z$501&lt;$Z353))+1,"")</f>
        <v/>
      </c>
      <c r="Y353">
        <f>IF($A353="","",IF(OR($V353=TRUE(),$V353="TRUE"),1,0))</f>
        <v/>
      </c>
      <c r="Z353">
        <f>IF($W353=1,IFERROR(IF(VALUE($A353)&lt;100000000,VALUE($A353),1000000000),IFERROR(IF(VALUE(MID($A353,2,20))&lt;100000000,VALUE(MID($A353,2,20)),1000000000),1000000000))+ROW()/100000,"")</f>
        <v/>
      </c>
    </row>
    <row r="354">
      <c r="F354" s="7">
        <f>IF($A354="","",E354*N354/100)</f>
        <v/>
      </c>
      <c r="J354" s="7" t="n"/>
      <c r="K354" s="7">
        <f>IF($A354="","",U354*N354)</f>
        <v/>
      </c>
      <c r="L354" s="7">
        <f>IF($A354="","",N354-K354)</f>
        <v/>
      </c>
      <c r="M354" s="7">
        <f>IF($A354="","",L354-F354)</f>
        <v/>
      </c>
      <c r="N354" s="7" t="n"/>
      <c r="O354" s="7" t="n"/>
      <c r="P354" s="7" t="n"/>
      <c r="S354" s="11" t="n"/>
      <c r="U354">
        <f>IF($A354="","",IF($Y354=1,Settings!$C$6,Settings!$C$7)*1)</f>
        <v/>
      </c>
      <c r="W354">
        <f>IF($A354="","",IF(COUNTIF($A$2:$A354,$A354)=1,1,0))</f>
        <v/>
      </c>
      <c r="X354">
        <f>IF($W354=1,SUMPRODUCT(--($Z$2:$Z$501&lt;$Z354))+1,"")</f>
        <v/>
      </c>
      <c r="Y354">
        <f>IF($A354="","",IF(OR($V354=TRUE(),$V354="TRUE"),1,0))</f>
        <v/>
      </c>
      <c r="Z354">
        <f>IF($W354=1,IFERROR(IF(VALUE($A354)&lt;100000000,VALUE($A354),1000000000),IFERROR(IF(VALUE(MID($A354,2,20))&lt;100000000,VALUE(MID($A354,2,20)),1000000000),1000000000))+ROW()/100000,"")</f>
        <v/>
      </c>
    </row>
    <row r="355">
      <c r="F355" s="7">
        <f>IF($A355="","",E355*N355/100)</f>
        <v/>
      </c>
      <c r="J355" s="7" t="n"/>
      <c r="K355" s="7">
        <f>IF($A355="","",U355*N355)</f>
        <v/>
      </c>
      <c r="L355" s="7">
        <f>IF($A355="","",N355-K355)</f>
        <v/>
      </c>
      <c r="M355" s="7">
        <f>IF($A355="","",L355-F355)</f>
        <v/>
      </c>
      <c r="N355" s="7" t="n"/>
      <c r="O355" s="7" t="n"/>
      <c r="P355" s="7" t="n"/>
      <c r="S355" s="11" t="n"/>
      <c r="U355">
        <f>IF($A355="","",IF($Y355=1,Settings!$C$6,Settings!$C$7)*1)</f>
        <v/>
      </c>
      <c r="W355">
        <f>IF($A355="","",IF(COUNTIF($A$2:$A355,$A355)=1,1,0))</f>
        <v/>
      </c>
      <c r="X355">
        <f>IF($W355=1,SUMPRODUCT(--($Z$2:$Z$501&lt;$Z355))+1,"")</f>
        <v/>
      </c>
      <c r="Y355">
        <f>IF($A355="","",IF(OR($V355=TRUE(),$V355="TRUE"),1,0))</f>
        <v/>
      </c>
      <c r="Z355">
        <f>IF($W355=1,IFERROR(IF(VALUE($A355)&lt;100000000,VALUE($A355),1000000000),IFERROR(IF(VALUE(MID($A355,2,20))&lt;100000000,VALUE(MID($A355,2,20)),1000000000),1000000000))+ROW()/100000,"")</f>
        <v/>
      </c>
    </row>
    <row r="356">
      <c r="F356" s="7">
        <f>IF($A356="","",E356*N356/100)</f>
        <v/>
      </c>
      <c r="J356" s="7" t="n"/>
      <c r="K356" s="7">
        <f>IF($A356="","",U356*N356)</f>
        <v/>
      </c>
      <c r="L356" s="7">
        <f>IF($A356="","",N356-K356)</f>
        <v/>
      </c>
      <c r="M356" s="7">
        <f>IF($A356="","",L356-F356)</f>
        <v/>
      </c>
      <c r="N356" s="7" t="n"/>
      <c r="O356" s="7" t="n"/>
      <c r="P356" s="7" t="n"/>
      <c r="S356" s="11" t="n"/>
      <c r="U356">
        <f>IF($A356="","",IF($Y356=1,Settings!$C$6,Settings!$C$7)*1)</f>
        <v/>
      </c>
      <c r="W356">
        <f>IF($A356="","",IF(COUNTIF($A$2:$A356,$A356)=1,1,0))</f>
        <v/>
      </c>
      <c r="X356">
        <f>IF($W356=1,SUMPRODUCT(--($Z$2:$Z$501&lt;$Z356))+1,"")</f>
        <v/>
      </c>
      <c r="Y356">
        <f>IF($A356="","",IF(OR($V356=TRUE(),$V356="TRUE"),1,0))</f>
        <v/>
      </c>
      <c r="Z356">
        <f>IF($W356=1,IFERROR(IF(VALUE($A356)&lt;100000000,VALUE($A356),1000000000),IFERROR(IF(VALUE(MID($A356,2,20))&lt;100000000,VALUE(MID($A356,2,20)),1000000000),1000000000))+ROW()/100000,"")</f>
        <v/>
      </c>
    </row>
    <row r="357">
      <c r="F357" s="7">
        <f>IF($A357="","",E357*N357/100)</f>
        <v/>
      </c>
      <c r="J357" s="7" t="n"/>
      <c r="K357" s="7">
        <f>IF($A357="","",U357*N357)</f>
        <v/>
      </c>
      <c r="L357" s="7">
        <f>IF($A357="","",N357-K357)</f>
        <v/>
      </c>
      <c r="M357" s="7">
        <f>IF($A357="","",L357-F357)</f>
        <v/>
      </c>
      <c r="N357" s="7" t="n"/>
      <c r="O357" s="7" t="n"/>
      <c r="P357" s="7" t="n"/>
      <c r="S357" s="11" t="n"/>
      <c r="U357">
        <f>IF($A357="","",IF($Y357=1,Settings!$C$6,Settings!$C$7)*1)</f>
        <v/>
      </c>
      <c r="W357">
        <f>IF($A357="","",IF(COUNTIF($A$2:$A357,$A357)=1,1,0))</f>
        <v/>
      </c>
      <c r="X357">
        <f>IF($W357=1,SUMPRODUCT(--($Z$2:$Z$501&lt;$Z357))+1,"")</f>
        <v/>
      </c>
      <c r="Y357">
        <f>IF($A357="","",IF(OR($V357=TRUE(),$V357="TRUE"),1,0))</f>
        <v/>
      </c>
      <c r="Z357">
        <f>IF($W357=1,IFERROR(IF(VALUE($A357)&lt;100000000,VALUE($A357),1000000000),IFERROR(IF(VALUE(MID($A357,2,20))&lt;100000000,VALUE(MID($A357,2,20)),1000000000),1000000000))+ROW()/100000,"")</f>
        <v/>
      </c>
    </row>
    <row r="358">
      <c r="F358" s="7">
        <f>IF($A358="","",E358*N358/100)</f>
        <v/>
      </c>
      <c r="J358" s="7" t="n"/>
      <c r="K358" s="7">
        <f>IF($A358="","",U358*N358)</f>
        <v/>
      </c>
      <c r="L358" s="7">
        <f>IF($A358="","",N358-K358)</f>
        <v/>
      </c>
      <c r="M358" s="7">
        <f>IF($A358="","",L358-F358)</f>
        <v/>
      </c>
      <c r="N358" s="7" t="n"/>
      <c r="O358" s="7" t="n"/>
      <c r="P358" s="7" t="n"/>
      <c r="S358" s="11" t="n"/>
      <c r="U358">
        <f>IF($A358="","",IF($Y358=1,Settings!$C$6,Settings!$C$7)*1)</f>
        <v/>
      </c>
      <c r="W358">
        <f>IF($A358="","",IF(COUNTIF($A$2:$A358,$A358)=1,1,0))</f>
        <v/>
      </c>
      <c r="X358">
        <f>IF($W358=1,SUMPRODUCT(--($Z$2:$Z$501&lt;$Z358))+1,"")</f>
        <v/>
      </c>
      <c r="Y358">
        <f>IF($A358="","",IF(OR($V358=TRUE(),$V358="TRUE"),1,0))</f>
        <v/>
      </c>
      <c r="Z358">
        <f>IF($W358=1,IFERROR(IF(VALUE($A358)&lt;100000000,VALUE($A358),1000000000),IFERROR(IF(VALUE(MID($A358,2,20))&lt;100000000,VALUE(MID($A358,2,20)),1000000000),1000000000))+ROW()/100000,"")</f>
        <v/>
      </c>
    </row>
    <row r="359">
      <c r="F359" s="7">
        <f>IF($A359="","",E359*N359/100)</f>
        <v/>
      </c>
      <c r="J359" s="7" t="n"/>
      <c r="K359" s="7">
        <f>IF($A359="","",U359*N359)</f>
        <v/>
      </c>
      <c r="L359" s="7">
        <f>IF($A359="","",N359-K359)</f>
        <v/>
      </c>
      <c r="M359" s="7">
        <f>IF($A359="","",L359-F359)</f>
        <v/>
      </c>
      <c r="N359" s="7" t="n"/>
      <c r="O359" s="7" t="n"/>
      <c r="P359" s="7" t="n"/>
      <c r="S359" s="11" t="n"/>
      <c r="U359">
        <f>IF($A359="","",IF($Y359=1,Settings!$C$6,Settings!$C$7)*1)</f>
        <v/>
      </c>
      <c r="W359">
        <f>IF($A359="","",IF(COUNTIF($A$2:$A359,$A359)=1,1,0))</f>
        <v/>
      </c>
      <c r="X359">
        <f>IF($W359=1,SUMPRODUCT(--($Z$2:$Z$501&lt;$Z359))+1,"")</f>
        <v/>
      </c>
      <c r="Y359">
        <f>IF($A359="","",IF(OR($V359=TRUE(),$V359="TRUE"),1,0))</f>
        <v/>
      </c>
      <c r="Z359">
        <f>IF($W359=1,IFERROR(IF(VALUE($A359)&lt;100000000,VALUE($A359),1000000000),IFERROR(IF(VALUE(MID($A359,2,20))&lt;100000000,VALUE(MID($A359,2,20)),1000000000),1000000000))+ROW()/100000,"")</f>
        <v/>
      </c>
    </row>
    <row r="360">
      <c r="F360" s="7">
        <f>IF($A360="","",E360*N360/100)</f>
        <v/>
      </c>
      <c r="J360" s="7" t="n"/>
      <c r="K360" s="7">
        <f>IF($A360="","",U360*N360)</f>
        <v/>
      </c>
      <c r="L360" s="7">
        <f>IF($A360="","",N360-K360)</f>
        <v/>
      </c>
      <c r="M360" s="7">
        <f>IF($A360="","",L360-F360)</f>
        <v/>
      </c>
      <c r="N360" s="7" t="n"/>
      <c r="O360" s="7" t="n"/>
      <c r="P360" s="7" t="n"/>
      <c r="S360" s="11" t="n"/>
      <c r="U360">
        <f>IF($A360="","",IF($Y360=1,Settings!$C$6,Settings!$C$7)*1)</f>
        <v/>
      </c>
      <c r="W360">
        <f>IF($A360="","",IF(COUNTIF($A$2:$A360,$A360)=1,1,0))</f>
        <v/>
      </c>
      <c r="X360">
        <f>IF($W360=1,SUMPRODUCT(--($Z$2:$Z$501&lt;$Z360))+1,"")</f>
        <v/>
      </c>
      <c r="Y360">
        <f>IF($A360="","",IF(OR($V360=TRUE(),$V360="TRUE"),1,0))</f>
        <v/>
      </c>
      <c r="Z360">
        <f>IF($W360=1,IFERROR(IF(VALUE($A360)&lt;100000000,VALUE($A360),1000000000),IFERROR(IF(VALUE(MID($A360,2,20))&lt;100000000,VALUE(MID($A360,2,20)),1000000000),1000000000))+ROW()/100000,"")</f>
        <v/>
      </c>
    </row>
    <row r="361">
      <c r="F361" s="7">
        <f>IF($A361="","",E361*N361/100)</f>
        <v/>
      </c>
      <c r="J361" s="7" t="n"/>
      <c r="K361" s="7">
        <f>IF($A361="","",U361*N361)</f>
        <v/>
      </c>
      <c r="L361" s="7">
        <f>IF($A361="","",N361-K361)</f>
        <v/>
      </c>
      <c r="M361" s="7">
        <f>IF($A361="","",L361-F361)</f>
        <v/>
      </c>
      <c r="N361" s="7" t="n"/>
      <c r="O361" s="7" t="n"/>
      <c r="P361" s="7" t="n"/>
      <c r="S361" s="11" t="n"/>
      <c r="U361">
        <f>IF($A361="","",IF($Y361=1,Settings!$C$6,Settings!$C$7)*1)</f>
        <v/>
      </c>
      <c r="W361">
        <f>IF($A361="","",IF(COUNTIF($A$2:$A361,$A361)=1,1,0))</f>
        <v/>
      </c>
      <c r="X361">
        <f>IF($W361=1,SUMPRODUCT(--($Z$2:$Z$501&lt;$Z361))+1,"")</f>
        <v/>
      </c>
      <c r="Y361">
        <f>IF($A361="","",IF(OR($V361=TRUE(),$V361="TRUE"),1,0))</f>
        <v/>
      </c>
      <c r="Z361">
        <f>IF($W361=1,IFERROR(IF(VALUE($A361)&lt;100000000,VALUE($A361),1000000000),IFERROR(IF(VALUE(MID($A361,2,20))&lt;100000000,VALUE(MID($A361,2,20)),1000000000),1000000000))+ROW()/100000,"")</f>
        <v/>
      </c>
    </row>
    <row r="362">
      <c r="F362" s="7">
        <f>IF($A362="","",E362*N362/100)</f>
        <v/>
      </c>
      <c r="J362" s="7" t="n"/>
      <c r="K362" s="7">
        <f>IF($A362="","",U362*N362)</f>
        <v/>
      </c>
      <c r="L362" s="7">
        <f>IF($A362="","",N362-K362)</f>
        <v/>
      </c>
      <c r="M362" s="7">
        <f>IF($A362="","",L362-F362)</f>
        <v/>
      </c>
      <c r="N362" s="7" t="n"/>
      <c r="O362" s="7" t="n"/>
      <c r="P362" s="7" t="n"/>
      <c r="S362" s="11" t="n"/>
      <c r="U362">
        <f>IF($A362="","",IF($Y362=1,Settings!$C$6,Settings!$C$7)*1)</f>
        <v/>
      </c>
      <c r="W362">
        <f>IF($A362="","",IF(COUNTIF($A$2:$A362,$A362)=1,1,0))</f>
        <v/>
      </c>
      <c r="X362">
        <f>IF($W362=1,SUMPRODUCT(--($Z$2:$Z$501&lt;$Z362))+1,"")</f>
        <v/>
      </c>
      <c r="Y362">
        <f>IF($A362="","",IF(OR($V362=TRUE(),$V362="TRUE"),1,0))</f>
        <v/>
      </c>
      <c r="Z362">
        <f>IF($W362=1,IFERROR(IF(VALUE($A362)&lt;100000000,VALUE($A362),1000000000),IFERROR(IF(VALUE(MID($A362,2,20))&lt;100000000,VALUE(MID($A362,2,20)),1000000000),1000000000))+ROW()/100000,"")</f>
        <v/>
      </c>
    </row>
    <row r="363">
      <c r="F363" s="7">
        <f>IF($A363="","",E363*N363/100)</f>
        <v/>
      </c>
      <c r="J363" s="7" t="n"/>
      <c r="K363" s="7">
        <f>IF($A363="","",U363*N363)</f>
        <v/>
      </c>
      <c r="L363" s="7">
        <f>IF($A363="","",N363-K363)</f>
        <v/>
      </c>
      <c r="M363" s="7">
        <f>IF($A363="","",L363-F363)</f>
        <v/>
      </c>
      <c r="N363" s="7" t="n"/>
      <c r="O363" s="7" t="n"/>
      <c r="P363" s="7" t="n"/>
      <c r="S363" s="11" t="n"/>
      <c r="U363">
        <f>IF($A363="","",IF($Y363=1,Settings!$C$6,Settings!$C$7)*1)</f>
        <v/>
      </c>
      <c r="W363">
        <f>IF($A363="","",IF(COUNTIF($A$2:$A363,$A363)=1,1,0))</f>
        <v/>
      </c>
      <c r="X363">
        <f>IF($W363=1,SUMPRODUCT(--($Z$2:$Z$501&lt;$Z363))+1,"")</f>
        <v/>
      </c>
      <c r="Y363">
        <f>IF($A363="","",IF(OR($V363=TRUE(),$V363="TRUE"),1,0))</f>
        <v/>
      </c>
      <c r="Z363">
        <f>IF($W363=1,IFERROR(IF(VALUE($A363)&lt;100000000,VALUE($A363),1000000000),IFERROR(IF(VALUE(MID($A363,2,20))&lt;100000000,VALUE(MID($A363,2,20)),1000000000),1000000000))+ROW()/100000,"")</f>
        <v/>
      </c>
    </row>
    <row r="364">
      <c r="F364" s="7">
        <f>IF($A364="","",E364*N364/100)</f>
        <v/>
      </c>
      <c r="J364" s="7" t="n"/>
      <c r="K364" s="7">
        <f>IF($A364="","",U364*N364)</f>
        <v/>
      </c>
      <c r="L364" s="7">
        <f>IF($A364="","",N364-K364)</f>
        <v/>
      </c>
      <c r="M364" s="7">
        <f>IF($A364="","",L364-F364)</f>
        <v/>
      </c>
      <c r="N364" s="7" t="n"/>
      <c r="O364" s="7" t="n"/>
      <c r="P364" s="7" t="n"/>
      <c r="S364" s="11" t="n"/>
      <c r="U364">
        <f>IF($A364="","",IF($Y364=1,Settings!$C$6,Settings!$C$7)*1)</f>
        <v/>
      </c>
      <c r="W364">
        <f>IF($A364="","",IF(COUNTIF($A$2:$A364,$A364)=1,1,0))</f>
        <v/>
      </c>
      <c r="X364">
        <f>IF($W364=1,SUMPRODUCT(--($Z$2:$Z$501&lt;$Z364))+1,"")</f>
        <v/>
      </c>
      <c r="Y364">
        <f>IF($A364="","",IF(OR($V364=TRUE(),$V364="TRUE"),1,0))</f>
        <v/>
      </c>
      <c r="Z364">
        <f>IF($W364=1,IFERROR(IF(VALUE($A364)&lt;100000000,VALUE($A364),1000000000),IFERROR(IF(VALUE(MID($A364,2,20))&lt;100000000,VALUE(MID($A364,2,20)),1000000000),1000000000))+ROW()/100000,"")</f>
        <v/>
      </c>
    </row>
    <row r="365">
      <c r="F365" s="7">
        <f>IF($A365="","",E365*N365/100)</f>
        <v/>
      </c>
      <c r="J365" s="7" t="n"/>
      <c r="K365" s="7">
        <f>IF($A365="","",U365*N365)</f>
        <v/>
      </c>
      <c r="L365" s="7">
        <f>IF($A365="","",N365-K365)</f>
        <v/>
      </c>
      <c r="M365" s="7">
        <f>IF($A365="","",L365-F365)</f>
        <v/>
      </c>
      <c r="N365" s="7" t="n"/>
      <c r="O365" s="7" t="n"/>
      <c r="P365" s="7" t="n"/>
      <c r="S365" s="11" t="n"/>
      <c r="U365">
        <f>IF($A365="","",IF($Y365=1,Settings!$C$6,Settings!$C$7)*1)</f>
        <v/>
      </c>
      <c r="W365">
        <f>IF($A365="","",IF(COUNTIF($A$2:$A365,$A365)=1,1,0))</f>
        <v/>
      </c>
      <c r="X365">
        <f>IF($W365=1,SUMPRODUCT(--($Z$2:$Z$501&lt;$Z365))+1,"")</f>
        <v/>
      </c>
      <c r="Y365">
        <f>IF($A365="","",IF(OR($V365=TRUE(),$V365="TRUE"),1,0))</f>
        <v/>
      </c>
      <c r="Z365">
        <f>IF($W365=1,IFERROR(IF(VALUE($A365)&lt;100000000,VALUE($A365),1000000000),IFERROR(IF(VALUE(MID($A365,2,20))&lt;100000000,VALUE(MID($A365,2,20)),1000000000),1000000000))+ROW()/100000,"")</f>
        <v/>
      </c>
    </row>
    <row r="366">
      <c r="F366" s="7">
        <f>IF($A366="","",E366*N366/100)</f>
        <v/>
      </c>
      <c r="J366" s="7" t="n"/>
      <c r="K366" s="7">
        <f>IF($A366="","",U366*N366)</f>
        <v/>
      </c>
      <c r="L366" s="7">
        <f>IF($A366="","",N366-K366)</f>
        <v/>
      </c>
      <c r="M366" s="7">
        <f>IF($A366="","",L366-F366)</f>
        <v/>
      </c>
      <c r="N366" s="7" t="n"/>
      <c r="O366" s="7" t="n"/>
      <c r="P366" s="7" t="n"/>
      <c r="S366" s="11" t="n"/>
      <c r="U366">
        <f>IF($A366="","",IF($Y366=1,Settings!$C$6,Settings!$C$7)*1)</f>
        <v/>
      </c>
      <c r="W366">
        <f>IF($A366="","",IF(COUNTIF($A$2:$A366,$A366)=1,1,0))</f>
        <v/>
      </c>
      <c r="X366">
        <f>IF($W366=1,SUMPRODUCT(--($Z$2:$Z$501&lt;$Z366))+1,"")</f>
        <v/>
      </c>
      <c r="Y366">
        <f>IF($A366="","",IF(OR($V366=TRUE(),$V366="TRUE"),1,0))</f>
        <v/>
      </c>
      <c r="Z366">
        <f>IF($W366=1,IFERROR(IF(VALUE($A366)&lt;100000000,VALUE($A366),1000000000),IFERROR(IF(VALUE(MID($A366,2,20))&lt;100000000,VALUE(MID($A366,2,20)),1000000000),1000000000))+ROW()/100000,"")</f>
        <v/>
      </c>
    </row>
    <row r="367">
      <c r="F367" s="7">
        <f>IF($A367="","",E367*N367/100)</f>
        <v/>
      </c>
      <c r="J367" s="7" t="n"/>
      <c r="K367" s="7">
        <f>IF($A367="","",U367*N367)</f>
        <v/>
      </c>
      <c r="L367" s="7">
        <f>IF($A367="","",N367-K367)</f>
        <v/>
      </c>
      <c r="M367" s="7">
        <f>IF($A367="","",L367-F367)</f>
        <v/>
      </c>
      <c r="N367" s="7" t="n"/>
      <c r="O367" s="7" t="n"/>
      <c r="P367" s="7" t="n"/>
      <c r="S367" s="11" t="n"/>
      <c r="U367">
        <f>IF($A367="","",IF($Y367=1,Settings!$C$6,Settings!$C$7)*1)</f>
        <v/>
      </c>
      <c r="W367">
        <f>IF($A367="","",IF(COUNTIF($A$2:$A367,$A367)=1,1,0))</f>
        <v/>
      </c>
      <c r="X367">
        <f>IF($W367=1,SUMPRODUCT(--($Z$2:$Z$501&lt;$Z367))+1,"")</f>
        <v/>
      </c>
      <c r="Y367">
        <f>IF($A367="","",IF(OR($V367=TRUE(),$V367="TRUE"),1,0))</f>
        <v/>
      </c>
      <c r="Z367">
        <f>IF($W367=1,IFERROR(IF(VALUE($A367)&lt;100000000,VALUE($A367),1000000000),IFERROR(IF(VALUE(MID($A367,2,20))&lt;100000000,VALUE(MID($A367,2,20)),1000000000),1000000000))+ROW()/100000,"")</f>
        <v/>
      </c>
    </row>
    <row r="368">
      <c r="F368" s="7">
        <f>IF($A368="","",E368*N368/100)</f>
        <v/>
      </c>
      <c r="J368" s="7" t="n"/>
      <c r="K368" s="7">
        <f>IF($A368="","",U368*N368)</f>
        <v/>
      </c>
      <c r="L368" s="7">
        <f>IF($A368="","",N368-K368)</f>
        <v/>
      </c>
      <c r="M368" s="7">
        <f>IF($A368="","",L368-F368)</f>
        <v/>
      </c>
      <c r="N368" s="7" t="n"/>
      <c r="O368" s="7" t="n"/>
      <c r="P368" s="7" t="n"/>
      <c r="S368" s="11" t="n"/>
      <c r="U368">
        <f>IF($A368="","",IF($Y368=1,Settings!$C$6,Settings!$C$7)*1)</f>
        <v/>
      </c>
      <c r="W368">
        <f>IF($A368="","",IF(COUNTIF($A$2:$A368,$A368)=1,1,0))</f>
        <v/>
      </c>
      <c r="X368">
        <f>IF($W368=1,SUMPRODUCT(--($Z$2:$Z$501&lt;$Z368))+1,"")</f>
        <v/>
      </c>
      <c r="Y368">
        <f>IF($A368="","",IF(OR($V368=TRUE(),$V368="TRUE"),1,0))</f>
        <v/>
      </c>
      <c r="Z368">
        <f>IF($W368=1,IFERROR(IF(VALUE($A368)&lt;100000000,VALUE($A368),1000000000),IFERROR(IF(VALUE(MID($A368,2,20))&lt;100000000,VALUE(MID($A368,2,20)),1000000000),1000000000))+ROW()/100000,"")</f>
        <v/>
      </c>
    </row>
    <row r="369">
      <c r="F369" s="7">
        <f>IF($A369="","",E369*N369/100)</f>
        <v/>
      </c>
      <c r="J369" s="7" t="n"/>
      <c r="K369" s="7">
        <f>IF($A369="","",U369*N369)</f>
        <v/>
      </c>
      <c r="L369" s="7">
        <f>IF($A369="","",N369-K369)</f>
        <v/>
      </c>
      <c r="M369" s="7">
        <f>IF($A369="","",L369-F369)</f>
        <v/>
      </c>
      <c r="N369" s="7" t="n"/>
      <c r="O369" s="7" t="n"/>
      <c r="P369" s="7" t="n"/>
      <c r="S369" s="11" t="n"/>
      <c r="U369">
        <f>IF($A369="","",IF($Y369=1,Settings!$C$6,Settings!$C$7)*1)</f>
        <v/>
      </c>
      <c r="W369">
        <f>IF($A369="","",IF(COUNTIF($A$2:$A369,$A369)=1,1,0))</f>
        <v/>
      </c>
      <c r="X369">
        <f>IF($W369=1,SUMPRODUCT(--($Z$2:$Z$501&lt;$Z369))+1,"")</f>
        <v/>
      </c>
      <c r="Y369">
        <f>IF($A369="","",IF(OR($V369=TRUE(),$V369="TRUE"),1,0))</f>
        <v/>
      </c>
      <c r="Z369">
        <f>IF($W369=1,IFERROR(IF(VALUE($A369)&lt;100000000,VALUE($A369),1000000000),IFERROR(IF(VALUE(MID($A369,2,20))&lt;100000000,VALUE(MID($A369,2,20)),1000000000),1000000000))+ROW()/100000,"")</f>
        <v/>
      </c>
    </row>
    <row r="370">
      <c r="F370" s="7">
        <f>IF($A370="","",E370*N370/100)</f>
        <v/>
      </c>
      <c r="J370" s="7" t="n"/>
      <c r="K370" s="7">
        <f>IF($A370="","",U370*N370)</f>
        <v/>
      </c>
      <c r="L370" s="7">
        <f>IF($A370="","",N370-K370)</f>
        <v/>
      </c>
      <c r="M370" s="7">
        <f>IF($A370="","",L370-F370)</f>
        <v/>
      </c>
      <c r="N370" s="7" t="n"/>
      <c r="O370" s="7" t="n"/>
      <c r="P370" s="7" t="n"/>
      <c r="S370" s="11" t="n"/>
      <c r="U370">
        <f>IF($A370="","",IF($Y370=1,Settings!$C$6,Settings!$C$7)*1)</f>
        <v/>
      </c>
      <c r="W370">
        <f>IF($A370="","",IF(COUNTIF($A$2:$A370,$A370)=1,1,0))</f>
        <v/>
      </c>
      <c r="X370">
        <f>IF($W370=1,SUMPRODUCT(--($Z$2:$Z$501&lt;$Z370))+1,"")</f>
        <v/>
      </c>
      <c r="Y370">
        <f>IF($A370="","",IF(OR($V370=TRUE(),$V370="TRUE"),1,0))</f>
        <v/>
      </c>
      <c r="Z370">
        <f>IF($W370=1,IFERROR(IF(VALUE($A370)&lt;100000000,VALUE($A370),1000000000),IFERROR(IF(VALUE(MID($A370,2,20))&lt;100000000,VALUE(MID($A370,2,20)),1000000000),1000000000))+ROW()/100000,"")</f>
        <v/>
      </c>
    </row>
    <row r="371">
      <c r="F371" s="7">
        <f>IF($A371="","",E371*N371/100)</f>
        <v/>
      </c>
      <c r="J371" s="7" t="n"/>
      <c r="K371" s="7">
        <f>IF($A371="","",U371*N371)</f>
        <v/>
      </c>
      <c r="L371" s="7">
        <f>IF($A371="","",N371-K371)</f>
        <v/>
      </c>
      <c r="M371" s="7">
        <f>IF($A371="","",L371-F371)</f>
        <v/>
      </c>
      <c r="N371" s="7" t="n"/>
      <c r="O371" s="7" t="n"/>
      <c r="P371" s="7" t="n"/>
      <c r="S371" s="11" t="n"/>
      <c r="U371">
        <f>IF($A371="","",IF($Y371=1,Settings!$C$6,Settings!$C$7)*1)</f>
        <v/>
      </c>
      <c r="W371">
        <f>IF($A371="","",IF(COUNTIF($A$2:$A371,$A371)=1,1,0))</f>
        <v/>
      </c>
      <c r="X371">
        <f>IF($W371=1,SUMPRODUCT(--($Z$2:$Z$501&lt;$Z371))+1,"")</f>
        <v/>
      </c>
      <c r="Y371">
        <f>IF($A371="","",IF(OR($V371=TRUE(),$V371="TRUE"),1,0))</f>
        <v/>
      </c>
      <c r="Z371">
        <f>IF($W371=1,IFERROR(IF(VALUE($A371)&lt;100000000,VALUE($A371),1000000000),IFERROR(IF(VALUE(MID($A371,2,20))&lt;100000000,VALUE(MID($A371,2,20)),1000000000),1000000000))+ROW()/100000,"")</f>
        <v/>
      </c>
    </row>
    <row r="372">
      <c r="F372" s="7">
        <f>IF($A372="","",E372*N372/100)</f>
        <v/>
      </c>
      <c r="J372" s="7" t="n"/>
      <c r="K372" s="7">
        <f>IF($A372="","",U372*N372)</f>
        <v/>
      </c>
      <c r="L372" s="7">
        <f>IF($A372="","",N372-K372)</f>
        <v/>
      </c>
      <c r="M372" s="7">
        <f>IF($A372="","",L372-F372)</f>
        <v/>
      </c>
      <c r="N372" s="7" t="n"/>
      <c r="O372" s="7" t="n"/>
      <c r="P372" s="7" t="n"/>
      <c r="S372" s="11" t="n"/>
      <c r="U372">
        <f>IF($A372="","",IF($Y372=1,Settings!$C$6,Settings!$C$7)*1)</f>
        <v/>
      </c>
      <c r="W372">
        <f>IF($A372="","",IF(COUNTIF($A$2:$A372,$A372)=1,1,0))</f>
        <v/>
      </c>
      <c r="X372">
        <f>IF($W372=1,SUMPRODUCT(--($Z$2:$Z$501&lt;$Z372))+1,"")</f>
        <v/>
      </c>
      <c r="Y372">
        <f>IF($A372="","",IF(OR($V372=TRUE(),$V372="TRUE"),1,0))</f>
        <v/>
      </c>
      <c r="Z372">
        <f>IF($W372=1,IFERROR(IF(VALUE($A372)&lt;100000000,VALUE($A372),1000000000),IFERROR(IF(VALUE(MID($A372,2,20))&lt;100000000,VALUE(MID($A372,2,20)),1000000000),1000000000))+ROW()/100000,"")</f>
        <v/>
      </c>
    </row>
    <row r="373">
      <c r="F373" s="7">
        <f>IF($A373="","",E373*N373/100)</f>
        <v/>
      </c>
      <c r="J373" s="7" t="n"/>
      <c r="K373" s="7">
        <f>IF($A373="","",U373*N373)</f>
        <v/>
      </c>
      <c r="L373" s="7">
        <f>IF($A373="","",N373-K373)</f>
        <v/>
      </c>
      <c r="M373" s="7">
        <f>IF($A373="","",L373-F373)</f>
        <v/>
      </c>
      <c r="N373" s="7" t="n"/>
      <c r="O373" s="7" t="n"/>
      <c r="P373" s="7" t="n"/>
      <c r="S373" s="11" t="n"/>
      <c r="U373">
        <f>IF($A373="","",IF($Y373=1,Settings!$C$6,Settings!$C$7)*1)</f>
        <v/>
      </c>
      <c r="W373">
        <f>IF($A373="","",IF(COUNTIF($A$2:$A373,$A373)=1,1,0))</f>
        <v/>
      </c>
      <c r="X373">
        <f>IF($W373=1,SUMPRODUCT(--($Z$2:$Z$501&lt;$Z373))+1,"")</f>
        <v/>
      </c>
      <c r="Y373">
        <f>IF($A373="","",IF(OR($V373=TRUE(),$V373="TRUE"),1,0))</f>
        <v/>
      </c>
      <c r="Z373">
        <f>IF($W373=1,IFERROR(IF(VALUE($A373)&lt;100000000,VALUE($A373),1000000000),IFERROR(IF(VALUE(MID($A373,2,20))&lt;100000000,VALUE(MID($A373,2,20)),1000000000),1000000000))+ROW()/100000,"")</f>
        <v/>
      </c>
    </row>
    <row r="374">
      <c r="F374" s="7">
        <f>IF($A374="","",E374*N374/100)</f>
        <v/>
      </c>
      <c r="J374" s="7" t="n"/>
      <c r="K374" s="7">
        <f>IF($A374="","",U374*N374)</f>
        <v/>
      </c>
      <c r="L374" s="7">
        <f>IF($A374="","",N374-K374)</f>
        <v/>
      </c>
      <c r="M374" s="7">
        <f>IF($A374="","",L374-F374)</f>
        <v/>
      </c>
      <c r="N374" s="7" t="n"/>
      <c r="O374" s="7" t="n"/>
      <c r="P374" s="7" t="n"/>
      <c r="S374" s="11" t="n"/>
      <c r="U374">
        <f>IF($A374="","",IF($Y374=1,Settings!$C$6,Settings!$C$7)*1)</f>
        <v/>
      </c>
      <c r="W374">
        <f>IF($A374="","",IF(COUNTIF($A$2:$A374,$A374)=1,1,0))</f>
        <v/>
      </c>
      <c r="X374">
        <f>IF($W374=1,SUMPRODUCT(--($Z$2:$Z$501&lt;$Z374))+1,"")</f>
        <v/>
      </c>
      <c r="Y374">
        <f>IF($A374="","",IF(OR($V374=TRUE(),$V374="TRUE"),1,0))</f>
        <v/>
      </c>
      <c r="Z374">
        <f>IF($W374=1,IFERROR(IF(VALUE($A374)&lt;100000000,VALUE($A374),1000000000),IFERROR(IF(VALUE(MID($A374,2,20))&lt;100000000,VALUE(MID($A374,2,20)),1000000000),1000000000))+ROW()/100000,"")</f>
        <v/>
      </c>
    </row>
    <row r="375">
      <c r="F375" s="7">
        <f>IF($A375="","",E375*N375/100)</f>
        <v/>
      </c>
      <c r="J375" s="7" t="n"/>
      <c r="K375" s="7">
        <f>IF($A375="","",U375*N375)</f>
        <v/>
      </c>
      <c r="L375" s="7">
        <f>IF($A375="","",N375-K375)</f>
        <v/>
      </c>
      <c r="M375" s="7">
        <f>IF($A375="","",L375-F375)</f>
        <v/>
      </c>
      <c r="N375" s="7" t="n"/>
      <c r="O375" s="7" t="n"/>
      <c r="P375" s="7" t="n"/>
      <c r="S375" s="11" t="n"/>
      <c r="U375">
        <f>IF($A375="","",IF($Y375=1,Settings!$C$6,Settings!$C$7)*1)</f>
        <v/>
      </c>
      <c r="W375">
        <f>IF($A375="","",IF(COUNTIF($A$2:$A375,$A375)=1,1,0))</f>
        <v/>
      </c>
      <c r="X375">
        <f>IF($W375=1,SUMPRODUCT(--($Z$2:$Z$501&lt;$Z375))+1,"")</f>
        <v/>
      </c>
      <c r="Y375">
        <f>IF($A375="","",IF(OR($V375=TRUE(),$V375="TRUE"),1,0))</f>
        <v/>
      </c>
      <c r="Z375">
        <f>IF($W375=1,IFERROR(IF(VALUE($A375)&lt;100000000,VALUE($A375),1000000000),IFERROR(IF(VALUE(MID($A375,2,20))&lt;100000000,VALUE(MID($A375,2,20)),1000000000),1000000000))+ROW()/100000,"")</f>
        <v/>
      </c>
    </row>
    <row r="376">
      <c r="F376" s="7">
        <f>IF($A376="","",E376*N376/100)</f>
        <v/>
      </c>
      <c r="J376" s="7" t="n"/>
      <c r="K376" s="7">
        <f>IF($A376="","",U376*N376)</f>
        <v/>
      </c>
      <c r="L376" s="7">
        <f>IF($A376="","",N376-K376)</f>
        <v/>
      </c>
      <c r="M376" s="7">
        <f>IF($A376="","",L376-F376)</f>
        <v/>
      </c>
      <c r="N376" s="7" t="n"/>
      <c r="O376" s="7" t="n"/>
      <c r="P376" s="7" t="n"/>
      <c r="S376" s="11" t="n"/>
      <c r="U376">
        <f>IF($A376="","",IF($Y376=1,Settings!$C$6,Settings!$C$7)*1)</f>
        <v/>
      </c>
      <c r="W376">
        <f>IF($A376="","",IF(COUNTIF($A$2:$A376,$A376)=1,1,0))</f>
        <v/>
      </c>
      <c r="X376">
        <f>IF($W376=1,SUMPRODUCT(--($Z$2:$Z$501&lt;$Z376))+1,"")</f>
        <v/>
      </c>
      <c r="Y376">
        <f>IF($A376="","",IF(OR($V376=TRUE(),$V376="TRUE"),1,0))</f>
        <v/>
      </c>
      <c r="Z376">
        <f>IF($W376=1,IFERROR(IF(VALUE($A376)&lt;100000000,VALUE($A376),1000000000),IFERROR(IF(VALUE(MID($A376,2,20))&lt;100000000,VALUE(MID($A376,2,20)),1000000000),1000000000))+ROW()/100000,"")</f>
        <v/>
      </c>
    </row>
    <row r="377">
      <c r="F377" s="7">
        <f>IF($A377="","",E377*N377/100)</f>
        <v/>
      </c>
      <c r="J377" s="7" t="n"/>
      <c r="K377" s="7">
        <f>IF($A377="","",U377*N377)</f>
        <v/>
      </c>
      <c r="L377" s="7">
        <f>IF($A377="","",N377-K377)</f>
        <v/>
      </c>
      <c r="M377" s="7">
        <f>IF($A377="","",L377-F377)</f>
        <v/>
      </c>
      <c r="N377" s="7" t="n"/>
      <c r="O377" s="7" t="n"/>
      <c r="P377" s="7" t="n"/>
      <c r="S377" s="11" t="n"/>
      <c r="U377">
        <f>IF($A377="","",IF($Y377=1,Settings!$C$6,Settings!$C$7)*1)</f>
        <v/>
      </c>
      <c r="W377">
        <f>IF($A377="","",IF(COUNTIF($A$2:$A377,$A377)=1,1,0))</f>
        <v/>
      </c>
      <c r="X377">
        <f>IF($W377=1,SUMPRODUCT(--($Z$2:$Z$501&lt;$Z377))+1,"")</f>
        <v/>
      </c>
      <c r="Y377">
        <f>IF($A377="","",IF(OR($V377=TRUE(),$V377="TRUE"),1,0))</f>
        <v/>
      </c>
      <c r="Z377">
        <f>IF($W377=1,IFERROR(IF(VALUE($A377)&lt;100000000,VALUE($A377),1000000000),IFERROR(IF(VALUE(MID($A377,2,20))&lt;100000000,VALUE(MID($A377,2,20)),1000000000),1000000000))+ROW()/100000,"")</f>
        <v/>
      </c>
    </row>
    <row r="378">
      <c r="F378" s="7">
        <f>IF($A378="","",E378*N378/100)</f>
        <v/>
      </c>
      <c r="J378" s="7" t="n"/>
      <c r="K378" s="7">
        <f>IF($A378="","",U378*N378)</f>
        <v/>
      </c>
      <c r="L378" s="7">
        <f>IF($A378="","",N378-K378)</f>
        <v/>
      </c>
      <c r="M378" s="7">
        <f>IF($A378="","",L378-F378)</f>
        <v/>
      </c>
      <c r="N378" s="7" t="n"/>
      <c r="O378" s="7" t="n"/>
      <c r="P378" s="7" t="n"/>
      <c r="S378" s="11" t="n"/>
      <c r="U378">
        <f>IF($A378="","",IF($Y378=1,Settings!$C$6,Settings!$C$7)*1)</f>
        <v/>
      </c>
      <c r="W378">
        <f>IF($A378="","",IF(COUNTIF($A$2:$A378,$A378)=1,1,0))</f>
        <v/>
      </c>
      <c r="X378">
        <f>IF($W378=1,SUMPRODUCT(--($Z$2:$Z$501&lt;$Z378))+1,"")</f>
        <v/>
      </c>
      <c r="Y378">
        <f>IF($A378="","",IF(OR($V378=TRUE(),$V378="TRUE"),1,0))</f>
        <v/>
      </c>
      <c r="Z378">
        <f>IF($W378=1,IFERROR(IF(VALUE($A378)&lt;100000000,VALUE($A378),1000000000),IFERROR(IF(VALUE(MID($A378,2,20))&lt;100000000,VALUE(MID($A378,2,20)),1000000000),1000000000))+ROW()/100000,"")</f>
        <v/>
      </c>
    </row>
    <row r="379">
      <c r="F379" s="7">
        <f>IF($A379="","",E379*N379/100)</f>
        <v/>
      </c>
      <c r="J379" s="7" t="n"/>
      <c r="K379" s="7">
        <f>IF($A379="","",U379*N379)</f>
        <v/>
      </c>
      <c r="L379" s="7">
        <f>IF($A379="","",N379-K379)</f>
        <v/>
      </c>
      <c r="M379" s="7">
        <f>IF($A379="","",L379-F379)</f>
        <v/>
      </c>
      <c r="N379" s="7" t="n"/>
      <c r="O379" s="7" t="n"/>
      <c r="P379" s="7" t="n"/>
      <c r="S379" s="11" t="n"/>
      <c r="U379">
        <f>IF($A379="","",IF($Y379=1,Settings!$C$6,Settings!$C$7)*1)</f>
        <v/>
      </c>
      <c r="W379">
        <f>IF($A379="","",IF(COUNTIF($A$2:$A379,$A379)=1,1,0))</f>
        <v/>
      </c>
      <c r="X379">
        <f>IF($W379=1,SUMPRODUCT(--($Z$2:$Z$501&lt;$Z379))+1,"")</f>
        <v/>
      </c>
      <c r="Y379">
        <f>IF($A379="","",IF(OR($V379=TRUE(),$V379="TRUE"),1,0))</f>
        <v/>
      </c>
      <c r="Z379">
        <f>IF($W379=1,IFERROR(IF(VALUE($A379)&lt;100000000,VALUE($A379),1000000000),IFERROR(IF(VALUE(MID($A379,2,20))&lt;100000000,VALUE(MID($A379,2,20)),1000000000),1000000000))+ROW()/100000,"")</f>
        <v/>
      </c>
    </row>
    <row r="380">
      <c r="F380" s="7">
        <f>IF($A380="","",E380*N380/100)</f>
        <v/>
      </c>
      <c r="J380" s="7" t="n"/>
      <c r="K380" s="7">
        <f>IF($A380="","",U380*N380)</f>
        <v/>
      </c>
      <c r="L380" s="7">
        <f>IF($A380="","",N380-K380)</f>
        <v/>
      </c>
      <c r="M380" s="7">
        <f>IF($A380="","",L380-F380)</f>
        <v/>
      </c>
      <c r="N380" s="7" t="n"/>
      <c r="O380" s="7" t="n"/>
      <c r="P380" s="7" t="n"/>
      <c r="S380" s="11" t="n"/>
      <c r="U380">
        <f>IF($A380="","",IF($Y380=1,Settings!$C$6,Settings!$C$7)*1)</f>
        <v/>
      </c>
      <c r="W380">
        <f>IF($A380="","",IF(COUNTIF($A$2:$A380,$A380)=1,1,0))</f>
        <v/>
      </c>
      <c r="X380">
        <f>IF($W380=1,SUMPRODUCT(--($Z$2:$Z$501&lt;$Z380))+1,"")</f>
        <v/>
      </c>
      <c r="Y380">
        <f>IF($A380="","",IF(OR($V380=TRUE(),$V380="TRUE"),1,0))</f>
        <v/>
      </c>
      <c r="Z380">
        <f>IF($W380=1,IFERROR(IF(VALUE($A380)&lt;100000000,VALUE($A380),1000000000),IFERROR(IF(VALUE(MID($A380,2,20))&lt;100000000,VALUE(MID($A380,2,20)),1000000000),1000000000))+ROW()/100000,"")</f>
        <v/>
      </c>
    </row>
    <row r="381">
      <c r="F381" s="7">
        <f>IF($A381="","",E381*N381/100)</f>
        <v/>
      </c>
      <c r="J381" s="7" t="n"/>
      <c r="K381" s="7">
        <f>IF($A381="","",U381*N381)</f>
        <v/>
      </c>
      <c r="L381" s="7">
        <f>IF($A381="","",N381-K381)</f>
        <v/>
      </c>
      <c r="M381" s="7">
        <f>IF($A381="","",L381-F381)</f>
        <v/>
      </c>
      <c r="N381" s="7" t="n"/>
      <c r="O381" s="7" t="n"/>
      <c r="P381" s="7" t="n"/>
      <c r="S381" s="11" t="n"/>
      <c r="U381">
        <f>IF($A381="","",IF($Y381=1,Settings!$C$6,Settings!$C$7)*1)</f>
        <v/>
      </c>
      <c r="W381">
        <f>IF($A381="","",IF(COUNTIF($A$2:$A381,$A381)=1,1,0))</f>
        <v/>
      </c>
      <c r="X381">
        <f>IF($W381=1,SUMPRODUCT(--($Z$2:$Z$501&lt;$Z381))+1,"")</f>
        <v/>
      </c>
      <c r="Y381">
        <f>IF($A381="","",IF(OR($V381=TRUE(),$V381="TRUE"),1,0))</f>
        <v/>
      </c>
      <c r="Z381">
        <f>IF($W381=1,IFERROR(IF(VALUE($A381)&lt;100000000,VALUE($A381),1000000000),IFERROR(IF(VALUE(MID($A381,2,20))&lt;100000000,VALUE(MID($A381,2,20)),1000000000),1000000000))+ROW()/100000,"")</f>
        <v/>
      </c>
    </row>
    <row r="382">
      <c r="F382" s="7">
        <f>IF($A382="","",E382*N382/100)</f>
        <v/>
      </c>
      <c r="J382" s="7" t="n"/>
      <c r="K382" s="7">
        <f>IF($A382="","",U382*N382)</f>
        <v/>
      </c>
      <c r="L382" s="7">
        <f>IF($A382="","",N382-K382)</f>
        <v/>
      </c>
      <c r="M382" s="7">
        <f>IF($A382="","",L382-F382)</f>
        <v/>
      </c>
      <c r="N382" s="7" t="n"/>
      <c r="O382" s="7" t="n"/>
      <c r="P382" s="7" t="n"/>
      <c r="S382" s="11" t="n"/>
      <c r="U382">
        <f>IF($A382="","",IF($Y382=1,Settings!$C$6,Settings!$C$7)*1)</f>
        <v/>
      </c>
      <c r="W382">
        <f>IF($A382="","",IF(COUNTIF($A$2:$A382,$A382)=1,1,0))</f>
        <v/>
      </c>
      <c r="X382">
        <f>IF($W382=1,SUMPRODUCT(--($Z$2:$Z$501&lt;$Z382))+1,"")</f>
        <v/>
      </c>
      <c r="Y382">
        <f>IF($A382="","",IF(OR($V382=TRUE(),$V382="TRUE"),1,0))</f>
        <v/>
      </c>
      <c r="Z382">
        <f>IF($W382=1,IFERROR(IF(VALUE($A382)&lt;100000000,VALUE($A382),1000000000),IFERROR(IF(VALUE(MID($A382,2,20))&lt;100000000,VALUE(MID($A382,2,20)),1000000000),1000000000))+ROW()/100000,"")</f>
        <v/>
      </c>
    </row>
    <row r="383">
      <c r="F383" s="7">
        <f>IF($A383="","",E383*N383/100)</f>
        <v/>
      </c>
      <c r="J383" s="7" t="n"/>
      <c r="K383" s="7">
        <f>IF($A383="","",U383*N383)</f>
        <v/>
      </c>
      <c r="L383" s="7">
        <f>IF($A383="","",N383-K383)</f>
        <v/>
      </c>
      <c r="M383" s="7">
        <f>IF($A383="","",L383-F383)</f>
        <v/>
      </c>
      <c r="N383" s="7" t="n"/>
      <c r="O383" s="7" t="n"/>
      <c r="P383" s="7" t="n"/>
      <c r="S383" s="11" t="n"/>
      <c r="U383">
        <f>IF($A383="","",IF($Y383=1,Settings!$C$6,Settings!$C$7)*1)</f>
        <v/>
      </c>
      <c r="W383">
        <f>IF($A383="","",IF(COUNTIF($A$2:$A383,$A383)=1,1,0))</f>
        <v/>
      </c>
      <c r="X383">
        <f>IF($W383=1,SUMPRODUCT(--($Z$2:$Z$501&lt;$Z383))+1,"")</f>
        <v/>
      </c>
      <c r="Y383">
        <f>IF($A383="","",IF(OR($V383=TRUE(),$V383="TRUE"),1,0))</f>
        <v/>
      </c>
      <c r="Z383">
        <f>IF($W383=1,IFERROR(IF(VALUE($A383)&lt;100000000,VALUE($A383),1000000000),IFERROR(IF(VALUE(MID($A383,2,20))&lt;100000000,VALUE(MID($A383,2,20)),1000000000),1000000000))+ROW()/100000,"")</f>
        <v/>
      </c>
    </row>
    <row r="384">
      <c r="F384" s="7">
        <f>IF($A384="","",E384*N384/100)</f>
        <v/>
      </c>
      <c r="J384" s="7" t="n"/>
      <c r="K384" s="7">
        <f>IF($A384="","",U384*N384)</f>
        <v/>
      </c>
      <c r="L384" s="7">
        <f>IF($A384="","",N384-K384)</f>
        <v/>
      </c>
      <c r="M384" s="7">
        <f>IF($A384="","",L384-F384)</f>
        <v/>
      </c>
      <c r="N384" s="7" t="n"/>
      <c r="O384" s="7" t="n"/>
      <c r="P384" s="7" t="n"/>
      <c r="S384" s="11" t="n"/>
      <c r="U384">
        <f>IF($A384="","",IF($Y384=1,Settings!$C$6,Settings!$C$7)*1)</f>
        <v/>
      </c>
      <c r="W384">
        <f>IF($A384="","",IF(COUNTIF($A$2:$A384,$A384)=1,1,0))</f>
        <v/>
      </c>
      <c r="X384">
        <f>IF($W384=1,SUMPRODUCT(--($Z$2:$Z$501&lt;$Z384))+1,"")</f>
        <v/>
      </c>
      <c r="Y384">
        <f>IF($A384="","",IF(OR($V384=TRUE(),$V384="TRUE"),1,0))</f>
        <v/>
      </c>
      <c r="Z384">
        <f>IF($W384=1,IFERROR(IF(VALUE($A384)&lt;100000000,VALUE($A384),1000000000),IFERROR(IF(VALUE(MID($A384,2,20))&lt;100000000,VALUE(MID($A384,2,20)),1000000000),1000000000))+ROW()/100000,"")</f>
        <v/>
      </c>
    </row>
    <row r="385">
      <c r="F385" s="7">
        <f>IF($A385="","",E385*N385/100)</f>
        <v/>
      </c>
      <c r="J385" s="7" t="n"/>
      <c r="K385" s="7">
        <f>IF($A385="","",U385*N385)</f>
        <v/>
      </c>
      <c r="L385" s="7">
        <f>IF($A385="","",N385-K385)</f>
        <v/>
      </c>
      <c r="M385" s="7">
        <f>IF($A385="","",L385-F385)</f>
        <v/>
      </c>
      <c r="N385" s="7" t="n"/>
      <c r="O385" s="7" t="n"/>
      <c r="P385" s="7" t="n"/>
      <c r="S385" s="11" t="n"/>
      <c r="U385">
        <f>IF($A385="","",IF($Y385=1,Settings!$C$6,Settings!$C$7)*1)</f>
        <v/>
      </c>
      <c r="W385">
        <f>IF($A385="","",IF(COUNTIF($A$2:$A385,$A385)=1,1,0))</f>
        <v/>
      </c>
      <c r="X385">
        <f>IF($W385=1,SUMPRODUCT(--($Z$2:$Z$501&lt;$Z385))+1,"")</f>
        <v/>
      </c>
      <c r="Y385">
        <f>IF($A385="","",IF(OR($V385=TRUE(),$V385="TRUE"),1,0))</f>
        <v/>
      </c>
      <c r="Z385">
        <f>IF($W385=1,IFERROR(IF(VALUE($A385)&lt;100000000,VALUE($A385),1000000000),IFERROR(IF(VALUE(MID($A385,2,20))&lt;100000000,VALUE(MID($A385,2,20)),1000000000),1000000000))+ROW()/100000,"")</f>
        <v/>
      </c>
    </row>
    <row r="386">
      <c r="F386" s="7">
        <f>IF($A386="","",E386*N386/100)</f>
        <v/>
      </c>
      <c r="J386" s="7" t="n"/>
      <c r="K386" s="7">
        <f>IF($A386="","",U386*N386)</f>
        <v/>
      </c>
      <c r="L386" s="7">
        <f>IF($A386="","",N386-K386)</f>
        <v/>
      </c>
      <c r="M386" s="7">
        <f>IF($A386="","",L386-F386)</f>
        <v/>
      </c>
      <c r="N386" s="7" t="n"/>
      <c r="O386" s="7" t="n"/>
      <c r="P386" s="7" t="n"/>
      <c r="S386" s="11" t="n"/>
      <c r="U386">
        <f>IF($A386="","",IF($Y386=1,Settings!$C$6,Settings!$C$7)*1)</f>
        <v/>
      </c>
      <c r="W386">
        <f>IF($A386="","",IF(COUNTIF($A$2:$A386,$A386)=1,1,0))</f>
        <v/>
      </c>
      <c r="X386">
        <f>IF($W386=1,SUMPRODUCT(--($Z$2:$Z$501&lt;$Z386))+1,"")</f>
        <v/>
      </c>
      <c r="Y386">
        <f>IF($A386="","",IF(OR($V386=TRUE(),$V386="TRUE"),1,0))</f>
        <v/>
      </c>
      <c r="Z386">
        <f>IF($W386=1,IFERROR(IF(VALUE($A386)&lt;100000000,VALUE($A386),1000000000),IFERROR(IF(VALUE(MID($A386,2,20))&lt;100000000,VALUE(MID($A386,2,20)),1000000000),1000000000))+ROW()/100000,"")</f>
        <v/>
      </c>
    </row>
    <row r="387">
      <c r="F387" s="7">
        <f>IF($A387="","",E387*N387/100)</f>
        <v/>
      </c>
      <c r="J387" s="7" t="n"/>
      <c r="K387" s="7">
        <f>IF($A387="","",U387*N387)</f>
        <v/>
      </c>
      <c r="L387" s="7">
        <f>IF($A387="","",N387-K387)</f>
        <v/>
      </c>
      <c r="M387" s="7">
        <f>IF($A387="","",L387-F387)</f>
        <v/>
      </c>
      <c r="N387" s="7" t="n"/>
      <c r="O387" s="7" t="n"/>
      <c r="P387" s="7" t="n"/>
      <c r="S387" s="11" t="n"/>
      <c r="U387">
        <f>IF($A387="","",IF($Y387=1,Settings!$C$6,Settings!$C$7)*1)</f>
        <v/>
      </c>
      <c r="W387">
        <f>IF($A387="","",IF(COUNTIF($A$2:$A387,$A387)=1,1,0))</f>
        <v/>
      </c>
      <c r="X387">
        <f>IF($W387=1,SUMPRODUCT(--($Z$2:$Z$501&lt;$Z387))+1,"")</f>
        <v/>
      </c>
      <c r="Y387">
        <f>IF($A387="","",IF(OR($V387=TRUE(),$V387="TRUE"),1,0))</f>
        <v/>
      </c>
      <c r="Z387">
        <f>IF($W387=1,IFERROR(IF(VALUE($A387)&lt;100000000,VALUE($A387),1000000000),IFERROR(IF(VALUE(MID($A387,2,20))&lt;100000000,VALUE(MID($A387,2,20)),1000000000),1000000000))+ROW()/100000,"")</f>
        <v/>
      </c>
    </row>
    <row r="388">
      <c r="F388" s="7">
        <f>IF($A388="","",E388*N388/100)</f>
        <v/>
      </c>
      <c r="J388" s="7" t="n"/>
      <c r="K388" s="7">
        <f>IF($A388="","",U388*N388)</f>
        <v/>
      </c>
      <c r="L388" s="7">
        <f>IF($A388="","",N388-K388)</f>
        <v/>
      </c>
      <c r="M388" s="7">
        <f>IF($A388="","",L388-F388)</f>
        <v/>
      </c>
      <c r="N388" s="7" t="n"/>
      <c r="O388" s="7" t="n"/>
      <c r="P388" s="7" t="n"/>
      <c r="S388" s="11" t="n"/>
      <c r="U388">
        <f>IF($A388="","",IF($Y388=1,Settings!$C$6,Settings!$C$7)*1)</f>
        <v/>
      </c>
      <c r="W388">
        <f>IF($A388="","",IF(COUNTIF($A$2:$A388,$A388)=1,1,0))</f>
        <v/>
      </c>
      <c r="X388">
        <f>IF($W388=1,SUMPRODUCT(--($Z$2:$Z$501&lt;$Z388))+1,"")</f>
        <v/>
      </c>
      <c r="Y388">
        <f>IF($A388="","",IF(OR($V388=TRUE(),$V388="TRUE"),1,0))</f>
        <v/>
      </c>
      <c r="Z388">
        <f>IF($W388=1,IFERROR(IF(VALUE($A388)&lt;100000000,VALUE($A388),1000000000),IFERROR(IF(VALUE(MID($A388,2,20))&lt;100000000,VALUE(MID($A388,2,20)),1000000000),1000000000))+ROW()/100000,"")</f>
        <v/>
      </c>
    </row>
    <row r="389">
      <c r="F389" s="7">
        <f>IF($A389="","",E389*N389/100)</f>
        <v/>
      </c>
      <c r="J389" s="7" t="n"/>
      <c r="K389" s="7">
        <f>IF($A389="","",U389*N389)</f>
        <v/>
      </c>
      <c r="L389" s="7">
        <f>IF($A389="","",N389-K389)</f>
        <v/>
      </c>
      <c r="M389" s="7">
        <f>IF($A389="","",L389-F389)</f>
        <v/>
      </c>
      <c r="N389" s="7" t="n"/>
      <c r="O389" s="7" t="n"/>
      <c r="P389" s="7" t="n"/>
      <c r="S389" s="11" t="n"/>
      <c r="U389">
        <f>IF($A389="","",IF($Y389=1,Settings!$C$6,Settings!$C$7)*1)</f>
        <v/>
      </c>
      <c r="W389">
        <f>IF($A389="","",IF(COUNTIF($A$2:$A389,$A389)=1,1,0))</f>
        <v/>
      </c>
      <c r="X389">
        <f>IF($W389=1,SUMPRODUCT(--($Z$2:$Z$501&lt;$Z389))+1,"")</f>
        <v/>
      </c>
      <c r="Y389">
        <f>IF($A389="","",IF(OR($V389=TRUE(),$V389="TRUE"),1,0))</f>
        <v/>
      </c>
      <c r="Z389">
        <f>IF($W389=1,IFERROR(IF(VALUE($A389)&lt;100000000,VALUE($A389),1000000000),IFERROR(IF(VALUE(MID($A389,2,20))&lt;100000000,VALUE(MID($A389,2,20)),1000000000),1000000000))+ROW()/100000,"")</f>
        <v/>
      </c>
    </row>
    <row r="390">
      <c r="F390" s="7">
        <f>IF($A390="","",E390*N390/100)</f>
        <v/>
      </c>
      <c r="J390" s="7" t="n"/>
      <c r="K390" s="7">
        <f>IF($A390="","",U390*N390)</f>
        <v/>
      </c>
      <c r="L390" s="7">
        <f>IF($A390="","",N390-K390)</f>
        <v/>
      </c>
      <c r="M390" s="7">
        <f>IF($A390="","",L390-F390)</f>
        <v/>
      </c>
      <c r="N390" s="7" t="n"/>
      <c r="O390" s="7" t="n"/>
      <c r="P390" s="7" t="n"/>
      <c r="S390" s="11" t="n"/>
      <c r="U390">
        <f>IF($A390="","",IF($Y390=1,Settings!$C$6,Settings!$C$7)*1)</f>
        <v/>
      </c>
      <c r="W390">
        <f>IF($A390="","",IF(COUNTIF($A$2:$A390,$A390)=1,1,0))</f>
        <v/>
      </c>
      <c r="X390">
        <f>IF($W390=1,SUMPRODUCT(--($Z$2:$Z$501&lt;$Z390))+1,"")</f>
        <v/>
      </c>
      <c r="Y390">
        <f>IF($A390="","",IF(OR($V390=TRUE(),$V390="TRUE"),1,0))</f>
        <v/>
      </c>
      <c r="Z390">
        <f>IF($W390=1,IFERROR(IF(VALUE($A390)&lt;100000000,VALUE($A390),1000000000),IFERROR(IF(VALUE(MID($A390,2,20))&lt;100000000,VALUE(MID($A390,2,20)),1000000000),1000000000))+ROW()/100000,"")</f>
        <v/>
      </c>
    </row>
    <row r="391">
      <c r="F391" s="7">
        <f>IF($A391="","",E391*N391/100)</f>
        <v/>
      </c>
      <c r="J391" s="7" t="n"/>
      <c r="K391" s="7">
        <f>IF($A391="","",U391*N391)</f>
        <v/>
      </c>
      <c r="L391" s="7">
        <f>IF($A391="","",N391-K391)</f>
        <v/>
      </c>
      <c r="M391" s="7">
        <f>IF($A391="","",L391-F391)</f>
        <v/>
      </c>
      <c r="N391" s="7" t="n"/>
      <c r="O391" s="7" t="n"/>
      <c r="P391" s="7" t="n"/>
      <c r="S391" s="11" t="n"/>
      <c r="U391">
        <f>IF($A391="","",IF($Y391=1,Settings!$C$6,Settings!$C$7)*1)</f>
        <v/>
      </c>
      <c r="W391">
        <f>IF($A391="","",IF(COUNTIF($A$2:$A391,$A391)=1,1,0))</f>
        <v/>
      </c>
      <c r="X391">
        <f>IF($W391=1,SUMPRODUCT(--($Z$2:$Z$501&lt;$Z391))+1,"")</f>
        <v/>
      </c>
      <c r="Y391">
        <f>IF($A391="","",IF(OR($V391=TRUE(),$V391="TRUE"),1,0))</f>
        <v/>
      </c>
      <c r="Z391">
        <f>IF($W391=1,IFERROR(IF(VALUE($A391)&lt;100000000,VALUE($A391),1000000000),IFERROR(IF(VALUE(MID($A391,2,20))&lt;100000000,VALUE(MID($A391,2,20)),1000000000),1000000000))+ROW()/100000,"")</f>
        <v/>
      </c>
    </row>
    <row r="392">
      <c r="F392" s="7">
        <f>IF($A392="","",E392*N392/100)</f>
        <v/>
      </c>
      <c r="J392" s="7" t="n"/>
      <c r="K392" s="7">
        <f>IF($A392="","",U392*N392)</f>
        <v/>
      </c>
      <c r="L392" s="7">
        <f>IF($A392="","",N392-K392)</f>
        <v/>
      </c>
      <c r="M392" s="7">
        <f>IF($A392="","",L392-F392)</f>
        <v/>
      </c>
      <c r="N392" s="7" t="n"/>
      <c r="O392" s="7" t="n"/>
      <c r="P392" s="7" t="n"/>
      <c r="S392" s="11" t="n"/>
      <c r="U392">
        <f>IF($A392="","",IF($Y392=1,Settings!$C$6,Settings!$C$7)*1)</f>
        <v/>
      </c>
      <c r="W392">
        <f>IF($A392="","",IF(COUNTIF($A$2:$A392,$A392)=1,1,0))</f>
        <v/>
      </c>
      <c r="X392">
        <f>IF($W392=1,SUMPRODUCT(--($Z$2:$Z$501&lt;$Z392))+1,"")</f>
        <v/>
      </c>
      <c r="Y392">
        <f>IF($A392="","",IF(OR($V392=TRUE(),$V392="TRUE"),1,0))</f>
        <v/>
      </c>
      <c r="Z392">
        <f>IF($W392=1,IFERROR(IF(VALUE($A392)&lt;100000000,VALUE($A392),1000000000),IFERROR(IF(VALUE(MID($A392,2,20))&lt;100000000,VALUE(MID($A392,2,20)),1000000000),1000000000))+ROW()/100000,"")</f>
        <v/>
      </c>
    </row>
    <row r="393">
      <c r="F393" s="7">
        <f>IF($A393="","",E393*N393/100)</f>
        <v/>
      </c>
      <c r="J393" s="7" t="n"/>
      <c r="K393" s="7">
        <f>IF($A393="","",U393*N393)</f>
        <v/>
      </c>
      <c r="L393" s="7">
        <f>IF($A393="","",N393-K393)</f>
        <v/>
      </c>
      <c r="M393" s="7">
        <f>IF($A393="","",L393-F393)</f>
        <v/>
      </c>
      <c r="N393" s="7" t="n"/>
      <c r="O393" s="7" t="n"/>
      <c r="P393" s="7" t="n"/>
      <c r="S393" s="11" t="n"/>
      <c r="U393">
        <f>IF($A393="","",IF($Y393=1,Settings!$C$6,Settings!$C$7)*1)</f>
        <v/>
      </c>
      <c r="W393">
        <f>IF($A393="","",IF(COUNTIF($A$2:$A393,$A393)=1,1,0))</f>
        <v/>
      </c>
      <c r="X393">
        <f>IF($W393=1,SUMPRODUCT(--($Z$2:$Z$501&lt;$Z393))+1,"")</f>
        <v/>
      </c>
      <c r="Y393">
        <f>IF($A393="","",IF(OR($V393=TRUE(),$V393="TRUE"),1,0))</f>
        <v/>
      </c>
      <c r="Z393">
        <f>IF($W393=1,IFERROR(IF(VALUE($A393)&lt;100000000,VALUE($A393),1000000000),IFERROR(IF(VALUE(MID($A393,2,20))&lt;100000000,VALUE(MID($A393,2,20)),1000000000),1000000000))+ROW()/100000,"")</f>
        <v/>
      </c>
    </row>
    <row r="394">
      <c r="F394" s="7">
        <f>IF($A394="","",E394*N394/100)</f>
        <v/>
      </c>
      <c r="J394" s="7" t="n"/>
      <c r="K394" s="7">
        <f>IF($A394="","",U394*N394)</f>
        <v/>
      </c>
      <c r="L394" s="7">
        <f>IF($A394="","",N394-K394)</f>
        <v/>
      </c>
      <c r="M394" s="7">
        <f>IF($A394="","",L394-F394)</f>
        <v/>
      </c>
      <c r="N394" s="7" t="n"/>
      <c r="O394" s="7" t="n"/>
      <c r="P394" s="7" t="n"/>
      <c r="S394" s="11" t="n"/>
      <c r="U394">
        <f>IF($A394="","",IF($Y394=1,Settings!$C$6,Settings!$C$7)*1)</f>
        <v/>
      </c>
      <c r="W394">
        <f>IF($A394="","",IF(COUNTIF($A$2:$A394,$A394)=1,1,0))</f>
        <v/>
      </c>
      <c r="X394">
        <f>IF($W394=1,SUMPRODUCT(--($Z$2:$Z$501&lt;$Z394))+1,"")</f>
        <v/>
      </c>
      <c r="Y394">
        <f>IF($A394="","",IF(OR($V394=TRUE(),$V394="TRUE"),1,0))</f>
        <v/>
      </c>
      <c r="Z394">
        <f>IF($W394=1,IFERROR(IF(VALUE($A394)&lt;100000000,VALUE($A394),1000000000),IFERROR(IF(VALUE(MID($A394,2,20))&lt;100000000,VALUE(MID($A394,2,20)),1000000000),1000000000))+ROW()/100000,"")</f>
        <v/>
      </c>
    </row>
    <row r="395">
      <c r="F395" s="7">
        <f>IF($A395="","",E395*N395/100)</f>
        <v/>
      </c>
      <c r="J395" s="7" t="n"/>
      <c r="K395" s="7">
        <f>IF($A395="","",U395*N395)</f>
        <v/>
      </c>
      <c r="L395" s="7">
        <f>IF($A395="","",N395-K395)</f>
        <v/>
      </c>
      <c r="M395" s="7">
        <f>IF($A395="","",L395-F395)</f>
        <v/>
      </c>
      <c r="N395" s="7" t="n"/>
      <c r="O395" s="7" t="n"/>
      <c r="P395" s="7" t="n"/>
      <c r="S395" s="11" t="n"/>
      <c r="U395">
        <f>IF($A395="","",IF($Y395=1,Settings!$C$6,Settings!$C$7)*1)</f>
        <v/>
      </c>
      <c r="W395">
        <f>IF($A395="","",IF(COUNTIF($A$2:$A395,$A395)=1,1,0))</f>
        <v/>
      </c>
      <c r="X395">
        <f>IF($W395=1,SUMPRODUCT(--($Z$2:$Z$501&lt;$Z395))+1,"")</f>
        <v/>
      </c>
      <c r="Y395">
        <f>IF($A395="","",IF(OR($V395=TRUE(),$V395="TRUE"),1,0))</f>
        <v/>
      </c>
      <c r="Z395">
        <f>IF($W395=1,IFERROR(IF(VALUE($A395)&lt;100000000,VALUE($A395),1000000000),IFERROR(IF(VALUE(MID($A395,2,20))&lt;100000000,VALUE(MID($A395,2,20)),1000000000),1000000000))+ROW()/100000,"")</f>
        <v/>
      </c>
    </row>
    <row r="396">
      <c r="F396" s="7">
        <f>IF($A396="","",E396*N396/100)</f>
        <v/>
      </c>
      <c r="J396" s="7" t="n"/>
      <c r="K396" s="7">
        <f>IF($A396="","",U396*N396)</f>
        <v/>
      </c>
      <c r="L396" s="7">
        <f>IF($A396="","",N396-K396)</f>
        <v/>
      </c>
      <c r="M396" s="7">
        <f>IF($A396="","",L396-F396)</f>
        <v/>
      </c>
      <c r="N396" s="7" t="n"/>
      <c r="O396" s="7" t="n"/>
      <c r="P396" s="7" t="n"/>
      <c r="S396" s="11" t="n"/>
      <c r="U396">
        <f>IF($A396="","",IF($Y396=1,Settings!$C$6,Settings!$C$7)*1)</f>
        <v/>
      </c>
      <c r="W396">
        <f>IF($A396="","",IF(COUNTIF($A$2:$A396,$A396)=1,1,0))</f>
        <v/>
      </c>
      <c r="X396">
        <f>IF($W396=1,SUMPRODUCT(--($Z$2:$Z$501&lt;$Z396))+1,"")</f>
        <v/>
      </c>
      <c r="Y396">
        <f>IF($A396="","",IF(OR($V396=TRUE(),$V396="TRUE"),1,0))</f>
        <v/>
      </c>
      <c r="Z396">
        <f>IF($W396=1,IFERROR(IF(VALUE($A396)&lt;100000000,VALUE($A396),1000000000),IFERROR(IF(VALUE(MID($A396,2,20))&lt;100000000,VALUE(MID($A396,2,20)),1000000000),1000000000))+ROW()/100000,"")</f>
        <v/>
      </c>
    </row>
    <row r="397">
      <c r="F397" s="7">
        <f>IF($A397="","",E397*N397/100)</f>
        <v/>
      </c>
      <c r="J397" s="7" t="n"/>
      <c r="K397" s="7">
        <f>IF($A397="","",U397*N397)</f>
        <v/>
      </c>
      <c r="L397" s="7">
        <f>IF($A397="","",N397-K397)</f>
        <v/>
      </c>
      <c r="M397" s="7">
        <f>IF($A397="","",L397-F397)</f>
        <v/>
      </c>
      <c r="N397" s="7" t="n"/>
      <c r="O397" s="7" t="n"/>
      <c r="P397" s="7" t="n"/>
      <c r="S397" s="11" t="n"/>
      <c r="U397">
        <f>IF($A397="","",IF($Y397=1,Settings!$C$6,Settings!$C$7)*1)</f>
        <v/>
      </c>
      <c r="W397">
        <f>IF($A397="","",IF(COUNTIF($A$2:$A397,$A397)=1,1,0))</f>
        <v/>
      </c>
      <c r="X397">
        <f>IF($W397=1,SUMPRODUCT(--($Z$2:$Z$501&lt;$Z397))+1,"")</f>
        <v/>
      </c>
      <c r="Y397">
        <f>IF($A397="","",IF(OR($V397=TRUE(),$V397="TRUE"),1,0))</f>
        <v/>
      </c>
      <c r="Z397">
        <f>IF($W397=1,IFERROR(IF(VALUE($A397)&lt;100000000,VALUE($A397),1000000000),IFERROR(IF(VALUE(MID($A397,2,20))&lt;100000000,VALUE(MID($A397,2,20)),1000000000),1000000000))+ROW()/100000,"")</f>
        <v/>
      </c>
    </row>
    <row r="398">
      <c r="F398" s="7">
        <f>IF($A398="","",E398*N398/100)</f>
        <v/>
      </c>
      <c r="J398" s="7" t="n"/>
      <c r="K398" s="7">
        <f>IF($A398="","",U398*N398)</f>
        <v/>
      </c>
      <c r="L398" s="7">
        <f>IF($A398="","",N398-K398)</f>
        <v/>
      </c>
      <c r="M398" s="7">
        <f>IF($A398="","",L398-F398)</f>
        <v/>
      </c>
      <c r="N398" s="7" t="n"/>
      <c r="O398" s="7" t="n"/>
      <c r="P398" s="7" t="n"/>
      <c r="S398" s="11" t="n"/>
      <c r="U398">
        <f>IF($A398="","",IF($Y398=1,Settings!$C$6,Settings!$C$7)*1)</f>
        <v/>
      </c>
      <c r="W398">
        <f>IF($A398="","",IF(COUNTIF($A$2:$A398,$A398)=1,1,0))</f>
        <v/>
      </c>
      <c r="X398">
        <f>IF($W398=1,SUMPRODUCT(--($Z$2:$Z$501&lt;$Z398))+1,"")</f>
        <v/>
      </c>
      <c r="Y398">
        <f>IF($A398="","",IF(OR($V398=TRUE(),$V398="TRUE"),1,0))</f>
        <v/>
      </c>
      <c r="Z398">
        <f>IF($W398=1,IFERROR(IF(VALUE($A398)&lt;100000000,VALUE($A398),1000000000),IFERROR(IF(VALUE(MID($A398,2,20))&lt;100000000,VALUE(MID($A398,2,20)),1000000000),1000000000))+ROW()/100000,"")</f>
        <v/>
      </c>
    </row>
    <row r="399">
      <c r="F399" s="7">
        <f>IF($A399="","",E399*N399/100)</f>
        <v/>
      </c>
      <c r="J399" s="7" t="n"/>
      <c r="K399" s="7">
        <f>IF($A399="","",U399*N399)</f>
        <v/>
      </c>
      <c r="L399" s="7">
        <f>IF($A399="","",N399-K399)</f>
        <v/>
      </c>
      <c r="M399" s="7">
        <f>IF($A399="","",L399-F399)</f>
        <v/>
      </c>
      <c r="N399" s="7" t="n"/>
      <c r="O399" s="7" t="n"/>
      <c r="P399" s="7" t="n"/>
      <c r="S399" s="11" t="n"/>
      <c r="U399">
        <f>IF($A399="","",IF($Y399=1,Settings!$C$6,Settings!$C$7)*1)</f>
        <v/>
      </c>
      <c r="W399">
        <f>IF($A399="","",IF(COUNTIF($A$2:$A399,$A399)=1,1,0))</f>
        <v/>
      </c>
      <c r="X399">
        <f>IF($W399=1,SUMPRODUCT(--($Z$2:$Z$501&lt;$Z399))+1,"")</f>
        <v/>
      </c>
      <c r="Y399">
        <f>IF($A399="","",IF(OR($V399=TRUE(),$V399="TRUE"),1,0))</f>
        <v/>
      </c>
      <c r="Z399">
        <f>IF($W399=1,IFERROR(IF(VALUE($A399)&lt;100000000,VALUE($A399),1000000000),IFERROR(IF(VALUE(MID($A399,2,20))&lt;100000000,VALUE(MID($A399,2,20)),1000000000),1000000000))+ROW()/100000,"")</f>
        <v/>
      </c>
    </row>
    <row r="400">
      <c r="F400" s="7">
        <f>IF($A400="","",E400*N400/100)</f>
        <v/>
      </c>
      <c r="J400" s="7" t="n"/>
      <c r="K400" s="7">
        <f>IF($A400="","",U400*N400)</f>
        <v/>
      </c>
      <c r="L400" s="7">
        <f>IF($A400="","",N400-K400)</f>
        <v/>
      </c>
      <c r="M400" s="7">
        <f>IF($A400="","",L400-F400)</f>
        <v/>
      </c>
      <c r="N400" s="7" t="n"/>
      <c r="O400" s="7" t="n"/>
      <c r="P400" s="7" t="n"/>
      <c r="S400" s="11" t="n"/>
      <c r="U400">
        <f>IF($A400="","",IF($Y400=1,Settings!$C$6,Settings!$C$7)*1)</f>
        <v/>
      </c>
      <c r="W400">
        <f>IF($A400="","",IF(COUNTIF($A$2:$A400,$A400)=1,1,0))</f>
        <v/>
      </c>
      <c r="X400">
        <f>IF($W400=1,SUMPRODUCT(--($Z$2:$Z$501&lt;$Z400))+1,"")</f>
        <v/>
      </c>
      <c r="Y400">
        <f>IF($A400="","",IF(OR($V400=TRUE(),$V400="TRUE"),1,0))</f>
        <v/>
      </c>
      <c r="Z400">
        <f>IF($W400=1,IFERROR(IF(VALUE($A400)&lt;100000000,VALUE($A400),1000000000),IFERROR(IF(VALUE(MID($A400,2,20))&lt;100000000,VALUE(MID($A400,2,20)),1000000000),1000000000))+ROW()/100000,"")</f>
        <v/>
      </c>
    </row>
    <row r="401">
      <c r="F401" s="7">
        <f>IF($A401="","",E401*N401/100)</f>
        <v/>
      </c>
      <c r="J401" s="7" t="n"/>
      <c r="K401" s="7">
        <f>IF($A401="","",U401*N401)</f>
        <v/>
      </c>
      <c r="L401" s="7">
        <f>IF($A401="","",N401-K401)</f>
        <v/>
      </c>
      <c r="M401" s="7">
        <f>IF($A401="","",L401-F401)</f>
        <v/>
      </c>
      <c r="N401" s="7" t="n"/>
      <c r="O401" s="7" t="n"/>
      <c r="P401" s="7" t="n"/>
      <c r="S401" s="11" t="n"/>
      <c r="U401">
        <f>IF($A401="","",IF($Y401=1,Settings!$C$6,Settings!$C$7)*1)</f>
        <v/>
      </c>
      <c r="W401">
        <f>IF($A401="","",IF(COUNTIF($A$2:$A401,$A401)=1,1,0))</f>
        <v/>
      </c>
      <c r="X401">
        <f>IF($W401=1,SUMPRODUCT(--($Z$2:$Z$501&lt;$Z401))+1,"")</f>
        <v/>
      </c>
      <c r="Y401">
        <f>IF($A401="","",IF(OR($V401=TRUE(),$V401="TRUE"),1,0))</f>
        <v/>
      </c>
      <c r="Z401">
        <f>IF($W401=1,IFERROR(IF(VALUE($A401)&lt;100000000,VALUE($A401),1000000000),IFERROR(IF(VALUE(MID($A401,2,20))&lt;100000000,VALUE(MID($A401,2,20)),1000000000),1000000000))+ROW()/100000,"")</f>
        <v/>
      </c>
    </row>
    <row r="402">
      <c r="F402" s="7">
        <f>IF($A402="","",E402*N402/100)</f>
        <v/>
      </c>
      <c r="J402" s="7" t="n"/>
      <c r="K402" s="7">
        <f>IF($A402="","",U402*N402)</f>
        <v/>
      </c>
      <c r="L402" s="7">
        <f>IF($A402="","",N402-K402)</f>
        <v/>
      </c>
      <c r="M402" s="7">
        <f>IF($A402="","",L402-F402)</f>
        <v/>
      </c>
      <c r="N402" s="7" t="n"/>
      <c r="O402" s="7" t="n"/>
      <c r="P402" s="7" t="n"/>
      <c r="S402" s="11" t="n"/>
      <c r="U402">
        <f>IF($A402="","",IF($Y402=1,Settings!$C$6,Settings!$C$7)*1)</f>
        <v/>
      </c>
      <c r="W402">
        <f>IF($A402="","",IF(COUNTIF($A$2:$A402,$A402)=1,1,0))</f>
        <v/>
      </c>
      <c r="X402">
        <f>IF($W402=1,SUMPRODUCT(--($Z$2:$Z$501&lt;$Z402))+1,"")</f>
        <v/>
      </c>
      <c r="Y402">
        <f>IF($A402="","",IF(OR($V402=TRUE(),$V402="TRUE"),1,0))</f>
        <v/>
      </c>
      <c r="Z402">
        <f>IF($W402=1,IFERROR(IF(VALUE($A402)&lt;100000000,VALUE($A402),1000000000),IFERROR(IF(VALUE(MID($A402,2,20))&lt;100000000,VALUE(MID($A402,2,20)),1000000000),1000000000))+ROW()/100000,"")</f>
        <v/>
      </c>
    </row>
    <row r="403">
      <c r="F403" s="7">
        <f>IF($A403="","",E403*N403/100)</f>
        <v/>
      </c>
      <c r="J403" s="7" t="n"/>
      <c r="K403" s="7">
        <f>IF($A403="","",U403*N403)</f>
        <v/>
      </c>
      <c r="L403" s="7">
        <f>IF($A403="","",N403-K403)</f>
        <v/>
      </c>
      <c r="M403" s="7">
        <f>IF($A403="","",L403-F403)</f>
        <v/>
      </c>
      <c r="N403" s="7" t="n"/>
      <c r="O403" s="7" t="n"/>
      <c r="P403" s="7" t="n"/>
      <c r="S403" s="11" t="n"/>
      <c r="U403">
        <f>IF($A403="","",IF($Y403=1,Settings!$C$6,Settings!$C$7)*1)</f>
        <v/>
      </c>
      <c r="W403">
        <f>IF($A403="","",IF(COUNTIF($A$2:$A403,$A403)=1,1,0))</f>
        <v/>
      </c>
      <c r="X403">
        <f>IF($W403=1,SUMPRODUCT(--($Z$2:$Z$501&lt;$Z403))+1,"")</f>
        <v/>
      </c>
      <c r="Y403">
        <f>IF($A403="","",IF(OR($V403=TRUE(),$V403="TRUE"),1,0))</f>
        <v/>
      </c>
      <c r="Z403">
        <f>IF($W403=1,IFERROR(IF(VALUE($A403)&lt;100000000,VALUE($A403),1000000000),IFERROR(IF(VALUE(MID($A403,2,20))&lt;100000000,VALUE(MID($A403,2,20)),1000000000),1000000000))+ROW()/100000,"")</f>
        <v/>
      </c>
    </row>
    <row r="404">
      <c r="F404" s="7">
        <f>IF($A404="","",E404*N404/100)</f>
        <v/>
      </c>
      <c r="J404" s="7" t="n"/>
      <c r="K404" s="7">
        <f>IF($A404="","",U404*N404)</f>
        <v/>
      </c>
      <c r="L404" s="7">
        <f>IF($A404="","",N404-K404)</f>
        <v/>
      </c>
      <c r="M404" s="7">
        <f>IF($A404="","",L404-F404)</f>
        <v/>
      </c>
      <c r="N404" s="7" t="n"/>
      <c r="O404" s="7" t="n"/>
      <c r="P404" s="7" t="n"/>
      <c r="S404" s="11" t="n"/>
      <c r="U404">
        <f>IF($A404="","",IF($Y404=1,Settings!$C$6,Settings!$C$7)*1)</f>
        <v/>
      </c>
      <c r="W404">
        <f>IF($A404="","",IF(COUNTIF($A$2:$A404,$A404)=1,1,0))</f>
        <v/>
      </c>
      <c r="X404">
        <f>IF($W404=1,SUMPRODUCT(--($Z$2:$Z$501&lt;$Z404))+1,"")</f>
        <v/>
      </c>
      <c r="Y404">
        <f>IF($A404="","",IF(OR($V404=TRUE(),$V404="TRUE"),1,0))</f>
        <v/>
      </c>
      <c r="Z404">
        <f>IF($W404=1,IFERROR(IF(VALUE($A404)&lt;100000000,VALUE($A404),1000000000),IFERROR(IF(VALUE(MID($A404,2,20))&lt;100000000,VALUE(MID($A404,2,20)),1000000000),1000000000))+ROW()/100000,"")</f>
        <v/>
      </c>
    </row>
    <row r="405">
      <c r="F405" s="7">
        <f>IF($A405="","",E405*N405/100)</f>
        <v/>
      </c>
      <c r="J405" s="7" t="n"/>
      <c r="K405" s="7">
        <f>IF($A405="","",U405*N405)</f>
        <v/>
      </c>
      <c r="L405" s="7">
        <f>IF($A405="","",N405-K405)</f>
        <v/>
      </c>
      <c r="M405" s="7">
        <f>IF($A405="","",L405-F405)</f>
        <v/>
      </c>
      <c r="N405" s="7" t="n"/>
      <c r="O405" s="7" t="n"/>
      <c r="P405" s="7" t="n"/>
      <c r="S405" s="11" t="n"/>
      <c r="U405">
        <f>IF($A405="","",IF($Y405=1,Settings!$C$6,Settings!$C$7)*1)</f>
        <v/>
      </c>
      <c r="W405">
        <f>IF($A405="","",IF(COUNTIF($A$2:$A405,$A405)=1,1,0))</f>
        <v/>
      </c>
      <c r="X405">
        <f>IF($W405=1,SUMPRODUCT(--($Z$2:$Z$501&lt;$Z405))+1,"")</f>
        <v/>
      </c>
      <c r="Y405">
        <f>IF($A405="","",IF(OR($V405=TRUE(),$V405="TRUE"),1,0))</f>
        <v/>
      </c>
      <c r="Z405">
        <f>IF($W405=1,IFERROR(IF(VALUE($A405)&lt;100000000,VALUE($A405),1000000000),IFERROR(IF(VALUE(MID($A405,2,20))&lt;100000000,VALUE(MID($A405,2,20)),1000000000),1000000000))+ROW()/100000,"")</f>
        <v/>
      </c>
    </row>
    <row r="406">
      <c r="F406" s="7">
        <f>IF($A406="","",E406*N406/100)</f>
        <v/>
      </c>
      <c r="J406" s="7" t="n"/>
      <c r="K406" s="7">
        <f>IF($A406="","",U406*N406)</f>
        <v/>
      </c>
      <c r="L406" s="7">
        <f>IF($A406="","",N406-K406)</f>
        <v/>
      </c>
      <c r="M406" s="7">
        <f>IF($A406="","",L406-F406)</f>
        <v/>
      </c>
      <c r="N406" s="7" t="n"/>
      <c r="O406" s="7" t="n"/>
      <c r="P406" s="7" t="n"/>
      <c r="S406" s="11" t="n"/>
      <c r="U406">
        <f>IF($A406="","",IF($Y406=1,Settings!$C$6,Settings!$C$7)*1)</f>
        <v/>
      </c>
      <c r="W406">
        <f>IF($A406="","",IF(COUNTIF($A$2:$A406,$A406)=1,1,0))</f>
        <v/>
      </c>
      <c r="X406">
        <f>IF($W406=1,SUMPRODUCT(--($Z$2:$Z$501&lt;$Z406))+1,"")</f>
        <v/>
      </c>
      <c r="Y406">
        <f>IF($A406="","",IF(OR($V406=TRUE(),$V406="TRUE"),1,0))</f>
        <v/>
      </c>
      <c r="Z406">
        <f>IF($W406=1,IFERROR(IF(VALUE($A406)&lt;100000000,VALUE($A406),1000000000),IFERROR(IF(VALUE(MID($A406,2,20))&lt;100000000,VALUE(MID($A406,2,20)),1000000000),1000000000))+ROW()/100000,"")</f>
        <v/>
      </c>
    </row>
    <row r="407">
      <c r="F407" s="7">
        <f>IF($A407="","",E407*N407/100)</f>
        <v/>
      </c>
      <c r="J407" s="7" t="n"/>
      <c r="K407" s="7">
        <f>IF($A407="","",U407*N407)</f>
        <v/>
      </c>
      <c r="L407" s="7">
        <f>IF($A407="","",N407-K407)</f>
        <v/>
      </c>
      <c r="M407" s="7">
        <f>IF($A407="","",L407-F407)</f>
        <v/>
      </c>
      <c r="N407" s="7" t="n"/>
      <c r="O407" s="7" t="n"/>
      <c r="P407" s="7" t="n"/>
      <c r="S407" s="11" t="n"/>
      <c r="U407">
        <f>IF($A407="","",IF($Y407=1,Settings!$C$6,Settings!$C$7)*1)</f>
        <v/>
      </c>
      <c r="W407">
        <f>IF($A407="","",IF(COUNTIF($A$2:$A407,$A407)=1,1,0))</f>
        <v/>
      </c>
      <c r="X407">
        <f>IF($W407=1,SUMPRODUCT(--($Z$2:$Z$501&lt;$Z407))+1,"")</f>
        <v/>
      </c>
      <c r="Y407">
        <f>IF($A407="","",IF(OR($V407=TRUE(),$V407="TRUE"),1,0))</f>
        <v/>
      </c>
      <c r="Z407">
        <f>IF($W407=1,IFERROR(IF(VALUE($A407)&lt;100000000,VALUE($A407),1000000000),IFERROR(IF(VALUE(MID($A407,2,20))&lt;100000000,VALUE(MID($A407,2,20)),1000000000),1000000000))+ROW()/100000,"")</f>
        <v/>
      </c>
    </row>
    <row r="408">
      <c r="F408" s="7">
        <f>IF($A408="","",E408*N408/100)</f>
        <v/>
      </c>
      <c r="J408" s="7" t="n"/>
      <c r="K408" s="7">
        <f>IF($A408="","",U408*N408)</f>
        <v/>
      </c>
      <c r="L408" s="7">
        <f>IF($A408="","",N408-K408)</f>
        <v/>
      </c>
      <c r="M408" s="7">
        <f>IF($A408="","",L408-F408)</f>
        <v/>
      </c>
      <c r="N408" s="7" t="n"/>
      <c r="O408" s="7" t="n"/>
      <c r="P408" s="7" t="n"/>
      <c r="S408" s="11" t="n"/>
      <c r="U408">
        <f>IF($A408="","",IF($Y408=1,Settings!$C$6,Settings!$C$7)*1)</f>
        <v/>
      </c>
      <c r="W408">
        <f>IF($A408="","",IF(COUNTIF($A$2:$A408,$A408)=1,1,0))</f>
        <v/>
      </c>
      <c r="X408">
        <f>IF($W408=1,SUMPRODUCT(--($Z$2:$Z$501&lt;$Z408))+1,"")</f>
        <v/>
      </c>
      <c r="Y408">
        <f>IF($A408="","",IF(OR($V408=TRUE(),$V408="TRUE"),1,0))</f>
        <v/>
      </c>
      <c r="Z408">
        <f>IF($W408=1,IFERROR(IF(VALUE($A408)&lt;100000000,VALUE($A408),1000000000),IFERROR(IF(VALUE(MID($A408,2,20))&lt;100000000,VALUE(MID($A408,2,20)),1000000000),1000000000))+ROW()/100000,"")</f>
        <v/>
      </c>
    </row>
    <row r="409">
      <c r="F409" s="7">
        <f>IF($A409="","",E409*N409/100)</f>
        <v/>
      </c>
      <c r="J409" s="7" t="n"/>
      <c r="K409" s="7">
        <f>IF($A409="","",U409*N409)</f>
        <v/>
      </c>
      <c r="L409" s="7">
        <f>IF($A409="","",N409-K409)</f>
        <v/>
      </c>
      <c r="M409" s="7">
        <f>IF($A409="","",L409-F409)</f>
        <v/>
      </c>
      <c r="N409" s="7" t="n"/>
      <c r="O409" s="7" t="n"/>
      <c r="P409" s="7" t="n"/>
      <c r="S409" s="11" t="n"/>
      <c r="U409">
        <f>IF($A409="","",IF($Y409=1,Settings!$C$6,Settings!$C$7)*1)</f>
        <v/>
      </c>
      <c r="W409">
        <f>IF($A409="","",IF(COUNTIF($A$2:$A409,$A409)=1,1,0))</f>
        <v/>
      </c>
      <c r="X409">
        <f>IF($W409=1,SUMPRODUCT(--($Z$2:$Z$501&lt;$Z409))+1,"")</f>
        <v/>
      </c>
      <c r="Y409">
        <f>IF($A409="","",IF(OR($V409=TRUE(),$V409="TRUE"),1,0))</f>
        <v/>
      </c>
      <c r="Z409">
        <f>IF($W409=1,IFERROR(IF(VALUE($A409)&lt;100000000,VALUE($A409),1000000000),IFERROR(IF(VALUE(MID($A409,2,20))&lt;100000000,VALUE(MID($A409,2,20)),1000000000),1000000000))+ROW()/100000,"")</f>
        <v/>
      </c>
    </row>
    <row r="410">
      <c r="F410" s="7">
        <f>IF($A410="","",E410*N410/100)</f>
        <v/>
      </c>
      <c r="J410" s="7" t="n"/>
      <c r="K410" s="7">
        <f>IF($A410="","",U410*N410)</f>
        <v/>
      </c>
      <c r="L410" s="7">
        <f>IF($A410="","",N410-K410)</f>
        <v/>
      </c>
      <c r="M410" s="7">
        <f>IF($A410="","",L410-F410)</f>
        <v/>
      </c>
      <c r="N410" s="7" t="n"/>
      <c r="O410" s="7" t="n"/>
      <c r="P410" s="7" t="n"/>
      <c r="S410" s="11" t="n"/>
      <c r="U410">
        <f>IF($A410="","",IF($Y410=1,Settings!$C$6,Settings!$C$7)*1)</f>
        <v/>
      </c>
      <c r="W410">
        <f>IF($A410="","",IF(COUNTIF($A$2:$A410,$A410)=1,1,0))</f>
        <v/>
      </c>
      <c r="X410">
        <f>IF($W410=1,SUMPRODUCT(--($Z$2:$Z$501&lt;$Z410))+1,"")</f>
        <v/>
      </c>
      <c r="Y410">
        <f>IF($A410="","",IF(OR($V410=TRUE(),$V410="TRUE"),1,0))</f>
        <v/>
      </c>
      <c r="Z410">
        <f>IF($W410=1,IFERROR(IF(VALUE($A410)&lt;100000000,VALUE($A410),1000000000),IFERROR(IF(VALUE(MID($A410,2,20))&lt;100000000,VALUE(MID($A410,2,20)),1000000000),1000000000))+ROW()/100000,"")</f>
        <v/>
      </c>
    </row>
    <row r="411">
      <c r="F411" s="7">
        <f>IF($A411="","",E411*N411/100)</f>
        <v/>
      </c>
      <c r="J411" s="7" t="n"/>
      <c r="K411" s="7">
        <f>IF($A411="","",U411*N411)</f>
        <v/>
      </c>
      <c r="L411" s="7">
        <f>IF($A411="","",N411-K411)</f>
        <v/>
      </c>
      <c r="M411" s="7">
        <f>IF($A411="","",L411-F411)</f>
        <v/>
      </c>
      <c r="N411" s="7" t="n"/>
      <c r="O411" s="7" t="n"/>
      <c r="P411" s="7" t="n"/>
      <c r="S411" s="11" t="n"/>
      <c r="U411">
        <f>IF($A411="","",IF($Y411=1,Settings!$C$6,Settings!$C$7)*1)</f>
        <v/>
      </c>
      <c r="W411">
        <f>IF($A411="","",IF(COUNTIF($A$2:$A411,$A411)=1,1,0))</f>
        <v/>
      </c>
      <c r="X411">
        <f>IF($W411=1,SUMPRODUCT(--($Z$2:$Z$501&lt;$Z411))+1,"")</f>
        <v/>
      </c>
      <c r="Y411">
        <f>IF($A411="","",IF(OR($V411=TRUE(),$V411="TRUE"),1,0))</f>
        <v/>
      </c>
      <c r="Z411">
        <f>IF($W411=1,IFERROR(IF(VALUE($A411)&lt;100000000,VALUE($A411),1000000000),IFERROR(IF(VALUE(MID($A411,2,20))&lt;100000000,VALUE(MID($A411,2,20)),1000000000),1000000000))+ROW()/100000,"")</f>
        <v/>
      </c>
    </row>
    <row r="412">
      <c r="F412" s="7">
        <f>IF($A412="","",E412*N412/100)</f>
        <v/>
      </c>
      <c r="J412" s="7" t="n"/>
      <c r="K412" s="7">
        <f>IF($A412="","",U412*N412)</f>
        <v/>
      </c>
      <c r="L412" s="7">
        <f>IF($A412="","",N412-K412)</f>
        <v/>
      </c>
      <c r="M412" s="7">
        <f>IF($A412="","",L412-F412)</f>
        <v/>
      </c>
      <c r="N412" s="7" t="n"/>
      <c r="O412" s="7" t="n"/>
      <c r="P412" s="7" t="n"/>
      <c r="S412" s="11" t="n"/>
      <c r="U412">
        <f>IF($A412="","",IF($Y412=1,Settings!$C$6,Settings!$C$7)*1)</f>
        <v/>
      </c>
      <c r="W412">
        <f>IF($A412="","",IF(COUNTIF($A$2:$A412,$A412)=1,1,0))</f>
        <v/>
      </c>
      <c r="X412">
        <f>IF($W412=1,SUMPRODUCT(--($Z$2:$Z$501&lt;$Z412))+1,"")</f>
        <v/>
      </c>
      <c r="Y412">
        <f>IF($A412="","",IF(OR($V412=TRUE(),$V412="TRUE"),1,0))</f>
        <v/>
      </c>
      <c r="Z412">
        <f>IF($W412=1,IFERROR(IF(VALUE($A412)&lt;100000000,VALUE($A412),1000000000),IFERROR(IF(VALUE(MID($A412,2,20))&lt;100000000,VALUE(MID($A412,2,20)),1000000000),1000000000))+ROW()/100000,"")</f>
        <v/>
      </c>
    </row>
    <row r="413">
      <c r="F413" s="7">
        <f>IF($A413="","",E413*N413/100)</f>
        <v/>
      </c>
      <c r="J413" s="7" t="n"/>
      <c r="K413" s="7">
        <f>IF($A413="","",U413*N413)</f>
        <v/>
      </c>
      <c r="L413" s="7">
        <f>IF($A413="","",N413-K413)</f>
        <v/>
      </c>
      <c r="M413" s="7">
        <f>IF($A413="","",L413-F413)</f>
        <v/>
      </c>
      <c r="N413" s="7" t="n"/>
      <c r="O413" s="7" t="n"/>
      <c r="P413" s="7" t="n"/>
      <c r="S413" s="11" t="n"/>
      <c r="U413">
        <f>IF($A413="","",IF($Y413=1,Settings!$C$6,Settings!$C$7)*1)</f>
        <v/>
      </c>
      <c r="W413">
        <f>IF($A413="","",IF(COUNTIF($A$2:$A413,$A413)=1,1,0))</f>
        <v/>
      </c>
      <c r="X413">
        <f>IF($W413=1,SUMPRODUCT(--($Z$2:$Z$501&lt;$Z413))+1,"")</f>
        <v/>
      </c>
      <c r="Y413">
        <f>IF($A413="","",IF(OR($V413=TRUE(),$V413="TRUE"),1,0))</f>
        <v/>
      </c>
      <c r="Z413">
        <f>IF($W413=1,IFERROR(IF(VALUE($A413)&lt;100000000,VALUE($A413),1000000000),IFERROR(IF(VALUE(MID($A413,2,20))&lt;100000000,VALUE(MID($A413,2,20)),1000000000),1000000000))+ROW()/100000,"")</f>
        <v/>
      </c>
    </row>
    <row r="414">
      <c r="F414" s="7">
        <f>IF($A414="","",E414*N414/100)</f>
        <v/>
      </c>
      <c r="J414" s="7" t="n"/>
      <c r="K414" s="7">
        <f>IF($A414="","",U414*N414)</f>
        <v/>
      </c>
      <c r="L414" s="7">
        <f>IF($A414="","",N414-K414)</f>
        <v/>
      </c>
      <c r="M414" s="7">
        <f>IF($A414="","",L414-F414)</f>
        <v/>
      </c>
      <c r="N414" s="7" t="n"/>
      <c r="O414" s="7" t="n"/>
      <c r="P414" s="7" t="n"/>
      <c r="S414" s="11" t="n"/>
      <c r="U414">
        <f>IF($A414="","",IF($Y414=1,Settings!$C$6,Settings!$C$7)*1)</f>
        <v/>
      </c>
      <c r="W414">
        <f>IF($A414="","",IF(COUNTIF($A$2:$A414,$A414)=1,1,0))</f>
        <v/>
      </c>
      <c r="X414">
        <f>IF($W414=1,SUMPRODUCT(--($Z$2:$Z$501&lt;$Z414))+1,"")</f>
        <v/>
      </c>
      <c r="Y414">
        <f>IF($A414="","",IF(OR($V414=TRUE(),$V414="TRUE"),1,0))</f>
        <v/>
      </c>
      <c r="Z414">
        <f>IF($W414=1,IFERROR(IF(VALUE($A414)&lt;100000000,VALUE($A414),1000000000),IFERROR(IF(VALUE(MID($A414,2,20))&lt;100000000,VALUE(MID($A414,2,20)),1000000000),1000000000))+ROW()/100000,"")</f>
        <v/>
      </c>
    </row>
    <row r="415">
      <c r="F415" s="7">
        <f>IF($A415="","",E415*N415/100)</f>
        <v/>
      </c>
      <c r="J415" s="7" t="n"/>
      <c r="K415" s="7">
        <f>IF($A415="","",U415*N415)</f>
        <v/>
      </c>
      <c r="L415" s="7">
        <f>IF($A415="","",N415-K415)</f>
        <v/>
      </c>
      <c r="M415" s="7">
        <f>IF($A415="","",L415-F415)</f>
        <v/>
      </c>
      <c r="N415" s="7" t="n"/>
      <c r="O415" s="7" t="n"/>
      <c r="P415" s="7" t="n"/>
      <c r="S415" s="11" t="n"/>
      <c r="U415">
        <f>IF($A415="","",IF($Y415=1,Settings!$C$6,Settings!$C$7)*1)</f>
        <v/>
      </c>
      <c r="W415">
        <f>IF($A415="","",IF(COUNTIF($A$2:$A415,$A415)=1,1,0))</f>
        <v/>
      </c>
      <c r="X415">
        <f>IF($W415=1,SUMPRODUCT(--($Z$2:$Z$501&lt;$Z415))+1,"")</f>
        <v/>
      </c>
      <c r="Y415">
        <f>IF($A415="","",IF(OR($V415=TRUE(),$V415="TRUE"),1,0))</f>
        <v/>
      </c>
      <c r="Z415">
        <f>IF($W415=1,IFERROR(IF(VALUE($A415)&lt;100000000,VALUE($A415),1000000000),IFERROR(IF(VALUE(MID($A415,2,20))&lt;100000000,VALUE(MID($A415,2,20)),1000000000),1000000000))+ROW()/100000,"")</f>
        <v/>
      </c>
    </row>
    <row r="416">
      <c r="F416" s="7">
        <f>IF($A416="","",E416*N416/100)</f>
        <v/>
      </c>
      <c r="J416" s="7" t="n"/>
      <c r="K416" s="7">
        <f>IF($A416="","",U416*N416)</f>
        <v/>
      </c>
      <c r="L416" s="7">
        <f>IF($A416="","",N416-K416)</f>
        <v/>
      </c>
      <c r="M416" s="7">
        <f>IF($A416="","",L416-F416)</f>
        <v/>
      </c>
      <c r="N416" s="7" t="n"/>
      <c r="O416" s="7" t="n"/>
      <c r="P416" s="7" t="n"/>
      <c r="S416" s="11" t="n"/>
      <c r="U416">
        <f>IF($A416="","",IF($Y416=1,Settings!$C$6,Settings!$C$7)*1)</f>
        <v/>
      </c>
      <c r="W416">
        <f>IF($A416="","",IF(COUNTIF($A$2:$A416,$A416)=1,1,0))</f>
        <v/>
      </c>
      <c r="X416">
        <f>IF($W416=1,SUMPRODUCT(--($Z$2:$Z$501&lt;$Z416))+1,"")</f>
        <v/>
      </c>
      <c r="Y416">
        <f>IF($A416="","",IF(OR($V416=TRUE(),$V416="TRUE"),1,0))</f>
        <v/>
      </c>
      <c r="Z416">
        <f>IF($W416=1,IFERROR(IF(VALUE($A416)&lt;100000000,VALUE($A416),1000000000),IFERROR(IF(VALUE(MID($A416,2,20))&lt;100000000,VALUE(MID($A416,2,20)),1000000000),1000000000))+ROW()/100000,"")</f>
        <v/>
      </c>
    </row>
    <row r="417">
      <c r="F417" s="7">
        <f>IF($A417="","",E417*N417/100)</f>
        <v/>
      </c>
      <c r="J417" s="7" t="n"/>
      <c r="K417" s="7">
        <f>IF($A417="","",U417*N417)</f>
        <v/>
      </c>
      <c r="L417" s="7">
        <f>IF($A417="","",N417-K417)</f>
        <v/>
      </c>
      <c r="M417" s="7">
        <f>IF($A417="","",L417-F417)</f>
        <v/>
      </c>
      <c r="N417" s="7" t="n"/>
      <c r="O417" s="7" t="n"/>
      <c r="P417" s="7" t="n"/>
      <c r="S417" s="11" t="n"/>
      <c r="U417">
        <f>IF($A417="","",IF($Y417=1,Settings!$C$6,Settings!$C$7)*1)</f>
        <v/>
      </c>
      <c r="W417">
        <f>IF($A417="","",IF(COUNTIF($A$2:$A417,$A417)=1,1,0))</f>
        <v/>
      </c>
      <c r="X417">
        <f>IF($W417=1,SUMPRODUCT(--($Z$2:$Z$501&lt;$Z417))+1,"")</f>
        <v/>
      </c>
      <c r="Y417">
        <f>IF($A417="","",IF(OR($V417=TRUE(),$V417="TRUE"),1,0))</f>
        <v/>
      </c>
      <c r="Z417">
        <f>IF($W417=1,IFERROR(IF(VALUE($A417)&lt;100000000,VALUE($A417),1000000000),IFERROR(IF(VALUE(MID($A417,2,20))&lt;100000000,VALUE(MID($A417,2,20)),1000000000),1000000000))+ROW()/100000,"")</f>
        <v/>
      </c>
    </row>
    <row r="418">
      <c r="F418" s="7">
        <f>IF($A418="","",E418*N418/100)</f>
        <v/>
      </c>
      <c r="J418" s="7" t="n"/>
      <c r="K418" s="7">
        <f>IF($A418="","",U418*N418)</f>
        <v/>
      </c>
      <c r="L418" s="7">
        <f>IF($A418="","",N418-K418)</f>
        <v/>
      </c>
      <c r="M418" s="7">
        <f>IF($A418="","",L418-F418)</f>
        <v/>
      </c>
      <c r="N418" s="7" t="n"/>
      <c r="O418" s="7" t="n"/>
      <c r="P418" s="7" t="n"/>
      <c r="S418" s="11" t="n"/>
      <c r="U418">
        <f>IF($A418="","",IF($Y418=1,Settings!$C$6,Settings!$C$7)*1)</f>
        <v/>
      </c>
      <c r="W418">
        <f>IF($A418="","",IF(COUNTIF($A$2:$A418,$A418)=1,1,0))</f>
        <v/>
      </c>
      <c r="X418">
        <f>IF($W418=1,SUMPRODUCT(--($Z$2:$Z$501&lt;$Z418))+1,"")</f>
        <v/>
      </c>
      <c r="Y418">
        <f>IF($A418="","",IF(OR($V418=TRUE(),$V418="TRUE"),1,0))</f>
        <v/>
      </c>
      <c r="Z418">
        <f>IF($W418=1,IFERROR(IF(VALUE($A418)&lt;100000000,VALUE($A418),1000000000),IFERROR(IF(VALUE(MID($A418,2,20))&lt;100000000,VALUE(MID($A418,2,20)),1000000000),1000000000))+ROW()/100000,"")</f>
        <v/>
      </c>
    </row>
    <row r="419">
      <c r="F419" s="7">
        <f>IF($A419="","",E419*N419/100)</f>
        <v/>
      </c>
      <c r="J419" s="7" t="n"/>
      <c r="K419" s="7">
        <f>IF($A419="","",U419*N419)</f>
        <v/>
      </c>
      <c r="L419" s="7">
        <f>IF($A419="","",N419-K419)</f>
        <v/>
      </c>
      <c r="M419" s="7">
        <f>IF($A419="","",L419-F419)</f>
        <v/>
      </c>
      <c r="N419" s="7" t="n"/>
      <c r="O419" s="7" t="n"/>
      <c r="P419" s="7" t="n"/>
      <c r="S419" s="11" t="n"/>
      <c r="U419">
        <f>IF($A419="","",IF($Y419=1,Settings!$C$6,Settings!$C$7)*1)</f>
        <v/>
      </c>
      <c r="W419">
        <f>IF($A419="","",IF(COUNTIF($A$2:$A419,$A419)=1,1,0))</f>
        <v/>
      </c>
      <c r="X419">
        <f>IF($W419=1,SUMPRODUCT(--($Z$2:$Z$501&lt;$Z419))+1,"")</f>
        <v/>
      </c>
      <c r="Y419">
        <f>IF($A419="","",IF(OR($V419=TRUE(),$V419="TRUE"),1,0))</f>
        <v/>
      </c>
      <c r="Z419">
        <f>IF($W419=1,IFERROR(IF(VALUE($A419)&lt;100000000,VALUE($A419),1000000000),IFERROR(IF(VALUE(MID($A419,2,20))&lt;100000000,VALUE(MID($A419,2,20)),1000000000),1000000000))+ROW()/100000,"")</f>
        <v/>
      </c>
    </row>
    <row r="420">
      <c r="F420" s="7">
        <f>IF($A420="","",E420*N420/100)</f>
        <v/>
      </c>
      <c r="J420" s="7" t="n"/>
      <c r="K420" s="7">
        <f>IF($A420="","",U420*N420)</f>
        <v/>
      </c>
      <c r="L420" s="7">
        <f>IF($A420="","",N420-K420)</f>
        <v/>
      </c>
      <c r="M420" s="7">
        <f>IF($A420="","",L420-F420)</f>
        <v/>
      </c>
      <c r="N420" s="7" t="n"/>
      <c r="O420" s="7" t="n"/>
      <c r="P420" s="7" t="n"/>
      <c r="S420" s="11" t="n"/>
      <c r="U420">
        <f>IF($A420="","",IF($Y420=1,Settings!$C$6,Settings!$C$7)*1)</f>
        <v/>
      </c>
      <c r="W420">
        <f>IF($A420="","",IF(COUNTIF($A$2:$A420,$A420)=1,1,0))</f>
        <v/>
      </c>
      <c r="X420">
        <f>IF($W420=1,SUMPRODUCT(--($Z$2:$Z$501&lt;$Z420))+1,"")</f>
        <v/>
      </c>
      <c r="Y420">
        <f>IF($A420="","",IF(OR($V420=TRUE(),$V420="TRUE"),1,0))</f>
        <v/>
      </c>
      <c r="Z420">
        <f>IF($W420=1,IFERROR(IF(VALUE($A420)&lt;100000000,VALUE($A420),1000000000),IFERROR(IF(VALUE(MID($A420,2,20))&lt;100000000,VALUE(MID($A420,2,20)),1000000000),1000000000))+ROW()/100000,"")</f>
        <v/>
      </c>
    </row>
    <row r="421">
      <c r="F421" s="7">
        <f>IF($A421="","",E421*N421/100)</f>
        <v/>
      </c>
      <c r="J421" s="7" t="n"/>
      <c r="K421" s="7">
        <f>IF($A421="","",U421*N421)</f>
        <v/>
      </c>
      <c r="L421" s="7">
        <f>IF($A421="","",N421-K421)</f>
        <v/>
      </c>
      <c r="M421" s="7">
        <f>IF($A421="","",L421-F421)</f>
        <v/>
      </c>
      <c r="N421" s="7" t="n"/>
      <c r="O421" s="7" t="n"/>
      <c r="P421" s="7" t="n"/>
      <c r="S421" s="11" t="n"/>
      <c r="U421">
        <f>IF($A421="","",IF($Y421=1,Settings!$C$6,Settings!$C$7)*1)</f>
        <v/>
      </c>
      <c r="W421">
        <f>IF($A421="","",IF(COUNTIF($A$2:$A421,$A421)=1,1,0))</f>
        <v/>
      </c>
      <c r="X421">
        <f>IF($W421=1,SUMPRODUCT(--($Z$2:$Z$501&lt;$Z421))+1,"")</f>
        <v/>
      </c>
      <c r="Y421">
        <f>IF($A421="","",IF(OR($V421=TRUE(),$V421="TRUE"),1,0))</f>
        <v/>
      </c>
      <c r="Z421">
        <f>IF($W421=1,IFERROR(IF(VALUE($A421)&lt;100000000,VALUE($A421),1000000000),IFERROR(IF(VALUE(MID($A421,2,20))&lt;100000000,VALUE(MID($A421,2,20)),1000000000),1000000000))+ROW()/100000,"")</f>
        <v/>
      </c>
    </row>
    <row r="422">
      <c r="F422" s="7">
        <f>IF($A422="","",E422*N422/100)</f>
        <v/>
      </c>
      <c r="J422" s="7" t="n"/>
      <c r="K422" s="7">
        <f>IF($A422="","",U422*N422)</f>
        <v/>
      </c>
      <c r="L422" s="7">
        <f>IF($A422="","",N422-K422)</f>
        <v/>
      </c>
      <c r="M422" s="7">
        <f>IF($A422="","",L422-F422)</f>
        <v/>
      </c>
      <c r="N422" s="7" t="n"/>
      <c r="O422" s="7" t="n"/>
      <c r="P422" s="7" t="n"/>
      <c r="S422" s="11" t="n"/>
      <c r="U422">
        <f>IF($A422="","",IF($Y422=1,Settings!$C$6,Settings!$C$7)*1)</f>
        <v/>
      </c>
      <c r="W422">
        <f>IF($A422="","",IF(COUNTIF($A$2:$A422,$A422)=1,1,0))</f>
        <v/>
      </c>
      <c r="X422">
        <f>IF($W422=1,SUMPRODUCT(--($Z$2:$Z$501&lt;$Z422))+1,"")</f>
        <v/>
      </c>
      <c r="Y422">
        <f>IF($A422="","",IF(OR($V422=TRUE(),$V422="TRUE"),1,0))</f>
        <v/>
      </c>
      <c r="Z422">
        <f>IF($W422=1,IFERROR(IF(VALUE($A422)&lt;100000000,VALUE($A422),1000000000),IFERROR(IF(VALUE(MID($A422,2,20))&lt;100000000,VALUE(MID($A422,2,20)),1000000000),1000000000))+ROW()/100000,"")</f>
        <v/>
      </c>
    </row>
    <row r="423">
      <c r="F423" s="7">
        <f>IF($A423="","",E423*N423/100)</f>
        <v/>
      </c>
      <c r="J423" s="7" t="n"/>
      <c r="K423" s="7">
        <f>IF($A423="","",U423*N423)</f>
        <v/>
      </c>
      <c r="L423" s="7">
        <f>IF($A423="","",N423-K423)</f>
        <v/>
      </c>
      <c r="M423" s="7">
        <f>IF($A423="","",L423-F423)</f>
        <v/>
      </c>
      <c r="N423" s="7" t="n"/>
      <c r="O423" s="7" t="n"/>
      <c r="P423" s="7" t="n"/>
      <c r="S423" s="11" t="n"/>
      <c r="U423">
        <f>IF($A423="","",IF($Y423=1,Settings!$C$6,Settings!$C$7)*1)</f>
        <v/>
      </c>
      <c r="W423">
        <f>IF($A423="","",IF(COUNTIF($A$2:$A423,$A423)=1,1,0))</f>
        <v/>
      </c>
      <c r="X423">
        <f>IF($W423=1,SUMPRODUCT(--($Z$2:$Z$501&lt;$Z423))+1,"")</f>
        <v/>
      </c>
      <c r="Y423">
        <f>IF($A423="","",IF(OR($V423=TRUE(),$V423="TRUE"),1,0))</f>
        <v/>
      </c>
      <c r="Z423">
        <f>IF($W423=1,IFERROR(IF(VALUE($A423)&lt;100000000,VALUE($A423),1000000000),IFERROR(IF(VALUE(MID($A423,2,20))&lt;100000000,VALUE(MID($A423,2,20)),1000000000),1000000000))+ROW()/100000,"")</f>
        <v/>
      </c>
    </row>
    <row r="424">
      <c r="F424" s="7">
        <f>IF($A424="","",E424*N424/100)</f>
        <v/>
      </c>
      <c r="J424" s="7" t="n"/>
      <c r="K424" s="7">
        <f>IF($A424="","",U424*N424)</f>
        <v/>
      </c>
      <c r="L424" s="7">
        <f>IF($A424="","",N424-K424)</f>
        <v/>
      </c>
      <c r="M424" s="7">
        <f>IF($A424="","",L424-F424)</f>
        <v/>
      </c>
      <c r="N424" s="7" t="n"/>
      <c r="O424" s="7" t="n"/>
      <c r="P424" s="7" t="n"/>
      <c r="S424" s="11" t="n"/>
      <c r="U424">
        <f>IF($A424="","",IF($Y424=1,Settings!$C$6,Settings!$C$7)*1)</f>
        <v/>
      </c>
      <c r="W424">
        <f>IF($A424="","",IF(COUNTIF($A$2:$A424,$A424)=1,1,0))</f>
        <v/>
      </c>
      <c r="X424">
        <f>IF($W424=1,SUMPRODUCT(--($Z$2:$Z$501&lt;$Z424))+1,"")</f>
        <v/>
      </c>
      <c r="Y424">
        <f>IF($A424="","",IF(OR($V424=TRUE(),$V424="TRUE"),1,0))</f>
        <v/>
      </c>
      <c r="Z424">
        <f>IF($W424=1,IFERROR(IF(VALUE($A424)&lt;100000000,VALUE($A424),1000000000),IFERROR(IF(VALUE(MID($A424,2,20))&lt;100000000,VALUE(MID($A424,2,20)),1000000000),1000000000))+ROW()/100000,"")</f>
        <v/>
      </c>
    </row>
    <row r="425">
      <c r="F425" s="7">
        <f>IF($A425="","",E425*N425/100)</f>
        <v/>
      </c>
      <c r="J425" s="7" t="n"/>
      <c r="K425" s="7">
        <f>IF($A425="","",U425*N425)</f>
        <v/>
      </c>
      <c r="L425" s="7">
        <f>IF($A425="","",N425-K425)</f>
        <v/>
      </c>
      <c r="M425" s="7">
        <f>IF($A425="","",L425-F425)</f>
        <v/>
      </c>
      <c r="N425" s="7" t="n"/>
      <c r="O425" s="7" t="n"/>
      <c r="P425" s="7" t="n"/>
      <c r="S425" s="11" t="n"/>
      <c r="U425">
        <f>IF($A425="","",IF($Y425=1,Settings!$C$6,Settings!$C$7)*1)</f>
        <v/>
      </c>
      <c r="W425">
        <f>IF($A425="","",IF(COUNTIF($A$2:$A425,$A425)=1,1,0))</f>
        <v/>
      </c>
      <c r="X425">
        <f>IF($W425=1,SUMPRODUCT(--($Z$2:$Z$501&lt;$Z425))+1,"")</f>
        <v/>
      </c>
      <c r="Y425">
        <f>IF($A425="","",IF(OR($V425=TRUE(),$V425="TRUE"),1,0))</f>
        <v/>
      </c>
      <c r="Z425">
        <f>IF($W425=1,IFERROR(IF(VALUE($A425)&lt;100000000,VALUE($A425),1000000000),IFERROR(IF(VALUE(MID($A425,2,20))&lt;100000000,VALUE(MID($A425,2,20)),1000000000),1000000000))+ROW()/100000,"")</f>
        <v/>
      </c>
    </row>
    <row r="426">
      <c r="F426" s="7">
        <f>IF($A426="","",E426*N426/100)</f>
        <v/>
      </c>
      <c r="J426" s="7" t="n"/>
      <c r="K426" s="7">
        <f>IF($A426="","",U426*N426)</f>
        <v/>
      </c>
      <c r="L426" s="7">
        <f>IF($A426="","",N426-K426)</f>
        <v/>
      </c>
      <c r="M426" s="7">
        <f>IF($A426="","",L426-F426)</f>
        <v/>
      </c>
      <c r="N426" s="7" t="n"/>
      <c r="O426" s="7" t="n"/>
      <c r="P426" s="7" t="n"/>
      <c r="S426" s="11" t="n"/>
      <c r="U426">
        <f>IF($A426="","",IF($Y426=1,Settings!$C$6,Settings!$C$7)*1)</f>
        <v/>
      </c>
      <c r="W426">
        <f>IF($A426="","",IF(COUNTIF($A$2:$A426,$A426)=1,1,0))</f>
        <v/>
      </c>
      <c r="X426">
        <f>IF($W426=1,SUMPRODUCT(--($Z$2:$Z$501&lt;$Z426))+1,"")</f>
        <v/>
      </c>
      <c r="Y426">
        <f>IF($A426="","",IF(OR($V426=TRUE(),$V426="TRUE"),1,0))</f>
        <v/>
      </c>
      <c r="Z426">
        <f>IF($W426=1,IFERROR(IF(VALUE($A426)&lt;100000000,VALUE($A426),1000000000),IFERROR(IF(VALUE(MID($A426,2,20))&lt;100000000,VALUE(MID($A426,2,20)),1000000000),1000000000))+ROW()/100000,"")</f>
        <v/>
      </c>
    </row>
    <row r="427">
      <c r="F427" s="7">
        <f>IF($A427="","",E427*N427/100)</f>
        <v/>
      </c>
      <c r="J427" s="7" t="n"/>
      <c r="K427" s="7">
        <f>IF($A427="","",U427*N427)</f>
        <v/>
      </c>
      <c r="L427" s="7">
        <f>IF($A427="","",N427-K427)</f>
        <v/>
      </c>
      <c r="M427" s="7">
        <f>IF($A427="","",L427-F427)</f>
        <v/>
      </c>
      <c r="N427" s="7" t="n"/>
      <c r="O427" s="7" t="n"/>
      <c r="P427" s="7" t="n"/>
      <c r="S427" s="11" t="n"/>
      <c r="U427">
        <f>IF($A427="","",IF($Y427=1,Settings!$C$6,Settings!$C$7)*1)</f>
        <v/>
      </c>
      <c r="W427">
        <f>IF($A427="","",IF(COUNTIF($A$2:$A427,$A427)=1,1,0))</f>
        <v/>
      </c>
      <c r="X427">
        <f>IF($W427=1,SUMPRODUCT(--($Z$2:$Z$501&lt;$Z427))+1,"")</f>
        <v/>
      </c>
      <c r="Y427">
        <f>IF($A427="","",IF(OR($V427=TRUE(),$V427="TRUE"),1,0))</f>
        <v/>
      </c>
      <c r="Z427">
        <f>IF($W427=1,IFERROR(IF(VALUE($A427)&lt;100000000,VALUE($A427),1000000000),IFERROR(IF(VALUE(MID($A427,2,20))&lt;100000000,VALUE(MID($A427,2,20)),1000000000),1000000000))+ROW()/100000,"")</f>
        <v/>
      </c>
    </row>
    <row r="428">
      <c r="F428" s="7">
        <f>IF($A428="","",E428*N428/100)</f>
        <v/>
      </c>
      <c r="J428" s="7" t="n"/>
      <c r="K428" s="7">
        <f>IF($A428="","",U428*N428)</f>
        <v/>
      </c>
      <c r="L428" s="7">
        <f>IF($A428="","",N428-K428)</f>
        <v/>
      </c>
      <c r="M428" s="7">
        <f>IF($A428="","",L428-F428)</f>
        <v/>
      </c>
      <c r="N428" s="7" t="n"/>
      <c r="O428" s="7" t="n"/>
      <c r="P428" s="7" t="n"/>
      <c r="S428" s="11" t="n"/>
      <c r="U428">
        <f>IF($A428="","",IF($Y428=1,Settings!$C$6,Settings!$C$7)*1)</f>
        <v/>
      </c>
      <c r="W428">
        <f>IF($A428="","",IF(COUNTIF($A$2:$A428,$A428)=1,1,0))</f>
        <v/>
      </c>
      <c r="X428">
        <f>IF($W428=1,SUMPRODUCT(--($Z$2:$Z$501&lt;$Z428))+1,"")</f>
        <v/>
      </c>
      <c r="Y428">
        <f>IF($A428="","",IF(OR($V428=TRUE(),$V428="TRUE"),1,0))</f>
        <v/>
      </c>
      <c r="Z428">
        <f>IF($W428=1,IFERROR(IF(VALUE($A428)&lt;100000000,VALUE($A428),1000000000),IFERROR(IF(VALUE(MID($A428,2,20))&lt;100000000,VALUE(MID($A428,2,20)),1000000000),1000000000))+ROW()/100000,"")</f>
        <v/>
      </c>
    </row>
    <row r="429">
      <c r="F429" s="7">
        <f>IF($A429="","",E429*N429/100)</f>
        <v/>
      </c>
      <c r="J429" s="7" t="n"/>
      <c r="K429" s="7">
        <f>IF($A429="","",U429*N429)</f>
        <v/>
      </c>
      <c r="L429" s="7">
        <f>IF($A429="","",N429-K429)</f>
        <v/>
      </c>
      <c r="M429" s="7">
        <f>IF($A429="","",L429-F429)</f>
        <v/>
      </c>
      <c r="N429" s="7" t="n"/>
      <c r="O429" s="7" t="n"/>
      <c r="P429" s="7" t="n"/>
      <c r="S429" s="11" t="n"/>
      <c r="U429">
        <f>IF($A429="","",IF($Y429=1,Settings!$C$6,Settings!$C$7)*1)</f>
        <v/>
      </c>
      <c r="W429">
        <f>IF($A429="","",IF(COUNTIF($A$2:$A429,$A429)=1,1,0))</f>
        <v/>
      </c>
      <c r="X429">
        <f>IF($W429=1,SUMPRODUCT(--($Z$2:$Z$501&lt;$Z429))+1,"")</f>
        <v/>
      </c>
      <c r="Y429">
        <f>IF($A429="","",IF(OR($V429=TRUE(),$V429="TRUE"),1,0))</f>
        <v/>
      </c>
      <c r="Z429">
        <f>IF($W429=1,IFERROR(IF(VALUE($A429)&lt;100000000,VALUE($A429),1000000000),IFERROR(IF(VALUE(MID($A429,2,20))&lt;100000000,VALUE(MID($A429,2,20)),1000000000),1000000000))+ROW()/100000,"")</f>
        <v/>
      </c>
    </row>
    <row r="430">
      <c r="F430" s="7">
        <f>IF($A430="","",E430*N430/100)</f>
        <v/>
      </c>
      <c r="J430" s="7" t="n"/>
      <c r="K430" s="7">
        <f>IF($A430="","",U430*N430)</f>
        <v/>
      </c>
      <c r="L430" s="7">
        <f>IF($A430="","",N430-K430)</f>
        <v/>
      </c>
      <c r="M430" s="7">
        <f>IF($A430="","",L430-F430)</f>
        <v/>
      </c>
      <c r="N430" s="7" t="n"/>
      <c r="O430" s="7" t="n"/>
      <c r="P430" s="7" t="n"/>
      <c r="S430" s="11" t="n"/>
      <c r="U430">
        <f>IF($A430="","",IF($Y430=1,Settings!$C$6,Settings!$C$7)*1)</f>
        <v/>
      </c>
      <c r="W430">
        <f>IF($A430="","",IF(COUNTIF($A$2:$A430,$A430)=1,1,0))</f>
        <v/>
      </c>
      <c r="X430">
        <f>IF($W430=1,SUMPRODUCT(--($Z$2:$Z$501&lt;$Z430))+1,"")</f>
        <v/>
      </c>
      <c r="Y430">
        <f>IF($A430="","",IF(OR($V430=TRUE(),$V430="TRUE"),1,0))</f>
        <v/>
      </c>
      <c r="Z430">
        <f>IF($W430=1,IFERROR(IF(VALUE($A430)&lt;100000000,VALUE($A430),1000000000),IFERROR(IF(VALUE(MID($A430,2,20))&lt;100000000,VALUE(MID($A430,2,20)),1000000000),1000000000))+ROW()/100000,"")</f>
        <v/>
      </c>
    </row>
    <row r="431">
      <c r="F431" s="7">
        <f>IF($A431="","",E431*N431/100)</f>
        <v/>
      </c>
      <c r="J431" s="7" t="n"/>
      <c r="K431" s="7">
        <f>IF($A431="","",U431*N431)</f>
        <v/>
      </c>
      <c r="L431" s="7">
        <f>IF($A431="","",N431-K431)</f>
        <v/>
      </c>
      <c r="M431" s="7">
        <f>IF($A431="","",L431-F431)</f>
        <v/>
      </c>
      <c r="N431" s="7" t="n"/>
      <c r="O431" s="7" t="n"/>
      <c r="P431" s="7" t="n"/>
      <c r="S431" s="11" t="n"/>
      <c r="U431">
        <f>IF($A431="","",IF($Y431=1,Settings!$C$6,Settings!$C$7)*1)</f>
        <v/>
      </c>
      <c r="W431">
        <f>IF($A431="","",IF(COUNTIF($A$2:$A431,$A431)=1,1,0))</f>
        <v/>
      </c>
      <c r="X431">
        <f>IF($W431=1,SUMPRODUCT(--($Z$2:$Z$501&lt;$Z431))+1,"")</f>
        <v/>
      </c>
      <c r="Y431">
        <f>IF($A431="","",IF(OR($V431=TRUE(),$V431="TRUE"),1,0))</f>
        <v/>
      </c>
      <c r="Z431">
        <f>IF($W431=1,IFERROR(IF(VALUE($A431)&lt;100000000,VALUE($A431),1000000000),IFERROR(IF(VALUE(MID($A431,2,20))&lt;100000000,VALUE(MID($A431,2,20)),1000000000),1000000000))+ROW()/100000,"")</f>
        <v/>
      </c>
    </row>
    <row r="432">
      <c r="F432" s="7">
        <f>IF($A432="","",E432*N432/100)</f>
        <v/>
      </c>
      <c r="J432" s="7" t="n"/>
      <c r="K432" s="7">
        <f>IF($A432="","",U432*N432)</f>
        <v/>
      </c>
      <c r="L432" s="7">
        <f>IF($A432="","",N432-K432)</f>
        <v/>
      </c>
      <c r="M432" s="7">
        <f>IF($A432="","",L432-F432)</f>
        <v/>
      </c>
      <c r="N432" s="7" t="n"/>
      <c r="O432" s="7" t="n"/>
      <c r="P432" s="7" t="n"/>
      <c r="S432" s="11" t="n"/>
      <c r="U432">
        <f>IF($A432="","",IF($Y432=1,Settings!$C$6,Settings!$C$7)*1)</f>
        <v/>
      </c>
      <c r="W432">
        <f>IF($A432="","",IF(COUNTIF($A$2:$A432,$A432)=1,1,0))</f>
        <v/>
      </c>
      <c r="X432">
        <f>IF($W432=1,SUMPRODUCT(--($Z$2:$Z$501&lt;$Z432))+1,"")</f>
        <v/>
      </c>
      <c r="Y432">
        <f>IF($A432="","",IF(OR($V432=TRUE(),$V432="TRUE"),1,0))</f>
        <v/>
      </c>
      <c r="Z432">
        <f>IF($W432=1,IFERROR(IF(VALUE($A432)&lt;100000000,VALUE($A432),1000000000),IFERROR(IF(VALUE(MID($A432,2,20))&lt;100000000,VALUE(MID($A432,2,20)),1000000000),1000000000))+ROW()/100000,"")</f>
        <v/>
      </c>
    </row>
    <row r="433">
      <c r="F433" s="7">
        <f>IF($A433="","",E433*N433/100)</f>
        <v/>
      </c>
      <c r="J433" s="7" t="n"/>
      <c r="K433" s="7">
        <f>IF($A433="","",U433*N433)</f>
        <v/>
      </c>
      <c r="L433" s="7">
        <f>IF($A433="","",N433-K433)</f>
        <v/>
      </c>
      <c r="M433" s="7">
        <f>IF($A433="","",L433-F433)</f>
        <v/>
      </c>
      <c r="N433" s="7" t="n"/>
      <c r="O433" s="7" t="n"/>
      <c r="P433" s="7" t="n"/>
      <c r="S433" s="11" t="n"/>
      <c r="U433">
        <f>IF($A433="","",IF($Y433=1,Settings!$C$6,Settings!$C$7)*1)</f>
        <v/>
      </c>
      <c r="W433">
        <f>IF($A433="","",IF(COUNTIF($A$2:$A433,$A433)=1,1,0))</f>
        <v/>
      </c>
      <c r="X433">
        <f>IF($W433=1,SUMPRODUCT(--($Z$2:$Z$501&lt;$Z433))+1,"")</f>
        <v/>
      </c>
      <c r="Y433">
        <f>IF($A433="","",IF(OR($V433=TRUE(),$V433="TRUE"),1,0))</f>
        <v/>
      </c>
      <c r="Z433">
        <f>IF($W433=1,IFERROR(IF(VALUE($A433)&lt;100000000,VALUE($A433),1000000000),IFERROR(IF(VALUE(MID($A433,2,20))&lt;100000000,VALUE(MID($A433,2,20)),1000000000),1000000000))+ROW()/100000,"")</f>
        <v/>
      </c>
    </row>
    <row r="434">
      <c r="F434" s="7">
        <f>IF($A434="","",E434*N434/100)</f>
        <v/>
      </c>
      <c r="J434" s="7" t="n"/>
      <c r="K434" s="7">
        <f>IF($A434="","",U434*N434)</f>
        <v/>
      </c>
      <c r="L434" s="7">
        <f>IF($A434="","",N434-K434)</f>
        <v/>
      </c>
      <c r="M434" s="7">
        <f>IF($A434="","",L434-F434)</f>
        <v/>
      </c>
      <c r="N434" s="7" t="n"/>
      <c r="O434" s="7" t="n"/>
      <c r="P434" s="7" t="n"/>
      <c r="S434" s="11" t="n"/>
      <c r="U434">
        <f>IF($A434="","",IF($Y434=1,Settings!$C$6,Settings!$C$7)*1)</f>
        <v/>
      </c>
      <c r="W434">
        <f>IF($A434="","",IF(COUNTIF($A$2:$A434,$A434)=1,1,0))</f>
        <v/>
      </c>
      <c r="X434">
        <f>IF($W434=1,SUMPRODUCT(--($Z$2:$Z$501&lt;$Z434))+1,"")</f>
        <v/>
      </c>
      <c r="Y434">
        <f>IF($A434="","",IF(OR($V434=TRUE(),$V434="TRUE"),1,0))</f>
        <v/>
      </c>
      <c r="Z434">
        <f>IF($W434=1,IFERROR(IF(VALUE($A434)&lt;100000000,VALUE($A434),1000000000),IFERROR(IF(VALUE(MID($A434,2,20))&lt;100000000,VALUE(MID($A434,2,20)),1000000000),1000000000))+ROW()/100000,"")</f>
        <v/>
      </c>
    </row>
    <row r="435">
      <c r="F435" s="7">
        <f>IF($A435="","",E435*N435/100)</f>
        <v/>
      </c>
      <c r="J435" s="7" t="n"/>
      <c r="K435" s="7">
        <f>IF($A435="","",U435*N435)</f>
        <v/>
      </c>
      <c r="L435" s="7">
        <f>IF($A435="","",N435-K435)</f>
        <v/>
      </c>
      <c r="M435" s="7">
        <f>IF($A435="","",L435-F435)</f>
        <v/>
      </c>
      <c r="N435" s="7" t="n"/>
      <c r="O435" s="7" t="n"/>
      <c r="P435" s="7" t="n"/>
      <c r="S435" s="11" t="n"/>
      <c r="U435">
        <f>IF($A435="","",IF($Y435=1,Settings!$C$6,Settings!$C$7)*1)</f>
        <v/>
      </c>
      <c r="W435">
        <f>IF($A435="","",IF(COUNTIF($A$2:$A435,$A435)=1,1,0))</f>
        <v/>
      </c>
      <c r="X435">
        <f>IF($W435=1,SUMPRODUCT(--($Z$2:$Z$501&lt;$Z435))+1,"")</f>
        <v/>
      </c>
      <c r="Y435">
        <f>IF($A435="","",IF(OR($V435=TRUE(),$V435="TRUE"),1,0))</f>
        <v/>
      </c>
      <c r="Z435">
        <f>IF($W435=1,IFERROR(IF(VALUE($A435)&lt;100000000,VALUE($A435),1000000000),IFERROR(IF(VALUE(MID($A435,2,20))&lt;100000000,VALUE(MID($A435,2,20)),1000000000),1000000000))+ROW()/100000,"")</f>
        <v/>
      </c>
    </row>
    <row r="436">
      <c r="F436" s="7">
        <f>IF($A436="","",E436*N436/100)</f>
        <v/>
      </c>
      <c r="J436" s="7" t="n"/>
      <c r="K436" s="7">
        <f>IF($A436="","",U436*N436)</f>
        <v/>
      </c>
      <c r="L436" s="7">
        <f>IF($A436="","",N436-K436)</f>
        <v/>
      </c>
      <c r="M436" s="7">
        <f>IF($A436="","",L436-F436)</f>
        <v/>
      </c>
      <c r="N436" s="7" t="n"/>
      <c r="O436" s="7" t="n"/>
      <c r="P436" s="7" t="n"/>
      <c r="S436" s="11" t="n"/>
      <c r="U436">
        <f>IF($A436="","",IF($Y436=1,Settings!$C$6,Settings!$C$7)*1)</f>
        <v/>
      </c>
      <c r="W436">
        <f>IF($A436="","",IF(COUNTIF($A$2:$A436,$A436)=1,1,0))</f>
        <v/>
      </c>
      <c r="X436">
        <f>IF($W436=1,SUMPRODUCT(--($Z$2:$Z$501&lt;$Z436))+1,"")</f>
        <v/>
      </c>
      <c r="Y436">
        <f>IF($A436="","",IF(OR($V436=TRUE(),$V436="TRUE"),1,0))</f>
        <v/>
      </c>
      <c r="Z436">
        <f>IF($W436=1,IFERROR(IF(VALUE($A436)&lt;100000000,VALUE($A436),1000000000),IFERROR(IF(VALUE(MID($A436,2,20))&lt;100000000,VALUE(MID($A436,2,20)),1000000000),1000000000))+ROW()/100000,"")</f>
        <v/>
      </c>
    </row>
    <row r="437">
      <c r="F437" s="7">
        <f>IF($A437="","",E437*N437/100)</f>
        <v/>
      </c>
      <c r="J437" s="7" t="n"/>
      <c r="K437" s="7">
        <f>IF($A437="","",U437*N437)</f>
        <v/>
      </c>
      <c r="L437" s="7">
        <f>IF($A437="","",N437-K437)</f>
        <v/>
      </c>
      <c r="M437" s="7">
        <f>IF($A437="","",L437-F437)</f>
        <v/>
      </c>
      <c r="N437" s="7" t="n"/>
      <c r="O437" s="7" t="n"/>
      <c r="P437" s="7" t="n"/>
      <c r="S437" s="11" t="n"/>
      <c r="U437">
        <f>IF($A437="","",IF($Y437=1,Settings!$C$6,Settings!$C$7)*1)</f>
        <v/>
      </c>
      <c r="W437">
        <f>IF($A437="","",IF(COUNTIF($A$2:$A437,$A437)=1,1,0))</f>
        <v/>
      </c>
      <c r="X437">
        <f>IF($W437=1,SUMPRODUCT(--($Z$2:$Z$501&lt;$Z437))+1,"")</f>
        <v/>
      </c>
      <c r="Y437">
        <f>IF($A437="","",IF(OR($V437=TRUE(),$V437="TRUE"),1,0))</f>
        <v/>
      </c>
      <c r="Z437">
        <f>IF($W437=1,IFERROR(IF(VALUE($A437)&lt;100000000,VALUE($A437),1000000000),IFERROR(IF(VALUE(MID($A437,2,20))&lt;100000000,VALUE(MID($A437,2,20)),1000000000),1000000000))+ROW()/100000,"")</f>
        <v/>
      </c>
    </row>
    <row r="438">
      <c r="F438" s="7">
        <f>IF($A438="","",E438*N438/100)</f>
        <v/>
      </c>
      <c r="J438" s="7" t="n"/>
      <c r="K438" s="7">
        <f>IF($A438="","",U438*N438)</f>
        <v/>
      </c>
      <c r="L438" s="7">
        <f>IF($A438="","",N438-K438)</f>
        <v/>
      </c>
      <c r="M438" s="7">
        <f>IF($A438="","",L438-F438)</f>
        <v/>
      </c>
      <c r="N438" s="7" t="n"/>
      <c r="O438" s="7" t="n"/>
      <c r="P438" s="7" t="n"/>
      <c r="S438" s="11" t="n"/>
      <c r="U438">
        <f>IF($A438="","",IF($Y438=1,Settings!$C$6,Settings!$C$7)*1)</f>
        <v/>
      </c>
      <c r="W438">
        <f>IF($A438="","",IF(COUNTIF($A$2:$A438,$A438)=1,1,0))</f>
        <v/>
      </c>
      <c r="X438">
        <f>IF($W438=1,SUMPRODUCT(--($Z$2:$Z$501&lt;$Z438))+1,"")</f>
        <v/>
      </c>
      <c r="Y438">
        <f>IF($A438="","",IF(OR($V438=TRUE(),$V438="TRUE"),1,0))</f>
        <v/>
      </c>
      <c r="Z438">
        <f>IF($W438=1,IFERROR(IF(VALUE($A438)&lt;100000000,VALUE($A438),1000000000),IFERROR(IF(VALUE(MID($A438,2,20))&lt;100000000,VALUE(MID($A438,2,20)),1000000000),1000000000))+ROW()/100000,"")</f>
        <v/>
      </c>
    </row>
    <row r="439">
      <c r="F439" s="7">
        <f>IF($A439="","",E439*N439/100)</f>
        <v/>
      </c>
      <c r="J439" s="7" t="n"/>
      <c r="K439" s="7">
        <f>IF($A439="","",U439*N439)</f>
        <v/>
      </c>
      <c r="L439" s="7">
        <f>IF($A439="","",N439-K439)</f>
        <v/>
      </c>
      <c r="M439" s="7">
        <f>IF($A439="","",L439-F439)</f>
        <v/>
      </c>
      <c r="N439" s="7" t="n"/>
      <c r="O439" s="7" t="n"/>
      <c r="P439" s="7" t="n"/>
      <c r="S439" s="11" t="n"/>
      <c r="U439">
        <f>IF($A439="","",IF($Y439=1,Settings!$C$6,Settings!$C$7)*1)</f>
        <v/>
      </c>
      <c r="W439">
        <f>IF($A439="","",IF(COUNTIF($A$2:$A439,$A439)=1,1,0))</f>
        <v/>
      </c>
      <c r="X439">
        <f>IF($W439=1,SUMPRODUCT(--($Z$2:$Z$501&lt;$Z439))+1,"")</f>
        <v/>
      </c>
      <c r="Y439">
        <f>IF($A439="","",IF(OR($V439=TRUE(),$V439="TRUE"),1,0))</f>
        <v/>
      </c>
      <c r="Z439">
        <f>IF($W439=1,IFERROR(IF(VALUE($A439)&lt;100000000,VALUE($A439),1000000000),IFERROR(IF(VALUE(MID($A439,2,20))&lt;100000000,VALUE(MID($A439,2,20)),1000000000),1000000000))+ROW()/100000,"")</f>
        <v/>
      </c>
    </row>
    <row r="440">
      <c r="F440" s="7">
        <f>IF($A440="","",E440*N440/100)</f>
        <v/>
      </c>
      <c r="J440" s="7" t="n"/>
      <c r="K440" s="7">
        <f>IF($A440="","",U440*N440)</f>
        <v/>
      </c>
      <c r="L440" s="7">
        <f>IF($A440="","",N440-K440)</f>
        <v/>
      </c>
      <c r="M440" s="7">
        <f>IF($A440="","",L440-F440)</f>
        <v/>
      </c>
      <c r="N440" s="7" t="n"/>
      <c r="O440" s="7" t="n"/>
      <c r="P440" s="7" t="n"/>
      <c r="S440" s="11" t="n"/>
      <c r="U440">
        <f>IF($A440="","",IF($Y440=1,Settings!$C$6,Settings!$C$7)*1)</f>
        <v/>
      </c>
      <c r="W440">
        <f>IF($A440="","",IF(COUNTIF($A$2:$A440,$A440)=1,1,0))</f>
        <v/>
      </c>
      <c r="X440">
        <f>IF($W440=1,SUMPRODUCT(--($Z$2:$Z$501&lt;$Z440))+1,"")</f>
        <v/>
      </c>
      <c r="Y440">
        <f>IF($A440="","",IF(OR($V440=TRUE(),$V440="TRUE"),1,0))</f>
        <v/>
      </c>
      <c r="Z440">
        <f>IF($W440=1,IFERROR(IF(VALUE($A440)&lt;100000000,VALUE($A440),1000000000),IFERROR(IF(VALUE(MID($A440,2,20))&lt;100000000,VALUE(MID($A440,2,20)),1000000000),1000000000))+ROW()/100000,"")</f>
        <v/>
      </c>
    </row>
    <row r="441">
      <c r="F441" s="7">
        <f>IF($A441="","",E441*N441/100)</f>
        <v/>
      </c>
      <c r="J441" s="7" t="n"/>
      <c r="K441" s="7">
        <f>IF($A441="","",U441*N441)</f>
        <v/>
      </c>
      <c r="L441" s="7">
        <f>IF($A441="","",N441-K441)</f>
        <v/>
      </c>
      <c r="M441" s="7">
        <f>IF($A441="","",L441-F441)</f>
        <v/>
      </c>
      <c r="N441" s="7" t="n"/>
      <c r="O441" s="7" t="n"/>
      <c r="P441" s="7" t="n"/>
      <c r="S441" s="11" t="n"/>
      <c r="U441">
        <f>IF($A441="","",IF($Y441=1,Settings!$C$6,Settings!$C$7)*1)</f>
        <v/>
      </c>
      <c r="W441">
        <f>IF($A441="","",IF(COUNTIF($A$2:$A441,$A441)=1,1,0))</f>
        <v/>
      </c>
      <c r="X441">
        <f>IF($W441=1,SUMPRODUCT(--($Z$2:$Z$501&lt;$Z441))+1,"")</f>
        <v/>
      </c>
      <c r="Y441">
        <f>IF($A441="","",IF(OR($V441=TRUE(),$V441="TRUE"),1,0))</f>
        <v/>
      </c>
      <c r="Z441">
        <f>IF($W441=1,IFERROR(IF(VALUE($A441)&lt;100000000,VALUE($A441),1000000000),IFERROR(IF(VALUE(MID($A441,2,20))&lt;100000000,VALUE(MID($A441,2,20)),1000000000),1000000000))+ROW()/100000,"")</f>
        <v/>
      </c>
    </row>
    <row r="442">
      <c r="F442" s="7">
        <f>IF($A442="","",E442*N442/100)</f>
        <v/>
      </c>
      <c r="J442" s="7" t="n"/>
      <c r="K442" s="7">
        <f>IF($A442="","",U442*N442)</f>
        <v/>
      </c>
      <c r="L442" s="7">
        <f>IF($A442="","",N442-K442)</f>
        <v/>
      </c>
      <c r="M442" s="7">
        <f>IF($A442="","",L442-F442)</f>
        <v/>
      </c>
      <c r="N442" s="7" t="n"/>
      <c r="O442" s="7" t="n"/>
      <c r="P442" s="7" t="n"/>
      <c r="S442" s="11" t="n"/>
      <c r="U442">
        <f>IF($A442="","",IF($Y442=1,Settings!$C$6,Settings!$C$7)*1)</f>
        <v/>
      </c>
      <c r="W442">
        <f>IF($A442="","",IF(COUNTIF($A$2:$A442,$A442)=1,1,0))</f>
        <v/>
      </c>
      <c r="X442">
        <f>IF($W442=1,SUMPRODUCT(--($Z$2:$Z$501&lt;$Z442))+1,"")</f>
        <v/>
      </c>
      <c r="Y442">
        <f>IF($A442="","",IF(OR($V442=TRUE(),$V442="TRUE"),1,0))</f>
        <v/>
      </c>
      <c r="Z442">
        <f>IF($W442=1,IFERROR(IF(VALUE($A442)&lt;100000000,VALUE($A442),1000000000),IFERROR(IF(VALUE(MID($A442,2,20))&lt;100000000,VALUE(MID($A442,2,20)),1000000000),1000000000))+ROW()/100000,"")</f>
        <v/>
      </c>
    </row>
    <row r="443">
      <c r="F443" s="7">
        <f>IF($A443="","",E443*N443/100)</f>
        <v/>
      </c>
      <c r="J443" s="7" t="n"/>
      <c r="K443" s="7">
        <f>IF($A443="","",U443*N443)</f>
        <v/>
      </c>
      <c r="L443" s="7">
        <f>IF($A443="","",N443-K443)</f>
        <v/>
      </c>
      <c r="M443" s="7">
        <f>IF($A443="","",L443-F443)</f>
        <v/>
      </c>
      <c r="N443" s="7" t="n"/>
      <c r="O443" s="7" t="n"/>
      <c r="P443" s="7" t="n"/>
      <c r="S443" s="11" t="n"/>
      <c r="U443">
        <f>IF($A443="","",IF($Y443=1,Settings!$C$6,Settings!$C$7)*1)</f>
        <v/>
      </c>
      <c r="W443">
        <f>IF($A443="","",IF(COUNTIF($A$2:$A443,$A443)=1,1,0))</f>
        <v/>
      </c>
      <c r="X443">
        <f>IF($W443=1,SUMPRODUCT(--($Z$2:$Z$501&lt;$Z443))+1,"")</f>
        <v/>
      </c>
      <c r="Y443">
        <f>IF($A443="","",IF(OR($V443=TRUE(),$V443="TRUE"),1,0))</f>
        <v/>
      </c>
      <c r="Z443">
        <f>IF($W443=1,IFERROR(IF(VALUE($A443)&lt;100000000,VALUE($A443),1000000000),IFERROR(IF(VALUE(MID($A443,2,20))&lt;100000000,VALUE(MID($A443,2,20)),1000000000),1000000000))+ROW()/100000,"")</f>
        <v/>
      </c>
    </row>
    <row r="444">
      <c r="F444" s="7">
        <f>IF($A444="","",E444*N444/100)</f>
        <v/>
      </c>
      <c r="J444" s="7" t="n"/>
      <c r="K444" s="7">
        <f>IF($A444="","",U444*N444)</f>
        <v/>
      </c>
      <c r="L444" s="7">
        <f>IF($A444="","",N444-K444)</f>
        <v/>
      </c>
      <c r="M444" s="7">
        <f>IF($A444="","",L444-F444)</f>
        <v/>
      </c>
      <c r="N444" s="7" t="n"/>
      <c r="O444" s="7" t="n"/>
      <c r="P444" s="7" t="n"/>
      <c r="S444" s="11" t="n"/>
      <c r="U444">
        <f>IF($A444="","",IF($Y444=1,Settings!$C$6,Settings!$C$7)*1)</f>
        <v/>
      </c>
      <c r="W444">
        <f>IF($A444="","",IF(COUNTIF($A$2:$A444,$A444)=1,1,0))</f>
        <v/>
      </c>
      <c r="X444">
        <f>IF($W444=1,SUMPRODUCT(--($Z$2:$Z$501&lt;$Z444))+1,"")</f>
        <v/>
      </c>
      <c r="Y444">
        <f>IF($A444="","",IF(OR($V444=TRUE(),$V444="TRUE"),1,0))</f>
        <v/>
      </c>
      <c r="Z444">
        <f>IF($W444=1,IFERROR(IF(VALUE($A444)&lt;100000000,VALUE($A444),1000000000),IFERROR(IF(VALUE(MID($A444,2,20))&lt;100000000,VALUE(MID($A444,2,20)),1000000000),1000000000))+ROW()/100000,"")</f>
        <v/>
      </c>
    </row>
    <row r="445">
      <c r="F445" s="7">
        <f>IF($A445="","",E445*N445/100)</f>
        <v/>
      </c>
      <c r="J445" s="7" t="n"/>
      <c r="K445" s="7">
        <f>IF($A445="","",U445*N445)</f>
        <v/>
      </c>
      <c r="L445" s="7">
        <f>IF($A445="","",N445-K445)</f>
        <v/>
      </c>
      <c r="M445" s="7">
        <f>IF($A445="","",L445-F445)</f>
        <v/>
      </c>
      <c r="N445" s="7" t="n"/>
      <c r="O445" s="7" t="n"/>
      <c r="P445" s="7" t="n"/>
      <c r="S445" s="11" t="n"/>
      <c r="U445">
        <f>IF($A445="","",IF($Y445=1,Settings!$C$6,Settings!$C$7)*1)</f>
        <v/>
      </c>
      <c r="W445">
        <f>IF($A445="","",IF(COUNTIF($A$2:$A445,$A445)=1,1,0))</f>
        <v/>
      </c>
      <c r="X445">
        <f>IF($W445=1,SUMPRODUCT(--($Z$2:$Z$501&lt;$Z445))+1,"")</f>
        <v/>
      </c>
      <c r="Y445">
        <f>IF($A445="","",IF(OR($V445=TRUE(),$V445="TRUE"),1,0))</f>
        <v/>
      </c>
      <c r="Z445">
        <f>IF($W445=1,IFERROR(IF(VALUE($A445)&lt;100000000,VALUE($A445),1000000000),IFERROR(IF(VALUE(MID($A445,2,20))&lt;100000000,VALUE(MID($A445,2,20)),1000000000),1000000000))+ROW()/100000,"")</f>
        <v/>
      </c>
    </row>
    <row r="446">
      <c r="F446" s="7">
        <f>IF($A446="","",E446*N446/100)</f>
        <v/>
      </c>
      <c r="J446" s="7" t="n"/>
      <c r="K446" s="7">
        <f>IF($A446="","",U446*N446)</f>
        <v/>
      </c>
      <c r="L446" s="7">
        <f>IF($A446="","",N446-K446)</f>
        <v/>
      </c>
      <c r="M446" s="7">
        <f>IF($A446="","",L446-F446)</f>
        <v/>
      </c>
      <c r="N446" s="7" t="n"/>
      <c r="O446" s="7" t="n"/>
      <c r="P446" s="7" t="n"/>
      <c r="S446" s="11" t="n"/>
      <c r="U446">
        <f>IF($A446="","",IF($Y446=1,Settings!$C$6,Settings!$C$7)*1)</f>
        <v/>
      </c>
      <c r="W446">
        <f>IF($A446="","",IF(COUNTIF($A$2:$A446,$A446)=1,1,0))</f>
        <v/>
      </c>
      <c r="X446">
        <f>IF($W446=1,SUMPRODUCT(--($Z$2:$Z$501&lt;$Z446))+1,"")</f>
        <v/>
      </c>
      <c r="Y446">
        <f>IF($A446="","",IF(OR($V446=TRUE(),$V446="TRUE"),1,0))</f>
        <v/>
      </c>
      <c r="Z446">
        <f>IF($W446=1,IFERROR(IF(VALUE($A446)&lt;100000000,VALUE($A446),1000000000),IFERROR(IF(VALUE(MID($A446,2,20))&lt;100000000,VALUE(MID($A446,2,20)),1000000000),1000000000))+ROW()/100000,"")</f>
        <v/>
      </c>
    </row>
    <row r="447">
      <c r="F447" s="7">
        <f>IF($A447="","",E447*N447/100)</f>
        <v/>
      </c>
      <c r="J447" s="7" t="n"/>
      <c r="K447" s="7">
        <f>IF($A447="","",U447*N447)</f>
        <v/>
      </c>
      <c r="L447" s="7">
        <f>IF($A447="","",N447-K447)</f>
        <v/>
      </c>
      <c r="M447" s="7">
        <f>IF($A447="","",L447-F447)</f>
        <v/>
      </c>
      <c r="N447" s="7" t="n"/>
      <c r="O447" s="7" t="n"/>
      <c r="P447" s="7" t="n"/>
      <c r="S447" s="11" t="n"/>
      <c r="U447">
        <f>IF($A447="","",IF($Y447=1,Settings!$C$6,Settings!$C$7)*1)</f>
        <v/>
      </c>
      <c r="W447">
        <f>IF($A447="","",IF(COUNTIF($A$2:$A447,$A447)=1,1,0))</f>
        <v/>
      </c>
      <c r="X447">
        <f>IF($W447=1,SUMPRODUCT(--($Z$2:$Z$501&lt;$Z447))+1,"")</f>
        <v/>
      </c>
      <c r="Y447">
        <f>IF($A447="","",IF(OR($V447=TRUE(),$V447="TRUE"),1,0))</f>
        <v/>
      </c>
      <c r="Z447">
        <f>IF($W447=1,IFERROR(IF(VALUE($A447)&lt;100000000,VALUE($A447),1000000000),IFERROR(IF(VALUE(MID($A447,2,20))&lt;100000000,VALUE(MID($A447,2,20)),1000000000),1000000000))+ROW()/100000,"")</f>
        <v/>
      </c>
    </row>
    <row r="448">
      <c r="F448" s="7">
        <f>IF($A448="","",E448*N448/100)</f>
        <v/>
      </c>
      <c r="J448" s="7" t="n"/>
      <c r="K448" s="7">
        <f>IF($A448="","",U448*N448)</f>
        <v/>
      </c>
      <c r="L448" s="7">
        <f>IF($A448="","",N448-K448)</f>
        <v/>
      </c>
      <c r="M448" s="7">
        <f>IF($A448="","",L448-F448)</f>
        <v/>
      </c>
      <c r="N448" s="7" t="n"/>
      <c r="O448" s="7" t="n"/>
      <c r="P448" s="7" t="n"/>
      <c r="S448" s="11" t="n"/>
      <c r="U448">
        <f>IF($A448="","",IF($Y448=1,Settings!$C$6,Settings!$C$7)*1)</f>
        <v/>
      </c>
      <c r="W448">
        <f>IF($A448="","",IF(COUNTIF($A$2:$A448,$A448)=1,1,0))</f>
        <v/>
      </c>
      <c r="X448">
        <f>IF($W448=1,SUMPRODUCT(--($Z$2:$Z$501&lt;$Z448))+1,"")</f>
        <v/>
      </c>
      <c r="Y448">
        <f>IF($A448="","",IF(OR($V448=TRUE(),$V448="TRUE"),1,0))</f>
        <v/>
      </c>
      <c r="Z448">
        <f>IF($W448=1,IFERROR(IF(VALUE($A448)&lt;100000000,VALUE($A448),1000000000),IFERROR(IF(VALUE(MID($A448,2,20))&lt;100000000,VALUE(MID($A448,2,20)),1000000000),1000000000))+ROW()/100000,"")</f>
        <v/>
      </c>
    </row>
    <row r="449">
      <c r="F449" s="7">
        <f>IF($A449="","",E449*N449/100)</f>
        <v/>
      </c>
      <c r="J449" s="7" t="n"/>
      <c r="K449" s="7">
        <f>IF($A449="","",U449*N449)</f>
        <v/>
      </c>
      <c r="L449" s="7">
        <f>IF($A449="","",N449-K449)</f>
        <v/>
      </c>
      <c r="M449" s="7">
        <f>IF($A449="","",L449-F449)</f>
        <v/>
      </c>
      <c r="N449" s="7" t="n"/>
      <c r="O449" s="7" t="n"/>
      <c r="P449" s="7" t="n"/>
      <c r="S449" s="11" t="n"/>
      <c r="U449">
        <f>IF($A449="","",IF($Y449=1,Settings!$C$6,Settings!$C$7)*1)</f>
        <v/>
      </c>
      <c r="W449">
        <f>IF($A449="","",IF(COUNTIF($A$2:$A449,$A449)=1,1,0))</f>
        <v/>
      </c>
      <c r="X449">
        <f>IF($W449=1,SUMPRODUCT(--($Z$2:$Z$501&lt;$Z449))+1,"")</f>
        <v/>
      </c>
      <c r="Y449">
        <f>IF($A449="","",IF(OR($V449=TRUE(),$V449="TRUE"),1,0))</f>
        <v/>
      </c>
      <c r="Z449">
        <f>IF($W449=1,IFERROR(IF(VALUE($A449)&lt;100000000,VALUE($A449),1000000000),IFERROR(IF(VALUE(MID($A449,2,20))&lt;100000000,VALUE(MID($A449,2,20)),1000000000),1000000000))+ROW()/100000,"")</f>
        <v/>
      </c>
    </row>
    <row r="450">
      <c r="F450" s="7">
        <f>IF($A450="","",E450*N450/100)</f>
        <v/>
      </c>
      <c r="J450" s="7" t="n"/>
      <c r="K450" s="7">
        <f>IF($A450="","",U450*N450)</f>
        <v/>
      </c>
      <c r="L450" s="7">
        <f>IF($A450="","",N450-K450)</f>
        <v/>
      </c>
      <c r="M450" s="7">
        <f>IF($A450="","",L450-F450)</f>
        <v/>
      </c>
      <c r="N450" s="7" t="n"/>
      <c r="O450" s="7" t="n"/>
      <c r="P450" s="7" t="n"/>
      <c r="S450" s="11" t="n"/>
      <c r="U450">
        <f>IF($A450="","",IF($Y450=1,Settings!$C$6,Settings!$C$7)*1)</f>
        <v/>
      </c>
      <c r="W450">
        <f>IF($A450="","",IF(COUNTIF($A$2:$A450,$A450)=1,1,0))</f>
        <v/>
      </c>
      <c r="X450">
        <f>IF($W450=1,SUMPRODUCT(--($Z$2:$Z$501&lt;$Z450))+1,"")</f>
        <v/>
      </c>
      <c r="Y450">
        <f>IF($A450="","",IF(OR($V450=TRUE(),$V450="TRUE"),1,0))</f>
        <v/>
      </c>
      <c r="Z450">
        <f>IF($W450=1,IFERROR(IF(VALUE($A450)&lt;100000000,VALUE($A450),1000000000),IFERROR(IF(VALUE(MID($A450,2,20))&lt;100000000,VALUE(MID($A450,2,20)),1000000000),1000000000))+ROW()/100000,"")</f>
        <v/>
      </c>
    </row>
    <row r="451">
      <c r="F451" s="7">
        <f>IF($A451="","",E451*N451/100)</f>
        <v/>
      </c>
      <c r="J451" s="7" t="n"/>
      <c r="K451" s="7">
        <f>IF($A451="","",U451*N451)</f>
        <v/>
      </c>
      <c r="L451" s="7">
        <f>IF($A451="","",N451-K451)</f>
        <v/>
      </c>
      <c r="M451" s="7">
        <f>IF($A451="","",L451-F451)</f>
        <v/>
      </c>
      <c r="N451" s="7" t="n"/>
      <c r="O451" s="7" t="n"/>
      <c r="P451" s="7" t="n"/>
      <c r="S451" s="11" t="n"/>
      <c r="U451">
        <f>IF($A451="","",IF($Y451=1,Settings!$C$6,Settings!$C$7)*1)</f>
        <v/>
      </c>
      <c r="W451">
        <f>IF($A451="","",IF(COUNTIF($A$2:$A451,$A451)=1,1,0))</f>
        <v/>
      </c>
      <c r="X451">
        <f>IF($W451=1,SUMPRODUCT(--($Z$2:$Z$501&lt;$Z451))+1,"")</f>
        <v/>
      </c>
      <c r="Y451">
        <f>IF($A451="","",IF(OR($V451=TRUE(),$V451="TRUE"),1,0))</f>
        <v/>
      </c>
      <c r="Z451">
        <f>IF($W451=1,IFERROR(IF(VALUE($A451)&lt;100000000,VALUE($A451),1000000000),IFERROR(IF(VALUE(MID($A451,2,20))&lt;100000000,VALUE(MID($A451,2,20)),1000000000),1000000000))+ROW()/100000,"")</f>
        <v/>
      </c>
    </row>
    <row r="452">
      <c r="F452" s="7">
        <f>IF($A452="","",E452*N452/100)</f>
        <v/>
      </c>
      <c r="J452" s="7" t="n"/>
      <c r="K452" s="7">
        <f>IF($A452="","",U452*N452)</f>
        <v/>
      </c>
      <c r="L452" s="7">
        <f>IF($A452="","",N452-K452)</f>
        <v/>
      </c>
      <c r="M452" s="7">
        <f>IF($A452="","",L452-F452)</f>
        <v/>
      </c>
      <c r="N452" s="7" t="n"/>
      <c r="O452" s="7" t="n"/>
      <c r="P452" s="7" t="n"/>
      <c r="S452" s="11" t="n"/>
      <c r="U452">
        <f>IF($A452="","",IF($Y452=1,Settings!$C$6,Settings!$C$7)*1)</f>
        <v/>
      </c>
      <c r="W452">
        <f>IF($A452="","",IF(COUNTIF($A$2:$A452,$A452)=1,1,0))</f>
        <v/>
      </c>
      <c r="X452">
        <f>IF($W452=1,SUMPRODUCT(--($Z$2:$Z$501&lt;$Z452))+1,"")</f>
        <v/>
      </c>
      <c r="Y452">
        <f>IF($A452="","",IF(OR($V452=TRUE(),$V452="TRUE"),1,0))</f>
        <v/>
      </c>
      <c r="Z452">
        <f>IF($W452=1,IFERROR(IF(VALUE($A452)&lt;100000000,VALUE($A452),1000000000),IFERROR(IF(VALUE(MID($A452,2,20))&lt;100000000,VALUE(MID($A452,2,20)),1000000000),1000000000))+ROW()/100000,"")</f>
        <v/>
      </c>
    </row>
    <row r="453">
      <c r="F453" s="7">
        <f>IF($A453="","",E453*N453/100)</f>
        <v/>
      </c>
      <c r="J453" s="7" t="n"/>
      <c r="K453" s="7">
        <f>IF($A453="","",U453*N453)</f>
        <v/>
      </c>
      <c r="L453" s="7">
        <f>IF($A453="","",N453-K453)</f>
        <v/>
      </c>
      <c r="M453" s="7">
        <f>IF($A453="","",L453-F453)</f>
        <v/>
      </c>
      <c r="N453" s="7" t="n"/>
      <c r="O453" s="7" t="n"/>
      <c r="P453" s="7" t="n"/>
      <c r="S453" s="11" t="n"/>
      <c r="U453">
        <f>IF($A453="","",IF($Y453=1,Settings!$C$6,Settings!$C$7)*1)</f>
        <v/>
      </c>
      <c r="W453">
        <f>IF($A453="","",IF(COUNTIF($A$2:$A453,$A453)=1,1,0))</f>
        <v/>
      </c>
      <c r="X453">
        <f>IF($W453=1,SUMPRODUCT(--($Z$2:$Z$501&lt;$Z453))+1,"")</f>
        <v/>
      </c>
      <c r="Y453">
        <f>IF($A453="","",IF(OR($V453=TRUE(),$V453="TRUE"),1,0))</f>
        <v/>
      </c>
      <c r="Z453">
        <f>IF($W453=1,IFERROR(IF(VALUE($A453)&lt;100000000,VALUE($A453),1000000000),IFERROR(IF(VALUE(MID($A453,2,20))&lt;100000000,VALUE(MID($A453,2,20)),1000000000),1000000000))+ROW()/100000,"")</f>
        <v/>
      </c>
    </row>
    <row r="454">
      <c r="F454" s="7">
        <f>IF($A454="","",E454*N454/100)</f>
        <v/>
      </c>
      <c r="J454" s="7" t="n"/>
      <c r="K454" s="7">
        <f>IF($A454="","",U454*N454)</f>
        <v/>
      </c>
      <c r="L454" s="7">
        <f>IF($A454="","",N454-K454)</f>
        <v/>
      </c>
      <c r="M454" s="7">
        <f>IF($A454="","",L454-F454)</f>
        <v/>
      </c>
      <c r="N454" s="7" t="n"/>
      <c r="O454" s="7" t="n"/>
      <c r="P454" s="7" t="n"/>
      <c r="S454" s="11" t="n"/>
      <c r="U454">
        <f>IF($A454="","",IF($Y454=1,Settings!$C$6,Settings!$C$7)*1)</f>
        <v/>
      </c>
      <c r="W454">
        <f>IF($A454="","",IF(COUNTIF($A$2:$A454,$A454)=1,1,0))</f>
        <v/>
      </c>
      <c r="X454">
        <f>IF($W454=1,SUMPRODUCT(--($Z$2:$Z$501&lt;$Z454))+1,"")</f>
        <v/>
      </c>
      <c r="Y454">
        <f>IF($A454="","",IF(OR($V454=TRUE(),$V454="TRUE"),1,0))</f>
        <v/>
      </c>
      <c r="Z454">
        <f>IF($W454=1,IFERROR(IF(VALUE($A454)&lt;100000000,VALUE($A454),1000000000),IFERROR(IF(VALUE(MID($A454,2,20))&lt;100000000,VALUE(MID($A454,2,20)),1000000000),1000000000))+ROW()/100000,"")</f>
        <v/>
      </c>
    </row>
    <row r="455">
      <c r="F455" s="7">
        <f>IF($A455="","",E455*N455/100)</f>
        <v/>
      </c>
      <c r="J455" s="7" t="n"/>
      <c r="K455" s="7">
        <f>IF($A455="","",U455*N455)</f>
        <v/>
      </c>
      <c r="L455" s="7">
        <f>IF($A455="","",N455-K455)</f>
        <v/>
      </c>
      <c r="M455" s="7">
        <f>IF($A455="","",L455-F455)</f>
        <v/>
      </c>
      <c r="N455" s="7" t="n"/>
      <c r="O455" s="7" t="n"/>
      <c r="P455" s="7" t="n"/>
      <c r="S455" s="11" t="n"/>
      <c r="U455">
        <f>IF($A455="","",IF($Y455=1,Settings!$C$6,Settings!$C$7)*1)</f>
        <v/>
      </c>
      <c r="W455">
        <f>IF($A455="","",IF(COUNTIF($A$2:$A455,$A455)=1,1,0))</f>
        <v/>
      </c>
      <c r="X455">
        <f>IF($W455=1,SUMPRODUCT(--($Z$2:$Z$501&lt;$Z455))+1,"")</f>
        <v/>
      </c>
      <c r="Y455">
        <f>IF($A455="","",IF(OR($V455=TRUE(),$V455="TRUE"),1,0))</f>
        <v/>
      </c>
      <c r="Z455">
        <f>IF($W455=1,IFERROR(IF(VALUE($A455)&lt;100000000,VALUE($A455),1000000000),IFERROR(IF(VALUE(MID($A455,2,20))&lt;100000000,VALUE(MID($A455,2,20)),1000000000),1000000000))+ROW()/100000,"")</f>
        <v/>
      </c>
    </row>
    <row r="456">
      <c r="F456" s="7">
        <f>IF($A456="","",E456*N456/100)</f>
        <v/>
      </c>
      <c r="J456" s="7" t="n"/>
      <c r="K456" s="7">
        <f>IF($A456="","",U456*N456)</f>
        <v/>
      </c>
      <c r="L456" s="7">
        <f>IF($A456="","",N456-K456)</f>
        <v/>
      </c>
      <c r="M456" s="7">
        <f>IF($A456="","",L456-F456)</f>
        <v/>
      </c>
      <c r="N456" s="7" t="n"/>
      <c r="O456" s="7" t="n"/>
      <c r="P456" s="7" t="n"/>
      <c r="S456" s="11" t="n"/>
      <c r="U456">
        <f>IF($A456="","",IF($Y456=1,Settings!$C$6,Settings!$C$7)*1)</f>
        <v/>
      </c>
      <c r="W456">
        <f>IF($A456="","",IF(COUNTIF($A$2:$A456,$A456)=1,1,0))</f>
        <v/>
      </c>
      <c r="X456">
        <f>IF($W456=1,SUMPRODUCT(--($Z$2:$Z$501&lt;$Z456))+1,"")</f>
        <v/>
      </c>
      <c r="Y456">
        <f>IF($A456="","",IF(OR($V456=TRUE(),$V456="TRUE"),1,0))</f>
        <v/>
      </c>
      <c r="Z456">
        <f>IF($W456=1,IFERROR(IF(VALUE($A456)&lt;100000000,VALUE($A456),1000000000),IFERROR(IF(VALUE(MID($A456,2,20))&lt;100000000,VALUE(MID($A456,2,20)),1000000000),1000000000))+ROW()/100000,"")</f>
        <v/>
      </c>
    </row>
    <row r="457">
      <c r="F457" s="7">
        <f>IF($A457="","",E457*N457/100)</f>
        <v/>
      </c>
      <c r="J457" s="7" t="n"/>
      <c r="K457" s="7">
        <f>IF($A457="","",U457*N457)</f>
        <v/>
      </c>
      <c r="L457" s="7">
        <f>IF($A457="","",N457-K457)</f>
        <v/>
      </c>
      <c r="M457" s="7">
        <f>IF($A457="","",L457-F457)</f>
        <v/>
      </c>
      <c r="N457" s="7" t="n"/>
      <c r="O457" s="7" t="n"/>
      <c r="P457" s="7" t="n"/>
      <c r="S457" s="11" t="n"/>
      <c r="U457">
        <f>IF($A457="","",IF($Y457=1,Settings!$C$6,Settings!$C$7)*1)</f>
        <v/>
      </c>
      <c r="W457">
        <f>IF($A457="","",IF(COUNTIF($A$2:$A457,$A457)=1,1,0))</f>
        <v/>
      </c>
      <c r="X457">
        <f>IF($W457=1,SUMPRODUCT(--($Z$2:$Z$501&lt;$Z457))+1,"")</f>
        <v/>
      </c>
      <c r="Y457">
        <f>IF($A457="","",IF(OR($V457=TRUE(),$V457="TRUE"),1,0))</f>
        <v/>
      </c>
      <c r="Z457">
        <f>IF($W457=1,IFERROR(IF(VALUE($A457)&lt;100000000,VALUE($A457),1000000000),IFERROR(IF(VALUE(MID($A457,2,20))&lt;100000000,VALUE(MID($A457,2,20)),1000000000),1000000000))+ROW()/100000,"")</f>
        <v/>
      </c>
    </row>
    <row r="458">
      <c r="F458" s="7">
        <f>IF($A458="","",E458*N458/100)</f>
        <v/>
      </c>
      <c r="J458" s="7" t="n"/>
      <c r="K458" s="7">
        <f>IF($A458="","",U458*N458)</f>
        <v/>
      </c>
      <c r="L458" s="7">
        <f>IF($A458="","",N458-K458)</f>
        <v/>
      </c>
      <c r="M458" s="7">
        <f>IF($A458="","",L458-F458)</f>
        <v/>
      </c>
      <c r="N458" s="7" t="n"/>
      <c r="O458" s="7" t="n"/>
      <c r="P458" s="7" t="n"/>
      <c r="S458" s="11" t="n"/>
      <c r="U458">
        <f>IF($A458="","",IF($Y458=1,Settings!$C$6,Settings!$C$7)*1)</f>
        <v/>
      </c>
      <c r="W458">
        <f>IF($A458="","",IF(COUNTIF($A$2:$A458,$A458)=1,1,0))</f>
        <v/>
      </c>
      <c r="X458">
        <f>IF($W458=1,SUMPRODUCT(--($Z$2:$Z$501&lt;$Z458))+1,"")</f>
        <v/>
      </c>
      <c r="Y458">
        <f>IF($A458="","",IF(OR($V458=TRUE(),$V458="TRUE"),1,0))</f>
        <v/>
      </c>
      <c r="Z458">
        <f>IF($W458=1,IFERROR(IF(VALUE($A458)&lt;100000000,VALUE($A458),1000000000),IFERROR(IF(VALUE(MID($A458,2,20))&lt;100000000,VALUE(MID($A458,2,20)),1000000000),1000000000))+ROW()/100000,"")</f>
        <v/>
      </c>
    </row>
    <row r="459">
      <c r="F459" s="7">
        <f>IF($A459="","",E459*N459/100)</f>
        <v/>
      </c>
      <c r="J459" s="7" t="n"/>
      <c r="K459" s="7">
        <f>IF($A459="","",U459*N459)</f>
        <v/>
      </c>
      <c r="L459" s="7">
        <f>IF($A459="","",N459-K459)</f>
        <v/>
      </c>
      <c r="M459" s="7">
        <f>IF($A459="","",L459-F459)</f>
        <v/>
      </c>
      <c r="N459" s="7" t="n"/>
      <c r="O459" s="7" t="n"/>
      <c r="P459" s="7" t="n"/>
      <c r="S459" s="11" t="n"/>
      <c r="U459">
        <f>IF($A459="","",IF($Y459=1,Settings!$C$6,Settings!$C$7)*1)</f>
        <v/>
      </c>
      <c r="W459">
        <f>IF($A459="","",IF(COUNTIF($A$2:$A459,$A459)=1,1,0))</f>
        <v/>
      </c>
      <c r="X459">
        <f>IF($W459=1,SUMPRODUCT(--($Z$2:$Z$501&lt;$Z459))+1,"")</f>
        <v/>
      </c>
      <c r="Y459">
        <f>IF($A459="","",IF(OR($V459=TRUE(),$V459="TRUE"),1,0))</f>
        <v/>
      </c>
      <c r="Z459">
        <f>IF($W459=1,IFERROR(IF(VALUE($A459)&lt;100000000,VALUE($A459),1000000000),IFERROR(IF(VALUE(MID($A459,2,20))&lt;100000000,VALUE(MID($A459,2,20)),1000000000),1000000000))+ROW()/100000,"")</f>
        <v/>
      </c>
    </row>
    <row r="460">
      <c r="F460" s="7">
        <f>IF($A460="","",E460*N460/100)</f>
        <v/>
      </c>
      <c r="J460" s="7" t="n"/>
      <c r="K460" s="7">
        <f>IF($A460="","",U460*N460)</f>
        <v/>
      </c>
      <c r="L460" s="7">
        <f>IF($A460="","",N460-K460)</f>
        <v/>
      </c>
      <c r="M460" s="7">
        <f>IF($A460="","",L460-F460)</f>
        <v/>
      </c>
      <c r="N460" s="7" t="n"/>
      <c r="O460" s="7" t="n"/>
      <c r="P460" s="7" t="n"/>
      <c r="S460" s="11" t="n"/>
      <c r="U460">
        <f>IF($A460="","",IF($Y460=1,Settings!$C$6,Settings!$C$7)*1)</f>
        <v/>
      </c>
      <c r="W460">
        <f>IF($A460="","",IF(COUNTIF($A$2:$A460,$A460)=1,1,0))</f>
        <v/>
      </c>
      <c r="X460">
        <f>IF($W460=1,SUMPRODUCT(--($Z$2:$Z$501&lt;$Z460))+1,"")</f>
        <v/>
      </c>
      <c r="Y460">
        <f>IF($A460="","",IF(OR($V460=TRUE(),$V460="TRUE"),1,0))</f>
        <v/>
      </c>
      <c r="Z460">
        <f>IF($W460=1,IFERROR(IF(VALUE($A460)&lt;100000000,VALUE($A460),1000000000),IFERROR(IF(VALUE(MID($A460,2,20))&lt;100000000,VALUE(MID($A460,2,20)),1000000000),1000000000))+ROW()/100000,"")</f>
        <v/>
      </c>
    </row>
    <row r="461">
      <c r="F461" s="7">
        <f>IF($A461="","",E461*N461/100)</f>
        <v/>
      </c>
      <c r="J461" s="7" t="n"/>
      <c r="K461" s="7">
        <f>IF($A461="","",U461*N461)</f>
        <v/>
      </c>
      <c r="L461" s="7">
        <f>IF($A461="","",N461-K461)</f>
        <v/>
      </c>
      <c r="M461" s="7">
        <f>IF($A461="","",L461-F461)</f>
        <v/>
      </c>
      <c r="N461" s="7" t="n"/>
      <c r="O461" s="7" t="n"/>
      <c r="P461" s="7" t="n"/>
      <c r="S461" s="11" t="n"/>
      <c r="U461">
        <f>IF($A461="","",IF($Y461=1,Settings!$C$6,Settings!$C$7)*1)</f>
        <v/>
      </c>
      <c r="W461">
        <f>IF($A461="","",IF(COUNTIF($A$2:$A461,$A461)=1,1,0))</f>
        <v/>
      </c>
      <c r="X461">
        <f>IF($W461=1,SUMPRODUCT(--($Z$2:$Z$501&lt;$Z461))+1,"")</f>
        <v/>
      </c>
      <c r="Y461">
        <f>IF($A461="","",IF(OR($V461=TRUE(),$V461="TRUE"),1,0))</f>
        <v/>
      </c>
      <c r="Z461">
        <f>IF($W461=1,IFERROR(IF(VALUE($A461)&lt;100000000,VALUE($A461),1000000000),IFERROR(IF(VALUE(MID($A461,2,20))&lt;100000000,VALUE(MID($A461,2,20)),1000000000),1000000000))+ROW()/100000,"")</f>
        <v/>
      </c>
    </row>
    <row r="462">
      <c r="F462" s="7">
        <f>IF($A462="","",E462*N462/100)</f>
        <v/>
      </c>
      <c r="J462" s="7" t="n"/>
      <c r="K462" s="7">
        <f>IF($A462="","",U462*N462)</f>
        <v/>
      </c>
      <c r="L462" s="7">
        <f>IF($A462="","",N462-K462)</f>
        <v/>
      </c>
      <c r="M462" s="7">
        <f>IF($A462="","",L462-F462)</f>
        <v/>
      </c>
      <c r="N462" s="7" t="n"/>
      <c r="O462" s="7" t="n"/>
      <c r="P462" s="7" t="n"/>
      <c r="S462" s="11" t="n"/>
      <c r="U462">
        <f>IF($A462="","",IF($Y462=1,Settings!$C$6,Settings!$C$7)*1)</f>
        <v/>
      </c>
      <c r="W462">
        <f>IF($A462="","",IF(COUNTIF($A$2:$A462,$A462)=1,1,0))</f>
        <v/>
      </c>
      <c r="X462">
        <f>IF($W462=1,SUMPRODUCT(--($Z$2:$Z$501&lt;$Z462))+1,"")</f>
        <v/>
      </c>
      <c r="Y462">
        <f>IF($A462="","",IF(OR($V462=TRUE(),$V462="TRUE"),1,0))</f>
        <v/>
      </c>
      <c r="Z462">
        <f>IF($W462=1,IFERROR(IF(VALUE($A462)&lt;100000000,VALUE($A462),1000000000),IFERROR(IF(VALUE(MID($A462,2,20))&lt;100000000,VALUE(MID($A462,2,20)),1000000000),1000000000))+ROW()/100000,"")</f>
        <v/>
      </c>
    </row>
    <row r="463">
      <c r="F463" s="7">
        <f>IF($A463="","",E463*N463/100)</f>
        <v/>
      </c>
      <c r="J463" s="7" t="n"/>
      <c r="K463" s="7">
        <f>IF($A463="","",U463*N463)</f>
        <v/>
      </c>
      <c r="L463" s="7">
        <f>IF($A463="","",N463-K463)</f>
        <v/>
      </c>
      <c r="M463" s="7">
        <f>IF($A463="","",L463-F463)</f>
        <v/>
      </c>
      <c r="N463" s="7" t="n"/>
      <c r="O463" s="7" t="n"/>
      <c r="P463" s="7" t="n"/>
      <c r="S463" s="11" t="n"/>
      <c r="U463">
        <f>IF($A463="","",IF($Y463=1,Settings!$C$6,Settings!$C$7)*1)</f>
        <v/>
      </c>
      <c r="W463">
        <f>IF($A463="","",IF(COUNTIF($A$2:$A463,$A463)=1,1,0))</f>
        <v/>
      </c>
      <c r="X463">
        <f>IF($W463=1,SUMPRODUCT(--($Z$2:$Z$501&lt;$Z463))+1,"")</f>
        <v/>
      </c>
      <c r="Y463">
        <f>IF($A463="","",IF(OR($V463=TRUE(),$V463="TRUE"),1,0))</f>
        <v/>
      </c>
      <c r="Z463">
        <f>IF($W463=1,IFERROR(IF(VALUE($A463)&lt;100000000,VALUE($A463),1000000000),IFERROR(IF(VALUE(MID($A463,2,20))&lt;100000000,VALUE(MID($A463,2,20)),1000000000),1000000000))+ROW()/100000,"")</f>
        <v/>
      </c>
    </row>
    <row r="464">
      <c r="F464" s="7">
        <f>IF($A464="","",E464*N464/100)</f>
        <v/>
      </c>
      <c r="J464" s="7" t="n"/>
      <c r="K464" s="7">
        <f>IF($A464="","",U464*N464)</f>
        <v/>
      </c>
      <c r="L464" s="7">
        <f>IF($A464="","",N464-K464)</f>
        <v/>
      </c>
      <c r="M464" s="7">
        <f>IF($A464="","",L464-F464)</f>
        <v/>
      </c>
      <c r="N464" s="7" t="n"/>
      <c r="O464" s="7" t="n"/>
      <c r="P464" s="7" t="n"/>
      <c r="S464" s="11" t="n"/>
      <c r="U464">
        <f>IF($A464="","",IF($Y464=1,Settings!$C$6,Settings!$C$7)*1)</f>
        <v/>
      </c>
      <c r="W464">
        <f>IF($A464="","",IF(COUNTIF($A$2:$A464,$A464)=1,1,0))</f>
        <v/>
      </c>
      <c r="X464">
        <f>IF($W464=1,SUMPRODUCT(--($Z$2:$Z$501&lt;$Z464))+1,"")</f>
        <v/>
      </c>
      <c r="Y464">
        <f>IF($A464="","",IF(OR($V464=TRUE(),$V464="TRUE"),1,0))</f>
        <v/>
      </c>
      <c r="Z464">
        <f>IF($W464=1,IFERROR(IF(VALUE($A464)&lt;100000000,VALUE($A464),1000000000),IFERROR(IF(VALUE(MID($A464,2,20))&lt;100000000,VALUE(MID($A464,2,20)),1000000000),1000000000))+ROW()/100000,"")</f>
        <v/>
      </c>
    </row>
    <row r="465">
      <c r="F465" s="7">
        <f>IF($A465="","",E465*N465/100)</f>
        <v/>
      </c>
      <c r="J465" s="7" t="n"/>
      <c r="K465" s="7">
        <f>IF($A465="","",U465*N465)</f>
        <v/>
      </c>
      <c r="L465" s="7">
        <f>IF($A465="","",N465-K465)</f>
        <v/>
      </c>
      <c r="M465" s="7">
        <f>IF($A465="","",L465-F465)</f>
        <v/>
      </c>
      <c r="N465" s="7" t="n"/>
      <c r="O465" s="7" t="n"/>
      <c r="P465" s="7" t="n"/>
      <c r="S465" s="11" t="n"/>
      <c r="U465">
        <f>IF($A465="","",IF($Y465=1,Settings!$C$6,Settings!$C$7)*1)</f>
        <v/>
      </c>
      <c r="W465">
        <f>IF($A465="","",IF(COUNTIF($A$2:$A465,$A465)=1,1,0))</f>
        <v/>
      </c>
      <c r="X465">
        <f>IF($W465=1,SUMPRODUCT(--($Z$2:$Z$501&lt;$Z465))+1,"")</f>
        <v/>
      </c>
      <c r="Y465">
        <f>IF($A465="","",IF(OR($V465=TRUE(),$V465="TRUE"),1,0))</f>
        <v/>
      </c>
      <c r="Z465">
        <f>IF($W465=1,IFERROR(IF(VALUE($A465)&lt;100000000,VALUE($A465),1000000000),IFERROR(IF(VALUE(MID($A465,2,20))&lt;100000000,VALUE(MID($A465,2,20)),1000000000),1000000000))+ROW()/100000,"")</f>
        <v/>
      </c>
    </row>
    <row r="466">
      <c r="F466" s="7">
        <f>IF($A466="","",E466*N466/100)</f>
        <v/>
      </c>
      <c r="J466" s="7" t="n"/>
      <c r="K466" s="7">
        <f>IF($A466="","",U466*N466)</f>
        <v/>
      </c>
      <c r="L466" s="7">
        <f>IF($A466="","",N466-K466)</f>
        <v/>
      </c>
      <c r="M466" s="7">
        <f>IF($A466="","",L466-F466)</f>
        <v/>
      </c>
      <c r="N466" s="7" t="n"/>
      <c r="O466" s="7" t="n"/>
      <c r="P466" s="7" t="n"/>
      <c r="S466" s="11" t="n"/>
      <c r="U466">
        <f>IF($A466="","",IF($Y466=1,Settings!$C$6,Settings!$C$7)*1)</f>
        <v/>
      </c>
      <c r="W466">
        <f>IF($A466="","",IF(COUNTIF($A$2:$A466,$A466)=1,1,0))</f>
        <v/>
      </c>
      <c r="X466">
        <f>IF($W466=1,SUMPRODUCT(--($Z$2:$Z$501&lt;$Z466))+1,"")</f>
        <v/>
      </c>
      <c r="Y466">
        <f>IF($A466="","",IF(OR($V466=TRUE(),$V466="TRUE"),1,0))</f>
        <v/>
      </c>
      <c r="Z466">
        <f>IF($W466=1,IFERROR(IF(VALUE($A466)&lt;100000000,VALUE($A466),1000000000),IFERROR(IF(VALUE(MID($A466,2,20))&lt;100000000,VALUE(MID($A466,2,20)),1000000000),1000000000))+ROW()/100000,"")</f>
        <v/>
      </c>
    </row>
    <row r="467">
      <c r="F467" s="7">
        <f>IF($A467="","",E467*N467/100)</f>
        <v/>
      </c>
      <c r="J467" s="7" t="n"/>
      <c r="K467" s="7">
        <f>IF($A467="","",U467*N467)</f>
        <v/>
      </c>
      <c r="L467" s="7">
        <f>IF($A467="","",N467-K467)</f>
        <v/>
      </c>
      <c r="M467" s="7">
        <f>IF($A467="","",L467-F467)</f>
        <v/>
      </c>
      <c r="N467" s="7" t="n"/>
      <c r="O467" s="7" t="n"/>
      <c r="P467" s="7" t="n"/>
      <c r="S467" s="11" t="n"/>
      <c r="U467">
        <f>IF($A467="","",IF($Y467=1,Settings!$C$6,Settings!$C$7)*1)</f>
        <v/>
      </c>
      <c r="W467">
        <f>IF($A467="","",IF(COUNTIF($A$2:$A467,$A467)=1,1,0))</f>
        <v/>
      </c>
      <c r="X467">
        <f>IF($W467=1,SUMPRODUCT(--($Z$2:$Z$501&lt;$Z467))+1,"")</f>
        <v/>
      </c>
      <c r="Y467">
        <f>IF($A467="","",IF(OR($V467=TRUE(),$V467="TRUE"),1,0))</f>
        <v/>
      </c>
      <c r="Z467">
        <f>IF($W467=1,IFERROR(IF(VALUE($A467)&lt;100000000,VALUE($A467),1000000000),IFERROR(IF(VALUE(MID($A467,2,20))&lt;100000000,VALUE(MID($A467,2,20)),1000000000),1000000000))+ROW()/100000,"")</f>
        <v/>
      </c>
    </row>
    <row r="468">
      <c r="F468" s="7">
        <f>IF($A468="","",E468*N468/100)</f>
        <v/>
      </c>
      <c r="J468" s="7" t="n"/>
      <c r="K468" s="7">
        <f>IF($A468="","",U468*N468)</f>
        <v/>
      </c>
      <c r="L468" s="7">
        <f>IF($A468="","",N468-K468)</f>
        <v/>
      </c>
      <c r="M468" s="7">
        <f>IF($A468="","",L468-F468)</f>
        <v/>
      </c>
      <c r="N468" s="7" t="n"/>
      <c r="O468" s="7" t="n"/>
      <c r="P468" s="7" t="n"/>
      <c r="S468" s="11" t="n"/>
      <c r="U468">
        <f>IF($A468="","",IF($Y468=1,Settings!$C$6,Settings!$C$7)*1)</f>
        <v/>
      </c>
      <c r="W468">
        <f>IF($A468="","",IF(COUNTIF($A$2:$A468,$A468)=1,1,0))</f>
        <v/>
      </c>
      <c r="X468">
        <f>IF($W468=1,SUMPRODUCT(--($Z$2:$Z$501&lt;$Z468))+1,"")</f>
        <v/>
      </c>
      <c r="Y468">
        <f>IF($A468="","",IF(OR($V468=TRUE(),$V468="TRUE"),1,0))</f>
        <v/>
      </c>
      <c r="Z468">
        <f>IF($W468=1,IFERROR(IF(VALUE($A468)&lt;100000000,VALUE($A468),1000000000),IFERROR(IF(VALUE(MID($A468,2,20))&lt;100000000,VALUE(MID($A468,2,20)),1000000000),1000000000))+ROW()/100000,"")</f>
        <v/>
      </c>
    </row>
    <row r="469">
      <c r="F469" s="7">
        <f>IF($A469="","",E469*N469/100)</f>
        <v/>
      </c>
      <c r="J469" s="7" t="n"/>
      <c r="K469" s="7">
        <f>IF($A469="","",U469*N469)</f>
        <v/>
      </c>
      <c r="L469" s="7">
        <f>IF($A469="","",N469-K469)</f>
        <v/>
      </c>
      <c r="M469" s="7">
        <f>IF($A469="","",L469-F469)</f>
        <v/>
      </c>
      <c r="N469" s="7" t="n"/>
      <c r="O469" s="7" t="n"/>
      <c r="P469" s="7" t="n"/>
      <c r="S469" s="11" t="n"/>
      <c r="U469">
        <f>IF($A469="","",IF($Y469=1,Settings!$C$6,Settings!$C$7)*1)</f>
        <v/>
      </c>
      <c r="W469">
        <f>IF($A469="","",IF(COUNTIF($A$2:$A469,$A469)=1,1,0))</f>
        <v/>
      </c>
      <c r="X469">
        <f>IF($W469=1,SUMPRODUCT(--($Z$2:$Z$501&lt;$Z469))+1,"")</f>
        <v/>
      </c>
      <c r="Y469">
        <f>IF($A469="","",IF(OR($V469=TRUE(),$V469="TRUE"),1,0))</f>
        <v/>
      </c>
      <c r="Z469">
        <f>IF($W469=1,IFERROR(IF(VALUE($A469)&lt;100000000,VALUE($A469),1000000000),IFERROR(IF(VALUE(MID($A469,2,20))&lt;100000000,VALUE(MID($A469,2,20)),1000000000),1000000000))+ROW()/100000,"")</f>
        <v/>
      </c>
    </row>
    <row r="470">
      <c r="F470" s="7">
        <f>IF($A470="","",E470*N470/100)</f>
        <v/>
      </c>
      <c r="J470" s="7" t="n"/>
      <c r="K470" s="7">
        <f>IF($A470="","",U470*N470)</f>
        <v/>
      </c>
      <c r="L470" s="7">
        <f>IF($A470="","",N470-K470)</f>
        <v/>
      </c>
      <c r="M470" s="7">
        <f>IF($A470="","",L470-F470)</f>
        <v/>
      </c>
      <c r="N470" s="7" t="n"/>
      <c r="O470" s="7" t="n"/>
      <c r="P470" s="7" t="n"/>
      <c r="S470" s="11" t="n"/>
      <c r="U470">
        <f>IF($A470="","",IF($Y470=1,Settings!$C$6,Settings!$C$7)*1)</f>
        <v/>
      </c>
      <c r="W470">
        <f>IF($A470="","",IF(COUNTIF($A$2:$A470,$A470)=1,1,0))</f>
        <v/>
      </c>
      <c r="X470">
        <f>IF($W470=1,SUMPRODUCT(--($Z$2:$Z$501&lt;$Z470))+1,"")</f>
        <v/>
      </c>
      <c r="Y470">
        <f>IF($A470="","",IF(OR($V470=TRUE(),$V470="TRUE"),1,0))</f>
        <v/>
      </c>
      <c r="Z470">
        <f>IF($W470=1,IFERROR(IF(VALUE($A470)&lt;100000000,VALUE($A470),1000000000),IFERROR(IF(VALUE(MID($A470,2,20))&lt;100000000,VALUE(MID($A470,2,20)),1000000000),1000000000))+ROW()/100000,"")</f>
        <v/>
      </c>
    </row>
    <row r="471">
      <c r="F471" s="7">
        <f>IF($A471="","",E471*N471/100)</f>
        <v/>
      </c>
      <c r="J471" s="7" t="n"/>
      <c r="K471" s="7">
        <f>IF($A471="","",U471*N471)</f>
        <v/>
      </c>
      <c r="L471" s="7">
        <f>IF($A471="","",N471-K471)</f>
        <v/>
      </c>
      <c r="M471" s="7">
        <f>IF($A471="","",L471-F471)</f>
        <v/>
      </c>
      <c r="N471" s="7" t="n"/>
      <c r="O471" s="7" t="n"/>
      <c r="P471" s="7" t="n"/>
      <c r="S471" s="11" t="n"/>
      <c r="U471">
        <f>IF($A471="","",IF($Y471=1,Settings!$C$6,Settings!$C$7)*1)</f>
        <v/>
      </c>
      <c r="W471">
        <f>IF($A471="","",IF(COUNTIF($A$2:$A471,$A471)=1,1,0))</f>
        <v/>
      </c>
      <c r="X471">
        <f>IF($W471=1,SUMPRODUCT(--($Z$2:$Z$501&lt;$Z471))+1,"")</f>
        <v/>
      </c>
      <c r="Y471">
        <f>IF($A471="","",IF(OR($V471=TRUE(),$V471="TRUE"),1,0))</f>
        <v/>
      </c>
      <c r="Z471">
        <f>IF($W471=1,IFERROR(IF(VALUE($A471)&lt;100000000,VALUE($A471),1000000000),IFERROR(IF(VALUE(MID($A471,2,20))&lt;100000000,VALUE(MID($A471,2,20)),1000000000),1000000000))+ROW()/100000,"")</f>
        <v/>
      </c>
    </row>
    <row r="472">
      <c r="F472" s="7">
        <f>IF($A472="","",E472*N472/100)</f>
        <v/>
      </c>
      <c r="J472" s="7" t="n"/>
      <c r="K472" s="7">
        <f>IF($A472="","",U472*N472)</f>
        <v/>
      </c>
      <c r="L472" s="7">
        <f>IF($A472="","",N472-K472)</f>
        <v/>
      </c>
      <c r="M472" s="7">
        <f>IF($A472="","",L472-F472)</f>
        <v/>
      </c>
      <c r="N472" s="7" t="n"/>
      <c r="O472" s="7" t="n"/>
      <c r="P472" s="7" t="n"/>
      <c r="S472" s="11" t="n"/>
      <c r="U472">
        <f>IF($A472="","",IF($Y472=1,Settings!$C$6,Settings!$C$7)*1)</f>
        <v/>
      </c>
      <c r="W472">
        <f>IF($A472="","",IF(COUNTIF($A$2:$A472,$A472)=1,1,0))</f>
        <v/>
      </c>
      <c r="X472">
        <f>IF($W472=1,SUMPRODUCT(--($Z$2:$Z$501&lt;$Z472))+1,"")</f>
        <v/>
      </c>
      <c r="Y472">
        <f>IF($A472="","",IF(OR($V472=TRUE(),$V472="TRUE"),1,0))</f>
        <v/>
      </c>
      <c r="Z472">
        <f>IF($W472=1,IFERROR(IF(VALUE($A472)&lt;100000000,VALUE($A472),1000000000),IFERROR(IF(VALUE(MID($A472,2,20))&lt;100000000,VALUE(MID($A472,2,20)),1000000000),1000000000))+ROW()/100000,"")</f>
        <v/>
      </c>
    </row>
    <row r="473">
      <c r="F473" s="7">
        <f>IF($A473="","",E473*N473/100)</f>
        <v/>
      </c>
      <c r="J473" s="7" t="n"/>
      <c r="K473" s="7">
        <f>IF($A473="","",U473*N473)</f>
        <v/>
      </c>
      <c r="L473" s="7">
        <f>IF($A473="","",N473-K473)</f>
        <v/>
      </c>
      <c r="M473" s="7">
        <f>IF($A473="","",L473-F473)</f>
        <v/>
      </c>
      <c r="N473" s="7" t="n"/>
      <c r="O473" s="7" t="n"/>
      <c r="P473" s="7" t="n"/>
      <c r="S473" s="11" t="n"/>
      <c r="U473">
        <f>IF($A473="","",IF($Y473=1,Settings!$C$6,Settings!$C$7)*1)</f>
        <v/>
      </c>
      <c r="W473">
        <f>IF($A473="","",IF(COUNTIF($A$2:$A473,$A473)=1,1,0))</f>
        <v/>
      </c>
      <c r="X473">
        <f>IF($W473=1,SUMPRODUCT(--($Z$2:$Z$501&lt;$Z473))+1,"")</f>
        <v/>
      </c>
      <c r="Y473">
        <f>IF($A473="","",IF(OR($V473=TRUE(),$V473="TRUE"),1,0))</f>
        <v/>
      </c>
      <c r="Z473">
        <f>IF($W473=1,IFERROR(IF(VALUE($A473)&lt;100000000,VALUE($A473),1000000000),IFERROR(IF(VALUE(MID($A473,2,20))&lt;100000000,VALUE(MID($A473,2,20)),1000000000),1000000000))+ROW()/100000,"")</f>
        <v/>
      </c>
    </row>
    <row r="474">
      <c r="F474" s="7">
        <f>IF($A474="","",E474*N474/100)</f>
        <v/>
      </c>
      <c r="J474" s="7" t="n"/>
      <c r="K474" s="7">
        <f>IF($A474="","",U474*N474)</f>
        <v/>
      </c>
      <c r="L474" s="7">
        <f>IF($A474="","",N474-K474)</f>
        <v/>
      </c>
      <c r="M474" s="7">
        <f>IF($A474="","",L474-F474)</f>
        <v/>
      </c>
      <c r="N474" s="7" t="n"/>
      <c r="O474" s="7" t="n"/>
      <c r="P474" s="7" t="n"/>
      <c r="S474" s="11" t="n"/>
      <c r="U474">
        <f>IF($A474="","",IF($Y474=1,Settings!$C$6,Settings!$C$7)*1)</f>
        <v/>
      </c>
      <c r="W474">
        <f>IF($A474="","",IF(COUNTIF($A$2:$A474,$A474)=1,1,0))</f>
        <v/>
      </c>
      <c r="X474">
        <f>IF($W474=1,SUMPRODUCT(--($Z$2:$Z$501&lt;$Z474))+1,"")</f>
        <v/>
      </c>
      <c r="Y474">
        <f>IF($A474="","",IF(OR($V474=TRUE(),$V474="TRUE"),1,0))</f>
        <v/>
      </c>
      <c r="Z474">
        <f>IF($W474=1,IFERROR(IF(VALUE($A474)&lt;100000000,VALUE($A474),1000000000),IFERROR(IF(VALUE(MID($A474,2,20))&lt;100000000,VALUE(MID($A474,2,20)),1000000000),1000000000))+ROW()/100000,"")</f>
        <v/>
      </c>
    </row>
    <row r="475">
      <c r="F475" s="7">
        <f>IF($A475="","",E475*N475/100)</f>
        <v/>
      </c>
      <c r="J475" s="7" t="n"/>
      <c r="K475" s="7">
        <f>IF($A475="","",U475*N475)</f>
        <v/>
      </c>
      <c r="L475" s="7">
        <f>IF($A475="","",N475-K475)</f>
        <v/>
      </c>
      <c r="M475" s="7">
        <f>IF($A475="","",L475-F475)</f>
        <v/>
      </c>
      <c r="N475" s="7" t="n"/>
      <c r="O475" s="7" t="n"/>
      <c r="P475" s="7" t="n"/>
      <c r="S475" s="11" t="n"/>
      <c r="U475">
        <f>IF($A475="","",IF($Y475=1,Settings!$C$6,Settings!$C$7)*1)</f>
        <v/>
      </c>
      <c r="W475">
        <f>IF($A475="","",IF(COUNTIF($A$2:$A475,$A475)=1,1,0))</f>
        <v/>
      </c>
      <c r="X475">
        <f>IF($W475=1,SUMPRODUCT(--($Z$2:$Z$501&lt;$Z475))+1,"")</f>
        <v/>
      </c>
      <c r="Y475">
        <f>IF($A475="","",IF(OR($V475=TRUE(),$V475="TRUE"),1,0))</f>
        <v/>
      </c>
      <c r="Z475">
        <f>IF($W475=1,IFERROR(IF(VALUE($A475)&lt;100000000,VALUE($A475),1000000000),IFERROR(IF(VALUE(MID($A475,2,20))&lt;100000000,VALUE(MID($A475,2,20)),1000000000),1000000000))+ROW()/100000,"")</f>
        <v/>
      </c>
    </row>
    <row r="476">
      <c r="F476" s="7">
        <f>IF($A476="","",E476*N476/100)</f>
        <v/>
      </c>
      <c r="J476" s="7" t="n"/>
      <c r="K476" s="7">
        <f>IF($A476="","",U476*N476)</f>
        <v/>
      </c>
      <c r="L476" s="7">
        <f>IF($A476="","",N476-K476)</f>
        <v/>
      </c>
      <c r="M476" s="7">
        <f>IF($A476="","",L476-F476)</f>
        <v/>
      </c>
      <c r="N476" s="7" t="n"/>
      <c r="O476" s="7" t="n"/>
      <c r="P476" s="7" t="n"/>
      <c r="S476" s="11" t="n"/>
      <c r="U476">
        <f>IF($A476="","",IF($Y476=1,Settings!$C$6,Settings!$C$7)*1)</f>
        <v/>
      </c>
      <c r="W476">
        <f>IF($A476="","",IF(COUNTIF($A$2:$A476,$A476)=1,1,0))</f>
        <v/>
      </c>
      <c r="X476">
        <f>IF($W476=1,SUMPRODUCT(--($Z$2:$Z$501&lt;$Z476))+1,"")</f>
        <v/>
      </c>
      <c r="Y476">
        <f>IF($A476="","",IF(OR($V476=TRUE(),$V476="TRUE"),1,0))</f>
        <v/>
      </c>
      <c r="Z476">
        <f>IF($W476=1,IFERROR(IF(VALUE($A476)&lt;100000000,VALUE($A476),1000000000),IFERROR(IF(VALUE(MID($A476,2,20))&lt;100000000,VALUE(MID($A476,2,20)),1000000000),1000000000))+ROW()/100000,"")</f>
        <v/>
      </c>
    </row>
    <row r="477">
      <c r="F477" s="7">
        <f>IF($A477="","",E477*N477/100)</f>
        <v/>
      </c>
      <c r="J477" s="7" t="n"/>
      <c r="K477" s="7">
        <f>IF($A477="","",U477*N477)</f>
        <v/>
      </c>
      <c r="L477" s="7">
        <f>IF($A477="","",N477-K477)</f>
        <v/>
      </c>
      <c r="M477" s="7">
        <f>IF($A477="","",L477-F477)</f>
        <v/>
      </c>
      <c r="N477" s="7" t="n"/>
      <c r="O477" s="7" t="n"/>
      <c r="P477" s="7" t="n"/>
      <c r="S477" s="11" t="n"/>
      <c r="U477">
        <f>IF($A477="","",IF($Y477=1,Settings!$C$6,Settings!$C$7)*1)</f>
        <v/>
      </c>
      <c r="W477">
        <f>IF($A477="","",IF(COUNTIF($A$2:$A477,$A477)=1,1,0))</f>
        <v/>
      </c>
      <c r="X477">
        <f>IF($W477=1,SUMPRODUCT(--($Z$2:$Z$501&lt;$Z477))+1,"")</f>
        <v/>
      </c>
      <c r="Y477">
        <f>IF($A477="","",IF(OR($V477=TRUE(),$V477="TRUE"),1,0))</f>
        <v/>
      </c>
      <c r="Z477">
        <f>IF($W477=1,IFERROR(IF(VALUE($A477)&lt;100000000,VALUE($A477),1000000000),IFERROR(IF(VALUE(MID($A477,2,20))&lt;100000000,VALUE(MID($A477,2,20)),1000000000),1000000000))+ROW()/100000,"")</f>
        <v/>
      </c>
    </row>
    <row r="478">
      <c r="F478" s="7">
        <f>IF($A478="","",E478*N478/100)</f>
        <v/>
      </c>
      <c r="J478" s="7" t="n"/>
      <c r="K478" s="7">
        <f>IF($A478="","",U478*N478)</f>
        <v/>
      </c>
      <c r="L478" s="7">
        <f>IF($A478="","",N478-K478)</f>
        <v/>
      </c>
      <c r="M478" s="7">
        <f>IF($A478="","",L478-F478)</f>
        <v/>
      </c>
      <c r="N478" s="7" t="n"/>
      <c r="O478" s="7" t="n"/>
      <c r="P478" s="7" t="n"/>
      <c r="S478" s="11" t="n"/>
      <c r="U478">
        <f>IF($A478="","",IF($Y478=1,Settings!$C$6,Settings!$C$7)*1)</f>
        <v/>
      </c>
      <c r="W478">
        <f>IF($A478="","",IF(COUNTIF($A$2:$A478,$A478)=1,1,0))</f>
        <v/>
      </c>
      <c r="X478">
        <f>IF($W478=1,SUMPRODUCT(--($Z$2:$Z$501&lt;$Z478))+1,"")</f>
        <v/>
      </c>
      <c r="Y478">
        <f>IF($A478="","",IF(OR($V478=TRUE(),$V478="TRUE"),1,0))</f>
        <v/>
      </c>
      <c r="Z478">
        <f>IF($W478=1,IFERROR(IF(VALUE($A478)&lt;100000000,VALUE($A478),1000000000),IFERROR(IF(VALUE(MID($A478,2,20))&lt;100000000,VALUE(MID($A478,2,20)),1000000000),1000000000))+ROW()/100000,"")</f>
        <v/>
      </c>
    </row>
    <row r="479">
      <c r="F479" s="7">
        <f>IF($A479="","",E479*N479/100)</f>
        <v/>
      </c>
      <c r="J479" s="7" t="n"/>
      <c r="K479" s="7">
        <f>IF($A479="","",U479*N479)</f>
        <v/>
      </c>
      <c r="L479" s="7">
        <f>IF($A479="","",N479-K479)</f>
        <v/>
      </c>
      <c r="M479" s="7">
        <f>IF($A479="","",L479-F479)</f>
        <v/>
      </c>
      <c r="N479" s="7" t="n"/>
      <c r="O479" s="7" t="n"/>
      <c r="P479" s="7" t="n"/>
      <c r="S479" s="11" t="n"/>
      <c r="U479">
        <f>IF($A479="","",IF($Y479=1,Settings!$C$6,Settings!$C$7)*1)</f>
        <v/>
      </c>
      <c r="W479">
        <f>IF($A479="","",IF(COUNTIF($A$2:$A479,$A479)=1,1,0))</f>
        <v/>
      </c>
      <c r="X479">
        <f>IF($W479=1,SUMPRODUCT(--($Z$2:$Z$501&lt;$Z479))+1,"")</f>
        <v/>
      </c>
      <c r="Y479">
        <f>IF($A479="","",IF(OR($V479=TRUE(),$V479="TRUE"),1,0))</f>
        <v/>
      </c>
      <c r="Z479">
        <f>IF($W479=1,IFERROR(IF(VALUE($A479)&lt;100000000,VALUE($A479),1000000000),IFERROR(IF(VALUE(MID($A479,2,20))&lt;100000000,VALUE(MID($A479,2,20)),1000000000),1000000000))+ROW()/100000,"")</f>
        <v/>
      </c>
    </row>
    <row r="480">
      <c r="F480" s="7">
        <f>IF($A480="","",E480*N480/100)</f>
        <v/>
      </c>
      <c r="J480" s="7" t="n"/>
      <c r="K480" s="7">
        <f>IF($A480="","",U480*N480)</f>
        <v/>
      </c>
      <c r="L480" s="7">
        <f>IF($A480="","",N480-K480)</f>
        <v/>
      </c>
      <c r="M480" s="7">
        <f>IF($A480="","",L480-F480)</f>
        <v/>
      </c>
      <c r="N480" s="7" t="n"/>
      <c r="O480" s="7" t="n"/>
      <c r="P480" s="7" t="n"/>
      <c r="S480" s="11" t="n"/>
      <c r="U480">
        <f>IF($A480="","",IF($Y480=1,Settings!$C$6,Settings!$C$7)*1)</f>
        <v/>
      </c>
      <c r="W480">
        <f>IF($A480="","",IF(COUNTIF($A$2:$A480,$A480)=1,1,0))</f>
        <v/>
      </c>
      <c r="X480">
        <f>IF($W480=1,SUMPRODUCT(--($Z$2:$Z$501&lt;$Z480))+1,"")</f>
        <v/>
      </c>
      <c r="Y480">
        <f>IF($A480="","",IF(OR($V480=TRUE(),$V480="TRUE"),1,0))</f>
        <v/>
      </c>
      <c r="Z480">
        <f>IF($W480=1,IFERROR(IF(VALUE($A480)&lt;100000000,VALUE($A480),1000000000),IFERROR(IF(VALUE(MID($A480,2,20))&lt;100000000,VALUE(MID($A480,2,20)),1000000000),1000000000))+ROW()/100000,"")</f>
        <v/>
      </c>
    </row>
    <row r="481">
      <c r="F481" s="7">
        <f>IF($A481="","",E481*N481/100)</f>
        <v/>
      </c>
      <c r="J481" s="7" t="n"/>
      <c r="K481" s="7">
        <f>IF($A481="","",U481*N481)</f>
        <v/>
      </c>
      <c r="L481" s="7">
        <f>IF($A481="","",N481-K481)</f>
        <v/>
      </c>
      <c r="M481" s="7">
        <f>IF($A481="","",L481-F481)</f>
        <v/>
      </c>
      <c r="N481" s="7" t="n"/>
      <c r="O481" s="7" t="n"/>
      <c r="P481" s="7" t="n"/>
      <c r="S481" s="11" t="n"/>
      <c r="U481">
        <f>IF($A481="","",IF($Y481=1,Settings!$C$6,Settings!$C$7)*1)</f>
        <v/>
      </c>
      <c r="W481">
        <f>IF($A481="","",IF(COUNTIF($A$2:$A481,$A481)=1,1,0))</f>
        <v/>
      </c>
      <c r="X481">
        <f>IF($W481=1,SUMPRODUCT(--($Z$2:$Z$501&lt;$Z481))+1,"")</f>
        <v/>
      </c>
      <c r="Y481">
        <f>IF($A481="","",IF(OR($V481=TRUE(),$V481="TRUE"),1,0))</f>
        <v/>
      </c>
      <c r="Z481">
        <f>IF($W481=1,IFERROR(IF(VALUE($A481)&lt;100000000,VALUE($A481),1000000000),IFERROR(IF(VALUE(MID($A481,2,20))&lt;100000000,VALUE(MID($A481,2,20)),1000000000),1000000000))+ROW()/100000,"")</f>
        <v/>
      </c>
    </row>
    <row r="482">
      <c r="F482" s="7">
        <f>IF($A482="","",E482*N482/100)</f>
        <v/>
      </c>
      <c r="J482" s="7" t="n"/>
      <c r="K482" s="7">
        <f>IF($A482="","",U482*N482)</f>
        <v/>
      </c>
      <c r="L482" s="7">
        <f>IF($A482="","",N482-K482)</f>
        <v/>
      </c>
      <c r="M482" s="7">
        <f>IF($A482="","",L482-F482)</f>
        <v/>
      </c>
      <c r="N482" s="7" t="n"/>
      <c r="O482" s="7" t="n"/>
      <c r="P482" s="7" t="n"/>
      <c r="S482" s="11" t="n"/>
      <c r="U482">
        <f>IF($A482="","",IF($Y482=1,Settings!$C$6,Settings!$C$7)*1)</f>
        <v/>
      </c>
      <c r="W482">
        <f>IF($A482="","",IF(COUNTIF($A$2:$A482,$A482)=1,1,0))</f>
        <v/>
      </c>
      <c r="X482">
        <f>IF($W482=1,SUMPRODUCT(--($Z$2:$Z$501&lt;$Z482))+1,"")</f>
        <v/>
      </c>
      <c r="Y482">
        <f>IF($A482="","",IF(OR($V482=TRUE(),$V482="TRUE"),1,0))</f>
        <v/>
      </c>
      <c r="Z482">
        <f>IF($W482=1,IFERROR(IF(VALUE($A482)&lt;100000000,VALUE($A482),1000000000),IFERROR(IF(VALUE(MID($A482,2,20))&lt;100000000,VALUE(MID($A482,2,20)),1000000000),1000000000))+ROW()/100000,"")</f>
        <v/>
      </c>
    </row>
    <row r="483">
      <c r="F483" s="7">
        <f>IF($A483="","",E483*N483/100)</f>
        <v/>
      </c>
      <c r="J483" s="7" t="n"/>
      <c r="K483" s="7">
        <f>IF($A483="","",U483*N483)</f>
        <v/>
      </c>
      <c r="L483" s="7">
        <f>IF($A483="","",N483-K483)</f>
        <v/>
      </c>
      <c r="M483" s="7">
        <f>IF($A483="","",L483-F483)</f>
        <v/>
      </c>
      <c r="N483" s="7" t="n"/>
      <c r="O483" s="7" t="n"/>
      <c r="P483" s="7" t="n"/>
      <c r="S483" s="11" t="n"/>
      <c r="U483">
        <f>IF($A483="","",IF($Y483=1,Settings!$C$6,Settings!$C$7)*1)</f>
        <v/>
      </c>
      <c r="W483">
        <f>IF($A483="","",IF(COUNTIF($A$2:$A483,$A483)=1,1,0))</f>
        <v/>
      </c>
      <c r="X483">
        <f>IF($W483=1,SUMPRODUCT(--($Z$2:$Z$501&lt;$Z483))+1,"")</f>
        <v/>
      </c>
      <c r="Y483">
        <f>IF($A483="","",IF(OR($V483=TRUE(),$V483="TRUE"),1,0))</f>
        <v/>
      </c>
      <c r="Z483">
        <f>IF($W483=1,IFERROR(IF(VALUE($A483)&lt;100000000,VALUE($A483),1000000000),IFERROR(IF(VALUE(MID($A483,2,20))&lt;100000000,VALUE(MID($A483,2,20)),1000000000),1000000000))+ROW()/100000,"")</f>
        <v/>
      </c>
    </row>
    <row r="484">
      <c r="F484" s="7">
        <f>IF($A484="","",E484*N484/100)</f>
        <v/>
      </c>
      <c r="J484" s="7" t="n"/>
      <c r="K484" s="7">
        <f>IF($A484="","",U484*N484)</f>
        <v/>
      </c>
      <c r="L484" s="7">
        <f>IF($A484="","",N484-K484)</f>
        <v/>
      </c>
      <c r="M484" s="7">
        <f>IF($A484="","",L484-F484)</f>
        <v/>
      </c>
      <c r="N484" s="7" t="n"/>
      <c r="O484" s="7" t="n"/>
      <c r="P484" s="7" t="n"/>
      <c r="S484" s="11" t="n"/>
      <c r="U484">
        <f>IF($A484="","",IF($Y484=1,Settings!$C$6,Settings!$C$7)*1)</f>
        <v/>
      </c>
      <c r="W484">
        <f>IF($A484="","",IF(COUNTIF($A$2:$A484,$A484)=1,1,0))</f>
        <v/>
      </c>
      <c r="X484">
        <f>IF($W484=1,SUMPRODUCT(--($Z$2:$Z$501&lt;$Z484))+1,"")</f>
        <v/>
      </c>
      <c r="Y484">
        <f>IF($A484="","",IF(OR($V484=TRUE(),$V484="TRUE"),1,0))</f>
        <v/>
      </c>
      <c r="Z484">
        <f>IF($W484=1,IFERROR(IF(VALUE($A484)&lt;100000000,VALUE($A484),1000000000),IFERROR(IF(VALUE(MID($A484,2,20))&lt;100000000,VALUE(MID($A484,2,20)),1000000000),1000000000))+ROW()/100000,"")</f>
        <v/>
      </c>
    </row>
    <row r="485">
      <c r="F485" s="7">
        <f>IF($A485="","",E485*N485/100)</f>
        <v/>
      </c>
      <c r="J485" s="7" t="n"/>
      <c r="K485" s="7">
        <f>IF($A485="","",U485*N485)</f>
        <v/>
      </c>
      <c r="L485" s="7">
        <f>IF($A485="","",N485-K485)</f>
        <v/>
      </c>
      <c r="M485" s="7">
        <f>IF($A485="","",L485-F485)</f>
        <v/>
      </c>
      <c r="N485" s="7" t="n"/>
      <c r="O485" s="7" t="n"/>
      <c r="P485" s="7" t="n"/>
      <c r="S485" s="11" t="n"/>
      <c r="U485">
        <f>IF($A485="","",IF($Y485=1,Settings!$C$6,Settings!$C$7)*1)</f>
        <v/>
      </c>
      <c r="W485">
        <f>IF($A485="","",IF(COUNTIF($A$2:$A485,$A485)=1,1,0))</f>
        <v/>
      </c>
      <c r="X485">
        <f>IF($W485=1,SUMPRODUCT(--($Z$2:$Z$501&lt;$Z485))+1,"")</f>
        <v/>
      </c>
      <c r="Y485">
        <f>IF($A485="","",IF(OR($V485=TRUE(),$V485="TRUE"),1,0))</f>
        <v/>
      </c>
      <c r="Z485">
        <f>IF($W485=1,IFERROR(IF(VALUE($A485)&lt;100000000,VALUE($A485),1000000000),IFERROR(IF(VALUE(MID($A485,2,20))&lt;100000000,VALUE(MID($A485,2,20)),1000000000),1000000000))+ROW()/100000,"")</f>
        <v/>
      </c>
    </row>
    <row r="486">
      <c r="F486" s="7">
        <f>IF($A486="","",E486*N486/100)</f>
        <v/>
      </c>
      <c r="J486" s="7" t="n"/>
      <c r="K486" s="7">
        <f>IF($A486="","",U486*N486)</f>
        <v/>
      </c>
      <c r="L486" s="7">
        <f>IF($A486="","",N486-K486)</f>
        <v/>
      </c>
      <c r="M486" s="7">
        <f>IF($A486="","",L486-F486)</f>
        <v/>
      </c>
      <c r="N486" s="7" t="n"/>
      <c r="O486" s="7" t="n"/>
      <c r="P486" s="7" t="n"/>
      <c r="S486" s="11" t="n"/>
      <c r="U486">
        <f>IF($A486="","",IF($Y486=1,Settings!$C$6,Settings!$C$7)*1)</f>
        <v/>
      </c>
      <c r="W486">
        <f>IF($A486="","",IF(COUNTIF($A$2:$A486,$A486)=1,1,0))</f>
        <v/>
      </c>
      <c r="X486">
        <f>IF($W486=1,SUMPRODUCT(--($Z$2:$Z$501&lt;$Z486))+1,"")</f>
        <v/>
      </c>
      <c r="Y486">
        <f>IF($A486="","",IF(OR($V486=TRUE(),$V486="TRUE"),1,0))</f>
        <v/>
      </c>
      <c r="Z486">
        <f>IF($W486=1,IFERROR(IF(VALUE($A486)&lt;100000000,VALUE($A486),1000000000),IFERROR(IF(VALUE(MID($A486,2,20))&lt;100000000,VALUE(MID($A486,2,20)),1000000000),1000000000))+ROW()/100000,"")</f>
        <v/>
      </c>
    </row>
    <row r="487">
      <c r="F487" s="7">
        <f>IF($A487="","",E487*N487/100)</f>
        <v/>
      </c>
      <c r="J487" s="7" t="n"/>
      <c r="K487" s="7">
        <f>IF($A487="","",U487*N487)</f>
        <v/>
      </c>
      <c r="L487" s="7">
        <f>IF($A487="","",N487-K487)</f>
        <v/>
      </c>
      <c r="M487" s="7">
        <f>IF($A487="","",L487-F487)</f>
        <v/>
      </c>
      <c r="N487" s="7" t="n"/>
      <c r="O487" s="7" t="n"/>
      <c r="P487" s="7" t="n"/>
      <c r="S487" s="11" t="n"/>
      <c r="U487">
        <f>IF($A487="","",IF($Y487=1,Settings!$C$6,Settings!$C$7)*1)</f>
        <v/>
      </c>
      <c r="W487">
        <f>IF($A487="","",IF(COUNTIF($A$2:$A487,$A487)=1,1,0))</f>
        <v/>
      </c>
      <c r="X487">
        <f>IF($W487=1,SUMPRODUCT(--($Z$2:$Z$501&lt;$Z487))+1,"")</f>
        <v/>
      </c>
      <c r="Y487">
        <f>IF($A487="","",IF(OR($V487=TRUE(),$V487="TRUE"),1,0))</f>
        <v/>
      </c>
      <c r="Z487">
        <f>IF($W487=1,IFERROR(IF(VALUE($A487)&lt;100000000,VALUE($A487),1000000000),IFERROR(IF(VALUE(MID($A487,2,20))&lt;100000000,VALUE(MID($A487,2,20)),1000000000),1000000000))+ROW()/100000,"")</f>
        <v/>
      </c>
    </row>
    <row r="488">
      <c r="F488" s="7">
        <f>IF($A488="","",E488*N488/100)</f>
        <v/>
      </c>
      <c r="J488" s="7" t="n"/>
      <c r="K488" s="7">
        <f>IF($A488="","",U488*N488)</f>
        <v/>
      </c>
      <c r="L488" s="7">
        <f>IF($A488="","",N488-K488)</f>
        <v/>
      </c>
      <c r="M488" s="7">
        <f>IF($A488="","",L488-F488)</f>
        <v/>
      </c>
      <c r="N488" s="7" t="n"/>
      <c r="O488" s="7" t="n"/>
      <c r="P488" s="7" t="n"/>
      <c r="S488" s="11" t="n"/>
      <c r="U488">
        <f>IF($A488="","",IF($Y488=1,Settings!$C$6,Settings!$C$7)*1)</f>
        <v/>
      </c>
      <c r="W488">
        <f>IF($A488="","",IF(COUNTIF($A$2:$A488,$A488)=1,1,0))</f>
        <v/>
      </c>
      <c r="X488">
        <f>IF($W488=1,SUMPRODUCT(--($Z$2:$Z$501&lt;$Z488))+1,"")</f>
        <v/>
      </c>
      <c r="Y488">
        <f>IF($A488="","",IF(OR($V488=TRUE(),$V488="TRUE"),1,0))</f>
        <v/>
      </c>
      <c r="Z488">
        <f>IF($W488=1,IFERROR(IF(VALUE($A488)&lt;100000000,VALUE($A488),1000000000),IFERROR(IF(VALUE(MID($A488,2,20))&lt;100000000,VALUE(MID($A488,2,20)),1000000000),1000000000))+ROW()/100000,"")</f>
        <v/>
      </c>
    </row>
    <row r="489">
      <c r="F489" s="7">
        <f>IF($A489="","",E489*N489/100)</f>
        <v/>
      </c>
      <c r="J489" s="7" t="n"/>
      <c r="K489" s="7">
        <f>IF($A489="","",U489*N489)</f>
        <v/>
      </c>
      <c r="L489" s="7">
        <f>IF($A489="","",N489-K489)</f>
        <v/>
      </c>
      <c r="M489" s="7">
        <f>IF($A489="","",L489-F489)</f>
        <v/>
      </c>
      <c r="N489" s="7" t="n"/>
      <c r="O489" s="7" t="n"/>
      <c r="P489" s="7" t="n"/>
      <c r="S489" s="11" t="n"/>
      <c r="U489">
        <f>IF($A489="","",IF($Y489=1,Settings!$C$6,Settings!$C$7)*1)</f>
        <v/>
      </c>
      <c r="W489">
        <f>IF($A489="","",IF(COUNTIF($A$2:$A489,$A489)=1,1,0))</f>
        <v/>
      </c>
      <c r="X489">
        <f>IF($W489=1,SUMPRODUCT(--($Z$2:$Z$501&lt;$Z489))+1,"")</f>
        <v/>
      </c>
      <c r="Y489">
        <f>IF($A489="","",IF(OR($V489=TRUE(),$V489="TRUE"),1,0))</f>
        <v/>
      </c>
      <c r="Z489">
        <f>IF($W489=1,IFERROR(IF(VALUE($A489)&lt;100000000,VALUE($A489),1000000000),IFERROR(IF(VALUE(MID($A489,2,20))&lt;100000000,VALUE(MID($A489,2,20)),1000000000),1000000000))+ROW()/100000,"")</f>
        <v/>
      </c>
    </row>
    <row r="490">
      <c r="F490" s="7">
        <f>IF($A490="","",E490*N490/100)</f>
        <v/>
      </c>
      <c r="J490" s="7" t="n"/>
      <c r="K490" s="7">
        <f>IF($A490="","",U490*N490)</f>
        <v/>
      </c>
      <c r="L490" s="7">
        <f>IF($A490="","",N490-K490)</f>
        <v/>
      </c>
      <c r="M490" s="7">
        <f>IF($A490="","",L490-F490)</f>
        <v/>
      </c>
      <c r="N490" s="7" t="n"/>
      <c r="O490" s="7" t="n"/>
      <c r="P490" s="7" t="n"/>
      <c r="S490" s="11" t="n"/>
      <c r="U490">
        <f>IF($A490="","",IF($Y490=1,Settings!$C$6,Settings!$C$7)*1)</f>
        <v/>
      </c>
      <c r="W490">
        <f>IF($A490="","",IF(COUNTIF($A$2:$A490,$A490)=1,1,0))</f>
        <v/>
      </c>
      <c r="X490">
        <f>IF($W490=1,SUMPRODUCT(--($Z$2:$Z$501&lt;$Z490))+1,"")</f>
        <v/>
      </c>
      <c r="Y490">
        <f>IF($A490="","",IF(OR($V490=TRUE(),$V490="TRUE"),1,0))</f>
        <v/>
      </c>
      <c r="Z490">
        <f>IF($W490=1,IFERROR(IF(VALUE($A490)&lt;100000000,VALUE($A490),1000000000),IFERROR(IF(VALUE(MID($A490,2,20))&lt;100000000,VALUE(MID($A490,2,20)),1000000000),1000000000))+ROW()/100000,"")</f>
        <v/>
      </c>
    </row>
    <row r="491">
      <c r="F491" s="7">
        <f>IF($A491="","",E491*N491/100)</f>
        <v/>
      </c>
      <c r="J491" s="7" t="n"/>
      <c r="K491" s="7">
        <f>IF($A491="","",U491*N491)</f>
        <v/>
      </c>
      <c r="L491" s="7">
        <f>IF($A491="","",N491-K491)</f>
        <v/>
      </c>
      <c r="M491" s="7">
        <f>IF($A491="","",L491-F491)</f>
        <v/>
      </c>
      <c r="N491" s="7" t="n"/>
      <c r="O491" s="7" t="n"/>
      <c r="P491" s="7" t="n"/>
      <c r="S491" s="11" t="n"/>
      <c r="U491">
        <f>IF($A491="","",IF($Y491=1,Settings!$C$6,Settings!$C$7)*1)</f>
        <v/>
      </c>
      <c r="W491">
        <f>IF($A491="","",IF(COUNTIF($A$2:$A491,$A491)=1,1,0))</f>
        <v/>
      </c>
      <c r="X491">
        <f>IF($W491=1,SUMPRODUCT(--($Z$2:$Z$501&lt;$Z491))+1,"")</f>
        <v/>
      </c>
      <c r="Y491">
        <f>IF($A491="","",IF(OR($V491=TRUE(),$V491="TRUE"),1,0))</f>
        <v/>
      </c>
      <c r="Z491">
        <f>IF($W491=1,IFERROR(IF(VALUE($A491)&lt;100000000,VALUE($A491),1000000000),IFERROR(IF(VALUE(MID($A491,2,20))&lt;100000000,VALUE(MID($A491,2,20)),1000000000),1000000000))+ROW()/100000,"")</f>
        <v/>
      </c>
    </row>
    <row r="492">
      <c r="F492" s="7">
        <f>IF($A492="","",E492*N492/100)</f>
        <v/>
      </c>
      <c r="J492" s="7" t="n"/>
      <c r="K492" s="7">
        <f>IF($A492="","",U492*N492)</f>
        <v/>
      </c>
      <c r="L492" s="7">
        <f>IF($A492="","",N492-K492)</f>
        <v/>
      </c>
      <c r="M492" s="7">
        <f>IF($A492="","",L492-F492)</f>
        <v/>
      </c>
      <c r="N492" s="7" t="n"/>
      <c r="O492" s="7" t="n"/>
      <c r="P492" s="7" t="n"/>
      <c r="S492" s="11" t="n"/>
      <c r="U492">
        <f>IF($A492="","",IF($Y492=1,Settings!$C$6,Settings!$C$7)*1)</f>
        <v/>
      </c>
      <c r="W492">
        <f>IF($A492="","",IF(COUNTIF($A$2:$A492,$A492)=1,1,0))</f>
        <v/>
      </c>
      <c r="X492">
        <f>IF($W492=1,SUMPRODUCT(--($Z$2:$Z$501&lt;$Z492))+1,"")</f>
        <v/>
      </c>
      <c r="Y492">
        <f>IF($A492="","",IF(OR($V492=TRUE(),$V492="TRUE"),1,0))</f>
        <v/>
      </c>
      <c r="Z492">
        <f>IF($W492=1,IFERROR(IF(VALUE($A492)&lt;100000000,VALUE($A492),1000000000),IFERROR(IF(VALUE(MID($A492,2,20))&lt;100000000,VALUE(MID($A492,2,20)),1000000000),1000000000))+ROW()/100000,"")</f>
        <v/>
      </c>
    </row>
    <row r="493">
      <c r="F493" s="7">
        <f>IF($A493="","",E493*N493/100)</f>
        <v/>
      </c>
      <c r="J493" s="7" t="n"/>
      <c r="K493" s="7">
        <f>IF($A493="","",U493*N493)</f>
        <v/>
      </c>
      <c r="L493" s="7">
        <f>IF($A493="","",N493-K493)</f>
        <v/>
      </c>
      <c r="M493" s="7">
        <f>IF($A493="","",L493-F493)</f>
        <v/>
      </c>
      <c r="N493" s="7" t="n"/>
      <c r="O493" s="7" t="n"/>
      <c r="P493" s="7" t="n"/>
      <c r="S493" s="11" t="n"/>
      <c r="U493">
        <f>IF($A493="","",IF($Y493=1,Settings!$C$6,Settings!$C$7)*1)</f>
        <v/>
      </c>
      <c r="W493">
        <f>IF($A493="","",IF(COUNTIF($A$2:$A493,$A493)=1,1,0))</f>
        <v/>
      </c>
      <c r="X493">
        <f>IF($W493=1,SUMPRODUCT(--($Z$2:$Z$501&lt;$Z493))+1,"")</f>
        <v/>
      </c>
      <c r="Y493">
        <f>IF($A493="","",IF(OR($V493=TRUE(),$V493="TRUE"),1,0))</f>
        <v/>
      </c>
      <c r="Z493">
        <f>IF($W493=1,IFERROR(IF(VALUE($A493)&lt;100000000,VALUE($A493),1000000000),IFERROR(IF(VALUE(MID($A493,2,20))&lt;100000000,VALUE(MID($A493,2,20)),1000000000),1000000000))+ROW()/100000,"")</f>
        <v/>
      </c>
    </row>
    <row r="494">
      <c r="F494" s="7">
        <f>IF($A494="","",E494*N494/100)</f>
        <v/>
      </c>
      <c r="J494" s="7" t="n"/>
      <c r="K494" s="7">
        <f>IF($A494="","",U494*N494)</f>
        <v/>
      </c>
      <c r="L494" s="7">
        <f>IF($A494="","",N494-K494)</f>
        <v/>
      </c>
      <c r="M494" s="7">
        <f>IF($A494="","",L494-F494)</f>
        <v/>
      </c>
      <c r="N494" s="7" t="n"/>
      <c r="O494" s="7" t="n"/>
      <c r="P494" s="7" t="n"/>
      <c r="S494" s="11" t="n"/>
      <c r="U494">
        <f>IF($A494="","",IF($Y494=1,Settings!$C$6,Settings!$C$7)*1)</f>
        <v/>
      </c>
      <c r="W494">
        <f>IF($A494="","",IF(COUNTIF($A$2:$A494,$A494)=1,1,0))</f>
        <v/>
      </c>
      <c r="X494">
        <f>IF($W494=1,SUMPRODUCT(--($Z$2:$Z$501&lt;$Z494))+1,"")</f>
        <v/>
      </c>
      <c r="Y494">
        <f>IF($A494="","",IF(OR($V494=TRUE(),$V494="TRUE"),1,0))</f>
        <v/>
      </c>
      <c r="Z494">
        <f>IF($W494=1,IFERROR(IF(VALUE($A494)&lt;100000000,VALUE($A494),1000000000),IFERROR(IF(VALUE(MID($A494,2,20))&lt;100000000,VALUE(MID($A494,2,20)),1000000000),1000000000))+ROW()/100000,"")</f>
        <v/>
      </c>
    </row>
    <row r="495">
      <c r="F495" s="7">
        <f>IF($A495="","",E495*N495/100)</f>
        <v/>
      </c>
      <c r="J495" s="7" t="n"/>
      <c r="K495" s="7">
        <f>IF($A495="","",U495*N495)</f>
        <v/>
      </c>
      <c r="L495" s="7">
        <f>IF($A495="","",N495-K495)</f>
        <v/>
      </c>
      <c r="M495" s="7">
        <f>IF($A495="","",L495-F495)</f>
        <v/>
      </c>
      <c r="N495" s="7" t="n"/>
      <c r="O495" s="7" t="n"/>
      <c r="P495" s="7" t="n"/>
      <c r="S495" s="11" t="n"/>
      <c r="U495">
        <f>IF($A495="","",IF($Y495=1,Settings!$C$6,Settings!$C$7)*1)</f>
        <v/>
      </c>
      <c r="W495">
        <f>IF($A495="","",IF(COUNTIF($A$2:$A495,$A495)=1,1,0))</f>
        <v/>
      </c>
      <c r="X495">
        <f>IF($W495=1,SUMPRODUCT(--($Z$2:$Z$501&lt;$Z495))+1,"")</f>
        <v/>
      </c>
      <c r="Y495">
        <f>IF($A495="","",IF(OR($V495=TRUE(),$V495="TRUE"),1,0))</f>
        <v/>
      </c>
      <c r="Z495">
        <f>IF($W495=1,IFERROR(IF(VALUE($A495)&lt;100000000,VALUE($A495),1000000000),IFERROR(IF(VALUE(MID($A495,2,20))&lt;100000000,VALUE(MID($A495,2,20)),1000000000),1000000000))+ROW()/100000,"")</f>
        <v/>
      </c>
    </row>
    <row r="496">
      <c r="F496" s="7">
        <f>IF($A496="","",E496*N496/100)</f>
        <v/>
      </c>
      <c r="J496" s="7" t="n"/>
      <c r="K496" s="7">
        <f>IF($A496="","",U496*N496)</f>
        <v/>
      </c>
      <c r="L496" s="7">
        <f>IF($A496="","",N496-K496)</f>
        <v/>
      </c>
      <c r="M496" s="7">
        <f>IF($A496="","",L496-F496)</f>
        <v/>
      </c>
      <c r="N496" s="7" t="n"/>
      <c r="O496" s="7" t="n"/>
      <c r="P496" s="7" t="n"/>
      <c r="S496" s="11" t="n"/>
      <c r="U496">
        <f>IF($A496="","",IF($Y496=1,Settings!$C$6,Settings!$C$7)*1)</f>
        <v/>
      </c>
      <c r="W496">
        <f>IF($A496="","",IF(COUNTIF($A$2:$A496,$A496)=1,1,0))</f>
        <v/>
      </c>
      <c r="X496">
        <f>IF($W496=1,SUMPRODUCT(--($Z$2:$Z$501&lt;$Z496))+1,"")</f>
        <v/>
      </c>
      <c r="Y496">
        <f>IF($A496="","",IF(OR($V496=TRUE(),$V496="TRUE"),1,0))</f>
        <v/>
      </c>
      <c r="Z496">
        <f>IF($W496=1,IFERROR(IF(VALUE($A496)&lt;100000000,VALUE($A496),1000000000),IFERROR(IF(VALUE(MID($A496,2,20))&lt;100000000,VALUE(MID($A496,2,20)),1000000000),1000000000))+ROW()/100000,"")</f>
        <v/>
      </c>
    </row>
    <row r="497">
      <c r="F497" s="7">
        <f>IF($A497="","",E497*N497/100)</f>
        <v/>
      </c>
      <c r="J497" s="7" t="n"/>
      <c r="K497" s="7">
        <f>IF($A497="","",U497*N497)</f>
        <v/>
      </c>
      <c r="L497" s="7">
        <f>IF($A497="","",N497-K497)</f>
        <v/>
      </c>
      <c r="M497" s="7">
        <f>IF($A497="","",L497-F497)</f>
        <v/>
      </c>
      <c r="N497" s="7" t="n"/>
      <c r="O497" s="7" t="n"/>
      <c r="P497" s="7" t="n"/>
      <c r="S497" s="11" t="n"/>
      <c r="U497">
        <f>IF($A497="","",IF($Y497=1,Settings!$C$6,Settings!$C$7)*1)</f>
        <v/>
      </c>
      <c r="W497">
        <f>IF($A497="","",IF(COUNTIF($A$2:$A497,$A497)=1,1,0))</f>
        <v/>
      </c>
      <c r="X497">
        <f>IF($W497=1,SUMPRODUCT(--($Z$2:$Z$501&lt;$Z497))+1,"")</f>
        <v/>
      </c>
      <c r="Y497">
        <f>IF($A497="","",IF(OR($V497=TRUE(),$V497="TRUE"),1,0))</f>
        <v/>
      </c>
      <c r="Z497">
        <f>IF($W497=1,IFERROR(IF(VALUE($A497)&lt;100000000,VALUE($A497),1000000000),IFERROR(IF(VALUE(MID($A497,2,20))&lt;100000000,VALUE(MID($A497,2,20)),1000000000),1000000000))+ROW()/100000,"")</f>
        <v/>
      </c>
    </row>
    <row r="498">
      <c r="F498" s="7">
        <f>IF($A498="","",E498*N498/100)</f>
        <v/>
      </c>
      <c r="J498" s="7" t="n"/>
      <c r="K498" s="7">
        <f>IF($A498="","",U498*N498)</f>
        <v/>
      </c>
      <c r="L498" s="7">
        <f>IF($A498="","",N498-K498)</f>
        <v/>
      </c>
      <c r="M498" s="7">
        <f>IF($A498="","",L498-F498)</f>
        <v/>
      </c>
      <c r="N498" s="7" t="n"/>
      <c r="O498" s="7" t="n"/>
      <c r="P498" s="7" t="n"/>
      <c r="S498" s="11" t="n"/>
      <c r="U498">
        <f>IF($A498="","",IF($Y498=1,Settings!$C$6,Settings!$C$7)*1)</f>
        <v/>
      </c>
      <c r="W498">
        <f>IF($A498="","",IF(COUNTIF($A$2:$A498,$A498)=1,1,0))</f>
        <v/>
      </c>
      <c r="X498">
        <f>IF($W498=1,SUMPRODUCT(--($Z$2:$Z$501&lt;$Z498))+1,"")</f>
        <v/>
      </c>
      <c r="Y498">
        <f>IF($A498="","",IF(OR($V498=TRUE(),$V498="TRUE"),1,0))</f>
        <v/>
      </c>
      <c r="Z498">
        <f>IF($W498=1,IFERROR(IF(VALUE($A498)&lt;100000000,VALUE($A498),1000000000),IFERROR(IF(VALUE(MID($A498,2,20))&lt;100000000,VALUE(MID($A498,2,20)),1000000000),1000000000))+ROW()/100000,"")</f>
        <v/>
      </c>
    </row>
    <row r="499">
      <c r="F499" s="7">
        <f>IF($A499="","",E499*N499/100)</f>
        <v/>
      </c>
      <c r="J499" s="7" t="n"/>
      <c r="K499" s="7">
        <f>IF($A499="","",U499*N499)</f>
        <v/>
      </c>
      <c r="L499" s="7">
        <f>IF($A499="","",N499-K499)</f>
        <v/>
      </c>
      <c r="M499" s="7">
        <f>IF($A499="","",L499-F499)</f>
        <v/>
      </c>
      <c r="N499" s="7" t="n"/>
      <c r="O499" s="7" t="n"/>
      <c r="P499" s="7" t="n"/>
      <c r="S499" s="11" t="n"/>
      <c r="U499">
        <f>IF($A499="","",IF($Y499=1,Settings!$C$6,Settings!$C$7)*1)</f>
        <v/>
      </c>
      <c r="W499">
        <f>IF($A499="","",IF(COUNTIF($A$2:$A499,$A499)=1,1,0))</f>
        <v/>
      </c>
      <c r="X499">
        <f>IF($W499=1,SUMPRODUCT(--($Z$2:$Z$501&lt;$Z499))+1,"")</f>
        <v/>
      </c>
      <c r="Y499">
        <f>IF($A499="","",IF(OR($V499=TRUE(),$V499="TRUE"),1,0))</f>
        <v/>
      </c>
      <c r="Z499">
        <f>IF($W499=1,IFERROR(IF(VALUE($A499)&lt;100000000,VALUE($A499),1000000000),IFERROR(IF(VALUE(MID($A499,2,20))&lt;100000000,VALUE(MID($A499,2,20)),1000000000),1000000000))+ROW()/100000,"")</f>
        <v/>
      </c>
    </row>
    <row r="500">
      <c r="F500" s="7">
        <f>IF($A500="","",E500*N500/100)</f>
        <v/>
      </c>
      <c r="J500" s="7" t="n"/>
      <c r="K500" s="7">
        <f>IF($A500="","",U500*N500)</f>
        <v/>
      </c>
      <c r="L500" s="7">
        <f>IF($A500="","",N500-K500)</f>
        <v/>
      </c>
      <c r="M500" s="7">
        <f>IF($A500="","",L500-F500)</f>
        <v/>
      </c>
      <c r="N500" s="7" t="n"/>
      <c r="O500" s="7" t="n"/>
      <c r="P500" s="7" t="n"/>
      <c r="S500" s="11" t="n"/>
      <c r="U500">
        <f>IF($A500="","",IF($Y500=1,Settings!$C$6,Settings!$C$7)*1)</f>
        <v/>
      </c>
      <c r="W500">
        <f>IF($A500="","",IF(COUNTIF($A$2:$A500,$A500)=1,1,0))</f>
        <v/>
      </c>
      <c r="X500">
        <f>IF($W500=1,SUMPRODUCT(--($Z$2:$Z$501&lt;$Z500))+1,"")</f>
        <v/>
      </c>
      <c r="Y500">
        <f>IF($A500="","",IF(OR($V500=TRUE(),$V500="TRUE"),1,0))</f>
        <v/>
      </c>
      <c r="Z500">
        <f>IF($W500=1,IFERROR(IF(VALUE($A500)&lt;100000000,VALUE($A500),1000000000),IFERROR(IF(VALUE(MID($A500,2,20))&lt;100000000,VALUE(MID($A500,2,20)),1000000000),1000000000))+ROW()/100000,"")</f>
        <v/>
      </c>
    </row>
    <row r="501">
      <c r="F501" s="7">
        <f>IF($A501="","",E501*N501/100)</f>
        <v/>
      </c>
      <c r="J501" s="7" t="n"/>
      <c r="K501" s="7">
        <f>IF($A501="","",U501*N501)</f>
        <v/>
      </c>
      <c r="L501" s="7">
        <f>IF($A501="","",N501-K501)</f>
        <v/>
      </c>
      <c r="M501" s="7">
        <f>IF($A501="","",L501-F501)</f>
        <v/>
      </c>
      <c r="N501" s="7" t="n"/>
      <c r="O501" s="7" t="n"/>
      <c r="P501" s="7" t="n"/>
      <c r="S501" s="11" t="n"/>
      <c r="U501">
        <f>IF($A501="","",IF($Y501=1,Settings!$C$6,Settings!$C$7)*1)</f>
        <v/>
      </c>
      <c r="W501">
        <f>IF($A501="","",IF(COUNTIF($A$2:$A501,$A501)=1,1,0))</f>
        <v/>
      </c>
      <c r="X501">
        <f>IF($W501=1,SUMPRODUCT(--($Z$2:$Z$501&lt;$Z501))+1,"")</f>
        <v/>
      </c>
      <c r="Y501">
        <f>IF($A501="","",IF(OR($V501=TRUE(),$V501="TRUE"),1,0))</f>
        <v/>
      </c>
      <c r="Z501">
        <f>IF($W501=1,IFERROR(IF(VALUE($A501)&lt;100000000,VALUE($A501),1000000000),IFERROR(IF(VALUE(MID($A501,2,20))&lt;100000000,VALUE(MID($A501,2,20)),1000000000),1000000000))+ROW()/100000,"")</f>
        <v/>
      </c>
    </row>
  </sheetData>
  <autoFilter ref="A1:Z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7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</cols>
  <sheetData>
    <row r="1" ht="32" customHeight="1">
      <c r="A1" s="9" t="inlineStr">
        <is>
          <t>Pos Reference</t>
        </is>
      </c>
      <c r="B1" s="8" t="inlineStr">
        <is>
          <t>Invoice</t>
        </is>
      </c>
      <c r="C1" s="9" t="inlineStr">
        <is>
          <t>Insurance Company</t>
        </is>
      </c>
      <c r="D1" s="9" t="inlineStr">
        <is>
          <t>Name</t>
        </is>
      </c>
      <c r="E1" s="9" t="inlineStr">
        <is>
          <t>Card Number</t>
        </is>
      </c>
      <c r="F1" s="9" t="inlineStr">
        <is>
          <t>Co Payment %</t>
        </is>
      </c>
      <c r="G1" s="9" t="inlineStr">
        <is>
          <t>Co val</t>
        </is>
      </c>
      <c r="H1" s="9" t="inlineStr">
        <is>
          <t>Payment Type</t>
        </is>
      </c>
      <c r="I1" s="9" t="inlineStr">
        <is>
          <t>Session</t>
        </is>
      </c>
      <c r="J1" s="9" t="inlineStr">
        <is>
          <t>Create Date</t>
        </is>
      </c>
      <c r="K1" s="9" t="inlineStr">
        <is>
          <t>Order Reference</t>
        </is>
      </c>
      <c r="L1" s="9" t="inlineStr">
        <is>
          <t>Imp %</t>
        </is>
      </c>
      <c r="M1" s="9" t="inlineStr">
        <is>
          <t>Imp</t>
        </is>
      </c>
      <c r="N1" s="9" t="inlineStr">
        <is>
          <t>Imp Val</t>
        </is>
      </c>
      <c r="O1" s="9" t="inlineStr">
        <is>
          <t>LOC %</t>
        </is>
      </c>
      <c r="P1" s="9" t="inlineStr">
        <is>
          <t>LOC</t>
        </is>
      </c>
      <c r="Q1" s="9" t="inlineStr">
        <is>
          <t>LOC VAL</t>
        </is>
      </c>
      <c r="R1" s="9" t="inlineStr">
        <is>
          <t>TOTAL VAL</t>
        </is>
      </c>
      <c r="S1" s="9" t="inlineStr">
        <is>
          <t>SUBTOTAL</t>
        </is>
      </c>
      <c r="T1" s="9" t="inlineStr">
        <is>
          <t>Grand Total</t>
        </is>
      </c>
      <c r="U1" s="9" t="inlineStr">
        <is>
          <t>NET</t>
        </is>
      </c>
      <c r="V1" s="10" t="inlineStr">
        <is>
          <t>Src Row (helper)</t>
        </is>
      </c>
    </row>
    <row r="2">
      <c r="A2">
        <f>IF($V2="","",INDEX('Per Line'!$A$2:$A$501,$V2)&amp;"")</f>
        <v/>
      </c>
      <c r="B2" s="12" t="n"/>
      <c r="C2">
        <f>IF($V2="","",INDEX('Per Line'!$B$2:$B$501,$V2)&amp;"")</f>
        <v/>
      </c>
      <c r="D2">
        <f>IF($V2="","",INDEX('Per Line'!$C$2:$C$501,$V2)&amp;"")</f>
        <v/>
      </c>
      <c r="E2">
        <f>IF($V2="","",INDEX('Per Line'!$D$2:$D$501,$V2)&amp;"")</f>
        <v/>
      </c>
      <c r="F2">
        <f>IF($V2="","",INDEX('Per Line'!$E$2:$E$501,$V2))</f>
        <v/>
      </c>
      <c r="G2" s="7">
        <f>IF($V2="","",F2*T2/100)</f>
        <v/>
      </c>
      <c r="H2">
        <f>IF($V2="","",INDEX('Per Line'!$Q$2:$Q$501,$V2)&amp;"")</f>
        <v/>
      </c>
      <c r="I2">
        <f>IF($V2="","",INDEX('Per Line'!$R$2:$R$501,$V2)&amp;"")</f>
        <v/>
      </c>
      <c r="J2" s="11">
        <f>IF($V2="","",INDEX('Per Line'!$S$2:$S$501,$V2))</f>
        <v/>
      </c>
      <c r="K2">
        <f>IF($V2="","",INDEX('Per Line'!$T$2:$T$501,$V2)&amp;"")</f>
        <v/>
      </c>
      <c r="L2">
        <f>IF($V2="","",Settings!$C$7)</f>
        <v/>
      </c>
      <c r="M2" s="7">
        <f>IF($V2="","",SUMIFS('Per Line'!$N$2:$N$501,'Per Line'!$A$2:$A$501,$A2,'Per Line'!$Y$2:$Y$501,0))</f>
        <v/>
      </c>
      <c r="N2" s="7">
        <f>IF($V2="","",M2*L2)</f>
        <v/>
      </c>
      <c r="O2">
        <f>IF($V2="","",Settings!$C$6)</f>
        <v/>
      </c>
      <c r="P2" s="7">
        <f>IF($V2="","",SUMIFS('Per Line'!$N$2:$N$501,'Per Line'!$A$2:$A$501,$A2,'Per Line'!$Y$2:$Y$501,1))</f>
        <v/>
      </c>
      <c r="Q2" s="7">
        <f>IF($V2="","",P2*O2)</f>
        <v/>
      </c>
      <c r="R2" s="7">
        <f>IF($V2="","",Q2+N2)</f>
        <v/>
      </c>
      <c r="S2" s="7">
        <f>IF($V2="","",T2-R2)</f>
        <v/>
      </c>
      <c r="T2" s="7">
        <f>IF($V2="","",M2+P2)</f>
        <v/>
      </c>
      <c r="U2" s="7">
        <f>IF($V2="","",T2-R2-G2)</f>
        <v/>
      </c>
      <c r="V2" s="13">
        <f>IF(ROWS($V$2:$V2)&lt;=MAX('Per Line'!$X$2:$X$501),MATCH(ROWS($V$2:$V2),'Per Line'!$X$2:$X$501,0),"")</f>
        <v/>
      </c>
    </row>
    <row r="3">
      <c r="A3">
        <f>IF($V3="","",INDEX('Per Line'!$A$2:$A$501,$V3)&amp;"")</f>
        <v/>
      </c>
      <c r="B3" s="12" t="n"/>
      <c r="C3">
        <f>IF($V3="","",INDEX('Per Line'!$B$2:$B$501,$V3)&amp;"")</f>
        <v/>
      </c>
      <c r="D3">
        <f>IF($V3="","",INDEX('Per Line'!$C$2:$C$501,$V3)&amp;"")</f>
        <v/>
      </c>
      <c r="E3">
        <f>IF($V3="","",INDEX('Per Line'!$D$2:$D$501,$V3)&amp;"")</f>
        <v/>
      </c>
      <c r="F3">
        <f>IF($V3="","",INDEX('Per Line'!$E$2:$E$501,$V3))</f>
        <v/>
      </c>
      <c r="G3" s="7">
        <f>IF($V3="","",F3*T3/100)</f>
        <v/>
      </c>
      <c r="H3">
        <f>IF($V3="","",INDEX('Per Line'!$Q$2:$Q$501,$V3)&amp;"")</f>
        <v/>
      </c>
      <c r="I3">
        <f>IF($V3="","",INDEX('Per Line'!$R$2:$R$501,$V3)&amp;"")</f>
        <v/>
      </c>
      <c r="J3" s="11">
        <f>IF($V3="","",INDEX('Per Line'!$S$2:$S$501,$V3))</f>
        <v/>
      </c>
      <c r="K3">
        <f>IF($V3="","",INDEX('Per Line'!$T$2:$T$501,$V3)&amp;"")</f>
        <v/>
      </c>
      <c r="L3">
        <f>IF($V3="","",Settings!$C$7)</f>
        <v/>
      </c>
      <c r="M3" s="7">
        <f>IF($V3="","",SUMIFS('Per Line'!$N$2:$N$501,'Per Line'!$A$2:$A$501,$A3,'Per Line'!$Y$2:$Y$501,0))</f>
        <v/>
      </c>
      <c r="N3" s="7">
        <f>IF($V3="","",M3*L3)</f>
        <v/>
      </c>
      <c r="O3">
        <f>IF($V3="","",Settings!$C$6)</f>
        <v/>
      </c>
      <c r="P3" s="7">
        <f>IF($V3="","",SUMIFS('Per Line'!$N$2:$N$501,'Per Line'!$A$2:$A$501,$A3,'Per Line'!$Y$2:$Y$501,1))</f>
        <v/>
      </c>
      <c r="Q3" s="7">
        <f>IF($V3="","",P3*O3)</f>
        <v/>
      </c>
      <c r="R3" s="7">
        <f>IF($V3="","",Q3+N3)</f>
        <v/>
      </c>
      <c r="S3" s="7">
        <f>IF($V3="","",T3-R3)</f>
        <v/>
      </c>
      <c r="T3" s="7">
        <f>IF($V3="","",M3+P3)</f>
        <v/>
      </c>
      <c r="U3" s="7">
        <f>IF($V3="","",T3-R3-G3)</f>
        <v/>
      </c>
      <c r="V3" s="13">
        <f>IF(ROWS($V$2:$V3)&lt;=MAX('Per Line'!$X$2:$X$501),MATCH(ROWS($V$2:$V3),'Per Line'!$X$2:$X$501,0),"")</f>
        <v/>
      </c>
    </row>
    <row r="4">
      <c r="A4">
        <f>IF($V4="","",INDEX('Per Line'!$A$2:$A$501,$V4)&amp;"")</f>
        <v/>
      </c>
      <c r="B4" s="12" t="n"/>
      <c r="C4">
        <f>IF($V4="","",INDEX('Per Line'!$B$2:$B$501,$V4)&amp;"")</f>
        <v/>
      </c>
      <c r="D4">
        <f>IF($V4="","",INDEX('Per Line'!$C$2:$C$501,$V4)&amp;"")</f>
        <v/>
      </c>
      <c r="E4">
        <f>IF($V4="","",INDEX('Per Line'!$D$2:$D$501,$V4)&amp;"")</f>
        <v/>
      </c>
      <c r="F4">
        <f>IF($V4="","",INDEX('Per Line'!$E$2:$E$501,$V4))</f>
        <v/>
      </c>
      <c r="G4" s="7">
        <f>IF($V4="","",F4*T4/100)</f>
        <v/>
      </c>
      <c r="H4">
        <f>IF($V4="","",INDEX('Per Line'!$Q$2:$Q$501,$V4)&amp;"")</f>
        <v/>
      </c>
      <c r="I4">
        <f>IF($V4="","",INDEX('Per Line'!$R$2:$R$501,$V4)&amp;"")</f>
        <v/>
      </c>
      <c r="J4" s="11">
        <f>IF($V4="","",INDEX('Per Line'!$S$2:$S$501,$V4))</f>
        <v/>
      </c>
      <c r="K4">
        <f>IF($V4="","",INDEX('Per Line'!$T$2:$T$501,$V4)&amp;"")</f>
        <v/>
      </c>
      <c r="L4">
        <f>IF($V4="","",Settings!$C$7)</f>
        <v/>
      </c>
      <c r="M4" s="7">
        <f>IF($V4="","",SUMIFS('Per Line'!$N$2:$N$501,'Per Line'!$A$2:$A$501,$A4,'Per Line'!$Y$2:$Y$501,0))</f>
        <v/>
      </c>
      <c r="N4" s="7">
        <f>IF($V4="","",M4*L4)</f>
        <v/>
      </c>
      <c r="O4">
        <f>IF($V4="","",Settings!$C$6)</f>
        <v/>
      </c>
      <c r="P4" s="7">
        <f>IF($V4="","",SUMIFS('Per Line'!$N$2:$N$501,'Per Line'!$A$2:$A$501,$A4,'Per Line'!$Y$2:$Y$501,1))</f>
        <v/>
      </c>
      <c r="Q4" s="7">
        <f>IF($V4="","",P4*O4)</f>
        <v/>
      </c>
      <c r="R4" s="7">
        <f>IF($V4="","",Q4+N4)</f>
        <v/>
      </c>
      <c r="S4" s="7">
        <f>IF($V4="","",T4-R4)</f>
        <v/>
      </c>
      <c r="T4" s="7">
        <f>IF($V4="","",M4+P4)</f>
        <v/>
      </c>
      <c r="U4" s="7">
        <f>IF($V4="","",T4-R4-G4)</f>
        <v/>
      </c>
      <c r="V4" s="13">
        <f>IF(ROWS($V$2:$V4)&lt;=MAX('Per Line'!$X$2:$X$501),MATCH(ROWS($V$2:$V4),'Per Line'!$X$2:$X$501,0),"")</f>
        <v/>
      </c>
    </row>
    <row r="5">
      <c r="A5">
        <f>IF($V5="","",INDEX('Per Line'!$A$2:$A$501,$V5)&amp;"")</f>
        <v/>
      </c>
      <c r="B5" s="12" t="n"/>
      <c r="C5">
        <f>IF($V5="","",INDEX('Per Line'!$B$2:$B$501,$V5)&amp;"")</f>
        <v/>
      </c>
      <c r="D5">
        <f>IF($V5="","",INDEX('Per Line'!$C$2:$C$501,$V5)&amp;"")</f>
        <v/>
      </c>
      <c r="E5">
        <f>IF($V5="","",INDEX('Per Line'!$D$2:$D$501,$V5)&amp;"")</f>
        <v/>
      </c>
      <c r="F5">
        <f>IF($V5="","",INDEX('Per Line'!$E$2:$E$501,$V5))</f>
        <v/>
      </c>
      <c r="G5" s="7">
        <f>IF($V5="","",F5*T5/100)</f>
        <v/>
      </c>
      <c r="H5">
        <f>IF($V5="","",INDEX('Per Line'!$Q$2:$Q$501,$V5)&amp;"")</f>
        <v/>
      </c>
      <c r="I5">
        <f>IF($V5="","",INDEX('Per Line'!$R$2:$R$501,$V5)&amp;"")</f>
        <v/>
      </c>
      <c r="J5" s="11">
        <f>IF($V5="","",INDEX('Per Line'!$S$2:$S$501,$V5))</f>
        <v/>
      </c>
      <c r="K5">
        <f>IF($V5="","",INDEX('Per Line'!$T$2:$T$501,$V5)&amp;"")</f>
        <v/>
      </c>
      <c r="L5">
        <f>IF($V5="","",Settings!$C$7)</f>
        <v/>
      </c>
      <c r="M5" s="7">
        <f>IF($V5="","",SUMIFS('Per Line'!$N$2:$N$501,'Per Line'!$A$2:$A$501,$A5,'Per Line'!$Y$2:$Y$501,0))</f>
        <v/>
      </c>
      <c r="N5" s="7">
        <f>IF($V5="","",M5*L5)</f>
        <v/>
      </c>
      <c r="O5">
        <f>IF($V5="","",Settings!$C$6)</f>
        <v/>
      </c>
      <c r="P5" s="7">
        <f>IF($V5="","",SUMIFS('Per Line'!$N$2:$N$501,'Per Line'!$A$2:$A$501,$A5,'Per Line'!$Y$2:$Y$501,1))</f>
        <v/>
      </c>
      <c r="Q5" s="7">
        <f>IF($V5="","",P5*O5)</f>
        <v/>
      </c>
      <c r="R5" s="7">
        <f>IF($V5="","",Q5+N5)</f>
        <v/>
      </c>
      <c r="S5" s="7">
        <f>IF($V5="","",T5-R5)</f>
        <v/>
      </c>
      <c r="T5" s="7">
        <f>IF($V5="","",M5+P5)</f>
        <v/>
      </c>
      <c r="U5" s="7">
        <f>IF($V5="","",T5-R5-G5)</f>
        <v/>
      </c>
      <c r="V5" s="13">
        <f>IF(ROWS($V$2:$V5)&lt;=MAX('Per Line'!$X$2:$X$501),MATCH(ROWS($V$2:$V5),'Per Line'!$X$2:$X$501,0),"")</f>
        <v/>
      </c>
    </row>
    <row r="6">
      <c r="A6">
        <f>IF($V6="","",INDEX('Per Line'!$A$2:$A$501,$V6)&amp;"")</f>
        <v/>
      </c>
      <c r="B6" s="12" t="n"/>
      <c r="C6">
        <f>IF($V6="","",INDEX('Per Line'!$B$2:$B$501,$V6)&amp;"")</f>
        <v/>
      </c>
      <c r="D6">
        <f>IF($V6="","",INDEX('Per Line'!$C$2:$C$501,$V6)&amp;"")</f>
        <v/>
      </c>
      <c r="E6">
        <f>IF($V6="","",INDEX('Per Line'!$D$2:$D$501,$V6)&amp;"")</f>
        <v/>
      </c>
      <c r="F6">
        <f>IF($V6="","",INDEX('Per Line'!$E$2:$E$501,$V6))</f>
        <v/>
      </c>
      <c r="G6" s="7">
        <f>IF($V6="","",F6*T6/100)</f>
        <v/>
      </c>
      <c r="H6">
        <f>IF($V6="","",INDEX('Per Line'!$Q$2:$Q$501,$V6)&amp;"")</f>
        <v/>
      </c>
      <c r="I6">
        <f>IF($V6="","",INDEX('Per Line'!$R$2:$R$501,$V6)&amp;"")</f>
        <v/>
      </c>
      <c r="J6" s="11">
        <f>IF($V6="","",INDEX('Per Line'!$S$2:$S$501,$V6))</f>
        <v/>
      </c>
      <c r="K6">
        <f>IF($V6="","",INDEX('Per Line'!$T$2:$T$501,$V6)&amp;"")</f>
        <v/>
      </c>
      <c r="L6">
        <f>IF($V6="","",Settings!$C$7)</f>
        <v/>
      </c>
      <c r="M6" s="7">
        <f>IF($V6="","",SUMIFS('Per Line'!$N$2:$N$501,'Per Line'!$A$2:$A$501,$A6,'Per Line'!$Y$2:$Y$501,0))</f>
        <v/>
      </c>
      <c r="N6" s="7">
        <f>IF($V6="","",M6*L6)</f>
        <v/>
      </c>
      <c r="O6">
        <f>IF($V6="","",Settings!$C$6)</f>
        <v/>
      </c>
      <c r="P6" s="7">
        <f>IF($V6="","",SUMIFS('Per Line'!$N$2:$N$501,'Per Line'!$A$2:$A$501,$A6,'Per Line'!$Y$2:$Y$501,1))</f>
        <v/>
      </c>
      <c r="Q6" s="7">
        <f>IF($V6="","",P6*O6)</f>
        <v/>
      </c>
      <c r="R6" s="7">
        <f>IF($V6="","",Q6+N6)</f>
        <v/>
      </c>
      <c r="S6" s="7">
        <f>IF($V6="","",T6-R6)</f>
        <v/>
      </c>
      <c r="T6" s="7">
        <f>IF($V6="","",M6+P6)</f>
        <v/>
      </c>
      <c r="U6" s="7">
        <f>IF($V6="","",T6-R6-G6)</f>
        <v/>
      </c>
      <c r="V6" s="13">
        <f>IF(ROWS($V$2:$V6)&lt;=MAX('Per Line'!$X$2:$X$501),MATCH(ROWS($V$2:$V6),'Per Line'!$X$2:$X$501,0),"")</f>
        <v/>
      </c>
    </row>
    <row r="7">
      <c r="A7">
        <f>IF($V7="","",INDEX('Per Line'!$A$2:$A$501,$V7)&amp;"")</f>
        <v/>
      </c>
      <c r="B7" s="12" t="n"/>
      <c r="C7">
        <f>IF($V7="","",INDEX('Per Line'!$B$2:$B$501,$V7)&amp;"")</f>
        <v/>
      </c>
      <c r="D7">
        <f>IF($V7="","",INDEX('Per Line'!$C$2:$C$501,$V7)&amp;"")</f>
        <v/>
      </c>
      <c r="E7">
        <f>IF($V7="","",INDEX('Per Line'!$D$2:$D$501,$V7)&amp;"")</f>
        <v/>
      </c>
      <c r="F7">
        <f>IF($V7="","",INDEX('Per Line'!$E$2:$E$501,$V7))</f>
        <v/>
      </c>
      <c r="G7" s="7">
        <f>IF($V7="","",F7*T7/100)</f>
        <v/>
      </c>
      <c r="H7">
        <f>IF($V7="","",INDEX('Per Line'!$Q$2:$Q$501,$V7)&amp;"")</f>
        <v/>
      </c>
      <c r="I7">
        <f>IF($V7="","",INDEX('Per Line'!$R$2:$R$501,$V7)&amp;"")</f>
        <v/>
      </c>
      <c r="J7" s="11">
        <f>IF($V7="","",INDEX('Per Line'!$S$2:$S$501,$V7))</f>
        <v/>
      </c>
      <c r="K7">
        <f>IF($V7="","",INDEX('Per Line'!$T$2:$T$501,$V7)&amp;"")</f>
        <v/>
      </c>
      <c r="L7">
        <f>IF($V7="","",Settings!$C$7)</f>
        <v/>
      </c>
      <c r="M7" s="7">
        <f>IF($V7="","",SUMIFS('Per Line'!$N$2:$N$501,'Per Line'!$A$2:$A$501,$A7,'Per Line'!$Y$2:$Y$501,0))</f>
        <v/>
      </c>
      <c r="N7" s="7">
        <f>IF($V7="","",M7*L7)</f>
        <v/>
      </c>
      <c r="O7">
        <f>IF($V7="","",Settings!$C$6)</f>
        <v/>
      </c>
      <c r="P7" s="7">
        <f>IF($V7="","",SUMIFS('Per Line'!$N$2:$N$501,'Per Line'!$A$2:$A$501,$A7,'Per Line'!$Y$2:$Y$501,1))</f>
        <v/>
      </c>
      <c r="Q7" s="7">
        <f>IF($V7="","",P7*O7)</f>
        <v/>
      </c>
      <c r="R7" s="7">
        <f>IF($V7="","",Q7+N7)</f>
        <v/>
      </c>
      <c r="S7" s="7">
        <f>IF($V7="","",T7-R7)</f>
        <v/>
      </c>
      <c r="T7" s="7">
        <f>IF($V7="","",M7+P7)</f>
        <v/>
      </c>
      <c r="U7" s="7">
        <f>IF($V7="","",T7-R7-G7)</f>
        <v/>
      </c>
      <c r="V7" s="13">
        <f>IF(ROWS($V$2:$V7)&lt;=MAX('Per Line'!$X$2:$X$501),MATCH(ROWS($V$2:$V7),'Per Line'!$X$2:$X$501,0),"")</f>
        <v/>
      </c>
    </row>
    <row r="8">
      <c r="A8">
        <f>IF($V8="","",INDEX('Per Line'!$A$2:$A$501,$V8)&amp;"")</f>
        <v/>
      </c>
      <c r="B8" s="12" t="n"/>
      <c r="C8">
        <f>IF($V8="","",INDEX('Per Line'!$B$2:$B$501,$V8)&amp;"")</f>
        <v/>
      </c>
      <c r="D8">
        <f>IF($V8="","",INDEX('Per Line'!$C$2:$C$501,$V8)&amp;"")</f>
        <v/>
      </c>
      <c r="E8">
        <f>IF($V8="","",INDEX('Per Line'!$D$2:$D$501,$V8)&amp;"")</f>
        <v/>
      </c>
      <c r="F8">
        <f>IF($V8="","",INDEX('Per Line'!$E$2:$E$501,$V8))</f>
        <v/>
      </c>
      <c r="G8" s="7">
        <f>IF($V8="","",F8*T8/100)</f>
        <v/>
      </c>
      <c r="H8">
        <f>IF($V8="","",INDEX('Per Line'!$Q$2:$Q$501,$V8)&amp;"")</f>
        <v/>
      </c>
      <c r="I8">
        <f>IF($V8="","",INDEX('Per Line'!$R$2:$R$501,$V8)&amp;"")</f>
        <v/>
      </c>
      <c r="J8" s="11">
        <f>IF($V8="","",INDEX('Per Line'!$S$2:$S$501,$V8))</f>
        <v/>
      </c>
      <c r="K8">
        <f>IF($V8="","",INDEX('Per Line'!$T$2:$T$501,$V8)&amp;"")</f>
        <v/>
      </c>
      <c r="L8">
        <f>IF($V8="","",Settings!$C$7)</f>
        <v/>
      </c>
      <c r="M8" s="7">
        <f>IF($V8="","",SUMIFS('Per Line'!$N$2:$N$501,'Per Line'!$A$2:$A$501,$A8,'Per Line'!$Y$2:$Y$501,0))</f>
        <v/>
      </c>
      <c r="N8" s="7">
        <f>IF($V8="","",M8*L8)</f>
        <v/>
      </c>
      <c r="O8">
        <f>IF($V8="","",Settings!$C$6)</f>
        <v/>
      </c>
      <c r="P8" s="7">
        <f>IF($V8="","",SUMIFS('Per Line'!$N$2:$N$501,'Per Line'!$A$2:$A$501,$A8,'Per Line'!$Y$2:$Y$501,1))</f>
        <v/>
      </c>
      <c r="Q8" s="7">
        <f>IF($V8="","",P8*O8)</f>
        <v/>
      </c>
      <c r="R8" s="7">
        <f>IF($V8="","",Q8+N8)</f>
        <v/>
      </c>
      <c r="S8" s="7">
        <f>IF($V8="","",T8-R8)</f>
        <v/>
      </c>
      <c r="T8" s="7">
        <f>IF($V8="","",M8+P8)</f>
        <v/>
      </c>
      <c r="U8" s="7">
        <f>IF($V8="","",T8-R8-G8)</f>
        <v/>
      </c>
      <c r="V8" s="13">
        <f>IF(ROWS($V$2:$V8)&lt;=MAX('Per Line'!$X$2:$X$501),MATCH(ROWS($V$2:$V8),'Per Line'!$X$2:$X$501,0),"")</f>
        <v/>
      </c>
    </row>
    <row r="9">
      <c r="A9">
        <f>IF($V9="","",INDEX('Per Line'!$A$2:$A$501,$V9)&amp;"")</f>
        <v/>
      </c>
      <c r="B9" s="12" t="n"/>
      <c r="C9">
        <f>IF($V9="","",INDEX('Per Line'!$B$2:$B$501,$V9)&amp;"")</f>
        <v/>
      </c>
      <c r="D9">
        <f>IF($V9="","",INDEX('Per Line'!$C$2:$C$501,$V9)&amp;"")</f>
        <v/>
      </c>
      <c r="E9">
        <f>IF($V9="","",INDEX('Per Line'!$D$2:$D$501,$V9)&amp;"")</f>
        <v/>
      </c>
      <c r="F9">
        <f>IF($V9="","",INDEX('Per Line'!$E$2:$E$501,$V9))</f>
        <v/>
      </c>
      <c r="G9" s="7">
        <f>IF($V9="","",F9*T9/100)</f>
        <v/>
      </c>
      <c r="H9">
        <f>IF($V9="","",INDEX('Per Line'!$Q$2:$Q$501,$V9)&amp;"")</f>
        <v/>
      </c>
      <c r="I9">
        <f>IF($V9="","",INDEX('Per Line'!$R$2:$R$501,$V9)&amp;"")</f>
        <v/>
      </c>
      <c r="J9" s="11">
        <f>IF($V9="","",INDEX('Per Line'!$S$2:$S$501,$V9))</f>
        <v/>
      </c>
      <c r="K9">
        <f>IF($V9="","",INDEX('Per Line'!$T$2:$T$501,$V9)&amp;"")</f>
        <v/>
      </c>
      <c r="L9">
        <f>IF($V9="","",Settings!$C$7)</f>
        <v/>
      </c>
      <c r="M9" s="7">
        <f>IF($V9="","",SUMIFS('Per Line'!$N$2:$N$501,'Per Line'!$A$2:$A$501,$A9,'Per Line'!$Y$2:$Y$501,0))</f>
        <v/>
      </c>
      <c r="N9" s="7">
        <f>IF($V9="","",M9*L9)</f>
        <v/>
      </c>
      <c r="O9">
        <f>IF($V9="","",Settings!$C$6)</f>
        <v/>
      </c>
      <c r="P9" s="7">
        <f>IF($V9="","",SUMIFS('Per Line'!$N$2:$N$501,'Per Line'!$A$2:$A$501,$A9,'Per Line'!$Y$2:$Y$501,1))</f>
        <v/>
      </c>
      <c r="Q9" s="7">
        <f>IF($V9="","",P9*O9)</f>
        <v/>
      </c>
      <c r="R9" s="7">
        <f>IF($V9="","",Q9+N9)</f>
        <v/>
      </c>
      <c r="S9" s="7">
        <f>IF($V9="","",T9-R9)</f>
        <v/>
      </c>
      <c r="T9" s="7">
        <f>IF($V9="","",M9+P9)</f>
        <v/>
      </c>
      <c r="U9" s="7">
        <f>IF($V9="","",T9-R9-G9)</f>
        <v/>
      </c>
      <c r="V9" s="13">
        <f>IF(ROWS($V$2:$V9)&lt;=MAX('Per Line'!$X$2:$X$501),MATCH(ROWS($V$2:$V9),'Per Line'!$X$2:$X$501,0),"")</f>
        <v/>
      </c>
    </row>
    <row r="10">
      <c r="A10">
        <f>IF($V10="","",INDEX('Per Line'!$A$2:$A$501,$V10)&amp;"")</f>
        <v/>
      </c>
      <c r="B10" s="12" t="n"/>
      <c r="C10">
        <f>IF($V10="","",INDEX('Per Line'!$B$2:$B$501,$V10)&amp;"")</f>
        <v/>
      </c>
      <c r="D10">
        <f>IF($V10="","",INDEX('Per Line'!$C$2:$C$501,$V10)&amp;"")</f>
        <v/>
      </c>
      <c r="E10">
        <f>IF($V10="","",INDEX('Per Line'!$D$2:$D$501,$V10)&amp;"")</f>
        <v/>
      </c>
      <c r="F10">
        <f>IF($V10="","",INDEX('Per Line'!$E$2:$E$501,$V10))</f>
        <v/>
      </c>
      <c r="G10" s="7">
        <f>IF($V10="","",F10*T10/100)</f>
        <v/>
      </c>
      <c r="H10">
        <f>IF($V10="","",INDEX('Per Line'!$Q$2:$Q$501,$V10)&amp;"")</f>
        <v/>
      </c>
      <c r="I10">
        <f>IF($V10="","",INDEX('Per Line'!$R$2:$R$501,$V10)&amp;"")</f>
        <v/>
      </c>
      <c r="J10" s="11">
        <f>IF($V10="","",INDEX('Per Line'!$S$2:$S$501,$V10))</f>
        <v/>
      </c>
      <c r="K10">
        <f>IF($V10="","",INDEX('Per Line'!$T$2:$T$501,$V10)&amp;"")</f>
        <v/>
      </c>
      <c r="L10">
        <f>IF($V10="","",Settings!$C$7)</f>
        <v/>
      </c>
      <c r="M10" s="7">
        <f>IF($V10="","",SUMIFS('Per Line'!$N$2:$N$501,'Per Line'!$A$2:$A$501,$A10,'Per Line'!$Y$2:$Y$501,0))</f>
        <v/>
      </c>
      <c r="N10" s="7">
        <f>IF($V10="","",M10*L10)</f>
        <v/>
      </c>
      <c r="O10">
        <f>IF($V10="","",Settings!$C$6)</f>
        <v/>
      </c>
      <c r="P10" s="7">
        <f>IF($V10="","",SUMIFS('Per Line'!$N$2:$N$501,'Per Line'!$A$2:$A$501,$A10,'Per Line'!$Y$2:$Y$501,1))</f>
        <v/>
      </c>
      <c r="Q10" s="7">
        <f>IF($V10="","",P10*O10)</f>
        <v/>
      </c>
      <c r="R10" s="7">
        <f>IF($V10="","",Q10+N10)</f>
        <v/>
      </c>
      <c r="S10" s="7">
        <f>IF($V10="","",T10-R10)</f>
        <v/>
      </c>
      <c r="T10" s="7">
        <f>IF($V10="","",M10+P10)</f>
        <v/>
      </c>
      <c r="U10" s="7">
        <f>IF($V10="","",T10-R10-G10)</f>
        <v/>
      </c>
      <c r="V10" s="13">
        <f>IF(ROWS($V$2:$V10)&lt;=MAX('Per Line'!$X$2:$X$501),MATCH(ROWS($V$2:$V10),'Per Line'!$X$2:$X$501,0),"")</f>
        <v/>
      </c>
    </row>
    <row r="11">
      <c r="A11">
        <f>IF($V11="","",INDEX('Per Line'!$A$2:$A$501,$V11)&amp;"")</f>
        <v/>
      </c>
      <c r="B11" s="12" t="n"/>
      <c r="C11">
        <f>IF($V11="","",INDEX('Per Line'!$B$2:$B$501,$V11)&amp;"")</f>
        <v/>
      </c>
      <c r="D11">
        <f>IF($V11="","",INDEX('Per Line'!$C$2:$C$501,$V11)&amp;"")</f>
        <v/>
      </c>
      <c r="E11">
        <f>IF($V11="","",INDEX('Per Line'!$D$2:$D$501,$V11)&amp;"")</f>
        <v/>
      </c>
      <c r="F11">
        <f>IF($V11="","",INDEX('Per Line'!$E$2:$E$501,$V11))</f>
        <v/>
      </c>
      <c r="G11" s="7">
        <f>IF($V11="","",F11*T11/100)</f>
        <v/>
      </c>
      <c r="H11">
        <f>IF($V11="","",INDEX('Per Line'!$Q$2:$Q$501,$V11)&amp;"")</f>
        <v/>
      </c>
      <c r="I11">
        <f>IF($V11="","",INDEX('Per Line'!$R$2:$R$501,$V11)&amp;"")</f>
        <v/>
      </c>
      <c r="J11" s="11">
        <f>IF($V11="","",INDEX('Per Line'!$S$2:$S$501,$V11))</f>
        <v/>
      </c>
      <c r="K11">
        <f>IF($V11="","",INDEX('Per Line'!$T$2:$T$501,$V11)&amp;"")</f>
        <v/>
      </c>
      <c r="L11">
        <f>IF($V11="","",Settings!$C$7)</f>
        <v/>
      </c>
      <c r="M11" s="7">
        <f>IF($V11="","",SUMIFS('Per Line'!$N$2:$N$501,'Per Line'!$A$2:$A$501,$A11,'Per Line'!$Y$2:$Y$501,0))</f>
        <v/>
      </c>
      <c r="N11" s="7">
        <f>IF($V11="","",M11*L11)</f>
        <v/>
      </c>
      <c r="O11">
        <f>IF($V11="","",Settings!$C$6)</f>
        <v/>
      </c>
      <c r="P11" s="7">
        <f>IF($V11="","",SUMIFS('Per Line'!$N$2:$N$501,'Per Line'!$A$2:$A$501,$A11,'Per Line'!$Y$2:$Y$501,1))</f>
        <v/>
      </c>
      <c r="Q11" s="7">
        <f>IF($V11="","",P11*O11)</f>
        <v/>
      </c>
      <c r="R11" s="7">
        <f>IF($V11="","",Q11+N11)</f>
        <v/>
      </c>
      <c r="S11" s="7">
        <f>IF($V11="","",T11-R11)</f>
        <v/>
      </c>
      <c r="T11" s="7">
        <f>IF($V11="","",M11+P11)</f>
        <v/>
      </c>
      <c r="U11" s="7">
        <f>IF($V11="","",T11-R11-G11)</f>
        <v/>
      </c>
      <c r="V11" s="13">
        <f>IF(ROWS($V$2:$V11)&lt;=MAX('Per Line'!$X$2:$X$501),MATCH(ROWS($V$2:$V11),'Per Line'!$X$2:$X$501,0),"")</f>
        <v/>
      </c>
    </row>
    <row r="12">
      <c r="A12">
        <f>IF($V12="","",INDEX('Per Line'!$A$2:$A$501,$V12)&amp;"")</f>
        <v/>
      </c>
      <c r="B12" s="12" t="n"/>
      <c r="C12">
        <f>IF($V12="","",INDEX('Per Line'!$B$2:$B$501,$V12)&amp;"")</f>
        <v/>
      </c>
      <c r="D12">
        <f>IF($V12="","",INDEX('Per Line'!$C$2:$C$501,$V12)&amp;"")</f>
        <v/>
      </c>
      <c r="E12">
        <f>IF($V12="","",INDEX('Per Line'!$D$2:$D$501,$V12)&amp;"")</f>
        <v/>
      </c>
      <c r="F12">
        <f>IF($V12="","",INDEX('Per Line'!$E$2:$E$501,$V12))</f>
        <v/>
      </c>
      <c r="G12" s="7">
        <f>IF($V12="","",F12*T12/100)</f>
        <v/>
      </c>
      <c r="H12">
        <f>IF($V12="","",INDEX('Per Line'!$Q$2:$Q$501,$V12)&amp;"")</f>
        <v/>
      </c>
      <c r="I12">
        <f>IF($V12="","",INDEX('Per Line'!$R$2:$R$501,$V12)&amp;"")</f>
        <v/>
      </c>
      <c r="J12" s="11">
        <f>IF($V12="","",INDEX('Per Line'!$S$2:$S$501,$V12))</f>
        <v/>
      </c>
      <c r="K12">
        <f>IF($V12="","",INDEX('Per Line'!$T$2:$T$501,$V12)&amp;"")</f>
        <v/>
      </c>
      <c r="L12">
        <f>IF($V12="","",Settings!$C$7)</f>
        <v/>
      </c>
      <c r="M12" s="7">
        <f>IF($V12="","",SUMIFS('Per Line'!$N$2:$N$501,'Per Line'!$A$2:$A$501,$A12,'Per Line'!$Y$2:$Y$501,0))</f>
        <v/>
      </c>
      <c r="N12" s="7">
        <f>IF($V12="","",M12*L12)</f>
        <v/>
      </c>
      <c r="O12">
        <f>IF($V12="","",Settings!$C$6)</f>
        <v/>
      </c>
      <c r="P12" s="7">
        <f>IF($V12="","",SUMIFS('Per Line'!$N$2:$N$501,'Per Line'!$A$2:$A$501,$A12,'Per Line'!$Y$2:$Y$501,1))</f>
        <v/>
      </c>
      <c r="Q12" s="7">
        <f>IF($V12="","",P12*O12)</f>
        <v/>
      </c>
      <c r="R12" s="7">
        <f>IF($V12="","",Q12+N12)</f>
        <v/>
      </c>
      <c r="S12" s="7">
        <f>IF($V12="","",T12-R12)</f>
        <v/>
      </c>
      <c r="T12" s="7">
        <f>IF($V12="","",M12+P12)</f>
        <v/>
      </c>
      <c r="U12" s="7">
        <f>IF($V12="","",T12-R12-G12)</f>
        <v/>
      </c>
      <c r="V12" s="13">
        <f>IF(ROWS($V$2:$V12)&lt;=MAX('Per Line'!$X$2:$X$501),MATCH(ROWS($V$2:$V12),'Per Line'!$X$2:$X$501,0),"")</f>
        <v/>
      </c>
    </row>
    <row r="13">
      <c r="A13">
        <f>IF($V13="","",INDEX('Per Line'!$A$2:$A$501,$V13)&amp;"")</f>
        <v/>
      </c>
      <c r="B13" s="12" t="n"/>
      <c r="C13">
        <f>IF($V13="","",INDEX('Per Line'!$B$2:$B$501,$V13)&amp;"")</f>
        <v/>
      </c>
      <c r="D13">
        <f>IF($V13="","",INDEX('Per Line'!$C$2:$C$501,$V13)&amp;"")</f>
        <v/>
      </c>
      <c r="E13">
        <f>IF($V13="","",INDEX('Per Line'!$D$2:$D$501,$V13)&amp;"")</f>
        <v/>
      </c>
      <c r="F13">
        <f>IF($V13="","",INDEX('Per Line'!$E$2:$E$501,$V13))</f>
        <v/>
      </c>
      <c r="G13" s="7">
        <f>IF($V13="","",F13*T13/100)</f>
        <v/>
      </c>
      <c r="H13">
        <f>IF($V13="","",INDEX('Per Line'!$Q$2:$Q$501,$V13)&amp;"")</f>
        <v/>
      </c>
      <c r="I13">
        <f>IF($V13="","",INDEX('Per Line'!$R$2:$R$501,$V13)&amp;"")</f>
        <v/>
      </c>
      <c r="J13" s="11">
        <f>IF($V13="","",INDEX('Per Line'!$S$2:$S$501,$V13))</f>
        <v/>
      </c>
      <c r="K13">
        <f>IF($V13="","",INDEX('Per Line'!$T$2:$T$501,$V13)&amp;"")</f>
        <v/>
      </c>
      <c r="L13">
        <f>IF($V13="","",Settings!$C$7)</f>
        <v/>
      </c>
      <c r="M13" s="7">
        <f>IF($V13="","",SUMIFS('Per Line'!$N$2:$N$501,'Per Line'!$A$2:$A$501,$A13,'Per Line'!$Y$2:$Y$501,0))</f>
        <v/>
      </c>
      <c r="N13" s="7">
        <f>IF($V13="","",M13*L13)</f>
        <v/>
      </c>
      <c r="O13">
        <f>IF($V13="","",Settings!$C$6)</f>
        <v/>
      </c>
      <c r="P13" s="7">
        <f>IF($V13="","",SUMIFS('Per Line'!$N$2:$N$501,'Per Line'!$A$2:$A$501,$A13,'Per Line'!$Y$2:$Y$501,1))</f>
        <v/>
      </c>
      <c r="Q13" s="7">
        <f>IF($V13="","",P13*O13)</f>
        <v/>
      </c>
      <c r="R13" s="7">
        <f>IF($V13="","",Q13+N13)</f>
        <v/>
      </c>
      <c r="S13" s="7">
        <f>IF($V13="","",T13-R13)</f>
        <v/>
      </c>
      <c r="T13" s="7">
        <f>IF($V13="","",M13+P13)</f>
        <v/>
      </c>
      <c r="U13" s="7">
        <f>IF($V13="","",T13-R13-G13)</f>
        <v/>
      </c>
      <c r="V13" s="13">
        <f>IF(ROWS($V$2:$V13)&lt;=MAX('Per Line'!$X$2:$X$501),MATCH(ROWS($V$2:$V13),'Per Line'!$X$2:$X$501,0),"")</f>
        <v/>
      </c>
    </row>
    <row r="14">
      <c r="A14">
        <f>IF($V14="","",INDEX('Per Line'!$A$2:$A$501,$V14)&amp;"")</f>
        <v/>
      </c>
      <c r="B14" s="12" t="n"/>
      <c r="C14">
        <f>IF($V14="","",INDEX('Per Line'!$B$2:$B$501,$V14)&amp;"")</f>
        <v/>
      </c>
      <c r="D14">
        <f>IF($V14="","",INDEX('Per Line'!$C$2:$C$501,$V14)&amp;"")</f>
        <v/>
      </c>
      <c r="E14">
        <f>IF($V14="","",INDEX('Per Line'!$D$2:$D$501,$V14)&amp;"")</f>
        <v/>
      </c>
      <c r="F14">
        <f>IF($V14="","",INDEX('Per Line'!$E$2:$E$501,$V14))</f>
        <v/>
      </c>
      <c r="G14" s="7">
        <f>IF($V14="","",F14*T14/100)</f>
        <v/>
      </c>
      <c r="H14">
        <f>IF($V14="","",INDEX('Per Line'!$Q$2:$Q$501,$V14)&amp;"")</f>
        <v/>
      </c>
      <c r="I14">
        <f>IF($V14="","",INDEX('Per Line'!$R$2:$R$501,$V14)&amp;"")</f>
        <v/>
      </c>
      <c r="J14" s="11">
        <f>IF($V14="","",INDEX('Per Line'!$S$2:$S$501,$V14))</f>
        <v/>
      </c>
      <c r="K14">
        <f>IF($V14="","",INDEX('Per Line'!$T$2:$T$501,$V14)&amp;"")</f>
        <v/>
      </c>
      <c r="L14">
        <f>IF($V14="","",Settings!$C$7)</f>
        <v/>
      </c>
      <c r="M14" s="7">
        <f>IF($V14="","",SUMIFS('Per Line'!$N$2:$N$501,'Per Line'!$A$2:$A$501,$A14,'Per Line'!$Y$2:$Y$501,0))</f>
        <v/>
      </c>
      <c r="N14" s="7">
        <f>IF($V14="","",M14*L14)</f>
        <v/>
      </c>
      <c r="O14">
        <f>IF($V14="","",Settings!$C$6)</f>
        <v/>
      </c>
      <c r="P14" s="7">
        <f>IF($V14="","",SUMIFS('Per Line'!$N$2:$N$501,'Per Line'!$A$2:$A$501,$A14,'Per Line'!$Y$2:$Y$501,1))</f>
        <v/>
      </c>
      <c r="Q14" s="7">
        <f>IF($V14="","",P14*O14)</f>
        <v/>
      </c>
      <c r="R14" s="7">
        <f>IF($V14="","",Q14+N14)</f>
        <v/>
      </c>
      <c r="S14" s="7">
        <f>IF($V14="","",T14-R14)</f>
        <v/>
      </c>
      <c r="T14" s="7">
        <f>IF($V14="","",M14+P14)</f>
        <v/>
      </c>
      <c r="U14" s="7">
        <f>IF($V14="","",T14-R14-G14)</f>
        <v/>
      </c>
      <c r="V14" s="13">
        <f>IF(ROWS($V$2:$V14)&lt;=MAX('Per Line'!$X$2:$X$501),MATCH(ROWS($V$2:$V14),'Per Line'!$X$2:$X$501,0),"")</f>
        <v/>
      </c>
    </row>
    <row r="15">
      <c r="A15">
        <f>IF($V15="","",INDEX('Per Line'!$A$2:$A$501,$V15)&amp;"")</f>
        <v/>
      </c>
      <c r="B15" s="12" t="n"/>
      <c r="C15">
        <f>IF($V15="","",INDEX('Per Line'!$B$2:$B$501,$V15)&amp;"")</f>
        <v/>
      </c>
      <c r="D15">
        <f>IF($V15="","",INDEX('Per Line'!$C$2:$C$501,$V15)&amp;"")</f>
        <v/>
      </c>
      <c r="E15">
        <f>IF($V15="","",INDEX('Per Line'!$D$2:$D$501,$V15)&amp;"")</f>
        <v/>
      </c>
      <c r="F15">
        <f>IF($V15="","",INDEX('Per Line'!$E$2:$E$501,$V15))</f>
        <v/>
      </c>
      <c r="G15" s="7">
        <f>IF($V15="","",F15*T15/100)</f>
        <v/>
      </c>
      <c r="H15">
        <f>IF($V15="","",INDEX('Per Line'!$Q$2:$Q$501,$V15)&amp;"")</f>
        <v/>
      </c>
      <c r="I15">
        <f>IF($V15="","",INDEX('Per Line'!$R$2:$R$501,$V15)&amp;"")</f>
        <v/>
      </c>
      <c r="J15" s="11">
        <f>IF($V15="","",INDEX('Per Line'!$S$2:$S$501,$V15))</f>
        <v/>
      </c>
      <c r="K15">
        <f>IF($V15="","",INDEX('Per Line'!$T$2:$T$501,$V15)&amp;"")</f>
        <v/>
      </c>
      <c r="L15">
        <f>IF($V15="","",Settings!$C$7)</f>
        <v/>
      </c>
      <c r="M15" s="7">
        <f>IF($V15="","",SUMIFS('Per Line'!$N$2:$N$501,'Per Line'!$A$2:$A$501,$A15,'Per Line'!$Y$2:$Y$501,0))</f>
        <v/>
      </c>
      <c r="N15" s="7">
        <f>IF($V15="","",M15*L15)</f>
        <v/>
      </c>
      <c r="O15">
        <f>IF($V15="","",Settings!$C$6)</f>
        <v/>
      </c>
      <c r="P15" s="7">
        <f>IF($V15="","",SUMIFS('Per Line'!$N$2:$N$501,'Per Line'!$A$2:$A$501,$A15,'Per Line'!$Y$2:$Y$501,1))</f>
        <v/>
      </c>
      <c r="Q15" s="7">
        <f>IF($V15="","",P15*O15)</f>
        <v/>
      </c>
      <c r="R15" s="7">
        <f>IF($V15="","",Q15+N15)</f>
        <v/>
      </c>
      <c r="S15" s="7">
        <f>IF($V15="","",T15-R15)</f>
        <v/>
      </c>
      <c r="T15" s="7">
        <f>IF($V15="","",M15+P15)</f>
        <v/>
      </c>
      <c r="U15" s="7">
        <f>IF($V15="","",T15-R15-G15)</f>
        <v/>
      </c>
      <c r="V15" s="13">
        <f>IF(ROWS($V$2:$V15)&lt;=MAX('Per Line'!$X$2:$X$501),MATCH(ROWS($V$2:$V15),'Per Line'!$X$2:$X$501,0),"")</f>
        <v/>
      </c>
    </row>
    <row r="16">
      <c r="A16">
        <f>IF($V16="","",INDEX('Per Line'!$A$2:$A$501,$V16)&amp;"")</f>
        <v/>
      </c>
      <c r="B16" s="12" t="n"/>
      <c r="C16">
        <f>IF($V16="","",INDEX('Per Line'!$B$2:$B$501,$V16)&amp;"")</f>
        <v/>
      </c>
      <c r="D16">
        <f>IF($V16="","",INDEX('Per Line'!$C$2:$C$501,$V16)&amp;"")</f>
        <v/>
      </c>
      <c r="E16">
        <f>IF($V16="","",INDEX('Per Line'!$D$2:$D$501,$V16)&amp;"")</f>
        <v/>
      </c>
      <c r="F16">
        <f>IF($V16="","",INDEX('Per Line'!$E$2:$E$501,$V16))</f>
        <v/>
      </c>
      <c r="G16" s="7">
        <f>IF($V16="","",F16*T16/100)</f>
        <v/>
      </c>
      <c r="H16">
        <f>IF($V16="","",INDEX('Per Line'!$Q$2:$Q$501,$V16)&amp;"")</f>
        <v/>
      </c>
      <c r="I16">
        <f>IF($V16="","",INDEX('Per Line'!$R$2:$R$501,$V16)&amp;"")</f>
        <v/>
      </c>
      <c r="J16" s="11">
        <f>IF($V16="","",INDEX('Per Line'!$S$2:$S$501,$V16))</f>
        <v/>
      </c>
      <c r="K16">
        <f>IF($V16="","",INDEX('Per Line'!$T$2:$T$501,$V16)&amp;"")</f>
        <v/>
      </c>
      <c r="L16">
        <f>IF($V16="","",Settings!$C$7)</f>
        <v/>
      </c>
      <c r="M16" s="7">
        <f>IF($V16="","",SUMIFS('Per Line'!$N$2:$N$501,'Per Line'!$A$2:$A$501,$A16,'Per Line'!$Y$2:$Y$501,0))</f>
        <v/>
      </c>
      <c r="N16" s="7">
        <f>IF($V16="","",M16*L16)</f>
        <v/>
      </c>
      <c r="O16">
        <f>IF($V16="","",Settings!$C$6)</f>
        <v/>
      </c>
      <c r="P16" s="7">
        <f>IF($V16="","",SUMIFS('Per Line'!$N$2:$N$501,'Per Line'!$A$2:$A$501,$A16,'Per Line'!$Y$2:$Y$501,1))</f>
        <v/>
      </c>
      <c r="Q16" s="7">
        <f>IF($V16="","",P16*O16)</f>
        <v/>
      </c>
      <c r="R16" s="7">
        <f>IF($V16="","",Q16+N16)</f>
        <v/>
      </c>
      <c r="S16" s="7">
        <f>IF($V16="","",T16-R16)</f>
        <v/>
      </c>
      <c r="T16" s="7">
        <f>IF($V16="","",M16+P16)</f>
        <v/>
      </c>
      <c r="U16" s="7">
        <f>IF($V16="","",T16-R16-G16)</f>
        <v/>
      </c>
      <c r="V16" s="13">
        <f>IF(ROWS($V$2:$V16)&lt;=MAX('Per Line'!$X$2:$X$501),MATCH(ROWS($V$2:$V16),'Per Line'!$X$2:$X$501,0),"")</f>
        <v/>
      </c>
    </row>
    <row r="17">
      <c r="A17">
        <f>IF($V17="","",INDEX('Per Line'!$A$2:$A$501,$V17)&amp;"")</f>
        <v/>
      </c>
      <c r="B17" s="12" t="n"/>
      <c r="C17">
        <f>IF($V17="","",INDEX('Per Line'!$B$2:$B$501,$V17)&amp;"")</f>
        <v/>
      </c>
      <c r="D17">
        <f>IF($V17="","",INDEX('Per Line'!$C$2:$C$501,$V17)&amp;"")</f>
        <v/>
      </c>
      <c r="E17">
        <f>IF($V17="","",INDEX('Per Line'!$D$2:$D$501,$V17)&amp;"")</f>
        <v/>
      </c>
      <c r="F17">
        <f>IF($V17="","",INDEX('Per Line'!$E$2:$E$501,$V17))</f>
        <v/>
      </c>
      <c r="G17" s="7">
        <f>IF($V17="","",F17*T17/100)</f>
        <v/>
      </c>
      <c r="H17">
        <f>IF($V17="","",INDEX('Per Line'!$Q$2:$Q$501,$V17)&amp;"")</f>
        <v/>
      </c>
      <c r="I17">
        <f>IF($V17="","",INDEX('Per Line'!$R$2:$R$501,$V17)&amp;"")</f>
        <v/>
      </c>
      <c r="J17" s="11">
        <f>IF($V17="","",INDEX('Per Line'!$S$2:$S$501,$V17))</f>
        <v/>
      </c>
      <c r="K17">
        <f>IF($V17="","",INDEX('Per Line'!$T$2:$T$501,$V17)&amp;"")</f>
        <v/>
      </c>
      <c r="L17">
        <f>IF($V17="","",Settings!$C$7)</f>
        <v/>
      </c>
      <c r="M17" s="7">
        <f>IF($V17="","",SUMIFS('Per Line'!$N$2:$N$501,'Per Line'!$A$2:$A$501,$A17,'Per Line'!$Y$2:$Y$501,0))</f>
        <v/>
      </c>
      <c r="N17" s="7">
        <f>IF($V17="","",M17*L17)</f>
        <v/>
      </c>
      <c r="O17">
        <f>IF($V17="","",Settings!$C$6)</f>
        <v/>
      </c>
      <c r="P17" s="7">
        <f>IF($V17="","",SUMIFS('Per Line'!$N$2:$N$501,'Per Line'!$A$2:$A$501,$A17,'Per Line'!$Y$2:$Y$501,1))</f>
        <v/>
      </c>
      <c r="Q17" s="7">
        <f>IF($V17="","",P17*O17)</f>
        <v/>
      </c>
      <c r="R17" s="7">
        <f>IF($V17="","",Q17+N17)</f>
        <v/>
      </c>
      <c r="S17" s="7">
        <f>IF($V17="","",T17-R17)</f>
        <v/>
      </c>
      <c r="T17" s="7">
        <f>IF($V17="","",M17+P17)</f>
        <v/>
      </c>
      <c r="U17" s="7">
        <f>IF($V17="","",T17-R17-G17)</f>
        <v/>
      </c>
      <c r="V17" s="13">
        <f>IF(ROWS($V$2:$V17)&lt;=MAX('Per Line'!$X$2:$X$501),MATCH(ROWS($V$2:$V17),'Per Line'!$X$2:$X$501,0),"")</f>
        <v/>
      </c>
    </row>
    <row r="18">
      <c r="A18">
        <f>IF($V18="","",INDEX('Per Line'!$A$2:$A$501,$V18)&amp;"")</f>
        <v/>
      </c>
      <c r="B18" s="12" t="n"/>
      <c r="C18">
        <f>IF($V18="","",INDEX('Per Line'!$B$2:$B$501,$V18)&amp;"")</f>
        <v/>
      </c>
      <c r="D18">
        <f>IF($V18="","",INDEX('Per Line'!$C$2:$C$501,$V18)&amp;"")</f>
        <v/>
      </c>
      <c r="E18">
        <f>IF($V18="","",INDEX('Per Line'!$D$2:$D$501,$V18)&amp;"")</f>
        <v/>
      </c>
      <c r="F18">
        <f>IF($V18="","",INDEX('Per Line'!$E$2:$E$501,$V18))</f>
        <v/>
      </c>
      <c r="G18" s="7">
        <f>IF($V18="","",F18*T18/100)</f>
        <v/>
      </c>
      <c r="H18">
        <f>IF($V18="","",INDEX('Per Line'!$Q$2:$Q$501,$V18)&amp;"")</f>
        <v/>
      </c>
      <c r="I18">
        <f>IF($V18="","",INDEX('Per Line'!$R$2:$R$501,$V18)&amp;"")</f>
        <v/>
      </c>
      <c r="J18" s="11">
        <f>IF($V18="","",INDEX('Per Line'!$S$2:$S$501,$V18))</f>
        <v/>
      </c>
      <c r="K18">
        <f>IF($V18="","",INDEX('Per Line'!$T$2:$T$501,$V18)&amp;"")</f>
        <v/>
      </c>
      <c r="L18">
        <f>IF($V18="","",Settings!$C$7)</f>
        <v/>
      </c>
      <c r="M18" s="7">
        <f>IF($V18="","",SUMIFS('Per Line'!$N$2:$N$501,'Per Line'!$A$2:$A$501,$A18,'Per Line'!$Y$2:$Y$501,0))</f>
        <v/>
      </c>
      <c r="N18" s="7">
        <f>IF($V18="","",M18*L18)</f>
        <v/>
      </c>
      <c r="O18">
        <f>IF($V18="","",Settings!$C$6)</f>
        <v/>
      </c>
      <c r="P18" s="7">
        <f>IF($V18="","",SUMIFS('Per Line'!$N$2:$N$501,'Per Line'!$A$2:$A$501,$A18,'Per Line'!$Y$2:$Y$501,1))</f>
        <v/>
      </c>
      <c r="Q18" s="7">
        <f>IF($V18="","",P18*O18)</f>
        <v/>
      </c>
      <c r="R18" s="7">
        <f>IF($V18="","",Q18+N18)</f>
        <v/>
      </c>
      <c r="S18" s="7">
        <f>IF($V18="","",T18-R18)</f>
        <v/>
      </c>
      <c r="T18" s="7">
        <f>IF($V18="","",M18+P18)</f>
        <v/>
      </c>
      <c r="U18" s="7">
        <f>IF($V18="","",T18-R18-G18)</f>
        <v/>
      </c>
      <c r="V18" s="13">
        <f>IF(ROWS($V$2:$V18)&lt;=MAX('Per Line'!$X$2:$X$501),MATCH(ROWS($V$2:$V18),'Per Line'!$X$2:$X$501,0),"")</f>
        <v/>
      </c>
    </row>
    <row r="19">
      <c r="A19">
        <f>IF($V19="","",INDEX('Per Line'!$A$2:$A$501,$V19)&amp;"")</f>
        <v/>
      </c>
      <c r="B19" s="12" t="n"/>
      <c r="C19">
        <f>IF($V19="","",INDEX('Per Line'!$B$2:$B$501,$V19)&amp;"")</f>
        <v/>
      </c>
      <c r="D19">
        <f>IF($V19="","",INDEX('Per Line'!$C$2:$C$501,$V19)&amp;"")</f>
        <v/>
      </c>
      <c r="E19">
        <f>IF($V19="","",INDEX('Per Line'!$D$2:$D$501,$V19)&amp;"")</f>
        <v/>
      </c>
      <c r="F19">
        <f>IF($V19="","",INDEX('Per Line'!$E$2:$E$501,$V19))</f>
        <v/>
      </c>
      <c r="G19" s="7">
        <f>IF($V19="","",F19*T19/100)</f>
        <v/>
      </c>
      <c r="H19">
        <f>IF($V19="","",INDEX('Per Line'!$Q$2:$Q$501,$V19)&amp;"")</f>
        <v/>
      </c>
      <c r="I19">
        <f>IF($V19="","",INDEX('Per Line'!$R$2:$R$501,$V19)&amp;"")</f>
        <v/>
      </c>
      <c r="J19" s="11">
        <f>IF($V19="","",INDEX('Per Line'!$S$2:$S$501,$V19))</f>
        <v/>
      </c>
      <c r="K19">
        <f>IF($V19="","",INDEX('Per Line'!$T$2:$T$501,$V19)&amp;"")</f>
        <v/>
      </c>
      <c r="L19">
        <f>IF($V19="","",Settings!$C$7)</f>
        <v/>
      </c>
      <c r="M19" s="7">
        <f>IF($V19="","",SUMIFS('Per Line'!$N$2:$N$501,'Per Line'!$A$2:$A$501,$A19,'Per Line'!$Y$2:$Y$501,0))</f>
        <v/>
      </c>
      <c r="N19" s="7">
        <f>IF($V19="","",M19*L19)</f>
        <v/>
      </c>
      <c r="O19">
        <f>IF($V19="","",Settings!$C$6)</f>
        <v/>
      </c>
      <c r="P19" s="7">
        <f>IF($V19="","",SUMIFS('Per Line'!$N$2:$N$501,'Per Line'!$A$2:$A$501,$A19,'Per Line'!$Y$2:$Y$501,1))</f>
        <v/>
      </c>
      <c r="Q19" s="7">
        <f>IF($V19="","",P19*O19)</f>
        <v/>
      </c>
      <c r="R19" s="7">
        <f>IF($V19="","",Q19+N19)</f>
        <v/>
      </c>
      <c r="S19" s="7">
        <f>IF($V19="","",T19-R19)</f>
        <v/>
      </c>
      <c r="T19" s="7">
        <f>IF($V19="","",M19+P19)</f>
        <v/>
      </c>
      <c r="U19" s="7">
        <f>IF($V19="","",T19-R19-G19)</f>
        <v/>
      </c>
      <c r="V19" s="13">
        <f>IF(ROWS($V$2:$V19)&lt;=MAX('Per Line'!$X$2:$X$501),MATCH(ROWS($V$2:$V19),'Per Line'!$X$2:$X$501,0),"")</f>
        <v/>
      </c>
    </row>
    <row r="20">
      <c r="A20">
        <f>IF($V20="","",INDEX('Per Line'!$A$2:$A$501,$V20)&amp;"")</f>
        <v/>
      </c>
      <c r="B20" s="12" t="n"/>
      <c r="C20">
        <f>IF($V20="","",INDEX('Per Line'!$B$2:$B$501,$V20)&amp;"")</f>
        <v/>
      </c>
      <c r="D20">
        <f>IF($V20="","",INDEX('Per Line'!$C$2:$C$501,$V20)&amp;"")</f>
        <v/>
      </c>
      <c r="E20">
        <f>IF($V20="","",INDEX('Per Line'!$D$2:$D$501,$V20)&amp;"")</f>
        <v/>
      </c>
      <c r="F20">
        <f>IF($V20="","",INDEX('Per Line'!$E$2:$E$501,$V20))</f>
        <v/>
      </c>
      <c r="G20" s="7">
        <f>IF($V20="","",F20*T20/100)</f>
        <v/>
      </c>
      <c r="H20">
        <f>IF($V20="","",INDEX('Per Line'!$Q$2:$Q$501,$V20)&amp;"")</f>
        <v/>
      </c>
      <c r="I20">
        <f>IF($V20="","",INDEX('Per Line'!$R$2:$R$501,$V20)&amp;"")</f>
        <v/>
      </c>
      <c r="J20" s="11">
        <f>IF($V20="","",INDEX('Per Line'!$S$2:$S$501,$V20))</f>
        <v/>
      </c>
      <c r="K20">
        <f>IF($V20="","",INDEX('Per Line'!$T$2:$T$501,$V20)&amp;"")</f>
        <v/>
      </c>
      <c r="L20">
        <f>IF($V20="","",Settings!$C$7)</f>
        <v/>
      </c>
      <c r="M20" s="7">
        <f>IF($V20="","",SUMIFS('Per Line'!$N$2:$N$501,'Per Line'!$A$2:$A$501,$A20,'Per Line'!$Y$2:$Y$501,0))</f>
        <v/>
      </c>
      <c r="N20" s="7">
        <f>IF($V20="","",M20*L20)</f>
        <v/>
      </c>
      <c r="O20">
        <f>IF($V20="","",Settings!$C$6)</f>
        <v/>
      </c>
      <c r="P20" s="7">
        <f>IF($V20="","",SUMIFS('Per Line'!$N$2:$N$501,'Per Line'!$A$2:$A$501,$A20,'Per Line'!$Y$2:$Y$501,1))</f>
        <v/>
      </c>
      <c r="Q20" s="7">
        <f>IF($V20="","",P20*O20)</f>
        <v/>
      </c>
      <c r="R20" s="7">
        <f>IF($V20="","",Q20+N20)</f>
        <v/>
      </c>
      <c r="S20" s="7">
        <f>IF($V20="","",T20-R20)</f>
        <v/>
      </c>
      <c r="T20" s="7">
        <f>IF($V20="","",M20+P20)</f>
        <v/>
      </c>
      <c r="U20" s="7">
        <f>IF($V20="","",T20-R20-G20)</f>
        <v/>
      </c>
      <c r="V20" s="13">
        <f>IF(ROWS($V$2:$V20)&lt;=MAX('Per Line'!$X$2:$X$501),MATCH(ROWS($V$2:$V20),'Per Line'!$X$2:$X$501,0),"")</f>
        <v/>
      </c>
    </row>
    <row r="21">
      <c r="A21">
        <f>IF($V21="","",INDEX('Per Line'!$A$2:$A$501,$V21)&amp;"")</f>
        <v/>
      </c>
      <c r="B21" s="12" t="n"/>
      <c r="C21">
        <f>IF($V21="","",INDEX('Per Line'!$B$2:$B$501,$V21)&amp;"")</f>
        <v/>
      </c>
      <c r="D21">
        <f>IF($V21="","",INDEX('Per Line'!$C$2:$C$501,$V21)&amp;"")</f>
        <v/>
      </c>
      <c r="E21">
        <f>IF($V21="","",INDEX('Per Line'!$D$2:$D$501,$V21)&amp;"")</f>
        <v/>
      </c>
      <c r="F21">
        <f>IF($V21="","",INDEX('Per Line'!$E$2:$E$501,$V21))</f>
        <v/>
      </c>
      <c r="G21" s="7">
        <f>IF($V21="","",F21*T21/100)</f>
        <v/>
      </c>
      <c r="H21">
        <f>IF($V21="","",INDEX('Per Line'!$Q$2:$Q$501,$V21)&amp;"")</f>
        <v/>
      </c>
      <c r="I21">
        <f>IF($V21="","",INDEX('Per Line'!$R$2:$R$501,$V21)&amp;"")</f>
        <v/>
      </c>
      <c r="J21" s="11">
        <f>IF($V21="","",INDEX('Per Line'!$S$2:$S$501,$V21))</f>
        <v/>
      </c>
      <c r="K21">
        <f>IF($V21="","",INDEX('Per Line'!$T$2:$T$501,$V21)&amp;"")</f>
        <v/>
      </c>
      <c r="L21">
        <f>IF($V21="","",Settings!$C$7)</f>
        <v/>
      </c>
      <c r="M21" s="7">
        <f>IF($V21="","",SUMIFS('Per Line'!$N$2:$N$501,'Per Line'!$A$2:$A$501,$A21,'Per Line'!$Y$2:$Y$501,0))</f>
        <v/>
      </c>
      <c r="N21" s="7">
        <f>IF($V21="","",M21*L21)</f>
        <v/>
      </c>
      <c r="O21">
        <f>IF($V21="","",Settings!$C$6)</f>
        <v/>
      </c>
      <c r="P21" s="7">
        <f>IF($V21="","",SUMIFS('Per Line'!$N$2:$N$501,'Per Line'!$A$2:$A$501,$A21,'Per Line'!$Y$2:$Y$501,1))</f>
        <v/>
      </c>
      <c r="Q21" s="7">
        <f>IF($V21="","",P21*O21)</f>
        <v/>
      </c>
      <c r="R21" s="7">
        <f>IF($V21="","",Q21+N21)</f>
        <v/>
      </c>
      <c r="S21" s="7">
        <f>IF($V21="","",T21-R21)</f>
        <v/>
      </c>
      <c r="T21" s="7">
        <f>IF($V21="","",M21+P21)</f>
        <v/>
      </c>
      <c r="U21" s="7">
        <f>IF($V21="","",T21-R21-G21)</f>
        <v/>
      </c>
      <c r="V21" s="13">
        <f>IF(ROWS($V$2:$V21)&lt;=MAX('Per Line'!$X$2:$X$501),MATCH(ROWS($V$2:$V21),'Per Line'!$X$2:$X$501,0),"")</f>
        <v/>
      </c>
    </row>
    <row r="22">
      <c r="A22">
        <f>IF($V22="","",INDEX('Per Line'!$A$2:$A$501,$V22)&amp;"")</f>
        <v/>
      </c>
      <c r="B22" s="12" t="n"/>
      <c r="C22">
        <f>IF($V22="","",INDEX('Per Line'!$B$2:$B$501,$V22)&amp;"")</f>
        <v/>
      </c>
      <c r="D22">
        <f>IF($V22="","",INDEX('Per Line'!$C$2:$C$501,$V22)&amp;"")</f>
        <v/>
      </c>
      <c r="E22">
        <f>IF($V22="","",INDEX('Per Line'!$D$2:$D$501,$V22)&amp;"")</f>
        <v/>
      </c>
      <c r="F22">
        <f>IF($V22="","",INDEX('Per Line'!$E$2:$E$501,$V22))</f>
        <v/>
      </c>
      <c r="G22" s="7">
        <f>IF($V22="","",F22*T22/100)</f>
        <v/>
      </c>
      <c r="H22">
        <f>IF($V22="","",INDEX('Per Line'!$Q$2:$Q$501,$V22)&amp;"")</f>
        <v/>
      </c>
      <c r="I22">
        <f>IF($V22="","",INDEX('Per Line'!$R$2:$R$501,$V22)&amp;"")</f>
        <v/>
      </c>
      <c r="J22" s="11">
        <f>IF($V22="","",INDEX('Per Line'!$S$2:$S$501,$V22))</f>
        <v/>
      </c>
      <c r="K22">
        <f>IF($V22="","",INDEX('Per Line'!$T$2:$T$501,$V22)&amp;"")</f>
        <v/>
      </c>
      <c r="L22">
        <f>IF($V22="","",Settings!$C$7)</f>
        <v/>
      </c>
      <c r="M22" s="7">
        <f>IF($V22="","",SUMIFS('Per Line'!$N$2:$N$501,'Per Line'!$A$2:$A$501,$A22,'Per Line'!$Y$2:$Y$501,0))</f>
        <v/>
      </c>
      <c r="N22" s="7">
        <f>IF($V22="","",M22*L22)</f>
        <v/>
      </c>
      <c r="O22">
        <f>IF($V22="","",Settings!$C$6)</f>
        <v/>
      </c>
      <c r="P22" s="7">
        <f>IF($V22="","",SUMIFS('Per Line'!$N$2:$N$501,'Per Line'!$A$2:$A$501,$A22,'Per Line'!$Y$2:$Y$501,1))</f>
        <v/>
      </c>
      <c r="Q22" s="7">
        <f>IF($V22="","",P22*O22)</f>
        <v/>
      </c>
      <c r="R22" s="7">
        <f>IF($V22="","",Q22+N22)</f>
        <v/>
      </c>
      <c r="S22" s="7">
        <f>IF($V22="","",T22-R22)</f>
        <v/>
      </c>
      <c r="T22" s="7">
        <f>IF($V22="","",M22+P22)</f>
        <v/>
      </c>
      <c r="U22" s="7">
        <f>IF($V22="","",T22-R22-G22)</f>
        <v/>
      </c>
      <c r="V22" s="13">
        <f>IF(ROWS($V$2:$V22)&lt;=MAX('Per Line'!$X$2:$X$501),MATCH(ROWS($V$2:$V22),'Per Line'!$X$2:$X$501,0),"")</f>
        <v/>
      </c>
    </row>
    <row r="23">
      <c r="A23">
        <f>IF($V23="","",INDEX('Per Line'!$A$2:$A$501,$V23)&amp;"")</f>
        <v/>
      </c>
      <c r="B23" s="12" t="n"/>
      <c r="C23">
        <f>IF($V23="","",INDEX('Per Line'!$B$2:$B$501,$V23)&amp;"")</f>
        <v/>
      </c>
      <c r="D23">
        <f>IF($V23="","",INDEX('Per Line'!$C$2:$C$501,$V23)&amp;"")</f>
        <v/>
      </c>
      <c r="E23">
        <f>IF($V23="","",INDEX('Per Line'!$D$2:$D$501,$V23)&amp;"")</f>
        <v/>
      </c>
      <c r="F23">
        <f>IF($V23="","",INDEX('Per Line'!$E$2:$E$501,$V23))</f>
        <v/>
      </c>
      <c r="G23" s="7">
        <f>IF($V23="","",F23*T23/100)</f>
        <v/>
      </c>
      <c r="H23">
        <f>IF($V23="","",INDEX('Per Line'!$Q$2:$Q$501,$V23)&amp;"")</f>
        <v/>
      </c>
      <c r="I23">
        <f>IF($V23="","",INDEX('Per Line'!$R$2:$R$501,$V23)&amp;"")</f>
        <v/>
      </c>
      <c r="J23" s="11">
        <f>IF($V23="","",INDEX('Per Line'!$S$2:$S$501,$V23))</f>
        <v/>
      </c>
      <c r="K23">
        <f>IF($V23="","",INDEX('Per Line'!$T$2:$T$501,$V23)&amp;"")</f>
        <v/>
      </c>
      <c r="L23">
        <f>IF($V23="","",Settings!$C$7)</f>
        <v/>
      </c>
      <c r="M23" s="7">
        <f>IF($V23="","",SUMIFS('Per Line'!$N$2:$N$501,'Per Line'!$A$2:$A$501,$A23,'Per Line'!$Y$2:$Y$501,0))</f>
        <v/>
      </c>
      <c r="N23" s="7">
        <f>IF($V23="","",M23*L23)</f>
        <v/>
      </c>
      <c r="O23">
        <f>IF($V23="","",Settings!$C$6)</f>
        <v/>
      </c>
      <c r="P23" s="7">
        <f>IF($V23="","",SUMIFS('Per Line'!$N$2:$N$501,'Per Line'!$A$2:$A$501,$A23,'Per Line'!$Y$2:$Y$501,1))</f>
        <v/>
      </c>
      <c r="Q23" s="7">
        <f>IF($V23="","",P23*O23)</f>
        <v/>
      </c>
      <c r="R23" s="7">
        <f>IF($V23="","",Q23+N23)</f>
        <v/>
      </c>
      <c r="S23" s="7">
        <f>IF($V23="","",T23-R23)</f>
        <v/>
      </c>
      <c r="T23" s="7">
        <f>IF($V23="","",M23+P23)</f>
        <v/>
      </c>
      <c r="U23" s="7">
        <f>IF($V23="","",T23-R23-G23)</f>
        <v/>
      </c>
      <c r="V23" s="13">
        <f>IF(ROWS($V$2:$V23)&lt;=MAX('Per Line'!$X$2:$X$501),MATCH(ROWS($V$2:$V23),'Per Line'!$X$2:$X$501,0),"")</f>
        <v/>
      </c>
    </row>
    <row r="24">
      <c r="A24">
        <f>IF($V24="","",INDEX('Per Line'!$A$2:$A$501,$V24)&amp;"")</f>
        <v/>
      </c>
      <c r="B24" s="12" t="n"/>
      <c r="C24">
        <f>IF($V24="","",INDEX('Per Line'!$B$2:$B$501,$V24)&amp;"")</f>
        <v/>
      </c>
      <c r="D24">
        <f>IF($V24="","",INDEX('Per Line'!$C$2:$C$501,$V24)&amp;"")</f>
        <v/>
      </c>
      <c r="E24">
        <f>IF($V24="","",INDEX('Per Line'!$D$2:$D$501,$V24)&amp;"")</f>
        <v/>
      </c>
      <c r="F24">
        <f>IF($V24="","",INDEX('Per Line'!$E$2:$E$501,$V24))</f>
        <v/>
      </c>
      <c r="G24" s="7">
        <f>IF($V24="","",F24*T24/100)</f>
        <v/>
      </c>
      <c r="H24">
        <f>IF($V24="","",INDEX('Per Line'!$Q$2:$Q$501,$V24)&amp;"")</f>
        <v/>
      </c>
      <c r="I24">
        <f>IF($V24="","",INDEX('Per Line'!$R$2:$R$501,$V24)&amp;"")</f>
        <v/>
      </c>
      <c r="J24" s="11">
        <f>IF($V24="","",INDEX('Per Line'!$S$2:$S$501,$V24))</f>
        <v/>
      </c>
      <c r="K24">
        <f>IF($V24="","",INDEX('Per Line'!$T$2:$T$501,$V24)&amp;"")</f>
        <v/>
      </c>
      <c r="L24">
        <f>IF($V24="","",Settings!$C$7)</f>
        <v/>
      </c>
      <c r="M24" s="7">
        <f>IF($V24="","",SUMIFS('Per Line'!$N$2:$N$501,'Per Line'!$A$2:$A$501,$A24,'Per Line'!$Y$2:$Y$501,0))</f>
        <v/>
      </c>
      <c r="N24" s="7">
        <f>IF($V24="","",M24*L24)</f>
        <v/>
      </c>
      <c r="O24">
        <f>IF($V24="","",Settings!$C$6)</f>
        <v/>
      </c>
      <c r="P24" s="7">
        <f>IF($V24="","",SUMIFS('Per Line'!$N$2:$N$501,'Per Line'!$A$2:$A$501,$A24,'Per Line'!$Y$2:$Y$501,1))</f>
        <v/>
      </c>
      <c r="Q24" s="7">
        <f>IF($V24="","",P24*O24)</f>
        <v/>
      </c>
      <c r="R24" s="7">
        <f>IF($V24="","",Q24+N24)</f>
        <v/>
      </c>
      <c r="S24" s="7">
        <f>IF($V24="","",T24-R24)</f>
        <v/>
      </c>
      <c r="T24" s="7">
        <f>IF($V24="","",M24+P24)</f>
        <v/>
      </c>
      <c r="U24" s="7">
        <f>IF($V24="","",T24-R24-G24)</f>
        <v/>
      </c>
      <c r="V24" s="13">
        <f>IF(ROWS($V$2:$V24)&lt;=MAX('Per Line'!$X$2:$X$501),MATCH(ROWS($V$2:$V24),'Per Line'!$X$2:$X$501,0),"")</f>
        <v/>
      </c>
    </row>
    <row r="25">
      <c r="A25">
        <f>IF($V25="","",INDEX('Per Line'!$A$2:$A$501,$V25)&amp;"")</f>
        <v/>
      </c>
      <c r="B25" s="12" t="n"/>
      <c r="C25">
        <f>IF($V25="","",INDEX('Per Line'!$B$2:$B$501,$V25)&amp;"")</f>
        <v/>
      </c>
      <c r="D25">
        <f>IF($V25="","",INDEX('Per Line'!$C$2:$C$501,$V25)&amp;"")</f>
        <v/>
      </c>
      <c r="E25">
        <f>IF($V25="","",INDEX('Per Line'!$D$2:$D$501,$V25)&amp;"")</f>
        <v/>
      </c>
      <c r="F25">
        <f>IF($V25="","",INDEX('Per Line'!$E$2:$E$501,$V25))</f>
        <v/>
      </c>
      <c r="G25" s="7">
        <f>IF($V25="","",F25*T25/100)</f>
        <v/>
      </c>
      <c r="H25">
        <f>IF($V25="","",INDEX('Per Line'!$Q$2:$Q$501,$V25)&amp;"")</f>
        <v/>
      </c>
      <c r="I25">
        <f>IF($V25="","",INDEX('Per Line'!$R$2:$R$501,$V25)&amp;"")</f>
        <v/>
      </c>
      <c r="J25" s="11">
        <f>IF($V25="","",INDEX('Per Line'!$S$2:$S$501,$V25))</f>
        <v/>
      </c>
      <c r="K25">
        <f>IF($V25="","",INDEX('Per Line'!$T$2:$T$501,$V25)&amp;"")</f>
        <v/>
      </c>
      <c r="L25">
        <f>IF($V25="","",Settings!$C$7)</f>
        <v/>
      </c>
      <c r="M25" s="7">
        <f>IF($V25="","",SUMIFS('Per Line'!$N$2:$N$501,'Per Line'!$A$2:$A$501,$A25,'Per Line'!$Y$2:$Y$501,0))</f>
        <v/>
      </c>
      <c r="N25" s="7">
        <f>IF($V25="","",M25*L25)</f>
        <v/>
      </c>
      <c r="O25">
        <f>IF($V25="","",Settings!$C$6)</f>
        <v/>
      </c>
      <c r="P25" s="7">
        <f>IF($V25="","",SUMIFS('Per Line'!$N$2:$N$501,'Per Line'!$A$2:$A$501,$A25,'Per Line'!$Y$2:$Y$501,1))</f>
        <v/>
      </c>
      <c r="Q25" s="7">
        <f>IF($V25="","",P25*O25)</f>
        <v/>
      </c>
      <c r="R25" s="7">
        <f>IF($V25="","",Q25+N25)</f>
        <v/>
      </c>
      <c r="S25" s="7">
        <f>IF($V25="","",T25-R25)</f>
        <v/>
      </c>
      <c r="T25" s="7">
        <f>IF($V25="","",M25+P25)</f>
        <v/>
      </c>
      <c r="U25" s="7">
        <f>IF($V25="","",T25-R25-G25)</f>
        <v/>
      </c>
      <c r="V25" s="13">
        <f>IF(ROWS($V$2:$V25)&lt;=MAX('Per Line'!$X$2:$X$501),MATCH(ROWS($V$2:$V25),'Per Line'!$X$2:$X$501,0),"")</f>
        <v/>
      </c>
    </row>
    <row r="26">
      <c r="A26">
        <f>IF($V26="","",INDEX('Per Line'!$A$2:$A$501,$V26)&amp;"")</f>
        <v/>
      </c>
      <c r="B26" s="12" t="n"/>
      <c r="C26">
        <f>IF($V26="","",INDEX('Per Line'!$B$2:$B$501,$V26)&amp;"")</f>
        <v/>
      </c>
      <c r="D26">
        <f>IF($V26="","",INDEX('Per Line'!$C$2:$C$501,$V26)&amp;"")</f>
        <v/>
      </c>
      <c r="E26">
        <f>IF($V26="","",INDEX('Per Line'!$D$2:$D$501,$V26)&amp;"")</f>
        <v/>
      </c>
      <c r="F26">
        <f>IF($V26="","",INDEX('Per Line'!$E$2:$E$501,$V26))</f>
        <v/>
      </c>
      <c r="G26" s="7">
        <f>IF($V26="","",F26*T26/100)</f>
        <v/>
      </c>
      <c r="H26">
        <f>IF($V26="","",INDEX('Per Line'!$Q$2:$Q$501,$V26)&amp;"")</f>
        <v/>
      </c>
      <c r="I26">
        <f>IF($V26="","",INDEX('Per Line'!$R$2:$R$501,$V26)&amp;"")</f>
        <v/>
      </c>
      <c r="J26" s="11">
        <f>IF($V26="","",INDEX('Per Line'!$S$2:$S$501,$V26))</f>
        <v/>
      </c>
      <c r="K26">
        <f>IF($V26="","",INDEX('Per Line'!$T$2:$T$501,$V26)&amp;"")</f>
        <v/>
      </c>
      <c r="L26">
        <f>IF($V26="","",Settings!$C$7)</f>
        <v/>
      </c>
      <c r="M26" s="7">
        <f>IF($V26="","",SUMIFS('Per Line'!$N$2:$N$501,'Per Line'!$A$2:$A$501,$A26,'Per Line'!$Y$2:$Y$501,0))</f>
        <v/>
      </c>
      <c r="N26" s="7">
        <f>IF($V26="","",M26*L26)</f>
        <v/>
      </c>
      <c r="O26">
        <f>IF($V26="","",Settings!$C$6)</f>
        <v/>
      </c>
      <c r="P26" s="7">
        <f>IF($V26="","",SUMIFS('Per Line'!$N$2:$N$501,'Per Line'!$A$2:$A$501,$A26,'Per Line'!$Y$2:$Y$501,1))</f>
        <v/>
      </c>
      <c r="Q26" s="7">
        <f>IF($V26="","",P26*O26)</f>
        <v/>
      </c>
      <c r="R26" s="7">
        <f>IF($V26="","",Q26+N26)</f>
        <v/>
      </c>
      <c r="S26" s="7">
        <f>IF($V26="","",T26-R26)</f>
        <v/>
      </c>
      <c r="T26" s="7">
        <f>IF($V26="","",M26+P26)</f>
        <v/>
      </c>
      <c r="U26" s="7">
        <f>IF($V26="","",T26-R26-G26)</f>
        <v/>
      </c>
      <c r="V26" s="13">
        <f>IF(ROWS($V$2:$V26)&lt;=MAX('Per Line'!$X$2:$X$501),MATCH(ROWS($V$2:$V26),'Per Line'!$X$2:$X$501,0),"")</f>
        <v/>
      </c>
    </row>
    <row r="27">
      <c r="A27">
        <f>IF($V27="","",INDEX('Per Line'!$A$2:$A$501,$V27)&amp;"")</f>
        <v/>
      </c>
      <c r="B27" s="12" t="n"/>
      <c r="C27">
        <f>IF($V27="","",INDEX('Per Line'!$B$2:$B$501,$V27)&amp;"")</f>
        <v/>
      </c>
      <c r="D27">
        <f>IF($V27="","",INDEX('Per Line'!$C$2:$C$501,$V27)&amp;"")</f>
        <v/>
      </c>
      <c r="E27">
        <f>IF($V27="","",INDEX('Per Line'!$D$2:$D$501,$V27)&amp;"")</f>
        <v/>
      </c>
      <c r="F27">
        <f>IF($V27="","",INDEX('Per Line'!$E$2:$E$501,$V27))</f>
        <v/>
      </c>
      <c r="G27" s="7">
        <f>IF($V27="","",F27*T27/100)</f>
        <v/>
      </c>
      <c r="H27">
        <f>IF($V27="","",INDEX('Per Line'!$Q$2:$Q$501,$V27)&amp;"")</f>
        <v/>
      </c>
      <c r="I27">
        <f>IF($V27="","",INDEX('Per Line'!$R$2:$R$501,$V27)&amp;"")</f>
        <v/>
      </c>
      <c r="J27" s="11">
        <f>IF($V27="","",INDEX('Per Line'!$S$2:$S$501,$V27))</f>
        <v/>
      </c>
      <c r="K27">
        <f>IF($V27="","",INDEX('Per Line'!$T$2:$T$501,$V27)&amp;"")</f>
        <v/>
      </c>
      <c r="L27">
        <f>IF($V27="","",Settings!$C$7)</f>
        <v/>
      </c>
      <c r="M27" s="7">
        <f>IF($V27="","",SUMIFS('Per Line'!$N$2:$N$501,'Per Line'!$A$2:$A$501,$A27,'Per Line'!$Y$2:$Y$501,0))</f>
        <v/>
      </c>
      <c r="N27" s="7">
        <f>IF($V27="","",M27*L27)</f>
        <v/>
      </c>
      <c r="O27">
        <f>IF($V27="","",Settings!$C$6)</f>
        <v/>
      </c>
      <c r="P27" s="7">
        <f>IF($V27="","",SUMIFS('Per Line'!$N$2:$N$501,'Per Line'!$A$2:$A$501,$A27,'Per Line'!$Y$2:$Y$501,1))</f>
        <v/>
      </c>
      <c r="Q27" s="7">
        <f>IF($V27="","",P27*O27)</f>
        <v/>
      </c>
      <c r="R27" s="7">
        <f>IF($V27="","",Q27+N27)</f>
        <v/>
      </c>
      <c r="S27" s="7">
        <f>IF($V27="","",T27-R27)</f>
        <v/>
      </c>
      <c r="T27" s="7">
        <f>IF($V27="","",M27+P27)</f>
        <v/>
      </c>
      <c r="U27" s="7">
        <f>IF($V27="","",T27-R27-G27)</f>
        <v/>
      </c>
      <c r="V27" s="13">
        <f>IF(ROWS($V$2:$V27)&lt;=MAX('Per Line'!$X$2:$X$501),MATCH(ROWS($V$2:$V27),'Per Line'!$X$2:$X$501,0),"")</f>
        <v/>
      </c>
    </row>
    <row r="28">
      <c r="A28">
        <f>IF($V28="","",INDEX('Per Line'!$A$2:$A$501,$V28)&amp;"")</f>
        <v/>
      </c>
      <c r="B28" s="12" t="n"/>
      <c r="C28">
        <f>IF($V28="","",INDEX('Per Line'!$B$2:$B$501,$V28)&amp;"")</f>
        <v/>
      </c>
      <c r="D28">
        <f>IF($V28="","",INDEX('Per Line'!$C$2:$C$501,$V28)&amp;"")</f>
        <v/>
      </c>
      <c r="E28">
        <f>IF($V28="","",INDEX('Per Line'!$D$2:$D$501,$V28)&amp;"")</f>
        <v/>
      </c>
      <c r="F28">
        <f>IF($V28="","",INDEX('Per Line'!$E$2:$E$501,$V28))</f>
        <v/>
      </c>
      <c r="G28" s="7">
        <f>IF($V28="","",F28*T28/100)</f>
        <v/>
      </c>
      <c r="H28">
        <f>IF($V28="","",INDEX('Per Line'!$Q$2:$Q$501,$V28)&amp;"")</f>
        <v/>
      </c>
      <c r="I28">
        <f>IF($V28="","",INDEX('Per Line'!$R$2:$R$501,$V28)&amp;"")</f>
        <v/>
      </c>
      <c r="J28" s="11">
        <f>IF($V28="","",INDEX('Per Line'!$S$2:$S$501,$V28))</f>
        <v/>
      </c>
      <c r="K28">
        <f>IF($V28="","",INDEX('Per Line'!$T$2:$T$501,$V28)&amp;"")</f>
        <v/>
      </c>
      <c r="L28">
        <f>IF($V28="","",Settings!$C$7)</f>
        <v/>
      </c>
      <c r="M28" s="7">
        <f>IF($V28="","",SUMIFS('Per Line'!$N$2:$N$501,'Per Line'!$A$2:$A$501,$A28,'Per Line'!$Y$2:$Y$501,0))</f>
        <v/>
      </c>
      <c r="N28" s="7">
        <f>IF($V28="","",M28*L28)</f>
        <v/>
      </c>
      <c r="O28">
        <f>IF($V28="","",Settings!$C$6)</f>
        <v/>
      </c>
      <c r="P28" s="7">
        <f>IF($V28="","",SUMIFS('Per Line'!$N$2:$N$501,'Per Line'!$A$2:$A$501,$A28,'Per Line'!$Y$2:$Y$501,1))</f>
        <v/>
      </c>
      <c r="Q28" s="7">
        <f>IF($V28="","",P28*O28)</f>
        <v/>
      </c>
      <c r="R28" s="7">
        <f>IF($V28="","",Q28+N28)</f>
        <v/>
      </c>
      <c r="S28" s="7">
        <f>IF($V28="","",T28-R28)</f>
        <v/>
      </c>
      <c r="T28" s="7">
        <f>IF($V28="","",M28+P28)</f>
        <v/>
      </c>
      <c r="U28" s="7">
        <f>IF($V28="","",T28-R28-G28)</f>
        <v/>
      </c>
      <c r="V28" s="13">
        <f>IF(ROWS($V$2:$V28)&lt;=MAX('Per Line'!$X$2:$X$501),MATCH(ROWS($V$2:$V28),'Per Line'!$X$2:$X$501,0),"")</f>
        <v/>
      </c>
    </row>
    <row r="29">
      <c r="A29">
        <f>IF($V29="","",INDEX('Per Line'!$A$2:$A$501,$V29)&amp;"")</f>
        <v/>
      </c>
      <c r="B29" s="12" t="n"/>
      <c r="C29">
        <f>IF($V29="","",INDEX('Per Line'!$B$2:$B$501,$V29)&amp;"")</f>
        <v/>
      </c>
      <c r="D29">
        <f>IF($V29="","",INDEX('Per Line'!$C$2:$C$501,$V29)&amp;"")</f>
        <v/>
      </c>
      <c r="E29">
        <f>IF($V29="","",INDEX('Per Line'!$D$2:$D$501,$V29)&amp;"")</f>
        <v/>
      </c>
      <c r="F29">
        <f>IF($V29="","",INDEX('Per Line'!$E$2:$E$501,$V29))</f>
        <v/>
      </c>
      <c r="G29" s="7">
        <f>IF($V29="","",F29*T29/100)</f>
        <v/>
      </c>
      <c r="H29">
        <f>IF($V29="","",INDEX('Per Line'!$Q$2:$Q$501,$V29)&amp;"")</f>
        <v/>
      </c>
      <c r="I29">
        <f>IF($V29="","",INDEX('Per Line'!$R$2:$R$501,$V29)&amp;"")</f>
        <v/>
      </c>
      <c r="J29" s="11">
        <f>IF($V29="","",INDEX('Per Line'!$S$2:$S$501,$V29))</f>
        <v/>
      </c>
      <c r="K29">
        <f>IF($V29="","",INDEX('Per Line'!$T$2:$T$501,$V29)&amp;"")</f>
        <v/>
      </c>
      <c r="L29">
        <f>IF($V29="","",Settings!$C$7)</f>
        <v/>
      </c>
      <c r="M29" s="7">
        <f>IF($V29="","",SUMIFS('Per Line'!$N$2:$N$501,'Per Line'!$A$2:$A$501,$A29,'Per Line'!$Y$2:$Y$501,0))</f>
        <v/>
      </c>
      <c r="N29" s="7">
        <f>IF($V29="","",M29*L29)</f>
        <v/>
      </c>
      <c r="O29">
        <f>IF($V29="","",Settings!$C$6)</f>
        <v/>
      </c>
      <c r="P29" s="7">
        <f>IF($V29="","",SUMIFS('Per Line'!$N$2:$N$501,'Per Line'!$A$2:$A$501,$A29,'Per Line'!$Y$2:$Y$501,1))</f>
        <v/>
      </c>
      <c r="Q29" s="7">
        <f>IF($V29="","",P29*O29)</f>
        <v/>
      </c>
      <c r="R29" s="7">
        <f>IF($V29="","",Q29+N29)</f>
        <v/>
      </c>
      <c r="S29" s="7">
        <f>IF($V29="","",T29-R29)</f>
        <v/>
      </c>
      <c r="T29" s="7">
        <f>IF($V29="","",M29+P29)</f>
        <v/>
      </c>
      <c r="U29" s="7">
        <f>IF($V29="","",T29-R29-G29)</f>
        <v/>
      </c>
      <c r="V29" s="13">
        <f>IF(ROWS($V$2:$V29)&lt;=MAX('Per Line'!$X$2:$X$501),MATCH(ROWS($V$2:$V29),'Per Line'!$X$2:$X$501,0),"")</f>
        <v/>
      </c>
    </row>
    <row r="30">
      <c r="A30">
        <f>IF($V30="","",INDEX('Per Line'!$A$2:$A$501,$V30)&amp;"")</f>
        <v/>
      </c>
      <c r="B30" s="12" t="n"/>
      <c r="C30">
        <f>IF($V30="","",INDEX('Per Line'!$B$2:$B$501,$V30)&amp;"")</f>
        <v/>
      </c>
      <c r="D30">
        <f>IF($V30="","",INDEX('Per Line'!$C$2:$C$501,$V30)&amp;"")</f>
        <v/>
      </c>
      <c r="E30">
        <f>IF($V30="","",INDEX('Per Line'!$D$2:$D$501,$V30)&amp;"")</f>
        <v/>
      </c>
      <c r="F30">
        <f>IF($V30="","",INDEX('Per Line'!$E$2:$E$501,$V30))</f>
        <v/>
      </c>
      <c r="G30" s="7">
        <f>IF($V30="","",F30*T30/100)</f>
        <v/>
      </c>
      <c r="H30">
        <f>IF($V30="","",INDEX('Per Line'!$Q$2:$Q$501,$V30)&amp;"")</f>
        <v/>
      </c>
      <c r="I30">
        <f>IF($V30="","",INDEX('Per Line'!$R$2:$R$501,$V30)&amp;"")</f>
        <v/>
      </c>
      <c r="J30" s="11">
        <f>IF($V30="","",INDEX('Per Line'!$S$2:$S$501,$V30))</f>
        <v/>
      </c>
      <c r="K30">
        <f>IF($V30="","",INDEX('Per Line'!$T$2:$T$501,$V30)&amp;"")</f>
        <v/>
      </c>
      <c r="L30">
        <f>IF($V30="","",Settings!$C$7)</f>
        <v/>
      </c>
      <c r="M30" s="7">
        <f>IF($V30="","",SUMIFS('Per Line'!$N$2:$N$501,'Per Line'!$A$2:$A$501,$A30,'Per Line'!$Y$2:$Y$501,0))</f>
        <v/>
      </c>
      <c r="N30" s="7">
        <f>IF($V30="","",M30*L30)</f>
        <v/>
      </c>
      <c r="O30">
        <f>IF($V30="","",Settings!$C$6)</f>
        <v/>
      </c>
      <c r="P30" s="7">
        <f>IF($V30="","",SUMIFS('Per Line'!$N$2:$N$501,'Per Line'!$A$2:$A$501,$A30,'Per Line'!$Y$2:$Y$501,1))</f>
        <v/>
      </c>
      <c r="Q30" s="7">
        <f>IF($V30="","",P30*O30)</f>
        <v/>
      </c>
      <c r="R30" s="7">
        <f>IF($V30="","",Q30+N30)</f>
        <v/>
      </c>
      <c r="S30" s="7">
        <f>IF($V30="","",T30-R30)</f>
        <v/>
      </c>
      <c r="T30" s="7">
        <f>IF($V30="","",M30+P30)</f>
        <v/>
      </c>
      <c r="U30" s="7">
        <f>IF($V30="","",T30-R30-G30)</f>
        <v/>
      </c>
      <c r="V30" s="13">
        <f>IF(ROWS($V$2:$V30)&lt;=MAX('Per Line'!$X$2:$X$501),MATCH(ROWS($V$2:$V30),'Per Line'!$X$2:$X$501,0),"")</f>
        <v/>
      </c>
    </row>
    <row r="31">
      <c r="A31">
        <f>IF($V31="","",INDEX('Per Line'!$A$2:$A$501,$V31)&amp;"")</f>
        <v/>
      </c>
      <c r="B31" s="12" t="n"/>
      <c r="C31">
        <f>IF($V31="","",INDEX('Per Line'!$B$2:$B$501,$V31)&amp;"")</f>
        <v/>
      </c>
      <c r="D31">
        <f>IF($V31="","",INDEX('Per Line'!$C$2:$C$501,$V31)&amp;"")</f>
        <v/>
      </c>
      <c r="E31">
        <f>IF($V31="","",INDEX('Per Line'!$D$2:$D$501,$V31)&amp;"")</f>
        <v/>
      </c>
      <c r="F31">
        <f>IF($V31="","",INDEX('Per Line'!$E$2:$E$501,$V31))</f>
        <v/>
      </c>
      <c r="G31" s="7">
        <f>IF($V31="","",F31*T31/100)</f>
        <v/>
      </c>
      <c r="H31">
        <f>IF($V31="","",INDEX('Per Line'!$Q$2:$Q$501,$V31)&amp;"")</f>
        <v/>
      </c>
      <c r="I31">
        <f>IF($V31="","",INDEX('Per Line'!$R$2:$R$501,$V31)&amp;"")</f>
        <v/>
      </c>
      <c r="J31" s="11">
        <f>IF($V31="","",INDEX('Per Line'!$S$2:$S$501,$V31))</f>
        <v/>
      </c>
      <c r="K31">
        <f>IF($V31="","",INDEX('Per Line'!$T$2:$T$501,$V31)&amp;"")</f>
        <v/>
      </c>
      <c r="L31">
        <f>IF($V31="","",Settings!$C$7)</f>
        <v/>
      </c>
      <c r="M31" s="7">
        <f>IF($V31="","",SUMIFS('Per Line'!$N$2:$N$501,'Per Line'!$A$2:$A$501,$A31,'Per Line'!$Y$2:$Y$501,0))</f>
        <v/>
      </c>
      <c r="N31" s="7">
        <f>IF($V31="","",M31*L31)</f>
        <v/>
      </c>
      <c r="O31">
        <f>IF($V31="","",Settings!$C$6)</f>
        <v/>
      </c>
      <c r="P31" s="7">
        <f>IF($V31="","",SUMIFS('Per Line'!$N$2:$N$501,'Per Line'!$A$2:$A$501,$A31,'Per Line'!$Y$2:$Y$501,1))</f>
        <v/>
      </c>
      <c r="Q31" s="7">
        <f>IF($V31="","",P31*O31)</f>
        <v/>
      </c>
      <c r="R31" s="7">
        <f>IF($V31="","",Q31+N31)</f>
        <v/>
      </c>
      <c r="S31" s="7">
        <f>IF($V31="","",T31-R31)</f>
        <v/>
      </c>
      <c r="T31" s="7">
        <f>IF($V31="","",M31+P31)</f>
        <v/>
      </c>
      <c r="U31" s="7">
        <f>IF($V31="","",T31-R31-G31)</f>
        <v/>
      </c>
      <c r="V31" s="13">
        <f>IF(ROWS($V$2:$V31)&lt;=MAX('Per Line'!$X$2:$X$501),MATCH(ROWS($V$2:$V31),'Per Line'!$X$2:$X$501,0),"")</f>
        <v/>
      </c>
    </row>
    <row r="32">
      <c r="A32">
        <f>IF($V32="","",INDEX('Per Line'!$A$2:$A$501,$V32)&amp;"")</f>
        <v/>
      </c>
      <c r="B32" s="12" t="n"/>
      <c r="C32">
        <f>IF($V32="","",INDEX('Per Line'!$B$2:$B$501,$V32)&amp;"")</f>
        <v/>
      </c>
      <c r="D32">
        <f>IF($V32="","",INDEX('Per Line'!$C$2:$C$501,$V32)&amp;"")</f>
        <v/>
      </c>
      <c r="E32">
        <f>IF($V32="","",INDEX('Per Line'!$D$2:$D$501,$V32)&amp;"")</f>
        <v/>
      </c>
      <c r="F32">
        <f>IF($V32="","",INDEX('Per Line'!$E$2:$E$501,$V32))</f>
        <v/>
      </c>
      <c r="G32" s="7">
        <f>IF($V32="","",F32*T32/100)</f>
        <v/>
      </c>
      <c r="H32">
        <f>IF($V32="","",INDEX('Per Line'!$Q$2:$Q$501,$V32)&amp;"")</f>
        <v/>
      </c>
      <c r="I32">
        <f>IF($V32="","",INDEX('Per Line'!$R$2:$R$501,$V32)&amp;"")</f>
        <v/>
      </c>
      <c r="J32" s="11">
        <f>IF($V32="","",INDEX('Per Line'!$S$2:$S$501,$V32))</f>
        <v/>
      </c>
      <c r="K32">
        <f>IF($V32="","",INDEX('Per Line'!$T$2:$T$501,$V32)&amp;"")</f>
        <v/>
      </c>
      <c r="L32">
        <f>IF($V32="","",Settings!$C$7)</f>
        <v/>
      </c>
      <c r="M32" s="7">
        <f>IF($V32="","",SUMIFS('Per Line'!$N$2:$N$501,'Per Line'!$A$2:$A$501,$A32,'Per Line'!$Y$2:$Y$501,0))</f>
        <v/>
      </c>
      <c r="N32" s="7">
        <f>IF($V32="","",M32*L32)</f>
        <v/>
      </c>
      <c r="O32">
        <f>IF($V32="","",Settings!$C$6)</f>
        <v/>
      </c>
      <c r="P32" s="7">
        <f>IF($V32="","",SUMIFS('Per Line'!$N$2:$N$501,'Per Line'!$A$2:$A$501,$A32,'Per Line'!$Y$2:$Y$501,1))</f>
        <v/>
      </c>
      <c r="Q32" s="7">
        <f>IF($V32="","",P32*O32)</f>
        <v/>
      </c>
      <c r="R32" s="7">
        <f>IF($V32="","",Q32+N32)</f>
        <v/>
      </c>
      <c r="S32" s="7">
        <f>IF($V32="","",T32-R32)</f>
        <v/>
      </c>
      <c r="T32" s="7">
        <f>IF($V32="","",M32+P32)</f>
        <v/>
      </c>
      <c r="U32" s="7">
        <f>IF($V32="","",T32-R32-G32)</f>
        <v/>
      </c>
      <c r="V32" s="13">
        <f>IF(ROWS($V$2:$V32)&lt;=MAX('Per Line'!$X$2:$X$501),MATCH(ROWS($V$2:$V32),'Per Line'!$X$2:$X$501,0),"")</f>
        <v/>
      </c>
    </row>
    <row r="33">
      <c r="A33">
        <f>IF($V33="","",INDEX('Per Line'!$A$2:$A$501,$V33)&amp;"")</f>
        <v/>
      </c>
      <c r="B33" s="12" t="n"/>
      <c r="C33">
        <f>IF($V33="","",INDEX('Per Line'!$B$2:$B$501,$V33)&amp;"")</f>
        <v/>
      </c>
      <c r="D33">
        <f>IF($V33="","",INDEX('Per Line'!$C$2:$C$501,$V33)&amp;"")</f>
        <v/>
      </c>
      <c r="E33">
        <f>IF($V33="","",INDEX('Per Line'!$D$2:$D$501,$V33)&amp;"")</f>
        <v/>
      </c>
      <c r="F33">
        <f>IF($V33="","",INDEX('Per Line'!$E$2:$E$501,$V33))</f>
        <v/>
      </c>
      <c r="G33" s="7">
        <f>IF($V33="","",F33*T33/100)</f>
        <v/>
      </c>
      <c r="H33">
        <f>IF($V33="","",INDEX('Per Line'!$Q$2:$Q$501,$V33)&amp;"")</f>
        <v/>
      </c>
      <c r="I33">
        <f>IF($V33="","",INDEX('Per Line'!$R$2:$R$501,$V33)&amp;"")</f>
        <v/>
      </c>
      <c r="J33" s="11">
        <f>IF($V33="","",INDEX('Per Line'!$S$2:$S$501,$V33))</f>
        <v/>
      </c>
      <c r="K33">
        <f>IF($V33="","",INDEX('Per Line'!$T$2:$T$501,$V33)&amp;"")</f>
        <v/>
      </c>
      <c r="L33">
        <f>IF($V33="","",Settings!$C$7)</f>
        <v/>
      </c>
      <c r="M33" s="7">
        <f>IF($V33="","",SUMIFS('Per Line'!$N$2:$N$501,'Per Line'!$A$2:$A$501,$A33,'Per Line'!$Y$2:$Y$501,0))</f>
        <v/>
      </c>
      <c r="N33" s="7">
        <f>IF($V33="","",M33*L33)</f>
        <v/>
      </c>
      <c r="O33">
        <f>IF($V33="","",Settings!$C$6)</f>
        <v/>
      </c>
      <c r="P33" s="7">
        <f>IF($V33="","",SUMIFS('Per Line'!$N$2:$N$501,'Per Line'!$A$2:$A$501,$A33,'Per Line'!$Y$2:$Y$501,1))</f>
        <v/>
      </c>
      <c r="Q33" s="7">
        <f>IF($V33="","",P33*O33)</f>
        <v/>
      </c>
      <c r="R33" s="7">
        <f>IF($V33="","",Q33+N33)</f>
        <v/>
      </c>
      <c r="S33" s="7">
        <f>IF($V33="","",T33-R33)</f>
        <v/>
      </c>
      <c r="T33" s="7">
        <f>IF($V33="","",M33+P33)</f>
        <v/>
      </c>
      <c r="U33" s="7">
        <f>IF($V33="","",T33-R33-G33)</f>
        <v/>
      </c>
      <c r="V33" s="13">
        <f>IF(ROWS($V$2:$V33)&lt;=MAX('Per Line'!$X$2:$X$501),MATCH(ROWS($V$2:$V33),'Per Line'!$X$2:$X$501,0),"")</f>
        <v/>
      </c>
    </row>
    <row r="34">
      <c r="A34">
        <f>IF($V34="","",INDEX('Per Line'!$A$2:$A$501,$V34)&amp;"")</f>
        <v/>
      </c>
      <c r="B34" s="12" t="n"/>
      <c r="C34">
        <f>IF($V34="","",INDEX('Per Line'!$B$2:$B$501,$V34)&amp;"")</f>
        <v/>
      </c>
      <c r="D34">
        <f>IF($V34="","",INDEX('Per Line'!$C$2:$C$501,$V34)&amp;"")</f>
        <v/>
      </c>
      <c r="E34">
        <f>IF($V34="","",INDEX('Per Line'!$D$2:$D$501,$V34)&amp;"")</f>
        <v/>
      </c>
      <c r="F34">
        <f>IF($V34="","",INDEX('Per Line'!$E$2:$E$501,$V34))</f>
        <v/>
      </c>
      <c r="G34" s="7">
        <f>IF($V34="","",F34*T34/100)</f>
        <v/>
      </c>
      <c r="H34">
        <f>IF($V34="","",INDEX('Per Line'!$Q$2:$Q$501,$V34)&amp;"")</f>
        <v/>
      </c>
      <c r="I34">
        <f>IF($V34="","",INDEX('Per Line'!$R$2:$R$501,$V34)&amp;"")</f>
        <v/>
      </c>
      <c r="J34" s="11">
        <f>IF($V34="","",INDEX('Per Line'!$S$2:$S$501,$V34))</f>
        <v/>
      </c>
      <c r="K34">
        <f>IF($V34="","",INDEX('Per Line'!$T$2:$T$501,$V34)&amp;"")</f>
        <v/>
      </c>
      <c r="L34">
        <f>IF($V34="","",Settings!$C$7)</f>
        <v/>
      </c>
      <c r="M34" s="7">
        <f>IF($V34="","",SUMIFS('Per Line'!$N$2:$N$501,'Per Line'!$A$2:$A$501,$A34,'Per Line'!$Y$2:$Y$501,0))</f>
        <v/>
      </c>
      <c r="N34" s="7">
        <f>IF($V34="","",M34*L34)</f>
        <v/>
      </c>
      <c r="O34">
        <f>IF($V34="","",Settings!$C$6)</f>
        <v/>
      </c>
      <c r="P34" s="7">
        <f>IF($V34="","",SUMIFS('Per Line'!$N$2:$N$501,'Per Line'!$A$2:$A$501,$A34,'Per Line'!$Y$2:$Y$501,1))</f>
        <v/>
      </c>
      <c r="Q34" s="7">
        <f>IF($V34="","",P34*O34)</f>
        <v/>
      </c>
      <c r="R34" s="7">
        <f>IF($V34="","",Q34+N34)</f>
        <v/>
      </c>
      <c r="S34" s="7">
        <f>IF($V34="","",T34-R34)</f>
        <v/>
      </c>
      <c r="T34" s="7">
        <f>IF($V34="","",M34+P34)</f>
        <v/>
      </c>
      <c r="U34" s="7">
        <f>IF($V34="","",T34-R34-G34)</f>
        <v/>
      </c>
      <c r="V34" s="13">
        <f>IF(ROWS($V$2:$V34)&lt;=MAX('Per Line'!$X$2:$X$501),MATCH(ROWS($V$2:$V34),'Per Line'!$X$2:$X$501,0),"")</f>
        <v/>
      </c>
    </row>
    <row r="35">
      <c r="A35">
        <f>IF($V35="","",INDEX('Per Line'!$A$2:$A$501,$V35)&amp;"")</f>
        <v/>
      </c>
      <c r="B35" s="12" t="n"/>
      <c r="C35">
        <f>IF($V35="","",INDEX('Per Line'!$B$2:$B$501,$V35)&amp;"")</f>
        <v/>
      </c>
      <c r="D35">
        <f>IF($V35="","",INDEX('Per Line'!$C$2:$C$501,$V35)&amp;"")</f>
        <v/>
      </c>
      <c r="E35">
        <f>IF($V35="","",INDEX('Per Line'!$D$2:$D$501,$V35)&amp;"")</f>
        <v/>
      </c>
      <c r="F35">
        <f>IF($V35="","",INDEX('Per Line'!$E$2:$E$501,$V35))</f>
        <v/>
      </c>
      <c r="G35" s="7">
        <f>IF($V35="","",F35*T35/100)</f>
        <v/>
      </c>
      <c r="H35">
        <f>IF($V35="","",INDEX('Per Line'!$Q$2:$Q$501,$V35)&amp;"")</f>
        <v/>
      </c>
      <c r="I35">
        <f>IF($V35="","",INDEX('Per Line'!$R$2:$R$501,$V35)&amp;"")</f>
        <v/>
      </c>
      <c r="J35" s="11">
        <f>IF($V35="","",INDEX('Per Line'!$S$2:$S$501,$V35))</f>
        <v/>
      </c>
      <c r="K35">
        <f>IF($V35="","",INDEX('Per Line'!$T$2:$T$501,$V35)&amp;"")</f>
        <v/>
      </c>
      <c r="L35">
        <f>IF($V35="","",Settings!$C$7)</f>
        <v/>
      </c>
      <c r="M35" s="7">
        <f>IF($V35="","",SUMIFS('Per Line'!$N$2:$N$501,'Per Line'!$A$2:$A$501,$A35,'Per Line'!$Y$2:$Y$501,0))</f>
        <v/>
      </c>
      <c r="N35" s="7">
        <f>IF($V35="","",M35*L35)</f>
        <v/>
      </c>
      <c r="O35">
        <f>IF($V35="","",Settings!$C$6)</f>
        <v/>
      </c>
      <c r="P35" s="7">
        <f>IF($V35="","",SUMIFS('Per Line'!$N$2:$N$501,'Per Line'!$A$2:$A$501,$A35,'Per Line'!$Y$2:$Y$501,1))</f>
        <v/>
      </c>
      <c r="Q35" s="7">
        <f>IF($V35="","",P35*O35)</f>
        <v/>
      </c>
      <c r="R35" s="7">
        <f>IF($V35="","",Q35+N35)</f>
        <v/>
      </c>
      <c r="S35" s="7">
        <f>IF($V35="","",T35-R35)</f>
        <v/>
      </c>
      <c r="T35" s="7">
        <f>IF($V35="","",M35+P35)</f>
        <v/>
      </c>
      <c r="U35" s="7">
        <f>IF($V35="","",T35-R35-G35)</f>
        <v/>
      </c>
      <c r="V35" s="13">
        <f>IF(ROWS($V$2:$V35)&lt;=MAX('Per Line'!$X$2:$X$501),MATCH(ROWS($V$2:$V35),'Per Line'!$X$2:$X$501,0),"")</f>
        <v/>
      </c>
    </row>
    <row r="36">
      <c r="A36">
        <f>IF($V36="","",INDEX('Per Line'!$A$2:$A$501,$V36)&amp;"")</f>
        <v/>
      </c>
      <c r="B36" s="12" t="n"/>
      <c r="C36">
        <f>IF($V36="","",INDEX('Per Line'!$B$2:$B$501,$V36)&amp;"")</f>
        <v/>
      </c>
      <c r="D36">
        <f>IF($V36="","",INDEX('Per Line'!$C$2:$C$501,$V36)&amp;"")</f>
        <v/>
      </c>
      <c r="E36">
        <f>IF($V36="","",INDEX('Per Line'!$D$2:$D$501,$V36)&amp;"")</f>
        <v/>
      </c>
      <c r="F36">
        <f>IF($V36="","",INDEX('Per Line'!$E$2:$E$501,$V36))</f>
        <v/>
      </c>
      <c r="G36" s="7">
        <f>IF($V36="","",F36*T36/100)</f>
        <v/>
      </c>
      <c r="H36">
        <f>IF($V36="","",INDEX('Per Line'!$Q$2:$Q$501,$V36)&amp;"")</f>
        <v/>
      </c>
      <c r="I36">
        <f>IF($V36="","",INDEX('Per Line'!$R$2:$R$501,$V36)&amp;"")</f>
        <v/>
      </c>
      <c r="J36" s="11">
        <f>IF($V36="","",INDEX('Per Line'!$S$2:$S$501,$V36))</f>
        <v/>
      </c>
      <c r="K36">
        <f>IF($V36="","",INDEX('Per Line'!$T$2:$T$501,$V36)&amp;"")</f>
        <v/>
      </c>
      <c r="L36">
        <f>IF($V36="","",Settings!$C$7)</f>
        <v/>
      </c>
      <c r="M36" s="7">
        <f>IF($V36="","",SUMIFS('Per Line'!$N$2:$N$501,'Per Line'!$A$2:$A$501,$A36,'Per Line'!$Y$2:$Y$501,0))</f>
        <v/>
      </c>
      <c r="N36" s="7">
        <f>IF($V36="","",M36*L36)</f>
        <v/>
      </c>
      <c r="O36">
        <f>IF($V36="","",Settings!$C$6)</f>
        <v/>
      </c>
      <c r="P36" s="7">
        <f>IF($V36="","",SUMIFS('Per Line'!$N$2:$N$501,'Per Line'!$A$2:$A$501,$A36,'Per Line'!$Y$2:$Y$501,1))</f>
        <v/>
      </c>
      <c r="Q36" s="7">
        <f>IF($V36="","",P36*O36)</f>
        <v/>
      </c>
      <c r="R36" s="7">
        <f>IF($V36="","",Q36+N36)</f>
        <v/>
      </c>
      <c r="S36" s="7">
        <f>IF($V36="","",T36-R36)</f>
        <v/>
      </c>
      <c r="T36" s="7">
        <f>IF($V36="","",M36+P36)</f>
        <v/>
      </c>
      <c r="U36" s="7">
        <f>IF($V36="","",T36-R36-G36)</f>
        <v/>
      </c>
      <c r="V36" s="13">
        <f>IF(ROWS($V$2:$V36)&lt;=MAX('Per Line'!$X$2:$X$501),MATCH(ROWS($V$2:$V36),'Per Line'!$X$2:$X$501,0),"")</f>
        <v/>
      </c>
    </row>
    <row r="37">
      <c r="A37">
        <f>IF($V37="","",INDEX('Per Line'!$A$2:$A$501,$V37)&amp;"")</f>
        <v/>
      </c>
      <c r="B37" s="12" t="n"/>
      <c r="C37">
        <f>IF($V37="","",INDEX('Per Line'!$B$2:$B$501,$V37)&amp;"")</f>
        <v/>
      </c>
      <c r="D37">
        <f>IF($V37="","",INDEX('Per Line'!$C$2:$C$501,$V37)&amp;"")</f>
        <v/>
      </c>
      <c r="E37">
        <f>IF($V37="","",INDEX('Per Line'!$D$2:$D$501,$V37)&amp;"")</f>
        <v/>
      </c>
      <c r="F37">
        <f>IF($V37="","",INDEX('Per Line'!$E$2:$E$501,$V37))</f>
        <v/>
      </c>
      <c r="G37" s="7">
        <f>IF($V37="","",F37*T37/100)</f>
        <v/>
      </c>
      <c r="H37">
        <f>IF($V37="","",INDEX('Per Line'!$Q$2:$Q$501,$V37)&amp;"")</f>
        <v/>
      </c>
      <c r="I37">
        <f>IF($V37="","",INDEX('Per Line'!$R$2:$R$501,$V37)&amp;"")</f>
        <v/>
      </c>
      <c r="J37" s="11">
        <f>IF($V37="","",INDEX('Per Line'!$S$2:$S$501,$V37))</f>
        <v/>
      </c>
      <c r="K37">
        <f>IF($V37="","",INDEX('Per Line'!$T$2:$T$501,$V37)&amp;"")</f>
        <v/>
      </c>
      <c r="L37">
        <f>IF($V37="","",Settings!$C$7)</f>
        <v/>
      </c>
      <c r="M37" s="7">
        <f>IF($V37="","",SUMIFS('Per Line'!$N$2:$N$501,'Per Line'!$A$2:$A$501,$A37,'Per Line'!$Y$2:$Y$501,0))</f>
        <v/>
      </c>
      <c r="N37" s="7">
        <f>IF($V37="","",M37*L37)</f>
        <v/>
      </c>
      <c r="O37">
        <f>IF($V37="","",Settings!$C$6)</f>
        <v/>
      </c>
      <c r="P37" s="7">
        <f>IF($V37="","",SUMIFS('Per Line'!$N$2:$N$501,'Per Line'!$A$2:$A$501,$A37,'Per Line'!$Y$2:$Y$501,1))</f>
        <v/>
      </c>
      <c r="Q37" s="7">
        <f>IF($V37="","",P37*O37)</f>
        <v/>
      </c>
      <c r="R37" s="7">
        <f>IF($V37="","",Q37+N37)</f>
        <v/>
      </c>
      <c r="S37" s="7">
        <f>IF($V37="","",T37-R37)</f>
        <v/>
      </c>
      <c r="T37" s="7">
        <f>IF($V37="","",M37+P37)</f>
        <v/>
      </c>
      <c r="U37" s="7">
        <f>IF($V37="","",T37-R37-G37)</f>
        <v/>
      </c>
      <c r="V37" s="13">
        <f>IF(ROWS($V$2:$V37)&lt;=MAX('Per Line'!$X$2:$X$501),MATCH(ROWS($V$2:$V37),'Per Line'!$X$2:$X$501,0),"")</f>
        <v/>
      </c>
    </row>
    <row r="38">
      <c r="A38">
        <f>IF($V38="","",INDEX('Per Line'!$A$2:$A$501,$V38)&amp;"")</f>
        <v/>
      </c>
      <c r="B38" s="12" t="n"/>
      <c r="C38">
        <f>IF($V38="","",INDEX('Per Line'!$B$2:$B$501,$V38)&amp;"")</f>
        <v/>
      </c>
      <c r="D38">
        <f>IF($V38="","",INDEX('Per Line'!$C$2:$C$501,$V38)&amp;"")</f>
        <v/>
      </c>
      <c r="E38">
        <f>IF($V38="","",INDEX('Per Line'!$D$2:$D$501,$V38)&amp;"")</f>
        <v/>
      </c>
      <c r="F38">
        <f>IF($V38="","",INDEX('Per Line'!$E$2:$E$501,$V38))</f>
        <v/>
      </c>
      <c r="G38" s="7">
        <f>IF($V38="","",F38*T38/100)</f>
        <v/>
      </c>
      <c r="H38">
        <f>IF($V38="","",INDEX('Per Line'!$Q$2:$Q$501,$V38)&amp;"")</f>
        <v/>
      </c>
      <c r="I38">
        <f>IF($V38="","",INDEX('Per Line'!$R$2:$R$501,$V38)&amp;"")</f>
        <v/>
      </c>
      <c r="J38" s="11">
        <f>IF($V38="","",INDEX('Per Line'!$S$2:$S$501,$V38))</f>
        <v/>
      </c>
      <c r="K38">
        <f>IF($V38="","",INDEX('Per Line'!$T$2:$T$501,$V38)&amp;"")</f>
        <v/>
      </c>
      <c r="L38">
        <f>IF($V38="","",Settings!$C$7)</f>
        <v/>
      </c>
      <c r="M38" s="7">
        <f>IF($V38="","",SUMIFS('Per Line'!$N$2:$N$501,'Per Line'!$A$2:$A$501,$A38,'Per Line'!$Y$2:$Y$501,0))</f>
        <v/>
      </c>
      <c r="N38" s="7">
        <f>IF($V38="","",M38*L38)</f>
        <v/>
      </c>
      <c r="O38">
        <f>IF($V38="","",Settings!$C$6)</f>
        <v/>
      </c>
      <c r="P38" s="7">
        <f>IF($V38="","",SUMIFS('Per Line'!$N$2:$N$501,'Per Line'!$A$2:$A$501,$A38,'Per Line'!$Y$2:$Y$501,1))</f>
        <v/>
      </c>
      <c r="Q38" s="7">
        <f>IF($V38="","",P38*O38)</f>
        <v/>
      </c>
      <c r="R38" s="7">
        <f>IF($V38="","",Q38+N38)</f>
        <v/>
      </c>
      <c r="S38" s="7">
        <f>IF($V38="","",T38-R38)</f>
        <v/>
      </c>
      <c r="T38" s="7">
        <f>IF($V38="","",M38+P38)</f>
        <v/>
      </c>
      <c r="U38" s="7">
        <f>IF($V38="","",T38-R38-G38)</f>
        <v/>
      </c>
      <c r="V38" s="13">
        <f>IF(ROWS($V$2:$V38)&lt;=MAX('Per Line'!$X$2:$X$501),MATCH(ROWS($V$2:$V38),'Per Line'!$X$2:$X$501,0),"")</f>
        <v/>
      </c>
    </row>
    <row r="39">
      <c r="A39">
        <f>IF($V39="","",INDEX('Per Line'!$A$2:$A$501,$V39)&amp;"")</f>
        <v/>
      </c>
      <c r="B39" s="12" t="n"/>
      <c r="C39">
        <f>IF($V39="","",INDEX('Per Line'!$B$2:$B$501,$V39)&amp;"")</f>
        <v/>
      </c>
      <c r="D39">
        <f>IF($V39="","",INDEX('Per Line'!$C$2:$C$501,$V39)&amp;"")</f>
        <v/>
      </c>
      <c r="E39">
        <f>IF($V39="","",INDEX('Per Line'!$D$2:$D$501,$V39)&amp;"")</f>
        <v/>
      </c>
      <c r="F39">
        <f>IF($V39="","",INDEX('Per Line'!$E$2:$E$501,$V39))</f>
        <v/>
      </c>
      <c r="G39" s="7">
        <f>IF($V39="","",F39*T39/100)</f>
        <v/>
      </c>
      <c r="H39">
        <f>IF($V39="","",INDEX('Per Line'!$Q$2:$Q$501,$V39)&amp;"")</f>
        <v/>
      </c>
      <c r="I39">
        <f>IF($V39="","",INDEX('Per Line'!$R$2:$R$501,$V39)&amp;"")</f>
        <v/>
      </c>
      <c r="J39" s="11">
        <f>IF($V39="","",INDEX('Per Line'!$S$2:$S$501,$V39))</f>
        <v/>
      </c>
      <c r="K39">
        <f>IF($V39="","",INDEX('Per Line'!$T$2:$T$501,$V39)&amp;"")</f>
        <v/>
      </c>
      <c r="L39">
        <f>IF($V39="","",Settings!$C$7)</f>
        <v/>
      </c>
      <c r="M39" s="7">
        <f>IF($V39="","",SUMIFS('Per Line'!$N$2:$N$501,'Per Line'!$A$2:$A$501,$A39,'Per Line'!$Y$2:$Y$501,0))</f>
        <v/>
      </c>
      <c r="N39" s="7">
        <f>IF($V39="","",M39*L39)</f>
        <v/>
      </c>
      <c r="O39">
        <f>IF($V39="","",Settings!$C$6)</f>
        <v/>
      </c>
      <c r="P39" s="7">
        <f>IF($V39="","",SUMIFS('Per Line'!$N$2:$N$501,'Per Line'!$A$2:$A$501,$A39,'Per Line'!$Y$2:$Y$501,1))</f>
        <v/>
      </c>
      <c r="Q39" s="7">
        <f>IF($V39="","",P39*O39)</f>
        <v/>
      </c>
      <c r="R39" s="7">
        <f>IF($V39="","",Q39+N39)</f>
        <v/>
      </c>
      <c r="S39" s="7">
        <f>IF($V39="","",T39-R39)</f>
        <v/>
      </c>
      <c r="T39" s="7">
        <f>IF($V39="","",M39+P39)</f>
        <v/>
      </c>
      <c r="U39" s="7">
        <f>IF($V39="","",T39-R39-G39)</f>
        <v/>
      </c>
      <c r="V39" s="13">
        <f>IF(ROWS($V$2:$V39)&lt;=MAX('Per Line'!$X$2:$X$501),MATCH(ROWS($V$2:$V39),'Per Line'!$X$2:$X$501,0),"")</f>
        <v/>
      </c>
    </row>
    <row r="40">
      <c r="A40">
        <f>IF($V40="","",INDEX('Per Line'!$A$2:$A$501,$V40)&amp;"")</f>
        <v/>
      </c>
      <c r="B40" s="12" t="n"/>
      <c r="C40">
        <f>IF($V40="","",INDEX('Per Line'!$B$2:$B$501,$V40)&amp;"")</f>
        <v/>
      </c>
      <c r="D40">
        <f>IF($V40="","",INDEX('Per Line'!$C$2:$C$501,$V40)&amp;"")</f>
        <v/>
      </c>
      <c r="E40">
        <f>IF($V40="","",INDEX('Per Line'!$D$2:$D$501,$V40)&amp;"")</f>
        <v/>
      </c>
      <c r="F40">
        <f>IF($V40="","",INDEX('Per Line'!$E$2:$E$501,$V40))</f>
        <v/>
      </c>
      <c r="G40" s="7">
        <f>IF($V40="","",F40*T40/100)</f>
        <v/>
      </c>
      <c r="H40">
        <f>IF($V40="","",INDEX('Per Line'!$Q$2:$Q$501,$V40)&amp;"")</f>
        <v/>
      </c>
      <c r="I40">
        <f>IF($V40="","",INDEX('Per Line'!$R$2:$R$501,$V40)&amp;"")</f>
        <v/>
      </c>
      <c r="J40" s="11">
        <f>IF($V40="","",INDEX('Per Line'!$S$2:$S$501,$V40))</f>
        <v/>
      </c>
      <c r="K40">
        <f>IF($V40="","",INDEX('Per Line'!$T$2:$T$501,$V40)&amp;"")</f>
        <v/>
      </c>
      <c r="L40">
        <f>IF($V40="","",Settings!$C$7)</f>
        <v/>
      </c>
      <c r="M40" s="7">
        <f>IF($V40="","",SUMIFS('Per Line'!$N$2:$N$501,'Per Line'!$A$2:$A$501,$A40,'Per Line'!$Y$2:$Y$501,0))</f>
        <v/>
      </c>
      <c r="N40" s="7">
        <f>IF($V40="","",M40*L40)</f>
        <v/>
      </c>
      <c r="O40">
        <f>IF($V40="","",Settings!$C$6)</f>
        <v/>
      </c>
      <c r="P40" s="7">
        <f>IF($V40="","",SUMIFS('Per Line'!$N$2:$N$501,'Per Line'!$A$2:$A$501,$A40,'Per Line'!$Y$2:$Y$501,1))</f>
        <v/>
      </c>
      <c r="Q40" s="7">
        <f>IF($V40="","",P40*O40)</f>
        <v/>
      </c>
      <c r="R40" s="7">
        <f>IF($V40="","",Q40+N40)</f>
        <v/>
      </c>
      <c r="S40" s="7">
        <f>IF($V40="","",T40-R40)</f>
        <v/>
      </c>
      <c r="T40" s="7">
        <f>IF($V40="","",M40+P40)</f>
        <v/>
      </c>
      <c r="U40" s="7">
        <f>IF($V40="","",T40-R40-G40)</f>
        <v/>
      </c>
      <c r="V40" s="13">
        <f>IF(ROWS($V$2:$V40)&lt;=MAX('Per Line'!$X$2:$X$501),MATCH(ROWS($V$2:$V40),'Per Line'!$X$2:$X$501,0),"")</f>
        <v/>
      </c>
    </row>
    <row r="41">
      <c r="A41">
        <f>IF($V41="","",INDEX('Per Line'!$A$2:$A$501,$V41)&amp;"")</f>
        <v/>
      </c>
      <c r="B41" s="12" t="n"/>
      <c r="C41">
        <f>IF($V41="","",INDEX('Per Line'!$B$2:$B$501,$V41)&amp;"")</f>
        <v/>
      </c>
      <c r="D41">
        <f>IF($V41="","",INDEX('Per Line'!$C$2:$C$501,$V41)&amp;"")</f>
        <v/>
      </c>
      <c r="E41">
        <f>IF($V41="","",INDEX('Per Line'!$D$2:$D$501,$V41)&amp;"")</f>
        <v/>
      </c>
      <c r="F41">
        <f>IF($V41="","",INDEX('Per Line'!$E$2:$E$501,$V41))</f>
        <v/>
      </c>
      <c r="G41" s="7">
        <f>IF($V41="","",F41*T41/100)</f>
        <v/>
      </c>
      <c r="H41">
        <f>IF($V41="","",INDEX('Per Line'!$Q$2:$Q$501,$V41)&amp;"")</f>
        <v/>
      </c>
      <c r="I41">
        <f>IF($V41="","",INDEX('Per Line'!$R$2:$R$501,$V41)&amp;"")</f>
        <v/>
      </c>
      <c r="J41" s="11">
        <f>IF($V41="","",INDEX('Per Line'!$S$2:$S$501,$V41))</f>
        <v/>
      </c>
      <c r="K41">
        <f>IF($V41="","",INDEX('Per Line'!$T$2:$T$501,$V41)&amp;"")</f>
        <v/>
      </c>
      <c r="L41">
        <f>IF($V41="","",Settings!$C$7)</f>
        <v/>
      </c>
      <c r="M41" s="7">
        <f>IF($V41="","",SUMIFS('Per Line'!$N$2:$N$501,'Per Line'!$A$2:$A$501,$A41,'Per Line'!$Y$2:$Y$501,0))</f>
        <v/>
      </c>
      <c r="N41" s="7">
        <f>IF($V41="","",M41*L41)</f>
        <v/>
      </c>
      <c r="O41">
        <f>IF($V41="","",Settings!$C$6)</f>
        <v/>
      </c>
      <c r="P41" s="7">
        <f>IF($V41="","",SUMIFS('Per Line'!$N$2:$N$501,'Per Line'!$A$2:$A$501,$A41,'Per Line'!$Y$2:$Y$501,1))</f>
        <v/>
      </c>
      <c r="Q41" s="7">
        <f>IF($V41="","",P41*O41)</f>
        <v/>
      </c>
      <c r="R41" s="7">
        <f>IF($V41="","",Q41+N41)</f>
        <v/>
      </c>
      <c r="S41" s="7">
        <f>IF($V41="","",T41-R41)</f>
        <v/>
      </c>
      <c r="T41" s="7">
        <f>IF($V41="","",M41+P41)</f>
        <v/>
      </c>
      <c r="U41" s="7">
        <f>IF($V41="","",T41-R41-G41)</f>
        <v/>
      </c>
      <c r="V41" s="13">
        <f>IF(ROWS($V$2:$V41)&lt;=MAX('Per Line'!$X$2:$X$501),MATCH(ROWS($V$2:$V41),'Per Line'!$X$2:$X$501,0),"")</f>
        <v/>
      </c>
    </row>
    <row r="42">
      <c r="A42">
        <f>IF($V42="","",INDEX('Per Line'!$A$2:$A$501,$V42)&amp;"")</f>
        <v/>
      </c>
      <c r="B42" s="12" t="n"/>
      <c r="C42">
        <f>IF($V42="","",INDEX('Per Line'!$B$2:$B$501,$V42)&amp;"")</f>
        <v/>
      </c>
      <c r="D42">
        <f>IF($V42="","",INDEX('Per Line'!$C$2:$C$501,$V42)&amp;"")</f>
        <v/>
      </c>
      <c r="E42">
        <f>IF($V42="","",INDEX('Per Line'!$D$2:$D$501,$V42)&amp;"")</f>
        <v/>
      </c>
      <c r="F42">
        <f>IF($V42="","",INDEX('Per Line'!$E$2:$E$501,$V42))</f>
        <v/>
      </c>
      <c r="G42" s="7">
        <f>IF($V42="","",F42*T42/100)</f>
        <v/>
      </c>
      <c r="H42">
        <f>IF($V42="","",INDEX('Per Line'!$Q$2:$Q$501,$V42)&amp;"")</f>
        <v/>
      </c>
      <c r="I42">
        <f>IF($V42="","",INDEX('Per Line'!$R$2:$R$501,$V42)&amp;"")</f>
        <v/>
      </c>
      <c r="J42" s="11">
        <f>IF($V42="","",INDEX('Per Line'!$S$2:$S$501,$V42))</f>
        <v/>
      </c>
      <c r="K42">
        <f>IF($V42="","",INDEX('Per Line'!$T$2:$T$501,$V42)&amp;"")</f>
        <v/>
      </c>
      <c r="L42">
        <f>IF($V42="","",Settings!$C$7)</f>
        <v/>
      </c>
      <c r="M42" s="7">
        <f>IF($V42="","",SUMIFS('Per Line'!$N$2:$N$501,'Per Line'!$A$2:$A$501,$A42,'Per Line'!$Y$2:$Y$501,0))</f>
        <v/>
      </c>
      <c r="N42" s="7">
        <f>IF($V42="","",M42*L42)</f>
        <v/>
      </c>
      <c r="O42">
        <f>IF($V42="","",Settings!$C$6)</f>
        <v/>
      </c>
      <c r="P42" s="7">
        <f>IF($V42="","",SUMIFS('Per Line'!$N$2:$N$501,'Per Line'!$A$2:$A$501,$A42,'Per Line'!$Y$2:$Y$501,1))</f>
        <v/>
      </c>
      <c r="Q42" s="7">
        <f>IF($V42="","",P42*O42)</f>
        <v/>
      </c>
      <c r="R42" s="7">
        <f>IF($V42="","",Q42+N42)</f>
        <v/>
      </c>
      <c r="S42" s="7">
        <f>IF($V42="","",T42-R42)</f>
        <v/>
      </c>
      <c r="T42" s="7">
        <f>IF($V42="","",M42+P42)</f>
        <v/>
      </c>
      <c r="U42" s="7">
        <f>IF($V42="","",T42-R42-G42)</f>
        <v/>
      </c>
      <c r="V42" s="13">
        <f>IF(ROWS($V$2:$V42)&lt;=MAX('Per Line'!$X$2:$X$501),MATCH(ROWS($V$2:$V42),'Per Line'!$X$2:$X$501,0),"")</f>
        <v/>
      </c>
    </row>
    <row r="43">
      <c r="A43">
        <f>IF($V43="","",INDEX('Per Line'!$A$2:$A$501,$V43)&amp;"")</f>
        <v/>
      </c>
      <c r="B43" s="12" t="n"/>
      <c r="C43">
        <f>IF($V43="","",INDEX('Per Line'!$B$2:$B$501,$V43)&amp;"")</f>
        <v/>
      </c>
      <c r="D43">
        <f>IF($V43="","",INDEX('Per Line'!$C$2:$C$501,$V43)&amp;"")</f>
        <v/>
      </c>
      <c r="E43">
        <f>IF($V43="","",INDEX('Per Line'!$D$2:$D$501,$V43)&amp;"")</f>
        <v/>
      </c>
      <c r="F43">
        <f>IF($V43="","",INDEX('Per Line'!$E$2:$E$501,$V43))</f>
        <v/>
      </c>
      <c r="G43" s="7">
        <f>IF($V43="","",F43*T43/100)</f>
        <v/>
      </c>
      <c r="H43">
        <f>IF($V43="","",INDEX('Per Line'!$Q$2:$Q$501,$V43)&amp;"")</f>
        <v/>
      </c>
      <c r="I43">
        <f>IF($V43="","",INDEX('Per Line'!$R$2:$R$501,$V43)&amp;"")</f>
        <v/>
      </c>
      <c r="J43" s="11">
        <f>IF($V43="","",INDEX('Per Line'!$S$2:$S$501,$V43))</f>
        <v/>
      </c>
      <c r="K43">
        <f>IF($V43="","",INDEX('Per Line'!$T$2:$T$501,$V43)&amp;"")</f>
        <v/>
      </c>
      <c r="L43">
        <f>IF($V43="","",Settings!$C$7)</f>
        <v/>
      </c>
      <c r="M43" s="7">
        <f>IF($V43="","",SUMIFS('Per Line'!$N$2:$N$501,'Per Line'!$A$2:$A$501,$A43,'Per Line'!$Y$2:$Y$501,0))</f>
        <v/>
      </c>
      <c r="N43" s="7">
        <f>IF($V43="","",M43*L43)</f>
        <v/>
      </c>
      <c r="O43">
        <f>IF($V43="","",Settings!$C$6)</f>
        <v/>
      </c>
      <c r="P43" s="7">
        <f>IF($V43="","",SUMIFS('Per Line'!$N$2:$N$501,'Per Line'!$A$2:$A$501,$A43,'Per Line'!$Y$2:$Y$501,1))</f>
        <v/>
      </c>
      <c r="Q43" s="7">
        <f>IF($V43="","",P43*O43)</f>
        <v/>
      </c>
      <c r="R43" s="7">
        <f>IF($V43="","",Q43+N43)</f>
        <v/>
      </c>
      <c r="S43" s="7">
        <f>IF($V43="","",T43-R43)</f>
        <v/>
      </c>
      <c r="T43" s="7">
        <f>IF($V43="","",M43+P43)</f>
        <v/>
      </c>
      <c r="U43" s="7">
        <f>IF($V43="","",T43-R43-G43)</f>
        <v/>
      </c>
      <c r="V43" s="13">
        <f>IF(ROWS($V$2:$V43)&lt;=MAX('Per Line'!$X$2:$X$501),MATCH(ROWS($V$2:$V43),'Per Line'!$X$2:$X$501,0),"")</f>
        <v/>
      </c>
    </row>
    <row r="44">
      <c r="A44">
        <f>IF($V44="","",INDEX('Per Line'!$A$2:$A$501,$V44)&amp;"")</f>
        <v/>
      </c>
      <c r="B44" s="12" t="n"/>
      <c r="C44">
        <f>IF($V44="","",INDEX('Per Line'!$B$2:$B$501,$V44)&amp;"")</f>
        <v/>
      </c>
      <c r="D44">
        <f>IF($V44="","",INDEX('Per Line'!$C$2:$C$501,$V44)&amp;"")</f>
        <v/>
      </c>
      <c r="E44">
        <f>IF($V44="","",INDEX('Per Line'!$D$2:$D$501,$V44)&amp;"")</f>
        <v/>
      </c>
      <c r="F44">
        <f>IF($V44="","",INDEX('Per Line'!$E$2:$E$501,$V44))</f>
        <v/>
      </c>
      <c r="G44" s="7">
        <f>IF($V44="","",F44*T44/100)</f>
        <v/>
      </c>
      <c r="H44">
        <f>IF($V44="","",INDEX('Per Line'!$Q$2:$Q$501,$V44)&amp;"")</f>
        <v/>
      </c>
      <c r="I44">
        <f>IF($V44="","",INDEX('Per Line'!$R$2:$R$501,$V44)&amp;"")</f>
        <v/>
      </c>
      <c r="J44" s="11">
        <f>IF($V44="","",INDEX('Per Line'!$S$2:$S$501,$V44))</f>
        <v/>
      </c>
      <c r="K44">
        <f>IF($V44="","",INDEX('Per Line'!$T$2:$T$501,$V44)&amp;"")</f>
        <v/>
      </c>
      <c r="L44">
        <f>IF($V44="","",Settings!$C$7)</f>
        <v/>
      </c>
      <c r="M44" s="7">
        <f>IF($V44="","",SUMIFS('Per Line'!$N$2:$N$501,'Per Line'!$A$2:$A$501,$A44,'Per Line'!$Y$2:$Y$501,0))</f>
        <v/>
      </c>
      <c r="N44" s="7">
        <f>IF($V44="","",M44*L44)</f>
        <v/>
      </c>
      <c r="O44">
        <f>IF($V44="","",Settings!$C$6)</f>
        <v/>
      </c>
      <c r="P44" s="7">
        <f>IF($V44="","",SUMIFS('Per Line'!$N$2:$N$501,'Per Line'!$A$2:$A$501,$A44,'Per Line'!$Y$2:$Y$501,1))</f>
        <v/>
      </c>
      <c r="Q44" s="7">
        <f>IF($V44="","",P44*O44)</f>
        <v/>
      </c>
      <c r="R44" s="7">
        <f>IF($V44="","",Q44+N44)</f>
        <v/>
      </c>
      <c r="S44" s="7">
        <f>IF($V44="","",T44-R44)</f>
        <v/>
      </c>
      <c r="T44" s="7">
        <f>IF($V44="","",M44+P44)</f>
        <v/>
      </c>
      <c r="U44" s="7">
        <f>IF($V44="","",T44-R44-G44)</f>
        <v/>
      </c>
      <c r="V44" s="13">
        <f>IF(ROWS($V$2:$V44)&lt;=MAX('Per Line'!$X$2:$X$501),MATCH(ROWS($V$2:$V44),'Per Line'!$X$2:$X$501,0),"")</f>
        <v/>
      </c>
    </row>
    <row r="45">
      <c r="A45">
        <f>IF($V45="","",INDEX('Per Line'!$A$2:$A$501,$V45)&amp;"")</f>
        <v/>
      </c>
      <c r="B45" s="12" t="n"/>
      <c r="C45">
        <f>IF($V45="","",INDEX('Per Line'!$B$2:$B$501,$V45)&amp;"")</f>
        <v/>
      </c>
      <c r="D45">
        <f>IF($V45="","",INDEX('Per Line'!$C$2:$C$501,$V45)&amp;"")</f>
        <v/>
      </c>
      <c r="E45">
        <f>IF($V45="","",INDEX('Per Line'!$D$2:$D$501,$V45)&amp;"")</f>
        <v/>
      </c>
      <c r="F45">
        <f>IF($V45="","",INDEX('Per Line'!$E$2:$E$501,$V45))</f>
        <v/>
      </c>
      <c r="G45" s="7">
        <f>IF($V45="","",F45*T45/100)</f>
        <v/>
      </c>
      <c r="H45">
        <f>IF($V45="","",INDEX('Per Line'!$Q$2:$Q$501,$V45)&amp;"")</f>
        <v/>
      </c>
      <c r="I45">
        <f>IF($V45="","",INDEX('Per Line'!$R$2:$R$501,$V45)&amp;"")</f>
        <v/>
      </c>
      <c r="J45" s="11">
        <f>IF($V45="","",INDEX('Per Line'!$S$2:$S$501,$V45))</f>
        <v/>
      </c>
      <c r="K45">
        <f>IF($V45="","",INDEX('Per Line'!$T$2:$T$501,$V45)&amp;"")</f>
        <v/>
      </c>
      <c r="L45">
        <f>IF($V45="","",Settings!$C$7)</f>
        <v/>
      </c>
      <c r="M45" s="7">
        <f>IF($V45="","",SUMIFS('Per Line'!$N$2:$N$501,'Per Line'!$A$2:$A$501,$A45,'Per Line'!$Y$2:$Y$501,0))</f>
        <v/>
      </c>
      <c r="N45" s="7">
        <f>IF($V45="","",M45*L45)</f>
        <v/>
      </c>
      <c r="O45">
        <f>IF($V45="","",Settings!$C$6)</f>
        <v/>
      </c>
      <c r="P45" s="7">
        <f>IF($V45="","",SUMIFS('Per Line'!$N$2:$N$501,'Per Line'!$A$2:$A$501,$A45,'Per Line'!$Y$2:$Y$501,1))</f>
        <v/>
      </c>
      <c r="Q45" s="7">
        <f>IF($V45="","",P45*O45)</f>
        <v/>
      </c>
      <c r="R45" s="7">
        <f>IF($V45="","",Q45+N45)</f>
        <v/>
      </c>
      <c r="S45" s="7">
        <f>IF($V45="","",T45-R45)</f>
        <v/>
      </c>
      <c r="T45" s="7">
        <f>IF($V45="","",M45+P45)</f>
        <v/>
      </c>
      <c r="U45" s="7">
        <f>IF($V45="","",T45-R45-G45)</f>
        <v/>
      </c>
      <c r="V45" s="13">
        <f>IF(ROWS($V$2:$V45)&lt;=MAX('Per Line'!$X$2:$X$501),MATCH(ROWS($V$2:$V45),'Per Line'!$X$2:$X$501,0),"")</f>
        <v/>
      </c>
    </row>
    <row r="46">
      <c r="A46">
        <f>IF($V46="","",INDEX('Per Line'!$A$2:$A$501,$V46)&amp;"")</f>
        <v/>
      </c>
      <c r="B46" s="12" t="n"/>
      <c r="C46">
        <f>IF($V46="","",INDEX('Per Line'!$B$2:$B$501,$V46)&amp;"")</f>
        <v/>
      </c>
      <c r="D46">
        <f>IF($V46="","",INDEX('Per Line'!$C$2:$C$501,$V46)&amp;"")</f>
        <v/>
      </c>
      <c r="E46">
        <f>IF($V46="","",INDEX('Per Line'!$D$2:$D$501,$V46)&amp;"")</f>
        <v/>
      </c>
      <c r="F46">
        <f>IF($V46="","",INDEX('Per Line'!$E$2:$E$501,$V46))</f>
        <v/>
      </c>
      <c r="G46" s="7">
        <f>IF($V46="","",F46*T46/100)</f>
        <v/>
      </c>
      <c r="H46">
        <f>IF($V46="","",INDEX('Per Line'!$Q$2:$Q$501,$V46)&amp;"")</f>
        <v/>
      </c>
      <c r="I46">
        <f>IF($V46="","",INDEX('Per Line'!$R$2:$R$501,$V46)&amp;"")</f>
        <v/>
      </c>
      <c r="J46" s="11">
        <f>IF($V46="","",INDEX('Per Line'!$S$2:$S$501,$V46))</f>
        <v/>
      </c>
      <c r="K46">
        <f>IF($V46="","",INDEX('Per Line'!$T$2:$T$501,$V46)&amp;"")</f>
        <v/>
      </c>
      <c r="L46">
        <f>IF($V46="","",Settings!$C$7)</f>
        <v/>
      </c>
      <c r="M46" s="7">
        <f>IF($V46="","",SUMIFS('Per Line'!$N$2:$N$501,'Per Line'!$A$2:$A$501,$A46,'Per Line'!$Y$2:$Y$501,0))</f>
        <v/>
      </c>
      <c r="N46" s="7">
        <f>IF($V46="","",M46*L46)</f>
        <v/>
      </c>
      <c r="O46">
        <f>IF($V46="","",Settings!$C$6)</f>
        <v/>
      </c>
      <c r="P46" s="7">
        <f>IF($V46="","",SUMIFS('Per Line'!$N$2:$N$501,'Per Line'!$A$2:$A$501,$A46,'Per Line'!$Y$2:$Y$501,1))</f>
        <v/>
      </c>
      <c r="Q46" s="7">
        <f>IF($V46="","",P46*O46)</f>
        <v/>
      </c>
      <c r="R46" s="7">
        <f>IF($V46="","",Q46+N46)</f>
        <v/>
      </c>
      <c r="S46" s="7">
        <f>IF($V46="","",T46-R46)</f>
        <v/>
      </c>
      <c r="T46" s="7">
        <f>IF($V46="","",M46+P46)</f>
        <v/>
      </c>
      <c r="U46" s="7">
        <f>IF($V46="","",T46-R46-G46)</f>
        <v/>
      </c>
      <c r="V46" s="13">
        <f>IF(ROWS($V$2:$V46)&lt;=MAX('Per Line'!$X$2:$X$501),MATCH(ROWS($V$2:$V46),'Per Line'!$X$2:$X$501,0),"")</f>
        <v/>
      </c>
    </row>
    <row r="47">
      <c r="A47">
        <f>IF($V47="","",INDEX('Per Line'!$A$2:$A$501,$V47)&amp;"")</f>
        <v/>
      </c>
      <c r="B47" s="12" t="n"/>
      <c r="C47">
        <f>IF($V47="","",INDEX('Per Line'!$B$2:$B$501,$V47)&amp;"")</f>
        <v/>
      </c>
      <c r="D47">
        <f>IF($V47="","",INDEX('Per Line'!$C$2:$C$501,$V47)&amp;"")</f>
        <v/>
      </c>
      <c r="E47">
        <f>IF($V47="","",INDEX('Per Line'!$D$2:$D$501,$V47)&amp;"")</f>
        <v/>
      </c>
      <c r="F47">
        <f>IF($V47="","",INDEX('Per Line'!$E$2:$E$501,$V47))</f>
        <v/>
      </c>
      <c r="G47" s="7">
        <f>IF($V47="","",F47*T47/100)</f>
        <v/>
      </c>
      <c r="H47">
        <f>IF($V47="","",INDEX('Per Line'!$Q$2:$Q$501,$V47)&amp;"")</f>
        <v/>
      </c>
      <c r="I47">
        <f>IF($V47="","",INDEX('Per Line'!$R$2:$R$501,$V47)&amp;"")</f>
        <v/>
      </c>
      <c r="J47" s="11">
        <f>IF($V47="","",INDEX('Per Line'!$S$2:$S$501,$V47))</f>
        <v/>
      </c>
      <c r="K47">
        <f>IF($V47="","",INDEX('Per Line'!$T$2:$T$501,$V47)&amp;"")</f>
        <v/>
      </c>
      <c r="L47">
        <f>IF($V47="","",Settings!$C$7)</f>
        <v/>
      </c>
      <c r="M47" s="7">
        <f>IF($V47="","",SUMIFS('Per Line'!$N$2:$N$501,'Per Line'!$A$2:$A$501,$A47,'Per Line'!$Y$2:$Y$501,0))</f>
        <v/>
      </c>
      <c r="N47" s="7">
        <f>IF($V47="","",M47*L47)</f>
        <v/>
      </c>
      <c r="O47">
        <f>IF($V47="","",Settings!$C$6)</f>
        <v/>
      </c>
      <c r="P47" s="7">
        <f>IF($V47="","",SUMIFS('Per Line'!$N$2:$N$501,'Per Line'!$A$2:$A$501,$A47,'Per Line'!$Y$2:$Y$501,1))</f>
        <v/>
      </c>
      <c r="Q47" s="7">
        <f>IF($V47="","",P47*O47)</f>
        <v/>
      </c>
      <c r="R47" s="7">
        <f>IF($V47="","",Q47+N47)</f>
        <v/>
      </c>
      <c r="S47" s="7">
        <f>IF($V47="","",T47-R47)</f>
        <v/>
      </c>
      <c r="T47" s="7">
        <f>IF($V47="","",M47+P47)</f>
        <v/>
      </c>
      <c r="U47" s="7">
        <f>IF($V47="","",T47-R47-G47)</f>
        <v/>
      </c>
      <c r="V47" s="13">
        <f>IF(ROWS($V$2:$V47)&lt;=MAX('Per Line'!$X$2:$X$501),MATCH(ROWS($V$2:$V47),'Per Line'!$X$2:$X$501,0),"")</f>
        <v/>
      </c>
    </row>
    <row r="48">
      <c r="A48">
        <f>IF($V48="","",INDEX('Per Line'!$A$2:$A$501,$V48)&amp;"")</f>
        <v/>
      </c>
      <c r="B48" s="12" t="n"/>
      <c r="C48">
        <f>IF($V48="","",INDEX('Per Line'!$B$2:$B$501,$V48)&amp;"")</f>
        <v/>
      </c>
      <c r="D48">
        <f>IF($V48="","",INDEX('Per Line'!$C$2:$C$501,$V48)&amp;"")</f>
        <v/>
      </c>
      <c r="E48">
        <f>IF($V48="","",INDEX('Per Line'!$D$2:$D$501,$V48)&amp;"")</f>
        <v/>
      </c>
      <c r="F48">
        <f>IF($V48="","",INDEX('Per Line'!$E$2:$E$501,$V48))</f>
        <v/>
      </c>
      <c r="G48" s="7">
        <f>IF($V48="","",F48*T48/100)</f>
        <v/>
      </c>
      <c r="H48">
        <f>IF($V48="","",INDEX('Per Line'!$Q$2:$Q$501,$V48)&amp;"")</f>
        <v/>
      </c>
      <c r="I48">
        <f>IF($V48="","",INDEX('Per Line'!$R$2:$R$501,$V48)&amp;"")</f>
        <v/>
      </c>
      <c r="J48" s="11">
        <f>IF($V48="","",INDEX('Per Line'!$S$2:$S$501,$V48))</f>
        <v/>
      </c>
      <c r="K48">
        <f>IF($V48="","",INDEX('Per Line'!$T$2:$T$501,$V48)&amp;"")</f>
        <v/>
      </c>
      <c r="L48">
        <f>IF($V48="","",Settings!$C$7)</f>
        <v/>
      </c>
      <c r="M48" s="7">
        <f>IF($V48="","",SUMIFS('Per Line'!$N$2:$N$501,'Per Line'!$A$2:$A$501,$A48,'Per Line'!$Y$2:$Y$501,0))</f>
        <v/>
      </c>
      <c r="N48" s="7">
        <f>IF($V48="","",M48*L48)</f>
        <v/>
      </c>
      <c r="O48">
        <f>IF($V48="","",Settings!$C$6)</f>
        <v/>
      </c>
      <c r="P48" s="7">
        <f>IF($V48="","",SUMIFS('Per Line'!$N$2:$N$501,'Per Line'!$A$2:$A$501,$A48,'Per Line'!$Y$2:$Y$501,1))</f>
        <v/>
      </c>
      <c r="Q48" s="7">
        <f>IF($V48="","",P48*O48)</f>
        <v/>
      </c>
      <c r="R48" s="7">
        <f>IF($V48="","",Q48+N48)</f>
        <v/>
      </c>
      <c r="S48" s="7">
        <f>IF($V48="","",T48-R48)</f>
        <v/>
      </c>
      <c r="T48" s="7">
        <f>IF($V48="","",M48+P48)</f>
        <v/>
      </c>
      <c r="U48" s="7">
        <f>IF($V48="","",T48-R48-G48)</f>
        <v/>
      </c>
      <c r="V48" s="13">
        <f>IF(ROWS($V$2:$V48)&lt;=MAX('Per Line'!$X$2:$X$501),MATCH(ROWS($V$2:$V48),'Per Line'!$X$2:$X$501,0),"")</f>
        <v/>
      </c>
    </row>
    <row r="49">
      <c r="A49">
        <f>IF($V49="","",INDEX('Per Line'!$A$2:$A$501,$V49)&amp;"")</f>
        <v/>
      </c>
      <c r="B49" s="12" t="n"/>
      <c r="C49">
        <f>IF($V49="","",INDEX('Per Line'!$B$2:$B$501,$V49)&amp;"")</f>
        <v/>
      </c>
      <c r="D49">
        <f>IF($V49="","",INDEX('Per Line'!$C$2:$C$501,$V49)&amp;"")</f>
        <v/>
      </c>
      <c r="E49">
        <f>IF($V49="","",INDEX('Per Line'!$D$2:$D$501,$V49)&amp;"")</f>
        <v/>
      </c>
      <c r="F49">
        <f>IF($V49="","",INDEX('Per Line'!$E$2:$E$501,$V49))</f>
        <v/>
      </c>
      <c r="G49" s="7">
        <f>IF($V49="","",F49*T49/100)</f>
        <v/>
      </c>
      <c r="H49">
        <f>IF($V49="","",INDEX('Per Line'!$Q$2:$Q$501,$V49)&amp;"")</f>
        <v/>
      </c>
      <c r="I49">
        <f>IF($V49="","",INDEX('Per Line'!$R$2:$R$501,$V49)&amp;"")</f>
        <v/>
      </c>
      <c r="J49" s="11">
        <f>IF($V49="","",INDEX('Per Line'!$S$2:$S$501,$V49))</f>
        <v/>
      </c>
      <c r="K49">
        <f>IF($V49="","",INDEX('Per Line'!$T$2:$T$501,$V49)&amp;"")</f>
        <v/>
      </c>
      <c r="L49">
        <f>IF($V49="","",Settings!$C$7)</f>
        <v/>
      </c>
      <c r="M49" s="7">
        <f>IF($V49="","",SUMIFS('Per Line'!$N$2:$N$501,'Per Line'!$A$2:$A$501,$A49,'Per Line'!$Y$2:$Y$501,0))</f>
        <v/>
      </c>
      <c r="N49" s="7">
        <f>IF($V49="","",M49*L49)</f>
        <v/>
      </c>
      <c r="O49">
        <f>IF($V49="","",Settings!$C$6)</f>
        <v/>
      </c>
      <c r="P49" s="7">
        <f>IF($V49="","",SUMIFS('Per Line'!$N$2:$N$501,'Per Line'!$A$2:$A$501,$A49,'Per Line'!$Y$2:$Y$501,1))</f>
        <v/>
      </c>
      <c r="Q49" s="7">
        <f>IF($V49="","",P49*O49)</f>
        <v/>
      </c>
      <c r="R49" s="7">
        <f>IF($V49="","",Q49+N49)</f>
        <v/>
      </c>
      <c r="S49" s="7">
        <f>IF($V49="","",T49-R49)</f>
        <v/>
      </c>
      <c r="T49" s="7">
        <f>IF($V49="","",M49+P49)</f>
        <v/>
      </c>
      <c r="U49" s="7">
        <f>IF($V49="","",T49-R49-G49)</f>
        <v/>
      </c>
      <c r="V49" s="13">
        <f>IF(ROWS($V$2:$V49)&lt;=MAX('Per Line'!$X$2:$X$501),MATCH(ROWS($V$2:$V49),'Per Line'!$X$2:$X$501,0),"")</f>
        <v/>
      </c>
    </row>
    <row r="50">
      <c r="A50">
        <f>IF($V50="","",INDEX('Per Line'!$A$2:$A$501,$V50)&amp;"")</f>
        <v/>
      </c>
      <c r="B50" s="12" t="n"/>
      <c r="C50">
        <f>IF($V50="","",INDEX('Per Line'!$B$2:$B$501,$V50)&amp;"")</f>
        <v/>
      </c>
      <c r="D50">
        <f>IF($V50="","",INDEX('Per Line'!$C$2:$C$501,$V50)&amp;"")</f>
        <v/>
      </c>
      <c r="E50">
        <f>IF($V50="","",INDEX('Per Line'!$D$2:$D$501,$V50)&amp;"")</f>
        <v/>
      </c>
      <c r="F50">
        <f>IF($V50="","",INDEX('Per Line'!$E$2:$E$501,$V50))</f>
        <v/>
      </c>
      <c r="G50" s="7">
        <f>IF($V50="","",F50*T50/100)</f>
        <v/>
      </c>
      <c r="H50">
        <f>IF($V50="","",INDEX('Per Line'!$Q$2:$Q$501,$V50)&amp;"")</f>
        <v/>
      </c>
      <c r="I50">
        <f>IF($V50="","",INDEX('Per Line'!$R$2:$R$501,$V50)&amp;"")</f>
        <v/>
      </c>
      <c r="J50" s="11">
        <f>IF($V50="","",INDEX('Per Line'!$S$2:$S$501,$V50))</f>
        <v/>
      </c>
      <c r="K50">
        <f>IF($V50="","",INDEX('Per Line'!$T$2:$T$501,$V50)&amp;"")</f>
        <v/>
      </c>
      <c r="L50">
        <f>IF($V50="","",Settings!$C$7)</f>
        <v/>
      </c>
      <c r="M50" s="7">
        <f>IF($V50="","",SUMIFS('Per Line'!$N$2:$N$501,'Per Line'!$A$2:$A$501,$A50,'Per Line'!$Y$2:$Y$501,0))</f>
        <v/>
      </c>
      <c r="N50" s="7">
        <f>IF($V50="","",M50*L50)</f>
        <v/>
      </c>
      <c r="O50">
        <f>IF($V50="","",Settings!$C$6)</f>
        <v/>
      </c>
      <c r="P50" s="7">
        <f>IF($V50="","",SUMIFS('Per Line'!$N$2:$N$501,'Per Line'!$A$2:$A$501,$A50,'Per Line'!$Y$2:$Y$501,1))</f>
        <v/>
      </c>
      <c r="Q50" s="7">
        <f>IF($V50="","",P50*O50)</f>
        <v/>
      </c>
      <c r="R50" s="7">
        <f>IF($V50="","",Q50+N50)</f>
        <v/>
      </c>
      <c r="S50" s="7">
        <f>IF($V50="","",T50-R50)</f>
        <v/>
      </c>
      <c r="T50" s="7">
        <f>IF($V50="","",M50+P50)</f>
        <v/>
      </c>
      <c r="U50" s="7">
        <f>IF($V50="","",T50-R50-G50)</f>
        <v/>
      </c>
      <c r="V50" s="13">
        <f>IF(ROWS($V$2:$V50)&lt;=MAX('Per Line'!$X$2:$X$501),MATCH(ROWS($V$2:$V50),'Per Line'!$X$2:$X$501,0),"")</f>
        <v/>
      </c>
    </row>
    <row r="51">
      <c r="A51">
        <f>IF($V51="","",INDEX('Per Line'!$A$2:$A$501,$V51)&amp;"")</f>
        <v/>
      </c>
      <c r="B51" s="12" t="n"/>
      <c r="C51">
        <f>IF($V51="","",INDEX('Per Line'!$B$2:$B$501,$V51)&amp;"")</f>
        <v/>
      </c>
      <c r="D51">
        <f>IF($V51="","",INDEX('Per Line'!$C$2:$C$501,$V51)&amp;"")</f>
        <v/>
      </c>
      <c r="E51">
        <f>IF($V51="","",INDEX('Per Line'!$D$2:$D$501,$V51)&amp;"")</f>
        <v/>
      </c>
      <c r="F51">
        <f>IF($V51="","",INDEX('Per Line'!$E$2:$E$501,$V51))</f>
        <v/>
      </c>
      <c r="G51" s="7">
        <f>IF($V51="","",F51*T51/100)</f>
        <v/>
      </c>
      <c r="H51">
        <f>IF($V51="","",INDEX('Per Line'!$Q$2:$Q$501,$V51)&amp;"")</f>
        <v/>
      </c>
      <c r="I51">
        <f>IF($V51="","",INDEX('Per Line'!$R$2:$R$501,$V51)&amp;"")</f>
        <v/>
      </c>
      <c r="J51" s="11">
        <f>IF($V51="","",INDEX('Per Line'!$S$2:$S$501,$V51))</f>
        <v/>
      </c>
      <c r="K51">
        <f>IF($V51="","",INDEX('Per Line'!$T$2:$T$501,$V51)&amp;"")</f>
        <v/>
      </c>
      <c r="L51">
        <f>IF($V51="","",Settings!$C$7)</f>
        <v/>
      </c>
      <c r="M51" s="7">
        <f>IF($V51="","",SUMIFS('Per Line'!$N$2:$N$501,'Per Line'!$A$2:$A$501,$A51,'Per Line'!$Y$2:$Y$501,0))</f>
        <v/>
      </c>
      <c r="N51" s="7">
        <f>IF($V51="","",M51*L51)</f>
        <v/>
      </c>
      <c r="O51">
        <f>IF($V51="","",Settings!$C$6)</f>
        <v/>
      </c>
      <c r="P51" s="7">
        <f>IF($V51="","",SUMIFS('Per Line'!$N$2:$N$501,'Per Line'!$A$2:$A$501,$A51,'Per Line'!$Y$2:$Y$501,1))</f>
        <v/>
      </c>
      <c r="Q51" s="7">
        <f>IF($V51="","",P51*O51)</f>
        <v/>
      </c>
      <c r="R51" s="7">
        <f>IF($V51="","",Q51+N51)</f>
        <v/>
      </c>
      <c r="S51" s="7">
        <f>IF($V51="","",T51-R51)</f>
        <v/>
      </c>
      <c r="T51" s="7">
        <f>IF($V51="","",M51+P51)</f>
        <v/>
      </c>
      <c r="U51" s="7">
        <f>IF($V51="","",T51-R51-G51)</f>
        <v/>
      </c>
      <c r="V51" s="13">
        <f>IF(ROWS($V$2:$V51)&lt;=MAX('Per Line'!$X$2:$X$501),MATCH(ROWS($V$2:$V51),'Per Line'!$X$2:$X$501,0),"")</f>
        <v/>
      </c>
    </row>
    <row r="52">
      <c r="A52">
        <f>IF($V52="","",INDEX('Per Line'!$A$2:$A$501,$V52)&amp;"")</f>
        <v/>
      </c>
      <c r="B52" s="12" t="n"/>
      <c r="C52">
        <f>IF($V52="","",INDEX('Per Line'!$B$2:$B$501,$V52)&amp;"")</f>
        <v/>
      </c>
      <c r="D52">
        <f>IF($V52="","",INDEX('Per Line'!$C$2:$C$501,$V52)&amp;"")</f>
        <v/>
      </c>
      <c r="E52">
        <f>IF($V52="","",INDEX('Per Line'!$D$2:$D$501,$V52)&amp;"")</f>
        <v/>
      </c>
      <c r="F52">
        <f>IF($V52="","",INDEX('Per Line'!$E$2:$E$501,$V52))</f>
        <v/>
      </c>
      <c r="G52" s="7">
        <f>IF($V52="","",F52*T52/100)</f>
        <v/>
      </c>
      <c r="H52">
        <f>IF($V52="","",INDEX('Per Line'!$Q$2:$Q$501,$V52)&amp;"")</f>
        <v/>
      </c>
      <c r="I52">
        <f>IF($V52="","",INDEX('Per Line'!$R$2:$R$501,$V52)&amp;"")</f>
        <v/>
      </c>
      <c r="J52" s="11">
        <f>IF($V52="","",INDEX('Per Line'!$S$2:$S$501,$V52))</f>
        <v/>
      </c>
      <c r="K52">
        <f>IF($V52="","",INDEX('Per Line'!$T$2:$T$501,$V52)&amp;"")</f>
        <v/>
      </c>
      <c r="L52">
        <f>IF($V52="","",Settings!$C$7)</f>
        <v/>
      </c>
      <c r="M52" s="7">
        <f>IF($V52="","",SUMIFS('Per Line'!$N$2:$N$501,'Per Line'!$A$2:$A$501,$A52,'Per Line'!$Y$2:$Y$501,0))</f>
        <v/>
      </c>
      <c r="N52" s="7">
        <f>IF($V52="","",M52*L52)</f>
        <v/>
      </c>
      <c r="O52">
        <f>IF($V52="","",Settings!$C$6)</f>
        <v/>
      </c>
      <c r="P52" s="7">
        <f>IF($V52="","",SUMIFS('Per Line'!$N$2:$N$501,'Per Line'!$A$2:$A$501,$A52,'Per Line'!$Y$2:$Y$501,1))</f>
        <v/>
      </c>
      <c r="Q52" s="7">
        <f>IF($V52="","",P52*O52)</f>
        <v/>
      </c>
      <c r="R52" s="7">
        <f>IF($V52="","",Q52+N52)</f>
        <v/>
      </c>
      <c r="S52" s="7">
        <f>IF($V52="","",T52-R52)</f>
        <v/>
      </c>
      <c r="T52" s="7">
        <f>IF($V52="","",M52+P52)</f>
        <v/>
      </c>
      <c r="U52" s="7">
        <f>IF($V52="","",T52-R52-G52)</f>
        <v/>
      </c>
      <c r="V52" s="13">
        <f>IF(ROWS($V$2:$V52)&lt;=MAX('Per Line'!$X$2:$X$501),MATCH(ROWS($V$2:$V52),'Per Line'!$X$2:$X$501,0),"")</f>
        <v/>
      </c>
    </row>
    <row r="53">
      <c r="A53">
        <f>IF($V53="","",INDEX('Per Line'!$A$2:$A$501,$V53)&amp;"")</f>
        <v/>
      </c>
      <c r="B53" s="12" t="n"/>
      <c r="C53">
        <f>IF($V53="","",INDEX('Per Line'!$B$2:$B$501,$V53)&amp;"")</f>
        <v/>
      </c>
      <c r="D53">
        <f>IF($V53="","",INDEX('Per Line'!$C$2:$C$501,$V53)&amp;"")</f>
        <v/>
      </c>
      <c r="E53">
        <f>IF($V53="","",INDEX('Per Line'!$D$2:$D$501,$V53)&amp;"")</f>
        <v/>
      </c>
      <c r="F53">
        <f>IF($V53="","",INDEX('Per Line'!$E$2:$E$501,$V53))</f>
        <v/>
      </c>
      <c r="G53" s="7">
        <f>IF($V53="","",F53*T53/100)</f>
        <v/>
      </c>
      <c r="H53">
        <f>IF($V53="","",INDEX('Per Line'!$Q$2:$Q$501,$V53)&amp;"")</f>
        <v/>
      </c>
      <c r="I53">
        <f>IF($V53="","",INDEX('Per Line'!$R$2:$R$501,$V53)&amp;"")</f>
        <v/>
      </c>
      <c r="J53" s="11">
        <f>IF($V53="","",INDEX('Per Line'!$S$2:$S$501,$V53))</f>
        <v/>
      </c>
      <c r="K53">
        <f>IF($V53="","",INDEX('Per Line'!$T$2:$T$501,$V53)&amp;"")</f>
        <v/>
      </c>
      <c r="L53">
        <f>IF($V53="","",Settings!$C$7)</f>
        <v/>
      </c>
      <c r="M53" s="7">
        <f>IF($V53="","",SUMIFS('Per Line'!$N$2:$N$501,'Per Line'!$A$2:$A$501,$A53,'Per Line'!$Y$2:$Y$501,0))</f>
        <v/>
      </c>
      <c r="N53" s="7">
        <f>IF($V53="","",M53*L53)</f>
        <v/>
      </c>
      <c r="O53">
        <f>IF($V53="","",Settings!$C$6)</f>
        <v/>
      </c>
      <c r="P53" s="7">
        <f>IF($V53="","",SUMIFS('Per Line'!$N$2:$N$501,'Per Line'!$A$2:$A$501,$A53,'Per Line'!$Y$2:$Y$501,1))</f>
        <v/>
      </c>
      <c r="Q53" s="7">
        <f>IF($V53="","",P53*O53)</f>
        <v/>
      </c>
      <c r="R53" s="7">
        <f>IF($V53="","",Q53+N53)</f>
        <v/>
      </c>
      <c r="S53" s="7">
        <f>IF($V53="","",T53-R53)</f>
        <v/>
      </c>
      <c r="T53" s="7">
        <f>IF($V53="","",M53+P53)</f>
        <v/>
      </c>
      <c r="U53" s="7">
        <f>IF($V53="","",T53-R53-G53)</f>
        <v/>
      </c>
      <c r="V53" s="13">
        <f>IF(ROWS($V$2:$V53)&lt;=MAX('Per Line'!$X$2:$X$501),MATCH(ROWS($V$2:$V53),'Per Line'!$X$2:$X$501,0),"")</f>
        <v/>
      </c>
    </row>
    <row r="54">
      <c r="A54">
        <f>IF($V54="","",INDEX('Per Line'!$A$2:$A$501,$V54)&amp;"")</f>
        <v/>
      </c>
      <c r="B54" s="12" t="n"/>
      <c r="C54">
        <f>IF($V54="","",INDEX('Per Line'!$B$2:$B$501,$V54)&amp;"")</f>
        <v/>
      </c>
      <c r="D54">
        <f>IF($V54="","",INDEX('Per Line'!$C$2:$C$501,$V54)&amp;"")</f>
        <v/>
      </c>
      <c r="E54">
        <f>IF($V54="","",INDEX('Per Line'!$D$2:$D$501,$V54)&amp;"")</f>
        <v/>
      </c>
      <c r="F54">
        <f>IF($V54="","",INDEX('Per Line'!$E$2:$E$501,$V54))</f>
        <v/>
      </c>
      <c r="G54" s="7">
        <f>IF($V54="","",F54*T54/100)</f>
        <v/>
      </c>
      <c r="H54">
        <f>IF($V54="","",INDEX('Per Line'!$Q$2:$Q$501,$V54)&amp;"")</f>
        <v/>
      </c>
      <c r="I54">
        <f>IF($V54="","",INDEX('Per Line'!$R$2:$R$501,$V54)&amp;"")</f>
        <v/>
      </c>
      <c r="J54" s="11">
        <f>IF($V54="","",INDEX('Per Line'!$S$2:$S$501,$V54))</f>
        <v/>
      </c>
      <c r="K54">
        <f>IF($V54="","",INDEX('Per Line'!$T$2:$T$501,$V54)&amp;"")</f>
        <v/>
      </c>
      <c r="L54">
        <f>IF($V54="","",Settings!$C$7)</f>
        <v/>
      </c>
      <c r="M54" s="7">
        <f>IF($V54="","",SUMIFS('Per Line'!$N$2:$N$501,'Per Line'!$A$2:$A$501,$A54,'Per Line'!$Y$2:$Y$501,0))</f>
        <v/>
      </c>
      <c r="N54" s="7">
        <f>IF($V54="","",M54*L54)</f>
        <v/>
      </c>
      <c r="O54">
        <f>IF($V54="","",Settings!$C$6)</f>
        <v/>
      </c>
      <c r="P54" s="7">
        <f>IF($V54="","",SUMIFS('Per Line'!$N$2:$N$501,'Per Line'!$A$2:$A$501,$A54,'Per Line'!$Y$2:$Y$501,1))</f>
        <v/>
      </c>
      <c r="Q54" s="7">
        <f>IF($V54="","",P54*O54)</f>
        <v/>
      </c>
      <c r="R54" s="7">
        <f>IF($V54="","",Q54+N54)</f>
        <v/>
      </c>
      <c r="S54" s="7">
        <f>IF($V54="","",T54-R54)</f>
        <v/>
      </c>
      <c r="T54" s="7">
        <f>IF($V54="","",M54+P54)</f>
        <v/>
      </c>
      <c r="U54" s="7">
        <f>IF($V54="","",T54-R54-G54)</f>
        <v/>
      </c>
      <c r="V54" s="13">
        <f>IF(ROWS($V$2:$V54)&lt;=MAX('Per Line'!$X$2:$X$501),MATCH(ROWS($V$2:$V54),'Per Line'!$X$2:$X$501,0),"")</f>
        <v/>
      </c>
    </row>
    <row r="55">
      <c r="A55">
        <f>IF($V55="","",INDEX('Per Line'!$A$2:$A$501,$V55)&amp;"")</f>
        <v/>
      </c>
      <c r="B55" s="12" t="n"/>
      <c r="C55">
        <f>IF($V55="","",INDEX('Per Line'!$B$2:$B$501,$V55)&amp;"")</f>
        <v/>
      </c>
      <c r="D55">
        <f>IF($V55="","",INDEX('Per Line'!$C$2:$C$501,$V55)&amp;"")</f>
        <v/>
      </c>
      <c r="E55">
        <f>IF($V55="","",INDEX('Per Line'!$D$2:$D$501,$V55)&amp;"")</f>
        <v/>
      </c>
      <c r="F55">
        <f>IF($V55="","",INDEX('Per Line'!$E$2:$E$501,$V55))</f>
        <v/>
      </c>
      <c r="G55" s="7">
        <f>IF($V55="","",F55*T55/100)</f>
        <v/>
      </c>
      <c r="H55">
        <f>IF($V55="","",INDEX('Per Line'!$Q$2:$Q$501,$V55)&amp;"")</f>
        <v/>
      </c>
      <c r="I55">
        <f>IF($V55="","",INDEX('Per Line'!$R$2:$R$501,$V55)&amp;"")</f>
        <v/>
      </c>
      <c r="J55" s="11">
        <f>IF($V55="","",INDEX('Per Line'!$S$2:$S$501,$V55))</f>
        <v/>
      </c>
      <c r="K55">
        <f>IF($V55="","",INDEX('Per Line'!$T$2:$T$501,$V55)&amp;"")</f>
        <v/>
      </c>
      <c r="L55">
        <f>IF($V55="","",Settings!$C$7)</f>
        <v/>
      </c>
      <c r="M55" s="7">
        <f>IF($V55="","",SUMIFS('Per Line'!$N$2:$N$501,'Per Line'!$A$2:$A$501,$A55,'Per Line'!$Y$2:$Y$501,0))</f>
        <v/>
      </c>
      <c r="N55" s="7">
        <f>IF($V55="","",M55*L55)</f>
        <v/>
      </c>
      <c r="O55">
        <f>IF($V55="","",Settings!$C$6)</f>
        <v/>
      </c>
      <c r="P55" s="7">
        <f>IF($V55="","",SUMIFS('Per Line'!$N$2:$N$501,'Per Line'!$A$2:$A$501,$A55,'Per Line'!$Y$2:$Y$501,1))</f>
        <v/>
      </c>
      <c r="Q55" s="7">
        <f>IF($V55="","",P55*O55)</f>
        <v/>
      </c>
      <c r="R55" s="7">
        <f>IF($V55="","",Q55+N55)</f>
        <v/>
      </c>
      <c r="S55" s="7">
        <f>IF($V55="","",T55-R55)</f>
        <v/>
      </c>
      <c r="T55" s="7">
        <f>IF($V55="","",M55+P55)</f>
        <v/>
      </c>
      <c r="U55" s="7">
        <f>IF($V55="","",T55-R55-G55)</f>
        <v/>
      </c>
      <c r="V55" s="13">
        <f>IF(ROWS($V$2:$V55)&lt;=MAX('Per Line'!$X$2:$X$501),MATCH(ROWS($V$2:$V55),'Per Line'!$X$2:$X$501,0),"")</f>
        <v/>
      </c>
    </row>
    <row r="56">
      <c r="A56">
        <f>IF($V56="","",INDEX('Per Line'!$A$2:$A$501,$V56)&amp;"")</f>
        <v/>
      </c>
      <c r="B56" s="12" t="n"/>
      <c r="C56">
        <f>IF($V56="","",INDEX('Per Line'!$B$2:$B$501,$V56)&amp;"")</f>
        <v/>
      </c>
      <c r="D56">
        <f>IF($V56="","",INDEX('Per Line'!$C$2:$C$501,$V56)&amp;"")</f>
        <v/>
      </c>
      <c r="E56">
        <f>IF($V56="","",INDEX('Per Line'!$D$2:$D$501,$V56)&amp;"")</f>
        <v/>
      </c>
      <c r="F56">
        <f>IF($V56="","",INDEX('Per Line'!$E$2:$E$501,$V56))</f>
        <v/>
      </c>
      <c r="G56" s="7">
        <f>IF($V56="","",F56*T56/100)</f>
        <v/>
      </c>
      <c r="H56">
        <f>IF($V56="","",INDEX('Per Line'!$Q$2:$Q$501,$V56)&amp;"")</f>
        <v/>
      </c>
      <c r="I56">
        <f>IF($V56="","",INDEX('Per Line'!$R$2:$R$501,$V56)&amp;"")</f>
        <v/>
      </c>
      <c r="J56" s="11">
        <f>IF($V56="","",INDEX('Per Line'!$S$2:$S$501,$V56))</f>
        <v/>
      </c>
      <c r="K56">
        <f>IF($V56="","",INDEX('Per Line'!$T$2:$T$501,$V56)&amp;"")</f>
        <v/>
      </c>
      <c r="L56">
        <f>IF($V56="","",Settings!$C$7)</f>
        <v/>
      </c>
      <c r="M56" s="7">
        <f>IF($V56="","",SUMIFS('Per Line'!$N$2:$N$501,'Per Line'!$A$2:$A$501,$A56,'Per Line'!$Y$2:$Y$501,0))</f>
        <v/>
      </c>
      <c r="N56" s="7">
        <f>IF($V56="","",M56*L56)</f>
        <v/>
      </c>
      <c r="O56">
        <f>IF($V56="","",Settings!$C$6)</f>
        <v/>
      </c>
      <c r="P56" s="7">
        <f>IF($V56="","",SUMIFS('Per Line'!$N$2:$N$501,'Per Line'!$A$2:$A$501,$A56,'Per Line'!$Y$2:$Y$501,1))</f>
        <v/>
      </c>
      <c r="Q56" s="7">
        <f>IF($V56="","",P56*O56)</f>
        <v/>
      </c>
      <c r="R56" s="7">
        <f>IF($V56="","",Q56+N56)</f>
        <v/>
      </c>
      <c r="S56" s="7">
        <f>IF($V56="","",T56-R56)</f>
        <v/>
      </c>
      <c r="T56" s="7">
        <f>IF($V56="","",M56+P56)</f>
        <v/>
      </c>
      <c r="U56" s="7">
        <f>IF($V56="","",T56-R56-G56)</f>
        <v/>
      </c>
      <c r="V56" s="13">
        <f>IF(ROWS($V$2:$V56)&lt;=MAX('Per Line'!$X$2:$X$501),MATCH(ROWS($V$2:$V56),'Per Line'!$X$2:$X$501,0),"")</f>
        <v/>
      </c>
    </row>
    <row r="57">
      <c r="A57">
        <f>IF($V57="","",INDEX('Per Line'!$A$2:$A$501,$V57)&amp;"")</f>
        <v/>
      </c>
      <c r="B57" s="12" t="n"/>
      <c r="C57">
        <f>IF($V57="","",INDEX('Per Line'!$B$2:$B$501,$V57)&amp;"")</f>
        <v/>
      </c>
      <c r="D57">
        <f>IF($V57="","",INDEX('Per Line'!$C$2:$C$501,$V57)&amp;"")</f>
        <v/>
      </c>
      <c r="E57">
        <f>IF($V57="","",INDEX('Per Line'!$D$2:$D$501,$V57)&amp;"")</f>
        <v/>
      </c>
      <c r="F57">
        <f>IF($V57="","",INDEX('Per Line'!$E$2:$E$501,$V57))</f>
        <v/>
      </c>
      <c r="G57" s="7">
        <f>IF($V57="","",F57*T57/100)</f>
        <v/>
      </c>
      <c r="H57">
        <f>IF($V57="","",INDEX('Per Line'!$Q$2:$Q$501,$V57)&amp;"")</f>
        <v/>
      </c>
      <c r="I57">
        <f>IF($V57="","",INDEX('Per Line'!$R$2:$R$501,$V57)&amp;"")</f>
        <v/>
      </c>
      <c r="J57" s="11">
        <f>IF($V57="","",INDEX('Per Line'!$S$2:$S$501,$V57))</f>
        <v/>
      </c>
      <c r="K57">
        <f>IF($V57="","",INDEX('Per Line'!$T$2:$T$501,$V57)&amp;"")</f>
        <v/>
      </c>
      <c r="L57">
        <f>IF($V57="","",Settings!$C$7)</f>
        <v/>
      </c>
      <c r="M57" s="7">
        <f>IF($V57="","",SUMIFS('Per Line'!$N$2:$N$501,'Per Line'!$A$2:$A$501,$A57,'Per Line'!$Y$2:$Y$501,0))</f>
        <v/>
      </c>
      <c r="N57" s="7">
        <f>IF($V57="","",M57*L57)</f>
        <v/>
      </c>
      <c r="O57">
        <f>IF($V57="","",Settings!$C$6)</f>
        <v/>
      </c>
      <c r="P57" s="7">
        <f>IF($V57="","",SUMIFS('Per Line'!$N$2:$N$501,'Per Line'!$A$2:$A$501,$A57,'Per Line'!$Y$2:$Y$501,1))</f>
        <v/>
      </c>
      <c r="Q57" s="7">
        <f>IF($V57="","",P57*O57)</f>
        <v/>
      </c>
      <c r="R57" s="7">
        <f>IF($V57="","",Q57+N57)</f>
        <v/>
      </c>
      <c r="S57" s="7">
        <f>IF($V57="","",T57-R57)</f>
        <v/>
      </c>
      <c r="T57" s="7">
        <f>IF($V57="","",M57+P57)</f>
        <v/>
      </c>
      <c r="U57" s="7">
        <f>IF($V57="","",T57-R57-G57)</f>
        <v/>
      </c>
      <c r="V57" s="13">
        <f>IF(ROWS($V$2:$V57)&lt;=MAX('Per Line'!$X$2:$X$501),MATCH(ROWS($V$2:$V57),'Per Line'!$X$2:$X$501,0),"")</f>
        <v/>
      </c>
    </row>
    <row r="58">
      <c r="A58">
        <f>IF($V58="","",INDEX('Per Line'!$A$2:$A$501,$V58)&amp;"")</f>
        <v/>
      </c>
      <c r="B58" s="12" t="n"/>
      <c r="C58">
        <f>IF($V58="","",INDEX('Per Line'!$B$2:$B$501,$V58)&amp;"")</f>
        <v/>
      </c>
      <c r="D58">
        <f>IF($V58="","",INDEX('Per Line'!$C$2:$C$501,$V58)&amp;"")</f>
        <v/>
      </c>
      <c r="E58">
        <f>IF($V58="","",INDEX('Per Line'!$D$2:$D$501,$V58)&amp;"")</f>
        <v/>
      </c>
      <c r="F58">
        <f>IF($V58="","",INDEX('Per Line'!$E$2:$E$501,$V58))</f>
        <v/>
      </c>
      <c r="G58" s="7">
        <f>IF($V58="","",F58*T58/100)</f>
        <v/>
      </c>
      <c r="H58">
        <f>IF($V58="","",INDEX('Per Line'!$Q$2:$Q$501,$V58)&amp;"")</f>
        <v/>
      </c>
      <c r="I58">
        <f>IF($V58="","",INDEX('Per Line'!$R$2:$R$501,$V58)&amp;"")</f>
        <v/>
      </c>
      <c r="J58" s="11">
        <f>IF($V58="","",INDEX('Per Line'!$S$2:$S$501,$V58))</f>
        <v/>
      </c>
      <c r="K58">
        <f>IF($V58="","",INDEX('Per Line'!$T$2:$T$501,$V58)&amp;"")</f>
        <v/>
      </c>
      <c r="L58">
        <f>IF($V58="","",Settings!$C$7)</f>
        <v/>
      </c>
      <c r="M58" s="7">
        <f>IF($V58="","",SUMIFS('Per Line'!$N$2:$N$501,'Per Line'!$A$2:$A$501,$A58,'Per Line'!$Y$2:$Y$501,0))</f>
        <v/>
      </c>
      <c r="N58" s="7">
        <f>IF($V58="","",M58*L58)</f>
        <v/>
      </c>
      <c r="O58">
        <f>IF($V58="","",Settings!$C$6)</f>
        <v/>
      </c>
      <c r="P58" s="7">
        <f>IF($V58="","",SUMIFS('Per Line'!$N$2:$N$501,'Per Line'!$A$2:$A$501,$A58,'Per Line'!$Y$2:$Y$501,1))</f>
        <v/>
      </c>
      <c r="Q58" s="7">
        <f>IF($V58="","",P58*O58)</f>
        <v/>
      </c>
      <c r="R58" s="7">
        <f>IF($V58="","",Q58+N58)</f>
        <v/>
      </c>
      <c r="S58" s="7">
        <f>IF($V58="","",T58-R58)</f>
        <v/>
      </c>
      <c r="T58" s="7">
        <f>IF($V58="","",M58+P58)</f>
        <v/>
      </c>
      <c r="U58" s="7">
        <f>IF($V58="","",T58-R58-G58)</f>
        <v/>
      </c>
      <c r="V58" s="13">
        <f>IF(ROWS($V$2:$V58)&lt;=MAX('Per Line'!$X$2:$X$501),MATCH(ROWS($V$2:$V58),'Per Line'!$X$2:$X$501,0),"")</f>
        <v/>
      </c>
    </row>
    <row r="59">
      <c r="A59">
        <f>IF($V59="","",INDEX('Per Line'!$A$2:$A$501,$V59)&amp;"")</f>
        <v/>
      </c>
      <c r="B59" s="12" t="n"/>
      <c r="C59">
        <f>IF($V59="","",INDEX('Per Line'!$B$2:$B$501,$V59)&amp;"")</f>
        <v/>
      </c>
      <c r="D59">
        <f>IF($V59="","",INDEX('Per Line'!$C$2:$C$501,$V59)&amp;"")</f>
        <v/>
      </c>
      <c r="E59">
        <f>IF($V59="","",INDEX('Per Line'!$D$2:$D$501,$V59)&amp;"")</f>
        <v/>
      </c>
      <c r="F59">
        <f>IF($V59="","",INDEX('Per Line'!$E$2:$E$501,$V59))</f>
        <v/>
      </c>
      <c r="G59" s="7">
        <f>IF($V59="","",F59*T59/100)</f>
        <v/>
      </c>
      <c r="H59">
        <f>IF($V59="","",INDEX('Per Line'!$Q$2:$Q$501,$V59)&amp;"")</f>
        <v/>
      </c>
      <c r="I59">
        <f>IF($V59="","",INDEX('Per Line'!$R$2:$R$501,$V59)&amp;"")</f>
        <v/>
      </c>
      <c r="J59" s="11">
        <f>IF($V59="","",INDEX('Per Line'!$S$2:$S$501,$V59))</f>
        <v/>
      </c>
      <c r="K59">
        <f>IF($V59="","",INDEX('Per Line'!$T$2:$T$501,$V59)&amp;"")</f>
        <v/>
      </c>
      <c r="L59">
        <f>IF($V59="","",Settings!$C$7)</f>
        <v/>
      </c>
      <c r="M59" s="7">
        <f>IF($V59="","",SUMIFS('Per Line'!$N$2:$N$501,'Per Line'!$A$2:$A$501,$A59,'Per Line'!$Y$2:$Y$501,0))</f>
        <v/>
      </c>
      <c r="N59" s="7">
        <f>IF($V59="","",M59*L59)</f>
        <v/>
      </c>
      <c r="O59">
        <f>IF($V59="","",Settings!$C$6)</f>
        <v/>
      </c>
      <c r="P59" s="7">
        <f>IF($V59="","",SUMIFS('Per Line'!$N$2:$N$501,'Per Line'!$A$2:$A$501,$A59,'Per Line'!$Y$2:$Y$501,1))</f>
        <v/>
      </c>
      <c r="Q59" s="7">
        <f>IF($V59="","",P59*O59)</f>
        <v/>
      </c>
      <c r="R59" s="7">
        <f>IF($V59="","",Q59+N59)</f>
        <v/>
      </c>
      <c r="S59" s="7">
        <f>IF($V59="","",T59-R59)</f>
        <v/>
      </c>
      <c r="T59" s="7">
        <f>IF($V59="","",M59+P59)</f>
        <v/>
      </c>
      <c r="U59" s="7">
        <f>IF($V59="","",T59-R59-G59)</f>
        <v/>
      </c>
      <c r="V59" s="13">
        <f>IF(ROWS($V$2:$V59)&lt;=MAX('Per Line'!$X$2:$X$501),MATCH(ROWS($V$2:$V59),'Per Line'!$X$2:$X$501,0),"")</f>
        <v/>
      </c>
    </row>
    <row r="60">
      <c r="A60">
        <f>IF($V60="","",INDEX('Per Line'!$A$2:$A$501,$V60)&amp;"")</f>
        <v/>
      </c>
      <c r="B60" s="12" t="n"/>
      <c r="C60">
        <f>IF($V60="","",INDEX('Per Line'!$B$2:$B$501,$V60)&amp;"")</f>
        <v/>
      </c>
      <c r="D60">
        <f>IF($V60="","",INDEX('Per Line'!$C$2:$C$501,$V60)&amp;"")</f>
        <v/>
      </c>
      <c r="E60">
        <f>IF($V60="","",INDEX('Per Line'!$D$2:$D$501,$V60)&amp;"")</f>
        <v/>
      </c>
      <c r="F60">
        <f>IF($V60="","",INDEX('Per Line'!$E$2:$E$501,$V60))</f>
        <v/>
      </c>
      <c r="G60" s="7">
        <f>IF($V60="","",F60*T60/100)</f>
        <v/>
      </c>
      <c r="H60">
        <f>IF($V60="","",INDEX('Per Line'!$Q$2:$Q$501,$V60)&amp;"")</f>
        <v/>
      </c>
      <c r="I60">
        <f>IF($V60="","",INDEX('Per Line'!$R$2:$R$501,$V60)&amp;"")</f>
        <v/>
      </c>
      <c r="J60" s="11">
        <f>IF($V60="","",INDEX('Per Line'!$S$2:$S$501,$V60))</f>
        <v/>
      </c>
      <c r="K60">
        <f>IF($V60="","",INDEX('Per Line'!$T$2:$T$501,$V60)&amp;"")</f>
        <v/>
      </c>
      <c r="L60">
        <f>IF($V60="","",Settings!$C$7)</f>
        <v/>
      </c>
      <c r="M60" s="7">
        <f>IF($V60="","",SUMIFS('Per Line'!$N$2:$N$501,'Per Line'!$A$2:$A$501,$A60,'Per Line'!$Y$2:$Y$501,0))</f>
        <v/>
      </c>
      <c r="N60" s="7">
        <f>IF($V60="","",M60*L60)</f>
        <v/>
      </c>
      <c r="O60">
        <f>IF($V60="","",Settings!$C$6)</f>
        <v/>
      </c>
      <c r="P60" s="7">
        <f>IF($V60="","",SUMIFS('Per Line'!$N$2:$N$501,'Per Line'!$A$2:$A$501,$A60,'Per Line'!$Y$2:$Y$501,1))</f>
        <v/>
      </c>
      <c r="Q60" s="7">
        <f>IF($V60="","",P60*O60)</f>
        <v/>
      </c>
      <c r="R60" s="7">
        <f>IF($V60="","",Q60+N60)</f>
        <v/>
      </c>
      <c r="S60" s="7">
        <f>IF($V60="","",T60-R60)</f>
        <v/>
      </c>
      <c r="T60" s="7">
        <f>IF($V60="","",M60+P60)</f>
        <v/>
      </c>
      <c r="U60" s="7">
        <f>IF($V60="","",T60-R60-G60)</f>
        <v/>
      </c>
      <c r="V60" s="13">
        <f>IF(ROWS($V$2:$V60)&lt;=MAX('Per Line'!$X$2:$X$501),MATCH(ROWS($V$2:$V60),'Per Line'!$X$2:$X$501,0),"")</f>
        <v/>
      </c>
    </row>
    <row r="61">
      <c r="A61">
        <f>IF($V61="","",INDEX('Per Line'!$A$2:$A$501,$V61)&amp;"")</f>
        <v/>
      </c>
      <c r="B61" s="12" t="n"/>
      <c r="C61">
        <f>IF($V61="","",INDEX('Per Line'!$B$2:$B$501,$V61)&amp;"")</f>
        <v/>
      </c>
      <c r="D61">
        <f>IF($V61="","",INDEX('Per Line'!$C$2:$C$501,$V61)&amp;"")</f>
        <v/>
      </c>
      <c r="E61">
        <f>IF($V61="","",INDEX('Per Line'!$D$2:$D$501,$V61)&amp;"")</f>
        <v/>
      </c>
      <c r="F61">
        <f>IF($V61="","",INDEX('Per Line'!$E$2:$E$501,$V61))</f>
        <v/>
      </c>
      <c r="G61" s="7">
        <f>IF($V61="","",F61*T61/100)</f>
        <v/>
      </c>
      <c r="H61">
        <f>IF($V61="","",INDEX('Per Line'!$Q$2:$Q$501,$V61)&amp;"")</f>
        <v/>
      </c>
      <c r="I61">
        <f>IF($V61="","",INDEX('Per Line'!$R$2:$R$501,$V61)&amp;"")</f>
        <v/>
      </c>
      <c r="J61" s="11">
        <f>IF($V61="","",INDEX('Per Line'!$S$2:$S$501,$V61))</f>
        <v/>
      </c>
      <c r="K61">
        <f>IF($V61="","",INDEX('Per Line'!$T$2:$T$501,$V61)&amp;"")</f>
        <v/>
      </c>
      <c r="L61">
        <f>IF($V61="","",Settings!$C$7)</f>
        <v/>
      </c>
      <c r="M61" s="7">
        <f>IF($V61="","",SUMIFS('Per Line'!$N$2:$N$501,'Per Line'!$A$2:$A$501,$A61,'Per Line'!$Y$2:$Y$501,0))</f>
        <v/>
      </c>
      <c r="N61" s="7">
        <f>IF($V61="","",M61*L61)</f>
        <v/>
      </c>
      <c r="O61">
        <f>IF($V61="","",Settings!$C$6)</f>
        <v/>
      </c>
      <c r="P61" s="7">
        <f>IF($V61="","",SUMIFS('Per Line'!$N$2:$N$501,'Per Line'!$A$2:$A$501,$A61,'Per Line'!$Y$2:$Y$501,1))</f>
        <v/>
      </c>
      <c r="Q61" s="7">
        <f>IF($V61="","",P61*O61)</f>
        <v/>
      </c>
      <c r="R61" s="7">
        <f>IF($V61="","",Q61+N61)</f>
        <v/>
      </c>
      <c r="S61" s="7">
        <f>IF($V61="","",T61-R61)</f>
        <v/>
      </c>
      <c r="T61" s="7">
        <f>IF($V61="","",M61+P61)</f>
        <v/>
      </c>
      <c r="U61" s="7">
        <f>IF($V61="","",T61-R61-G61)</f>
        <v/>
      </c>
      <c r="V61" s="13">
        <f>IF(ROWS($V$2:$V61)&lt;=MAX('Per Line'!$X$2:$X$501),MATCH(ROWS($V$2:$V61),'Per Line'!$X$2:$X$501,0),"")</f>
        <v/>
      </c>
    </row>
    <row r="62">
      <c r="A62">
        <f>IF($V62="","",INDEX('Per Line'!$A$2:$A$501,$V62)&amp;"")</f>
        <v/>
      </c>
      <c r="B62" s="12" t="n"/>
      <c r="C62">
        <f>IF($V62="","",INDEX('Per Line'!$B$2:$B$501,$V62)&amp;"")</f>
        <v/>
      </c>
      <c r="D62">
        <f>IF($V62="","",INDEX('Per Line'!$C$2:$C$501,$V62)&amp;"")</f>
        <v/>
      </c>
      <c r="E62">
        <f>IF($V62="","",INDEX('Per Line'!$D$2:$D$501,$V62)&amp;"")</f>
        <v/>
      </c>
      <c r="F62">
        <f>IF($V62="","",INDEX('Per Line'!$E$2:$E$501,$V62))</f>
        <v/>
      </c>
      <c r="G62" s="7">
        <f>IF($V62="","",F62*T62/100)</f>
        <v/>
      </c>
      <c r="H62">
        <f>IF($V62="","",INDEX('Per Line'!$Q$2:$Q$501,$V62)&amp;"")</f>
        <v/>
      </c>
      <c r="I62">
        <f>IF($V62="","",INDEX('Per Line'!$R$2:$R$501,$V62)&amp;"")</f>
        <v/>
      </c>
      <c r="J62" s="11">
        <f>IF($V62="","",INDEX('Per Line'!$S$2:$S$501,$V62))</f>
        <v/>
      </c>
      <c r="K62">
        <f>IF($V62="","",INDEX('Per Line'!$T$2:$T$501,$V62)&amp;"")</f>
        <v/>
      </c>
      <c r="L62">
        <f>IF($V62="","",Settings!$C$7)</f>
        <v/>
      </c>
      <c r="M62" s="7">
        <f>IF($V62="","",SUMIFS('Per Line'!$N$2:$N$501,'Per Line'!$A$2:$A$501,$A62,'Per Line'!$Y$2:$Y$501,0))</f>
        <v/>
      </c>
      <c r="N62" s="7">
        <f>IF($V62="","",M62*L62)</f>
        <v/>
      </c>
      <c r="O62">
        <f>IF($V62="","",Settings!$C$6)</f>
        <v/>
      </c>
      <c r="P62" s="7">
        <f>IF($V62="","",SUMIFS('Per Line'!$N$2:$N$501,'Per Line'!$A$2:$A$501,$A62,'Per Line'!$Y$2:$Y$501,1))</f>
        <v/>
      </c>
      <c r="Q62" s="7">
        <f>IF($V62="","",P62*O62)</f>
        <v/>
      </c>
      <c r="R62" s="7">
        <f>IF($V62="","",Q62+N62)</f>
        <v/>
      </c>
      <c r="S62" s="7">
        <f>IF($V62="","",T62-R62)</f>
        <v/>
      </c>
      <c r="T62" s="7">
        <f>IF($V62="","",M62+P62)</f>
        <v/>
      </c>
      <c r="U62" s="7">
        <f>IF($V62="","",T62-R62-G62)</f>
        <v/>
      </c>
      <c r="V62" s="13">
        <f>IF(ROWS($V$2:$V62)&lt;=MAX('Per Line'!$X$2:$X$501),MATCH(ROWS($V$2:$V62),'Per Line'!$X$2:$X$501,0),"")</f>
        <v/>
      </c>
    </row>
    <row r="63">
      <c r="A63">
        <f>IF($V63="","",INDEX('Per Line'!$A$2:$A$501,$V63)&amp;"")</f>
        <v/>
      </c>
      <c r="B63" s="12" t="n"/>
      <c r="C63">
        <f>IF($V63="","",INDEX('Per Line'!$B$2:$B$501,$V63)&amp;"")</f>
        <v/>
      </c>
      <c r="D63">
        <f>IF($V63="","",INDEX('Per Line'!$C$2:$C$501,$V63)&amp;"")</f>
        <v/>
      </c>
      <c r="E63">
        <f>IF($V63="","",INDEX('Per Line'!$D$2:$D$501,$V63)&amp;"")</f>
        <v/>
      </c>
      <c r="F63">
        <f>IF($V63="","",INDEX('Per Line'!$E$2:$E$501,$V63))</f>
        <v/>
      </c>
      <c r="G63" s="7">
        <f>IF($V63="","",F63*T63/100)</f>
        <v/>
      </c>
      <c r="H63">
        <f>IF($V63="","",INDEX('Per Line'!$Q$2:$Q$501,$V63)&amp;"")</f>
        <v/>
      </c>
      <c r="I63">
        <f>IF($V63="","",INDEX('Per Line'!$R$2:$R$501,$V63)&amp;"")</f>
        <v/>
      </c>
      <c r="J63" s="11">
        <f>IF($V63="","",INDEX('Per Line'!$S$2:$S$501,$V63))</f>
        <v/>
      </c>
      <c r="K63">
        <f>IF($V63="","",INDEX('Per Line'!$T$2:$T$501,$V63)&amp;"")</f>
        <v/>
      </c>
      <c r="L63">
        <f>IF($V63="","",Settings!$C$7)</f>
        <v/>
      </c>
      <c r="M63" s="7">
        <f>IF($V63="","",SUMIFS('Per Line'!$N$2:$N$501,'Per Line'!$A$2:$A$501,$A63,'Per Line'!$Y$2:$Y$501,0))</f>
        <v/>
      </c>
      <c r="N63" s="7">
        <f>IF($V63="","",M63*L63)</f>
        <v/>
      </c>
      <c r="O63">
        <f>IF($V63="","",Settings!$C$6)</f>
        <v/>
      </c>
      <c r="P63" s="7">
        <f>IF($V63="","",SUMIFS('Per Line'!$N$2:$N$501,'Per Line'!$A$2:$A$501,$A63,'Per Line'!$Y$2:$Y$501,1))</f>
        <v/>
      </c>
      <c r="Q63" s="7">
        <f>IF($V63="","",P63*O63)</f>
        <v/>
      </c>
      <c r="R63" s="7">
        <f>IF($V63="","",Q63+N63)</f>
        <v/>
      </c>
      <c r="S63" s="7">
        <f>IF($V63="","",T63-R63)</f>
        <v/>
      </c>
      <c r="T63" s="7">
        <f>IF($V63="","",M63+P63)</f>
        <v/>
      </c>
      <c r="U63" s="7">
        <f>IF($V63="","",T63-R63-G63)</f>
        <v/>
      </c>
      <c r="V63" s="13">
        <f>IF(ROWS($V$2:$V63)&lt;=MAX('Per Line'!$X$2:$X$501),MATCH(ROWS($V$2:$V63),'Per Line'!$X$2:$X$501,0),"")</f>
        <v/>
      </c>
    </row>
    <row r="64">
      <c r="A64">
        <f>IF($V64="","",INDEX('Per Line'!$A$2:$A$501,$V64)&amp;"")</f>
        <v/>
      </c>
      <c r="B64" s="12" t="n"/>
      <c r="C64">
        <f>IF($V64="","",INDEX('Per Line'!$B$2:$B$501,$V64)&amp;"")</f>
        <v/>
      </c>
      <c r="D64">
        <f>IF($V64="","",INDEX('Per Line'!$C$2:$C$501,$V64)&amp;"")</f>
        <v/>
      </c>
      <c r="E64">
        <f>IF($V64="","",INDEX('Per Line'!$D$2:$D$501,$V64)&amp;"")</f>
        <v/>
      </c>
      <c r="F64">
        <f>IF($V64="","",INDEX('Per Line'!$E$2:$E$501,$V64))</f>
        <v/>
      </c>
      <c r="G64" s="7">
        <f>IF($V64="","",F64*T64/100)</f>
        <v/>
      </c>
      <c r="H64">
        <f>IF($V64="","",INDEX('Per Line'!$Q$2:$Q$501,$V64)&amp;"")</f>
        <v/>
      </c>
      <c r="I64">
        <f>IF($V64="","",INDEX('Per Line'!$R$2:$R$501,$V64)&amp;"")</f>
        <v/>
      </c>
      <c r="J64" s="11">
        <f>IF($V64="","",INDEX('Per Line'!$S$2:$S$501,$V64))</f>
        <v/>
      </c>
      <c r="K64">
        <f>IF($V64="","",INDEX('Per Line'!$T$2:$T$501,$V64)&amp;"")</f>
        <v/>
      </c>
      <c r="L64">
        <f>IF($V64="","",Settings!$C$7)</f>
        <v/>
      </c>
      <c r="M64" s="7">
        <f>IF($V64="","",SUMIFS('Per Line'!$N$2:$N$501,'Per Line'!$A$2:$A$501,$A64,'Per Line'!$Y$2:$Y$501,0))</f>
        <v/>
      </c>
      <c r="N64" s="7">
        <f>IF($V64="","",M64*L64)</f>
        <v/>
      </c>
      <c r="O64">
        <f>IF($V64="","",Settings!$C$6)</f>
        <v/>
      </c>
      <c r="P64" s="7">
        <f>IF($V64="","",SUMIFS('Per Line'!$N$2:$N$501,'Per Line'!$A$2:$A$501,$A64,'Per Line'!$Y$2:$Y$501,1))</f>
        <v/>
      </c>
      <c r="Q64" s="7">
        <f>IF($V64="","",P64*O64)</f>
        <v/>
      </c>
      <c r="R64" s="7">
        <f>IF($V64="","",Q64+N64)</f>
        <v/>
      </c>
      <c r="S64" s="7">
        <f>IF($V64="","",T64-R64)</f>
        <v/>
      </c>
      <c r="T64" s="7">
        <f>IF($V64="","",M64+P64)</f>
        <v/>
      </c>
      <c r="U64" s="7">
        <f>IF($V64="","",T64-R64-G64)</f>
        <v/>
      </c>
      <c r="V64" s="13">
        <f>IF(ROWS($V$2:$V64)&lt;=MAX('Per Line'!$X$2:$X$501),MATCH(ROWS($V$2:$V64),'Per Line'!$X$2:$X$501,0),"")</f>
        <v/>
      </c>
    </row>
    <row r="65">
      <c r="A65">
        <f>IF($V65="","",INDEX('Per Line'!$A$2:$A$501,$V65)&amp;"")</f>
        <v/>
      </c>
      <c r="B65" s="12" t="n"/>
      <c r="C65">
        <f>IF($V65="","",INDEX('Per Line'!$B$2:$B$501,$V65)&amp;"")</f>
        <v/>
      </c>
      <c r="D65">
        <f>IF($V65="","",INDEX('Per Line'!$C$2:$C$501,$V65)&amp;"")</f>
        <v/>
      </c>
      <c r="E65">
        <f>IF($V65="","",INDEX('Per Line'!$D$2:$D$501,$V65)&amp;"")</f>
        <v/>
      </c>
      <c r="F65">
        <f>IF($V65="","",INDEX('Per Line'!$E$2:$E$501,$V65))</f>
        <v/>
      </c>
      <c r="G65" s="7">
        <f>IF($V65="","",F65*T65/100)</f>
        <v/>
      </c>
      <c r="H65">
        <f>IF($V65="","",INDEX('Per Line'!$Q$2:$Q$501,$V65)&amp;"")</f>
        <v/>
      </c>
      <c r="I65">
        <f>IF($V65="","",INDEX('Per Line'!$R$2:$R$501,$V65)&amp;"")</f>
        <v/>
      </c>
      <c r="J65" s="11">
        <f>IF($V65="","",INDEX('Per Line'!$S$2:$S$501,$V65))</f>
        <v/>
      </c>
      <c r="K65">
        <f>IF($V65="","",INDEX('Per Line'!$T$2:$T$501,$V65)&amp;"")</f>
        <v/>
      </c>
      <c r="L65">
        <f>IF($V65="","",Settings!$C$7)</f>
        <v/>
      </c>
      <c r="M65" s="7">
        <f>IF($V65="","",SUMIFS('Per Line'!$N$2:$N$501,'Per Line'!$A$2:$A$501,$A65,'Per Line'!$Y$2:$Y$501,0))</f>
        <v/>
      </c>
      <c r="N65" s="7">
        <f>IF($V65="","",M65*L65)</f>
        <v/>
      </c>
      <c r="O65">
        <f>IF($V65="","",Settings!$C$6)</f>
        <v/>
      </c>
      <c r="P65" s="7">
        <f>IF($V65="","",SUMIFS('Per Line'!$N$2:$N$501,'Per Line'!$A$2:$A$501,$A65,'Per Line'!$Y$2:$Y$501,1))</f>
        <v/>
      </c>
      <c r="Q65" s="7">
        <f>IF($V65="","",P65*O65)</f>
        <v/>
      </c>
      <c r="R65" s="7">
        <f>IF($V65="","",Q65+N65)</f>
        <v/>
      </c>
      <c r="S65" s="7">
        <f>IF($V65="","",T65-R65)</f>
        <v/>
      </c>
      <c r="T65" s="7">
        <f>IF($V65="","",M65+P65)</f>
        <v/>
      </c>
      <c r="U65" s="7">
        <f>IF($V65="","",T65-R65-G65)</f>
        <v/>
      </c>
      <c r="V65" s="13">
        <f>IF(ROWS($V$2:$V65)&lt;=MAX('Per Line'!$X$2:$X$501),MATCH(ROWS($V$2:$V65),'Per Line'!$X$2:$X$501,0),"")</f>
        <v/>
      </c>
    </row>
    <row r="66">
      <c r="A66">
        <f>IF($V66="","",INDEX('Per Line'!$A$2:$A$501,$V66)&amp;"")</f>
        <v/>
      </c>
      <c r="B66" s="12" t="n"/>
      <c r="C66">
        <f>IF($V66="","",INDEX('Per Line'!$B$2:$B$501,$V66)&amp;"")</f>
        <v/>
      </c>
      <c r="D66">
        <f>IF($V66="","",INDEX('Per Line'!$C$2:$C$501,$V66)&amp;"")</f>
        <v/>
      </c>
      <c r="E66">
        <f>IF($V66="","",INDEX('Per Line'!$D$2:$D$501,$V66)&amp;"")</f>
        <v/>
      </c>
      <c r="F66">
        <f>IF($V66="","",INDEX('Per Line'!$E$2:$E$501,$V66))</f>
        <v/>
      </c>
      <c r="G66" s="7">
        <f>IF($V66="","",F66*T66/100)</f>
        <v/>
      </c>
      <c r="H66">
        <f>IF($V66="","",INDEX('Per Line'!$Q$2:$Q$501,$V66)&amp;"")</f>
        <v/>
      </c>
      <c r="I66">
        <f>IF($V66="","",INDEX('Per Line'!$R$2:$R$501,$V66)&amp;"")</f>
        <v/>
      </c>
      <c r="J66" s="11">
        <f>IF($V66="","",INDEX('Per Line'!$S$2:$S$501,$V66))</f>
        <v/>
      </c>
      <c r="K66">
        <f>IF($V66="","",INDEX('Per Line'!$T$2:$T$501,$V66)&amp;"")</f>
        <v/>
      </c>
      <c r="L66">
        <f>IF($V66="","",Settings!$C$7)</f>
        <v/>
      </c>
      <c r="M66" s="7">
        <f>IF($V66="","",SUMIFS('Per Line'!$N$2:$N$501,'Per Line'!$A$2:$A$501,$A66,'Per Line'!$Y$2:$Y$501,0))</f>
        <v/>
      </c>
      <c r="N66" s="7">
        <f>IF($V66="","",M66*L66)</f>
        <v/>
      </c>
      <c r="O66">
        <f>IF($V66="","",Settings!$C$6)</f>
        <v/>
      </c>
      <c r="P66" s="7">
        <f>IF($V66="","",SUMIFS('Per Line'!$N$2:$N$501,'Per Line'!$A$2:$A$501,$A66,'Per Line'!$Y$2:$Y$501,1))</f>
        <v/>
      </c>
      <c r="Q66" s="7">
        <f>IF($V66="","",P66*O66)</f>
        <v/>
      </c>
      <c r="R66" s="7">
        <f>IF($V66="","",Q66+N66)</f>
        <v/>
      </c>
      <c r="S66" s="7">
        <f>IF($V66="","",T66-R66)</f>
        <v/>
      </c>
      <c r="T66" s="7">
        <f>IF($V66="","",M66+P66)</f>
        <v/>
      </c>
      <c r="U66" s="7">
        <f>IF($V66="","",T66-R66-G66)</f>
        <v/>
      </c>
      <c r="V66" s="13">
        <f>IF(ROWS($V$2:$V66)&lt;=MAX('Per Line'!$X$2:$X$501),MATCH(ROWS($V$2:$V66),'Per Line'!$X$2:$X$501,0),"")</f>
        <v/>
      </c>
    </row>
    <row r="67">
      <c r="A67">
        <f>IF($V67="","",INDEX('Per Line'!$A$2:$A$501,$V67)&amp;"")</f>
        <v/>
      </c>
      <c r="B67" s="12" t="n"/>
      <c r="C67">
        <f>IF($V67="","",INDEX('Per Line'!$B$2:$B$501,$V67)&amp;"")</f>
        <v/>
      </c>
      <c r="D67">
        <f>IF($V67="","",INDEX('Per Line'!$C$2:$C$501,$V67)&amp;"")</f>
        <v/>
      </c>
      <c r="E67">
        <f>IF($V67="","",INDEX('Per Line'!$D$2:$D$501,$V67)&amp;"")</f>
        <v/>
      </c>
      <c r="F67">
        <f>IF($V67="","",INDEX('Per Line'!$E$2:$E$501,$V67))</f>
        <v/>
      </c>
      <c r="G67" s="7">
        <f>IF($V67="","",F67*T67/100)</f>
        <v/>
      </c>
      <c r="H67">
        <f>IF($V67="","",INDEX('Per Line'!$Q$2:$Q$501,$V67)&amp;"")</f>
        <v/>
      </c>
      <c r="I67">
        <f>IF($V67="","",INDEX('Per Line'!$R$2:$R$501,$V67)&amp;"")</f>
        <v/>
      </c>
      <c r="J67" s="11">
        <f>IF($V67="","",INDEX('Per Line'!$S$2:$S$501,$V67))</f>
        <v/>
      </c>
      <c r="K67">
        <f>IF($V67="","",INDEX('Per Line'!$T$2:$T$501,$V67)&amp;"")</f>
        <v/>
      </c>
      <c r="L67">
        <f>IF($V67="","",Settings!$C$7)</f>
        <v/>
      </c>
      <c r="M67" s="7">
        <f>IF($V67="","",SUMIFS('Per Line'!$N$2:$N$501,'Per Line'!$A$2:$A$501,$A67,'Per Line'!$Y$2:$Y$501,0))</f>
        <v/>
      </c>
      <c r="N67" s="7">
        <f>IF($V67="","",M67*L67)</f>
        <v/>
      </c>
      <c r="O67">
        <f>IF($V67="","",Settings!$C$6)</f>
        <v/>
      </c>
      <c r="P67" s="7">
        <f>IF($V67="","",SUMIFS('Per Line'!$N$2:$N$501,'Per Line'!$A$2:$A$501,$A67,'Per Line'!$Y$2:$Y$501,1))</f>
        <v/>
      </c>
      <c r="Q67" s="7">
        <f>IF($V67="","",P67*O67)</f>
        <v/>
      </c>
      <c r="R67" s="7">
        <f>IF($V67="","",Q67+N67)</f>
        <v/>
      </c>
      <c r="S67" s="7">
        <f>IF($V67="","",T67-R67)</f>
        <v/>
      </c>
      <c r="T67" s="7">
        <f>IF($V67="","",M67+P67)</f>
        <v/>
      </c>
      <c r="U67" s="7">
        <f>IF($V67="","",T67-R67-G67)</f>
        <v/>
      </c>
      <c r="V67" s="13">
        <f>IF(ROWS($V$2:$V67)&lt;=MAX('Per Line'!$X$2:$X$501),MATCH(ROWS($V$2:$V67),'Per Line'!$X$2:$X$501,0),"")</f>
        <v/>
      </c>
    </row>
    <row r="68">
      <c r="A68">
        <f>IF($V68="","",INDEX('Per Line'!$A$2:$A$501,$V68)&amp;"")</f>
        <v/>
      </c>
      <c r="B68" s="12" t="n"/>
      <c r="C68">
        <f>IF($V68="","",INDEX('Per Line'!$B$2:$B$501,$V68)&amp;"")</f>
        <v/>
      </c>
      <c r="D68">
        <f>IF($V68="","",INDEX('Per Line'!$C$2:$C$501,$V68)&amp;"")</f>
        <v/>
      </c>
      <c r="E68">
        <f>IF($V68="","",INDEX('Per Line'!$D$2:$D$501,$V68)&amp;"")</f>
        <v/>
      </c>
      <c r="F68">
        <f>IF($V68="","",INDEX('Per Line'!$E$2:$E$501,$V68))</f>
        <v/>
      </c>
      <c r="G68" s="7">
        <f>IF($V68="","",F68*T68/100)</f>
        <v/>
      </c>
      <c r="H68">
        <f>IF($V68="","",INDEX('Per Line'!$Q$2:$Q$501,$V68)&amp;"")</f>
        <v/>
      </c>
      <c r="I68">
        <f>IF($V68="","",INDEX('Per Line'!$R$2:$R$501,$V68)&amp;"")</f>
        <v/>
      </c>
      <c r="J68" s="11">
        <f>IF($V68="","",INDEX('Per Line'!$S$2:$S$501,$V68))</f>
        <v/>
      </c>
      <c r="K68">
        <f>IF($V68="","",INDEX('Per Line'!$T$2:$T$501,$V68)&amp;"")</f>
        <v/>
      </c>
      <c r="L68">
        <f>IF($V68="","",Settings!$C$7)</f>
        <v/>
      </c>
      <c r="M68" s="7">
        <f>IF($V68="","",SUMIFS('Per Line'!$N$2:$N$501,'Per Line'!$A$2:$A$501,$A68,'Per Line'!$Y$2:$Y$501,0))</f>
        <v/>
      </c>
      <c r="N68" s="7">
        <f>IF($V68="","",M68*L68)</f>
        <v/>
      </c>
      <c r="O68">
        <f>IF($V68="","",Settings!$C$6)</f>
        <v/>
      </c>
      <c r="P68" s="7">
        <f>IF($V68="","",SUMIFS('Per Line'!$N$2:$N$501,'Per Line'!$A$2:$A$501,$A68,'Per Line'!$Y$2:$Y$501,1))</f>
        <v/>
      </c>
      <c r="Q68" s="7">
        <f>IF($V68="","",P68*O68)</f>
        <v/>
      </c>
      <c r="R68" s="7">
        <f>IF($V68="","",Q68+N68)</f>
        <v/>
      </c>
      <c r="S68" s="7">
        <f>IF($V68="","",T68-R68)</f>
        <v/>
      </c>
      <c r="T68" s="7">
        <f>IF($V68="","",M68+P68)</f>
        <v/>
      </c>
      <c r="U68" s="7">
        <f>IF($V68="","",T68-R68-G68)</f>
        <v/>
      </c>
      <c r="V68" s="13">
        <f>IF(ROWS($V$2:$V68)&lt;=MAX('Per Line'!$X$2:$X$501),MATCH(ROWS($V$2:$V68),'Per Line'!$X$2:$X$501,0),"")</f>
        <v/>
      </c>
    </row>
    <row r="69">
      <c r="A69">
        <f>IF($V69="","",INDEX('Per Line'!$A$2:$A$501,$V69)&amp;"")</f>
        <v/>
      </c>
      <c r="B69" s="12" t="n"/>
      <c r="C69">
        <f>IF($V69="","",INDEX('Per Line'!$B$2:$B$501,$V69)&amp;"")</f>
        <v/>
      </c>
      <c r="D69">
        <f>IF($V69="","",INDEX('Per Line'!$C$2:$C$501,$V69)&amp;"")</f>
        <v/>
      </c>
      <c r="E69">
        <f>IF($V69="","",INDEX('Per Line'!$D$2:$D$501,$V69)&amp;"")</f>
        <v/>
      </c>
      <c r="F69">
        <f>IF($V69="","",INDEX('Per Line'!$E$2:$E$501,$V69))</f>
        <v/>
      </c>
      <c r="G69" s="7">
        <f>IF($V69="","",F69*T69/100)</f>
        <v/>
      </c>
      <c r="H69">
        <f>IF($V69="","",INDEX('Per Line'!$Q$2:$Q$501,$V69)&amp;"")</f>
        <v/>
      </c>
      <c r="I69">
        <f>IF($V69="","",INDEX('Per Line'!$R$2:$R$501,$V69)&amp;"")</f>
        <v/>
      </c>
      <c r="J69" s="11">
        <f>IF($V69="","",INDEX('Per Line'!$S$2:$S$501,$V69))</f>
        <v/>
      </c>
      <c r="K69">
        <f>IF($V69="","",INDEX('Per Line'!$T$2:$T$501,$V69)&amp;"")</f>
        <v/>
      </c>
      <c r="L69">
        <f>IF($V69="","",Settings!$C$7)</f>
        <v/>
      </c>
      <c r="M69" s="7">
        <f>IF($V69="","",SUMIFS('Per Line'!$N$2:$N$501,'Per Line'!$A$2:$A$501,$A69,'Per Line'!$Y$2:$Y$501,0))</f>
        <v/>
      </c>
      <c r="N69" s="7">
        <f>IF($V69="","",M69*L69)</f>
        <v/>
      </c>
      <c r="O69">
        <f>IF($V69="","",Settings!$C$6)</f>
        <v/>
      </c>
      <c r="P69" s="7">
        <f>IF($V69="","",SUMIFS('Per Line'!$N$2:$N$501,'Per Line'!$A$2:$A$501,$A69,'Per Line'!$Y$2:$Y$501,1))</f>
        <v/>
      </c>
      <c r="Q69" s="7">
        <f>IF($V69="","",P69*O69)</f>
        <v/>
      </c>
      <c r="R69" s="7">
        <f>IF($V69="","",Q69+N69)</f>
        <v/>
      </c>
      <c r="S69" s="7">
        <f>IF($V69="","",T69-R69)</f>
        <v/>
      </c>
      <c r="T69" s="7">
        <f>IF($V69="","",M69+P69)</f>
        <v/>
      </c>
      <c r="U69" s="7">
        <f>IF($V69="","",T69-R69-G69)</f>
        <v/>
      </c>
      <c r="V69" s="13">
        <f>IF(ROWS($V$2:$V69)&lt;=MAX('Per Line'!$X$2:$X$501),MATCH(ROWS($V$2:$V69),'Per Line'!$X$2:$X$501,0),"")</f>
        <v/>
      </c>
    </row>
    <row r="70">
      <c r="A70">
        <f>IF($V70="","",INDEX('Per Line'!$A$2:$A$501,$V70)&amp;"")</f>
        <v/>
      </c>
      <c r="B70" s="12" t="n"/>
      <c r="C70">
        <f>IF($V70="","",INDEX('Per Line'!$B$2:$B$501,$V70)&amp;"")</f>
        <v/>
      </c>
      <c r="D70">
        <f>IF($V70="","",INDEX('Per Line'!$C$2:$C$501,$V70)&amp;"")</f>
        <v/>
      </c>
      <c r="E70">
        <f>IF($V70="","",INDEX('Per Line'!$D$2:$D$501,$V70)&amp;"")</f>
        <v/>
      </c>
      <c r="F70">
        <f>IF($V70="","",INDEX('Per Line'!$E$2:$E$501,$V70))</f>
        <v/>
      </c>
      <c r="G70" s="7">
        <f>IF($V70="","",F70*T70/100)</f>
        <v/>
      </c>
      <c r="H70">
        <f>IF($V70="","",INDEX('Per Line'!$Q$2:$Q$501,$V70)&amp;"")</f>
        <v/>
      </c>
      <c r="I70">
        <f>IF($V70="","",INDEX('Per Line'!$R$2:$R$501,$V70)&amp;"")</f>
        <v/>
      </c>
      <c r="J70" s="11">
        <f>IF($V70="","",INDEX('Per Line'!$S$2:$S$501,$V70))</f>
        <v/>
      </c>
      <c r="K70">
        <f>IF($V70="","",INDEX('Per Line'!$T$2:$T$501,$V70)&amp;"")</f>
        <v/>
      </c>
      <c r="L70">
        <f>IF($V70="","",Settings!$C$7)</f>
        <v/>
      </c>
      <c r="M70" s="7">
        <f>IF($V70="","",SUMIFS('Per Line'!$N$2:$N$501,'Per Line'!$A$2:$A$501,$A70,'Per Line'!$Y$2:$Y$501,0))</f>
        <v/>
      </c>
      <c r="N70" s="7">
        <f>IF($V70="","",M70*L70)</f>
        <v/>
      </c>
      <c r="O70">
        <f>IF($V70="","",Settings!$C$6)</f>
        <v/>
      </c>
      <c r="P70" s="7">
        <f>IF($V70="","",SUMIFS('Per Line'!$N$2:$N$501,'Per Line'!$A$2:$A$501,$A70,'Per Line'!$Y$2:$Y$501,1))</f>
        <v/>
      </c>
      <c r="Q70" s="7">
        <f>IF($V70="","",P70*O70)</f>
        <v/>
      </c>
      <c r="R70" s="7">
        <f>IF($V70="","",Q70+N70)</f>
        <v/>
      </c>
      <c r="S70" s="7">
        <f>IF($V70="","",T70-R70)</f>
        <v/>
      </c>
      <c r="T70" s="7">
        <f>IF($V70="","",M70+P70)</f>
        <v/>
      </c>
      <c r="U70" s="7">
        <f>IF($V70="","",T70-R70-G70)</f>
        <v/>
      </c>
      <c r="V70" s="13">
        <f>IF(ROWS($V$2:$V70)&lt;=MAX('Per Line'!$X$2:$X$501),MATCH(ROWS($V$2:$V70),'Per Line'!$X$2:$X$501,0),"")</f>
        <v/>
      </c>
    </row>
    <row r="71">
      <c r="A71">
        <f>IF($V71="","",INDEX('Per Line'!$A$2:$A$501,$V71)&amp;"")</f>
        <v/>
      </c>
      <c r="B71" s="12" t="n"/>
      <c r="C71">
        <f>IF($V71="","",INDEX('Per Line'!$B$2:$B$501,$V71)&amp;"")</f>
        <v/>
      </c>
      <c r="D71">
        <f>IF($V71="","",INDEX('Per Line'!$C$2:$C$501,$V71)&amp;"")</f>
        <v/>
      </c>
      <c r="E71">
        <f>IF($V71="","",INDEX('Per Line'!$D$2:$D$501,$V71)&amp;"")</f>
        <v/>
      </c>
      <c r="F71">
        <f>IF($V71="","",INDEX('Per Line'!$E$2:$E$501,$V71))</f>
        <v/>
      </c>
      <c r="G71" s="7">
        <f>IF($V71="","",F71*T71/100)</f>
        <v/>
      </c>
      <c r="H71">
        <f>IF($V71="","",INDEX('Per Line'!$Q$2:$Q$501,$V71)&amp;"")</f>
        <v/>
      </c>
      <c r="I71">
        <f>IF($V71="","",INDEX('Per Line'!$R$2:$R$501,$V71)&amp;"")</f>
        <v/>
      </c>
      <c r="J71" s="11">
        <f>IF($V71="","",INDEX('Per Line'!$S$2:$S$501,$V71))</f>
        <v/>
      </c>
      <c r="K71">
        <f>IF($V71="","",INDEX('Per Line'!$T$2:$T$501,$V71)&amp;"")</f>
        <v/>
      </c>
      <c r="L71">
        <f>IF($V71="","",Settings!$C$7)</f>
        <v/>
      </c>
      <c r="M71" s="7">
        <f>IF($V71="","",SUMIFS('Per Line'!$N$2:$N$501,'Per Line'!$A$2:$A$501,$A71,'Per Line'!$Y$2:$Y$501,0))</f>
        <v/>
      </c>
      <c r="N71" s="7">
        <f>IF($V71="","",M71*L71)</f>
        <v/>
      </c>
      <c r="O71">
        <f>IF($V71="","",Settings!$C$6)</f>
        <v/>
      </c>
      <c r="P71" s="7">
        <f>IF($V71="","",SUMIFS('Per Line'!$N$2:$N$501,'Per Line'!$A$2:$A$501,$A71,'Per Line'!$Y$2:$Y$501,1))</f>
        <v/>
      </c>
      <c r="Q71" s="7">
        <f>IF($V71="","",P71*O71)</f>
        <v/>
      </c>
      <c r="R71" s="7">
        <f>IF($V71="","",Q71+N71)</f>
        <v/>
      </c>
      <c r="S71" s="7">
        <f>IF($V71="","",T71-R71)</f>
        <v/>
      </c>
      <c r="T71" s="7">
        <f>IF($V71="","",M71+P71)</f>
        <v/>
      </c>
      <c r="U71" s="7">
        <f>IF($V71="","",T71-R71-G71)</f>
        <v/>
      </c>
      <c r="V71" s="13">
        <f>IF(ROWS($V$2:$V71)&lt;=MAX('Per Line'!$X$2:$X$501),MATCH(ROWS($V$2:$V71),'Per Line'!$X$2:$X$501,0),"")</f>
        <v/>
      </c>
    </row>
    <row r="72">
      <c r="A72">
        <f>IF($V72="","",INDEX('Per Line'!$A$2:$A$501,$V72)&amp;"")</f>
        <v/>
      </c>
      <c r="B72" s="12" t="n"/>
      <c r="C72">
        <f>IF($V72="","",INDEX('Per Line'!$B$2:$B$501,$V72)&amp;"")</f>
        <v/>
      </c>
      <c r="D72">
        <f>IF($V72="","",INDEX('Per Line'!$C$2:$C$501,$V72)&amp;"")</f>
        <v/>
      </c>
      <c r="E72">
        <f>IF($V72="","",INDEX('Per Line'!$D$2:$D$501,$V72)&amp;"")</f>
        <v/>
      </c>
      <c r="F72">
        <f>IF($V72="","",INDEX('Per Line'!$E$2:$E$501,$V72))</f>
        <v/>
      </c>
      <c r="G72" s="7">
        <f>IF($V72="","",F72*T72/100)</f>
        <v/>
      </c>
      <c r="H72">
        <f>IF($V72="","",INDEX('Per Line'!$Q$2:$Q$501,$V72)&amp;"")</f>
        <v/>
      </c>
      <c r="I72">
        <f>IF($V72="","",INDEX('Per Line'!$R$2:$R$501,$V72)&amp;"")</f>
        <v/>
      </c>
      <c r="J72" s="11">
        <f>IF($V72="","",INDEX('Per Line'!$S$2:$S$501,$V72))</f>
        <v/>
      </c>
      <c r="K72">
        <f>IF($V72="","",INDEX('Per Line'!$T$2:$T$501,$V72)&amp;"")</f>
        <v/>
      </c>
      <c r="L72">
        <f>IF($V72="","",Settings!$C$7)</f>
        <v/>
      </c>
      <c r="M72" s="7">
        <f>IF($V72="","",SUMIFS('Per Line'!$N$2:$N$501,'Per Line'!$A$2:$A$501,$A72,'Per Line'!$Y$2:$Y$501,0))</f>
        <v/>
      </c>
      <c r="N72" s="7">
        <f>IF($V72="","",M72*L72)</f>
        <v/>
      </c>
      <c r="O72">
        <f>IF($V72="","",Settings!$C$6)</f>
        <v/>
      </c>
      <c r="P72" s="7">
        <f>IF($V72="","",SUMIFS('Per Line'!$N$2:$N$501,'Per Line'!$A$2:$A$501,$A72,'Per Line'!$Y$2:$Y$501,1))</f>
        <v/>
      </c>
      <c r="Q72" s="7">
        <f>IF($V72="","",P72*O72)</f>
        <v/>
      </c>
      <c r="R72" s="7">
        <f>IF($V72="","",Q72+N72)</f>
        <v/>
      </c>
      <c r="S72" s="7">
        <f>IF($V72="","",T72-R72)</f>
        <v/>
      </c>
      <c r="T72" s="7">
        <f>IF($V72="","",M72+P72)</f>
        <v/>
      </c>
      <c r="U72" s="7">
        <f>IF($V72="","",T72-R72-G72)</f>
        <v/>
      </c>
      <c r="V72" s="13">
        <f>IF(ROWS($V$2:$V72)&lt;=MAX('Per Line'!$X$2:$X$501),MATCH(ROWS($V$2:$V72),'Per Line'!$X$2:$X$501,0),"")</f>
        <v/>
      </c>
    </row>
    <row r="73">
      <c r="A73">
        <f>IF($V73="","",INDEX('Per Line'!$A$2:$A$501,$V73)&amp;"")</f>
        <v/>
      </c>
      <c r="B73" s="12" t="n"/>
      <c r="C73">
        <f>IF($V73="","",INDEX('Per Line'!$B$2:$B$501,$V73)&amp;"")</f>
        <v/>
      </c>
      <c r="D73">
        <f>IF($V73="","",INDEX('Per Line'!$C$2:$C$501,$V73)&amp;"")</f>
        <v/>
      </c>
      <c r="E73">
        <f>IF($V73="","",INDEX('Per Line'!$D$2:$D$501,$V73)&amp;"")</f>
        <v/>
      </c>
      <c r="F73">
        <f>IF($V73="","",INDEX('Per Line'!$E$2:$E$501,$V73))</f>
        <v/>
      </c>
      <c r="G73" s="7">
        <f>IF($V73="","",F73*T73/100)</f>
        <v/>
      </c>
      <c r="H73">
        <f>IF($V73="","",INDEX('Per Line'!$Q$2:$Q$501,$V73)&amp;"")</f>
        <v/>
      </c>
      <c r="I73">
        <f>IF($V73="","",INDEX('Per Line'!$R$2:$R$501,$V73)&amp;"")</f>
        <v/>
      </c>
      <c r="J73" s="11">
        <f>IF($V73="","",INDEX('Per Line'!$S$2:$S$501,$V73))</f>
        <v/>
      </c>
      <c r="K73">
        <f>IF($V73="","",INDEX('Per Line'!$T$2:$T$501,$V73)&amp;"")</f>
        <v/>
      </c>
      <c r="L73">
        <f>IF($V73="","",Settings!$C$7)</f>
        <v/>
      </c>
      <c r="M73" s="7">
        <f>IF($V73="","",SUMIFS('Per Line'!$N$2:$N$501,'Per Line'!$A$2:$A$501,$A73,'Per Line'!$Y$2:$Y$501,0))</f>
        <v/>
      </c>
      <c r="N73" s="7">
        <f>IF($V73="","",M73*L73)</f>
        <v/>
      </c>
      <c r="O73">
        <f>IF($V73="","",Settings!$C$6)</f>
        <v/>
      </c>
      <c r="P73" s="7">
        <f>IF($V73="","",SUMIFS('Per Line'!$N$2:$N$501,'Per Line'!$A$2:$A$501,$A73,'Per Line'!$Y$2:$Y$501,1))</f>
        <v/>
      </c>
      <c r="Q73" s="7">
        <f>IF($V73="","",P73*O73)</f>
        <v/>
      </c>
      <c r="R73" s="7">
        <f>IF($V73="","",Q73+N73)</f>
        <v/>
      </c>
      <c r="S73" s="7">
        <f>IF($V73="","",T73-R73)</f>
        <v/>
      </c>
      <c r="T73" s="7">
        <f>IF($V73="","",M73+P73)</f>
        <v/>
      </c>
      <c r="U73" s="7">
        <f>IF($V73="","",T73-R73-G73)</f>
        <v/>
      </c>
      <c r="V73" s="13">
        <f>IF(ROWS($V$2:$V73)&lt;=MAX('Per Line'!$X$2:$X$501),MATCH(ROWS($V$2:$V73),'Per Line'!$X$2:$X$501,0),"")</f>
        <v/>
      </c>
    </row>
    <row r="74">
      <c r="A74">
        <f>IF($V74="","",INDEX('Per Line'!$A$2:$A$501,$V74)&amp;"")</f>
        <v/>
      </c>
      <c r="B74" s="12" t="n"/>
      <c r="C74">
        <f>IF($V74="","",INDEX('Per Line'!$B$2:$B$501,$V74)&amp;"")</f>
        <v/>
      </c>
      <c r="D74">
        <f>IF($V74="","",INDEX('Per Line'!$C$2:$C$501,$V74)&amp;"")</f>
        <v/>
      </c>
      <c r="E74">
        <f>IF($V74="","",INDEX('Per Line'!$D$2:$D$501,$V74)&amp;"")</f>
        <v/>
      </c>
      <c r="F74">
        <f>IF($V74="","",INDEX('Per Line'!$E$2:$E$501,$V74))</f>
        <v/>
      </c>
      <c r="G74" s="7">
        <f>IF($V74="","",F74*T74/100)</f>
        <v/>
      </c>
      <c r="H74">
        <f>IF($V74="","",INDEX('Per Line'!$Q$2:$Q$501,$V74)&amp;"")</f>
        <v/>
      </c>
      <c r="I74">
        <f>IF($V74="","",INDEX('Per Line'!$R$2:$R$501,$V74)&amp;"")</f>
        <v/>
      </c>
      <c r="J74" s="11">
        <f>IF($V74="","",INDEX('Per Line'!$S$2:$S$501,$V74))</f>
        <v/>
      </c>
      <c r="K74">
        <f>IF($V74="","",INDEX('Per Line'!$T$2:$T$501,$V74)&amp;"")</f>
        <v/>
      </c>
      <c r="L74">
        <f>IF($V74="","",Settings!$C$7)</f>
        <v/>
      </c>
      <c r="M74" s="7">
        <f>IF($V74="","",SUMIFS('Per Line'!$N$2:$N$501,'Per Line'!$A$2:$A$501,$A74,'Per Line'!$Y$2:$Y$501,0))</f>
        <v/>
      </c>
      <c r="N74" s="7">
        <f>IF($V74="","",M74*L74)</f>
        <v/>
      </c>
      <c r="O74">
        <f>IF($V74="","",Settings!$C$6)</f>
        <v/>
      </c>
      <c r="P74" s="7">
        <f>IF($V74="","",SUMIFS('Per Line'!$N$2:$N$501,'Per Line'!$A$2:$A$501,$A74,'Per Line'!$Y$2:$Y$501,1))</f>
        <v/>
      </c>
      <c r="Q74" s="7">
        <f>IF($V74="","",P74*O74)</f>
        <v/>
      </c>
      <c r="R74" s="7">
        <f>IF($V74="","",Q74+N74)</f>
        <v/>
      </c>
      <c r="S74" s="7">
        <f>IF($V74="","",T74-R74)</f>
        <v/>
      </c>
      <c r="T74" s="7">
        <f>IF($V74="","",M74+P74)</f>
        <v/>
      </c>
      <c r="U74" s="7">
        <f>IF($V74="","",T74-R74-G74)</f>
        <v/>
      </c>
      <c r="V74" s="13">
        <f>IF(ROWS($V$2:$V74)&lt;=MAX('Per Line'!$X$2:$X$501),MATCH(ROWS($V$2:$V74),'Per Line'!$X$2:$X$501,0),"")</f>
        <v/>
      </c>
    </row>
    <row r="75">
      <c r="A75">
        <f>IF($V75="","",INDEX('Per Line'!$A$2:$A$501,$V75)&amp;"")</f>
        <v/>
      </c>
      <c r="B75" s="12" t="n"/>
      <c r="C75">
        <f>IF($V75="","",INDEX('Per Line'!$B$2:$B$501,$V75)&amp;"")</f>
        <v/>
      </c>
      <c r="D75">
        <f>IF($V75="","",INDEX('Per Line'!$C$2:$C$501,$V75)&amp;"")</f>
        <v/>
      </c>
      <c r="E75">
        <f>IF($V75="","",INDEX('Per Line'!$D$2:$D$501,$V75)&amp;"")</f>
        <v/>
      </c>
      <c r="F75">
        <f>IF($V75="","",INDEX('Per Line'!$E$2:$E$501,$V75))</f>
        <v/>
      </c>
      <c r="G75" s="7">
        <f>IF($V75="","",F75*T75/100)</f>
        <v/>
      </c>
      <c r="H75">
        <f>IF($V75="","",INDEX('Per Line'!$Q$2:$Q$501,$V75)&amp;"")</f>
        <v/>
      </c>
      <c r="I75">
        <f>IF($V75="","",INDEX('Per Line'!$R$2:$R$501,$V75)&amp;"")</f>
        <v/>
      </c>
      <c r="J75" s="11">
        <f>IF($V75="","",INDEX('Per Line'!$S$2:$S$501,$V75))</f>
        <v/>
      </c>
      <c r="K75">
        <f>IF($V75="","",INDEX('Per Line'!$T$2:$T$501,$V75)&amp;"")</f>
        <v/>
      </c>
      <c r="L75">
        <f>IF($V75="","",Settings!$C$7)</f>
        <v/>
      </c>
      <c r="M75" s="7">
        <f>IF($V75="","",SUMIFS('Per Line'!$N$2:$N$501,'Per Line'!$A$2:$A$501,$A75,'Per Line'!$Y$2:$Y$501,0))</f>
        <v/>
      </c>
      <c r="N75" s="7">
        <f>IF($V75="","",M75*L75)</f>
        <v/>
      </c>
      <c r="O75">
        <f>IF($V75="","",Settings!$C$6)</f>
        <v/>
      </c>
      <c r="P75" s="7">
        <f>IF($V75="","",SUMIFS('Per Line'!$N$2:$N$501,'Per Line'!$A$2:$A$501,$A75,'Per Line'!$Y$2:$Y$501,1))</f>
        <v/>
      </c>
      <c r="Q75" s="7">
        <f>IF($V75="","",P75*O75)</f>
        <v/>
      </c>
      <c r="R75" s="7">
        <f>IF($V75="","",Q75+N75)</f>
        <v/>
      </c>
      <c r="S75" s="7">
        <f>IF($V75="","",T75-R75)</f>
        <v/>
      </c>
      <c r="T75" s="7">
        <f>IF($V75="","",M75+P75)</f>
        <v/>
      </c>
      <c r="U75" s="7">
        <f>IF($V75="","",T75-R75-G75)</f>
        <v/>
      </c>
      <c r="V75" s="13">
        <f>IF(ROWS($V$2:$V75)&lt;=MAX('Per Line'!$X$2:$X$501),MATCH(ROWS($V$2:$V75),'Per Line'!$X$2:$X$501,0),"")</f>
        <v/>
      </c>
    </row>
    <row r="76">
      <c r="A76">
        <f>IF($V76="","",INDEX('Per Line'!$A$2:$A$501,$V76)&amp;"")</f>
        <v/>
      </c>
      <c r="B76" s="12" t="n"/>
      <c r="C76">
        <f>IF($V76="","",INDEX('Per Line'!$B$2:$B$501,$V76)&amp;"")</f>
        <v/>
      </c>
      <c r="D76">
        <f>IF($V76="","",INDEX('Per Line'!$C$2:$C$501,$V76)&amp;"")</f>
        <v/>
      </c>
      <c r="E76">
        <f>IF($V76="","",INDEX('Per Line'!$D$2:$D$501,$V76)&amp;"")</f>
        <v/>
      </c>
      <c r="F76">
        <f>IF($V76="","",INDEX('Per Line'!$E$2:$E$501,$V76))</f>
        <v/>
      </c>
      <c r="G76" s="7">
        <f>IF($V76="","",F76*T76/100)</f>
        <v/>
      </c>
      <c r="H76">
        <f>IF($V76="","",INDEX('Per Line'!$Q$2:$Q$501,$V76)&amp;"")</f>
        <v/>
      </c>
      <c r="I76">
        <f>IF($V76="","",INDEX('Per Line'!$R$2:$R$501,$V76)&amp;"")</f>
        <v/>
      </c>
      <c r="J76" s="11">
        <f>IF($V76="","",INDEX('Per Line'!$S$2:$S$501,$V76))</f>
        <v/>
      </c>
      <c r="K76">
        <f>IF($V76="","",INDEX('Per Line'!$T$2:$T$501,$V76)&amp;"")</f>
        <v/>
      </c>
      <c r="L76">
        <f>IF($V76="","",Settings!$C$7)</f>
        <v/>
      </c>
      <c r="M76" s="7">
        <f>IF($V76="","",SUMIFS('Per Line'!$N$2:$N$501,'Per Line'!$A$2:$A$501,$A76,'Per Line'!$Y$2:$Y$501,0))</f>
        <v/>
      </c>
      <c r="N76" s="7">
        <f>IF($V76="","",M76*L76)</f>
        <v/>
      </c>
      <c r="O76">
        <f>IF($V76="","",Settings!$C$6)</f>
        <v/>
      </c>
      <c r="P76" s="7">
        <f>IF($V76="","",SUMIFS('Per Line'!$N$2:$N$501,'Per Line'!$A$2:$A$501,$A76,'Per Line'!$Y$2:$Y$501,1))</f>
        <v/>
      </c>
      <c r="Q76" s="7">
        <f>IF($V76="","",P76*O76)</f>
        <v/>
      </c>
      <c r="R76" s="7">
        <f>IF($V76="","",Q76+N76)</f>
        <v/>
      </c>
      <c r="S76" s="7">
        <f>IF($V76="","",T76-R76)</f>
        <v/>
      </c>
      <c r="T76" s="7">
        <f>IF($V76="","",M76+P76)</f>
        <v/>
      </c>
      <c r="U76" s="7">
        <f>IF($V76="","",T76-R76-G76)</f>
        <v/>
      </c>
      <c r="V76" s="13">
        <f>IF(ROWS($V$2:$V76)&lt;=MAX('Per Line'!$X$2:$X$501),MATCH(ROWS($V$2:$V76),'Per Line'!$X$2:$X$501,0),"")</f>
        <v/>
      </c>
    </row>
    <row r="77">
      <c r="A77">
        <f>IF($V77="","",INDEX('Per Line'!$A$2:$A$501,$V77)&amp;"")</f>
        <v/>
      </c>
      <c r="B77" s="12" t="n"/>
      <c r="C77">
        <f>IF($V77="","",INDEX('Per Line'!$B$2:$B$501,$V77)&amp;"")</f>
        <v/>
      </c>
      <c r="D77">
        <f>IF($V77="","",INDEX('Per Line'!$C$2:$C$501,$V77)&amp;"")</f>
        <v/>
      </c>
      <c r="E77">
        <f>IF($V77="","",INDEX('Per Line'!$D$2:$D$501,$V77)&amp;"")</f>
        <v/>
      </c>
      <c r="F77">
        <f>IF($V77="","",INDEX('Per Line'!$E$2:$E$501,$V77))</f>
        <v/>
      </c>
      <c r="G77" s="7">
        <f>IF($V77="","",F77*T77/100)</f>
        <v/>
      </c>
      <c r="H77">
        <f>IF($V77="","",INDEX('Per Line'!$Q$2:$Q$501,$V77)&amp;"")</f>
        <v/>
      </c>
      <c r="I77">
        <f>IF($V77="","",INDEX('Per Line'!$R$2:$R$501,$V77)&amp;"")</f>
        <v/>
      </c>
      <c r="J77" s="11">
        <f>IF($V77="","",INDEX('Per Line'!$S$2:$S$501,$V77))</f>
        <v/>
      </c>
      <c r="K77">
        <f>IF($V77="","",INDEX('Per Line'!$T$2:$T$501,$V77)&amp;"")</f>
        <v/>
      </c>
      <c r="L77">
        <f>IF($V77="","",Settings!$C$7)</f>
        <v/>
      </c>
      <c r="M77" s="7">
        <f>IF($V77="","",SUMIFS('Per Line'!$N$2:$N$501,'Per Line'!$A$2:$A$501,$A77,'Per Line'!$Y$2:$Y$501,0))</f>
        <v/>
      </c>
      <c r="N77" s="7">
        <f>IF($V77="","",M77*L77)</f>
        <v/>
      </c>
      <c r="O77">
        <f>IF($V77="","",Settings!$C$6)</f>
        <v/>
      </c>
      <c r="P77" s="7">
        <f>IF($V77="","",SUMIFS('Per Line'!$N$2:$N$501,'Per Line'!$A$2:$A$501,$A77,'Per Line'!$Y$2:$Y$501,1))</f>
        <v/>
      </c>
      <c r="Q77" s="7">
        <f>IF($V77="","",P77*O77)</f>
        <v/>
      </c>
      <c r="R77" s="7">
        <f>IF($V77="","",Q77+N77)</f>
        <v/>
      </c>
      <c r="S77" s="7">
        <f>IF($V77="","",T77-R77)</f>
        <v/>
      </c>
      <c r="T77" s="7">
        <f>IF($V77="","",M77+P77)</f>
        <v/>
      </c>
      <c r="U77" s="7">
        <f>IF($V77="","",T77-R77-G77)</f>
        <v/>
      </c>
      <c r="V77" s="13">
        <f>IF(ROWS($V$2:$V77)&lt;=MAX('Per Line'!$X$2:$X$501),MATCH(ROWS($V$2:$V77),'Per Line'!$X$2:$X$501,0),"")</f>
        <v/>
      </c>
    </row>
    <row r="78">
      <c r="A78">
        <f>IF($V78="","",INDEX('Per Line'!$A$2:$A$501,$V78)&amp;"")</f>
        <v/>
      </c>
      <c r="B78" s="12" t="n"/>
      <c r="C78">
        <f>IF($V78="","",INDEX('Per Line'!$B$2:$B$501,$V78)&amp;"")</f>
        <v/>
      </c>
      <c r="D78">
        <f>IF($V78="","",INDEX('Per Line'!$C$2:$C$501,$V78)&amp;"")</f>
        <v/>
      </c>
      <c r="E78">
        <f>IF($V78="","",INDEX('Per Line'!$D$2:$D$501,$V78)&amp;"")</f>
        <v/>
      </c>
      <c r="F78">
        <f>IF($V78="","",INDEX('Per Line'!$E$2:$E$501,$V78))</f>
        <v/>
      </c>
      <c r="G78" s="7">
        <f>IF($V78="","",F78*T78/100)</f>
        <v/>
      </c>
      <c r="H78">
        <f>IF($V78="","",INDEX('Per Line'!$Q$2:$Q$501,$V78)&amp;"")</f>
        <v/>
      </c>
      <c r="I78">
        <f>IF($V78="","",INDEX('Per Line'!$R$2:$R$501,$V78)&amp;"")</f>
        <v/>
      </c>
      <c r="J78" s="11">
        <f>IF($V78="","",INDEX('Per Line'!$S$2:$S$501,$V78))</f>
        <v/>
      </c>
      <c r="K78">
        <f>IF($V78="","",INDEX('Per Line'!$T$2:$T$501,$V78)&amp;"")</f>
        <v/>
      </c>
      <c r="L78">
        <f>IF($V78="","",Settings!$C$7)</f>
        <v/>
      </c>
      <c r="M78" s="7">
        <f>IF($V78="","",SUMIFS('Per Line'!$N$2:$N$501,'Per Line'!$A$2:$A$501,$A78,'Per Line'!$Y$2:$Y$501,0))</f>
        <v/>
      </c>
      <c r="N78" s="7">
        <f>IF($V78="","",M78*L78)</f>
        <v/>
      </c>
      <c r="O78">
        <f>IF($V78="","",Settings!$C$6)</f>
        <v/>
      </c>
      <c r="P78" s="7">
        <f>IF($V78="","",SUMIFS('Per Line'!$N$2:$N$501,'Per Line'!$A$2:$A$501,$A78,'Per Line'!$Y$2:$Y$501,1))</f>
        <v/>
      </c>
      <c r="Q78" s="7">
        <f>IF($V78="","",P78*O78)</f>
        <v/>
      </c>
      <c r="R78" s="7">
        <f>IF($V78="","",Q78+N78)</f>
        <v/>
      </c>
      <c r="S78" s="7">
        <f>IF($V78="","",T78-R78)</f>
        <v/>
      </c>
      <c r="T78" s="7">
        <f>IF($V78="","",M78+P78)</f>
        <v/>
      </c>
      <c r="U78" s="7">
        <f>IF($V78="","",T78-R78-G78)</f>
        <v/>
      </c>
      <c r="V78" s="13">
        <f>IF(ROWS($V$2:$V78)&lt;=MAX('Per Line'!$X$2:$X$501),MATCH(ROWS($V$2:$V78),'Per Line'!$X$2:$X$501,0),"")</f>
        <v/>
      </c>
    </row>
    <row r="79">
      <c r="A79">
        <f>IF($V79="","",INDEX('Per Line'!$A$2:$A$501,$V79)&amp;"")</f>
        <v/>
      </c>
      <c r="B79" s="12" t="n"/>
      <c r="C79">
        <f>IF($V79="","",INDEX('Per Line'!$B$2:$B$501,$V79)&amp;"")</f>
        <v/>
      </c>
      <c r="D79">
        <f>IF($V79="","",INDEX('Per Line'!$C$2:$C$501,$V79)&amp;"")</f>
        <v/>
      </c>
      <c r="E79">
        <f>IF($V79="","",INDEX('Per Line'!$D$2:$D$501,$V79)&amp;"")</f>
        <v/>
      </c>
      <c r="F79">
        <f>IF($V79="","",INDEX('Per Line'!$E$2:$E$501,$V79))</f>
        <v/>
      </c>
      <c r="G79" s="7">
        <f>IF($V79="","",F79*T79/100)</f>
        <v/>
      </c>
      <c r="H79">
        <f>IF($V79="","",INDEX('Per Line'!$Q$2:$Q$501,$V79)&amp;"")</f>
        <v/>
      </c>
      <c r="I79">
        <f>IF($V79="","",INDEX('Per Line'!$R$2:$R$501,$V79)&amp;"")</f>
        <v/>
      </c>
      <c r="J79" s="11">
        <f>IF($V79="","",INDEX('Per Line'!$S$2:$S$501,$V79))</f>
        <v/>
      </c>
      <c r="K79">
        <f>IF($V79="","",INDEX('Per Line'!$T$2:$T$501,$V79)&amp;"")</f>
        <v/>
      </c>
      <c r="L79">
        <f>IF($V79="","",Settings!$C$7)</f>
        <v/>
      </c>
      <c r="M79" s="7">
        <f>IF($V79="","",SUMIFS('Per Line'!$N$2:$N$501,'Per Line'!$A$2:$A$501,$A79,'Per Line'!$Y$2:$Y$501,0))</f>
        <v/>
      </c>
      <c r="N79" s="7">
        <f>IF($V79="","",M79*L79)</f>
        <v/>
      </c>
      <c r="O79">
        <f>IF($V79="","",Settings!$C$6)</f>
        <v/>
      </c>
      <c r="P79" s="7">
        <f>IF($V79="","",SUMIFS('Per Line'!$N$2:$N$501,'Per Line'!$A$2:$A$501,$A79,'Per Line'!$Y$2:$Y$501,1))</f>
        <v/>
      </c>
      <c r="Q79" s="7">
        <f>IF($V79="","",P79*O79)</f>
        <v/>
      </c>
      <c r="R79" s="7">
        <f>IF($V79="","",Q79+N79)</f>
        <v/>
      </c>
      <c r="S79" s="7">
        <f>IF($V79="","",T79-R79)</f>
        <v/>
      </c>
      <c r="T79" s="7">
        <f>IF($V79="","",M79+P79)</f>
        <v/>
      </c>
      <c r="U79" s="7">
        <f>IF($V79="","",T79-R79-G79)</f>
        <v/>
      </c>
      <c r="V79" s="13">
        <f>IF(ROWS($V$2:$V79)&lt;=MAX('Per Line'!$X$2:$X$501),MATCH(ROWS($V$2:$V79),'Per Line'!$X$2:$X$501,0),"")</f>
        <v/>
      </c>
    </row>
    <row r="80">
      <c r="A80">
        <f>IF($V80="","",INDEX('Per Line'!$A$2:$A$501,$V80)&amp;"")</f>
        <v/>
      </c>
      <c r="B80" s="12" t="n"/>
      <c r="C80">
        <f>IF($V80="","",INDEX('Per Line'!$B$2:$B$501,$V80)&amp;"")</f>
        <v/>
      </c>
      <c r="D80">
        <f>IF($V80="","",INDEX('Per Line'!$C$2:$C$501,$V80)&amp;"")</f>
        <v/>
      </c>
      <c r="E80">
        <f>IF($V80="","",INDEX('Per Line'!$D$2:$D$501,$V80)&amp;"")</f>
        <v/>
      </c>
      <c r="F80">
        <f>IF($V80="","",INDEX('Per Line'!$E$2:$E$501,$V80))</f>
        <v/>
      </c>
      <c r="G80" s="7">
        <f>IF($V80="","",F80*T80/100)</f>
        <v/>
      </c>
      <c r="H80">
        <f>IF($V80="","",INDEX('Per Line'!$Q$2:$Q$501,$V80)&amp;"")</f>
        <v/>
      </c>
      <c r="I80">
        <f>IF($V80="","",INDEX('Per Line'!$R$2:$R$501,$V80)&amp;"")</f>
        <v/>
      </c>
      <c r="J80" s="11">
        <f>IF($V80="","",INDEX('Per Line'!$S$2:$S$501,$V80))</f>
        <v/>
      </c>
      <c r="K80">
        <f>IF($V80="","",INDEX('Per Line'!$T$2:$T$501,$V80)&amp;"")</f>
        <v/>
      </c>
      <c r="L80">
        <f>IF($V80="","",Settings!$C$7)</f>
        <v/>
      </c>
      <c r="M80" s="7">
        <f>IF($V80="","",SUMIFS('Per Line'!$N$2:$N$501,'Per Line'!$A$2:$A$501,$A80,'Per Line'!$Y$2:$Y$501,0))</f>
        <v/>
      </c>
      <c r="N80" s="7">
        <f>IF($V80="","",M80*L80)</f>
        <v/>
      </c>
      <c r="O80">
        <f>IF($V80="","",Settings!$C$6)</f>
        <v/>
      </c>
      <c r="P80" s="7">
        <f>IF($V80="","",SUMIFS('Per Line'!$N$2:$N$501,'Per Line'!$A$2:$A$501,$A80,'Per Line'!$Y$2:$Y$501,1))</f>
        <v/>
      </c>
      <c r="Q80" s="7">
        <f>IF($V80="","",P80*O80)</f>
        <v/>
      </c>
      <c r="R80" s="7">
        <f>IF($V80="","",Q80+N80)</f>
        <v/>
      </c>
      <c r="S80" s="7">
        <f>IF($V80="","",T80-R80)</f>
        <v/>
      </c>
      <c r="T80" s="7">
        <f>IF($V80="","",M80+P80)</f>
        <v/>
      </c>
      <c r="U80" s="7">
        <f>IF($V80="","",T80-R80-G80)</f>
        <v/>
      </c>
      <c r="V80" s="13">
        <f>IF(ROWS($V$2:$V80)&lt;=MAX('Per Line'!$X$2:$X$501),MATCH(ROWS($V$2:$V80),'Per Line'!$X$2:$X$501,0),"")</f>
        <v/>
      </c>
    </row>
    <row r="81">
      <c r="A81">
        <f>IF($V81="","",INDEX('Per Line'!$A$2:$A$501,$V81)&amp;"")</f>
        <v/>
      </c>
      <c r="B81" s="12" t="n"/>
      <c r="C81">
        <f>IF($V81="","",INDEX('Per Line'!$B$2:$B$501,$V81)&amp;"")</f>
        <v/>
      </c>
      <c r="D81">
        <f>IF($V81="","",INDEX('Per Line'!$C$2:$C$501,$V81)&amp;"")</f>
        <v/>
      </c>
      <c r="E81">
        <f>IF($V81="","",INDEX('Per Line'!$D$2:$D$501,$V81)&amp;"")</f>
        <v/>
      </c>
      <c r="F81">
        <f>IF($V81="","",INDEX('Per Line'!$E$2:$E$501,$V81))</f>
        <v/>
      </c>
      <c r="G81" s="7">
        <f>IF($V81="","",F81*T81/100)</f>
        <v/>
      </c>
      <c r="H81">
        <f>IF($V81="","",INDEX('Per Line'!$Q$2:$Q$501,$V81)&amp;"")</f>
        <v/>
      </c>
      <c r="I81">
        <f>IF($V81="","",INDEX('Per Line'!$R$2:$R$501,$V81)&amp;"")</f>
        <v/>
      </c>
      <c r="J81" s="11">
        <f>IF($V81="","",INDEX('Per Line'!$S$2:$S$501,$V81))</f>
        <v/>
      </c>
      <c r="K81">
        <f>IF($V81="","",INDEX('Per Line'!$T$2:$T$501,$V81)&amp;"")</f>
        <v/>
      </c>
      <c r="L81">
        <f>IF($V81="","",Settings!$C$7)</f>
        <v/>
      </c>
      <c r="M81" s="7">
        <f>IF($V81="","",SUMIFS('Per Line'!$N$2:$N$501,'Per Line'!$A$2:$A$501,$A81,'Per Line'!$Y$2:$Y$501,0))</f>
        <v/>
      </c>
      <c r="N81" s="7">
        <f>IF($V81="","",M81*L81)</f>
        <v/>
      </c>
      <c r="O81">
        <f>IF($V81="","",Settings!$C$6)</f>
        <v/>
      </c>
      <c r="P81" s="7">
        <f>IF($V81="","",SUMIFS('Per Line'!$N$2:$N$501,'Per Line'!$A$2:$A$501,$A81,'Per Line'!$Y$2:$Y$501,1))</f>
        <v/>
      </c>
      <c r="Q81" s="7">
        <f>IF($V81="","",P81*O81)</f>
        <v/>
      </c>
      <c r="R81" s="7">
        <f>IF($V81="","",Q81+N81)</f>
        <v/>
      </c>
      <c r="S81" s="7">
        <f>IF($V81="","",T81-R81)</f>
        <v/>
      </c>
      <c r="T81" s="7">
        <f>IF($V81="","",M81+P81)</f>
        <v/>
      </c>
      <c r="U81" s="7">
        <f>IF($V81="","",T81-R81-G81)</f>
        <v/>
      </c>
      <c r="V81" s="13">
        <f>IF(ROWS($V$2:$V81)&lt;=MAX('Per Line'!$X$2:$X$501),MATCH(ROWS($V$2:$V81),'Per Line'!$X$2:$X$501,0),"")</f>
        <v/>
      </c>
    </row>
    <row r="82">
      <c r="A82">
        <f>IF($V82="","",INDEX('Per Line'!$A$2:$A$501,$V82)&amp;"")</f>
        <v/>
      </c>
      <c r="B82" s="12" t="n"/>
      <c r="C82">
        <f>IF($V82="","",INDEX('Per Line'!$B$2:$B$501,$V82)&amp;"")</f>
        <v/>
      </c>
      <c r="D82">
        <f>IF($V82="","",INDEX('Per Line'!$C$2:$C$501,$V82)&amp;"")</f>
        <v/>
      </c>
      <c r="E82">
        <f>IF($V82="","",INDEX('Per Line'!$D$2:$D$501,$V82)&amp;"")</f>
        <v/>
      </c>
      <c r="F82">
        <f>IF($V82="","",INDEX('Per Line'!$E$2:$E$501,$V82))</f>
        <v/>
      </c>
      <c r="G82" s="7">
        <f>IF($V82="","",F82*T82/100)</f>
        <v/>
      </c>
      <c r="H82">
        <f>IF($V82="","",INDEX('Per Line'!$Q$2:$Q$501,$V82)&amp;"")</f>
        <v/>
      </c>
      <c r="I82">
        <f>IF($V82="","",INDEX('Per Line'!$R$2:$R$501,$V82)&amp;"")</f>
        <v/>
      </c>
      <c r="J82" s="11">
        <f>IF($V82="","",INDEX('Per Line'!$S$2:$S$501,$V82))</f>
        <v/>
      </c>
      <c r="K82">
        <f>IF($V82="","",INDEX('Per Line'!$T$2:$T$501,$V82)&amp;"")</f>
        <v/>
      </c>
      <c r="L82">
        <f>IF($V82="","",Settings!$C$7)</f>
        <v/>
      </c>
      <c r="M82" s="7">
        <f>IF($V82="","",SUMIFS('Per Line'!$N$2:$N$501,'Per Line'!$A$2:$A$501,$A82,'Per Line'!$Y$2:$Y$501,0))</f>
        <v/>
      </c>
      <c r="N82" s="7">
        <f>IF($V82="","",M82*L82)</f>
        <v/>
      </c>
      <c r="O82">
        <f>IF($V82="","",Settings!$C$6)</f>
        <v/>
      </c>
      <c r="P82" s="7">
        <f>IF($V82="","",SUMIFS('Per Line'!$N$2:$N$501,'Per Line'!$A$2:$A$501,$A82,'Per Line'!$Y$2:$Y$501,1))</f>
        <v/>
      </c>
      <c r="Q82" s="7">
        <f>IF($V82="","",P82*O82)</f>
        <v/>
      </c>
      <c r="R82" s="7">
        <f>IF($V82="","",Q82+N82)</f>
        <v/>
      </c>
      <c r="S82" s="7">
        <f>IF($V82="","",T82-R82)</f>
        <v/>
      </c>
      <c r="T82" s="7">
        <f>IF($V82="","",M82+P82)</f>
        <v/>
      </c>
      <c r="U82" s="7">
        <f>IF($V82="","",T82-R82-G82)</f>
        <v/>
      </c>
      <c r="V82" s="13">
        <f>IF(ROWS($V$2:$V82)&lt;=MAX('Per Line'!$X$2:$X$501),MATCH(ROWS($V$2:$V82),'Per Line'!$X$2:$X$501,0),"")</f>
        <v/>
      </c>
    </row>
    <row r="83">
      <c r="A83">
        <f>IF($V83="","",INDEX('Per Line'!$A$2:$A$501,$V83)&amp;"")</f>
        <v/>
      </c>
      <c r="B83" s="12" t="n"/>
      <c r="C83">
        <f>IF($V83="","",INDEX('Per Line'!$B$2:$B$501,$V83)&amp;"")</f>
        <v/>
      </c>
      <c r="D83">
        <f>IF($V83="","",INDEX('Per Line'!$C$2:$C$501,$V83)&amp;"")</f>
        <v/>
      </c>
      <c r="E83">
        <f>IF($V83="","",INDEX('Per Line'!$D$2:$D$501,$V83)&amp;"")</f>
        <v/>
      </c>
      <c r="F83">
        <f>IF($V83="","",INDEX('Per Line'!$E$2:$E$501,$V83))</f>
        <v/>
      </c>
      <c r="G83" s="7">
        <f>IF($V83="","",F83*T83/100)</f>
        <v/>
      </c>
      <c r="H83">
        <f>IF($V83="","",INDEX('Per Line'!$Q$2:$Q$501,$V83)&amp;"")</f>
        <v/>
      </c>
      <c r="I83">
        <f>IF($V83="","",INDEX('Per Line'!$R$2:$R$501,$V83)&amp;"")</f>
        <v/>
      </c>
      <c r="J83" s="11">
        <f>IF($V83="","",INDEX('Per Line'!$S$2:$S$501,$V83))</f>
        <v/>
      </c>
      <c r="K83">
        <f>IF($V83="","",INDEX('Per Line'!$T$2:$T$501,$V83)&amp;"")</f>
        <v/>
      </c>
      <c r="L83">
        <f>IF($V83="","",Settings!$C$7)</f>
        <v/>
      </c>
      <c r="M83" s="7">
        <f>IF($V83="","",SUMIFS('Per Line'!$N$2:$N$501,'Per Line'!$A$2:$A$501,$A83,'Per Line'!$Y$2:$Y$501,0))</f>
        <v/>
      </c>
      <c r="N83" s="7">
        <f>IF($V83="","",M83*L83)</f>
        <v/>
      </c>
      <c r="O83">
        <f>IF($V83="","",Settings!$C$6)</f>
        <v/>
      </c>
      <c r="P83" s="7">
        <f>IF($V83="","",SUMIFS('Per Line'!$N$2:$N$501,'Per Line'!$A$2:$A$501,$A83,'Per Line'!$Y$2:$Y$501,1))</f>
        <v/>
      </c>
      <c r="Q83" s="7">
        <f>IF($V83="","",P83*O83)</f>
        <v/>
      </c>
      <c r="R83" s="7">
        <f>IF($V83="","",Q83+N83)</f>
        <v/>
      </c>
      <c r="S83" s="7">
        <f>IF($V83="","",T83-R83)</f>
        <v/>
      </c>
      <c r="T83" s="7">
        <f>IF($V83="","",M83+P83)</f>
        <v/>
      </c>
      <c r="U83" s="7">
        <f>IF($V83="","",T83-R83-G83)</f>
        <v/>
      </c>
      <c r="V83" s="13">
        <f>IF(ROWS($V$2:$V83)&lt;=MAX('Per Line'!$X$2:$X$501),MATCH(ROWS($V$2:$V83),'Per Line'!$X$2:$X$501,0),"")</f>
        <v/>
      </c>
    </row>
    <row r="84">
      <c r="A84">
        <f>IF($V84="","",INDEX('Per Line'!$A$2:$A$501,$V84)&amp;"")</f>
        <v/>
      </c>
      <c r="B84" s="12" t="n"/>
      <c r="C84">
        <f>IF($V84="","",INDEX('Per Line'!$B$2:$B$501,$V84)&amp;"")</f>
        <v/>
      </c>
      <c r="D84">
        <f>IF($V84="","",INDEX('Per Line'!$C$2:$C$501,$V84)&amp;"")</f>
        <v/>
      </c>
      <c r="E84">
        <f>IF($V84="","",INDEX('Per Line'!$D$2:$D$501,$V84)&amp;"")</f>
        <v/>
      </c>
      <c r="F84">
        <f>IF($V84="","",INDEX('Per Line'!$E$2:$E$501,$V84))</f>
        <v/>
      </c>
      <c r="G84" s="7">
        <f>IF($V84="","",F84*T84/100)</f>
        <v/>
      </c>
      <c r="H84">
        <f>IF($V84="","",INDEX('Per Line'!$Q$2:$Q$501,$V84)&amp;"")</f>
        <v/>
      </c>
      <c r="I84">
        <f>IF($V84="","",INDEX('Per Line'!$R$2:$R$501,$V84)&amp;"")</f>
        <v/>
      </c>
      <c r="J84" s="11">
        <f>IF($V84="","",INDEX('Per Line'!$S$2:$S$501,$V84))</f>
        <v/>
      </c>
      <c r="K84">
        <f>IF($V84="","",INDEX('Per Line'!$T$2:$T$501,$V84)&amp;"")</f>
        <v/>
      </c>
      <c r="L84">
        <f>IF($V84="","",Settings!$C$7)</f>
        <v/>
      </c>
      <c r="M84" s="7">
        <f>IF($V84="","",SUMIFS('Per Line'!$N$2:$N$501,'Per Line'!$A$2:$A$501,$A84,'Per Line'!$Y$2:$Y$501,0))</f>
        <v/>
      </c>
      <c r="N84" s="7">
        <f>IF($V84="","",M84*L84)</f>
        <v/>
      </c>
      <c r="O84">
        <f>IF($V84="","",Settings!$C$6)</f>
        <v/>
      </c>
      <c r="P84" s="7">
        <f>IF($V84="","",SUMIFS('Per Line'!$N$2:$N$501,'Per Line'!$A$2:$A$501,$A84,'Per Line'!$Y$2:$Y$501,1))</f>
        <v/>
      </c>
      <c r="Q84" s="7">
        <f>IF($V84="","",P84*O84)</f>
        <v/>
      </c>
      <c r="R84" s="7">
        <f>IF($V84="","",Q84+N84)</f>
        <v/>
      </c>
      <c r="S84" s="7">
        <f>IF($V84="","",T84-R84)</f>
        <v/>
      </c>
      <c r="T84" s="7">
        <f>IF($V84="","",M84+P84)</f>
        <v/>
      </c>
      <c r="U84" s="7">
        <f>IF($V84="","",T84-R84-G84)</f>
        <v/>
      </c>
      <c r="V84" s="13">
        <f>IF(ROWS($V$2:$V84)&lt;=MAX('Per Line'!$X$2:$X$501),MATCH(ROWS($V$2:$V84),'Per Line'!$X$2:$X$501,0),"")</f>
        <v/>
      </c>
    </row>
    <row r="85">
      <c r="A85">
        <f>IF($V85="","",INDEX('Per Line'!$A$2:$A$501,$V85)&amp;"")</f>
        <v/>
      </c>
      <c r="B85" s="12" t="n"/>
      <c r="C85">
        <f>IF($V85="","",INDEX('Per Line'!$B$2:$B$501,$V85)&amp;"")</f>
        <v/>
      </c>
      <c r="D85">
        <f>IF($V85="","",INDEX('Per Line'!$C$2:$C$501,$V85)&amp;"")</f>
        <v/>
      </c>
      <c r="E85">
        <f>IF($V85="","",INDEX('Per Line'!$D$2:$D$501,$V85)&amp;"")</f>
        <v/>
      </c>
      <c r="F85">
        <f>IF($V85="","",INDEX('Per Line'!$E$2:$E$501,$V85))</f>
        <v/>
      </c>
      <c r="G85" s="7">
        <f>IF($V85="","",F85*T85/100)</f>
        <v/>
      </c>
      <c r="H85">
        <f>IF($V85="","",INDEX('Per Line'!$Q$2:$Q$501,$V85)&amp;"")</f>
        <v/>
      </c>
      <c r="I85">
        <f>IF($V85="","",INDEX('Per Line'!$R$2:$R$501,$V85)&amp;"")</f>
        <v/>
      </c>
      <c r="J85" s="11">
        <f>IF($V85="","",INDEX('Per Line'!$S$2:$S$501,$V85))</f>
        <v/>
      </c>
      <c r="K85">
        <f>IF($V85="","",INDEX('Per Line'!$T$2:$T$501,$V85)&amp;"")</f>
        <v/>
      </c>
      <c r="L85">
        <f>IF($V85="","",Settings!$C$7)</f>
        <v/>
      </c>
      <c r="M85" s="7">
        <f>IF($V85="","",SUMIFS('Per Line'!$N$2:$N$501,'Per Line'!$A$2:$A$501,$A85,'Per Line'!$Y$2:$Y$501,0))</f>
        <v/>
      </c>
      <c r="N85" s="7">
        <f>IF($V85="","",M85*L85)</f>
        <v/>
      </c>
      <c r="O85">
        <f>IF($V85="","",Settings!$C$6)</f>
        <v/>
      </c>
      <c r="P85" s="7">
        <f>IF($V85="","",SUMIFS('Per Line'!$N$2:$N$501,'Per Line'!$A$2:$A$501,$A85,'Per Line'!$Y$2:$Y$501,1))</f>
        <v/>
      </c>
      <c r="Q85" s="7">
        <f>IF($V85="","",P85*O85)</f>
        <v/>
      </c>
      <c r="R85" s="7">
        <f>IF($V85="","",Q85+N85)</f>
        <v/>
      </c>
      <c r="S85" s="7">
        <f>IF($V85="","",T85-R85)</f>
        <v/>
      </c>
      <c r="T85" s="7">
        <f>IF($V85="","",M85+P85)</f>
        <v/>
      </c>
      <c r="U85" s="7">
        <f>IF($V85="","",T85-R85-G85)</f>
        <v/>
      </c>
      <c r="V85" s="13">
        <f>IF(ROWS($V$2:$V85)&lt;=MAX('Per Line'!$X$2:$X$501),MATCH(ROWS($V$2:$V85),'Per Line'!$X$2:$X$501,0),"")</f>
        <v/>
      </c>
    </row>
    <row r="86">
      <c r="A86">
        <f>IF($V86="","",INDEX('Per Line'!$A$2:$A$501,$V86)&amp;"")</f>
        <v/>
      </c>
      <c r="B86" s="12" t="n"/>
      <c r="C86">
        <f>IF($V86="","",INDEX('Per Line'!$B$2:$B$501,$V86)&amp;"")</f>
        <v/>
      </c>
      <c r="D86">
        <f>IF($V86="","",INDEX('Per Line'!$C$2:$C$501,$V86)&amp;"")</f>
        <v/>
      </c>
      <c r="E86">
        <f>IF($V86="","",INDEX('Per Line'!$D$2:$D$501,$V86)&amp;"")</f>
        <v/>
      </c>
      <c r="F86">
        <f>IF($V86="","",INDEX('Per Line'!$E$2:$E$501,$V86))</f>
        <v/>
      </c>
      <c r="G86" s="7">
        <f>IF($V86="","",F86*T86/100)</f>
        <v/>
      </c>
      <c r="H86">
        <f>IF($V86="","",INDEX('Per Line'!$Q$2:$Q$501,$V86)&amp;"")</f>
        <v/>
      </c>
      <c r="I86">
        <f>IF($V86="","",INDEX('Per Line'!$R$2:$R$501,$V86)&amp;"")</f>
        <v/>
      </c>
      <c r="J86" s="11">
        <f>IF($V86="","",INDEX('Per Line'!$S$2:$S$501,$V86))</f>
        <v/>
      </c>
      <c r="K86">
        <f>IF($V86="","",INDEX('Per Line'!$T$2:$T$501,$V86)&amp;"")</f>
        <v/>
      </c>
      <c r="L86">
        <f>IF($V86="","",Settings!$C$7)</f>
        <v/>
      </c>
      <c r="M86" s="7">
        <f>IF($V86="","",SUMIFS('Per Line'!$N$2:$N$501,'Per Line'!$A$2:$A$501,$A86,'Per Line'!$Y$2:$Y$501,0))</f>
        <v/>
      </c>
      <c r="N86" s="7">
        <f>IF($V86="","",M86*L86)</f>
        <v/>
      </c>
      <c r="O86">
        <f>IF($V86="","",Settings!$C$6)</f>
        <v/>
      </c>
      <c r="P86" s="7">
        <f>IF($V86="","",SUMIFS('Per Line'!$N$2:$N$501,'Per Line'!$A$2:$A$501,$A86,'Per Line'!$Y$2:$Y$501,1))</f>
        <v/>
      </c>
      <c r="Q86" s="7">
        <f>IF($V86="","",P86*O86)</f>
        <v/>
      </c>
      <c r="R86" s="7">
        <f>IF($V86="","",Q86+N86)</f>
        <v/>
      </c>
      <c r="S86" s="7">
        <f>IF($V86="","",T86-R86)</f>
        <v/>
      </c>
      <c r="T86" s="7">
        <f>IF($V86="","",M86+P86)</f>
        <v/>
      </c>
      <c r="U86" s="7">
        <f>IF($V86="","",T86-R86-G86)</f>
        <v/>
      </c>
      <c r="V86" s="13">
        <f>IF(ROWS($V$2:$V86)&lt;=MAX('Per Line'!$X$2:$X$501),MATCH(ROWS($V$2:$V86),'Per Line'!$X$2:$X$501,0),"")</f>
        <v/>
      </c>
    </row>
    <row r="87">
      <c r="A87">
        <f>IF($V87="","",INDEX('Per Line'!$A$2:$A$501,$V87)&amp;"")</f>
        <v/>
      </c>
      <c r="B87" s="12" t="n"/>
      <c r="C87">
        <f>IF($V87="","",INDEX('Per Line'!$B$2:$B$501,$V87)&amp;"")</f>
        <v/>
      </c>
      <c r="D87">
        <f>IF($V87="","",INDEX('Per Line'!$C$2:$C$501,$V87)&amp;"")</f>
        <v/>
      </c>
      <c r="E87">
        <f>IF($V87="","",INDEX('Per Line'!$D$2:$D$501,$V87)&amp;"")</f>
        <v/>
      </c>
      <c r="F87">
        <f>IF($V87="","",INDEX('Per Line'!$E$2:$E$501,$V87))</f>
        <v/>
      </c>
      <c r="G87" s="7">
        <f>IF($V87="","",F87*T87/100)</f>
        <v/>
      </c>
      <c r="H87">
        <f>IF($V87="","",INDEX('Per Line'!$Q$2:$Q$501,$V87)&amp;"")</f>
        <v/>
      </c>
      <c r="I87">
        <f>IF($V87="","",INDEX('Per Line'!$R$2:$R$501,$V87)&amp;"")</f>
        <v/>
      </c>
      <c r="J87" s="11">
        <f>IF($V87="","",INDEX('Per Line'!$S$2:$S$501,$V87))</f>
        <v/>
      </c>
      <c r="K87">
        <f>IF($V87="","",INDEX('Per Line'!$T$2:$T$501,$V87)&amp;"")</f>
        <v/>
      </c>
      <c r="L87">
        <f>IF($V87="","",Settings!$C$7)</f>
        <v/>
      </c>
      <c r="M87" s="7">
        <f>IF($V87="","",SUMIFS('Per Line'!$N$2:$N$501,'Per Line'!$A$2:$A$501,$A87,'Per Line'!$Y$2:$Y$501,0))</f>
        <v/>
      </c>
      <c r="N87" s="7">
        <f>IF($V87="","",M87*L87)</f>
        <v/>
      </c>
      <c r="O87">
        <f>IF($V87="","",Settings!$C$6)</f>
        <v/>
      </c>
      <c r="P87" s="7">
        <f>IF($V87="","",SUMIFS('Per Line'!$N$2:$N$501,'Per Line'!$A$2:$A$501,$A87,'Per Line'!$Y$2:$Y$501,1))</f>
        <v/>
      </c>
      <c r="Q87" s="7">
        <f>IF($V87="","",P87*O87)</f>
        <v/>
      </c>
      <c r="R87" s="7">
        <f>IF($V87="","",Q87+N87)</f>
        <v/>
      </c>
      <c r="S87" s="7">
        <f>IF($V87="","",T87-R87)</f>
        <v/>
      </c>
      <c r="T87" s="7">
        <f>IF($V87="","",M87+P87)</f>
        <v/>
      </c>
      <c r="U87" s="7">
        <f>IF($V87="","",T87-R87-G87)</f>
        <v/>
      </c>
      <c r="V87" s="13">
        <f>IF(ROWS($V$2:$V87)&lt;=MAX('Per Line'!$X$2:$X$501),MATCH(ROWS($V$2:$V87),'Per Line'!$X$2:$X$501,0),"")</f>
        <v/>
      </c>
    </row>
    <row r="88">
      <c r="A88">
        <f>IF($V88="","",INDEX('Per Line'!$A$2:$A$501,$V88)&amp;"")</f>
        <v/>
      </c>
      <c r="B88" s="12" t="n"/>
      <c r="C88">
        <f>IF($V88="","",INDEX('Per Line'!$B$2:$B$501,$V88)&amp;"")</f>
        <v/>
      </c>
      <c r="D88">
        <f>IF($V88="","",INDEX('Per Line'!$C$2:$C$501,$V88)&amp;"")</f>
        <v/>
      </c>
      <c r="E88">
        <f>IF($V88="","",INDEX('Per Line'!$D$2:$D$501,$V88)&amp;"")</f>
        <v/>
      </c>
      <c r="F88">
        <f>IF($V88="","",INDEX('Per Line'!$E$2:$E$501,$V88))</f>
        <v/>
      </c>
      <c r="G88" s="7">
        <f>IF($V88="","",F88*T88/100)</f>
        <v/>
      </c>
      <c r="H88">
        <f>IF($V88="","",INDEX('Per Line'!$Q$2:$Q$501,$V88)&amp;"")</f>
        <v/>
      </c>
      <c r="I88">
        <f>IF($V88="","",INDEX('Per Line'!$R$2:$R$501,$V88)&amp;"")</f>
        <v/>
      </c>
      <c r="J88" s="11">
        <f>IF($V88="","",INDEX('Per Line'!$S$2:$S$501,$V88))</f>
        <v/>
      </c>
      <c r="K88">
        <f>IF($V88="","",INDEX('Per Line'!$T$2:$T$501,$V88)&amp;"")</f>
        <v/>
      </c>
      <c r="L88">
        <f>IF($V88="","",Settings!$C$7)</f>
        <v/>
      </c>
      <c r="M88" s="7">
        <f>IF($V88="","",SUMIFS('Per Line'!$N$2:$N$501,'Per Line'!$A$2:$A$501,$A88,'Per Line'!$Y$2:$Y$501,0))</f>
        <v/>
      </c>
      <c r="N88" s="7">
        <f>IF($V88="","",M88*L88)</f>
        <v/>
      </c>
      <c r="O88">
        <f>IF($V88="","",Settings!$C$6)</f>
        <v/>
      </c>
      <c r="P88" s="7">
        <f>IF($V88="","",SUMIFS('Per Line'!$N$2:$N$501,'Per Line'!$A$2:$A$501,$A88,'Per Line'!$Y$2:$Y$501,1))</f>
        <v/>
      </c>
      <c r="Q88" s="7">
        <f>IF($V88="","",P88*O88)</f>
        <v/>
      </c>
      <c r="R88" s="7">
        <f>IF($V88="","",Q88+N88)</f>
        <v/>
      </c>
      <c r="S88" s="7">
        <f>IF($V88="","",T88-R88)</f>
        <v/>
      </c>
      <c r="T88" s="7">
        <f>IF($V88="","",M88+P88)</f>
        <v/>
      </c>
      <c r="U88" s="7">
        <f>IF($V88="","",T88-R88-G88)</f>
        <v/>
      </c>
      <c r="V88" s="13">
        <f>IF(ROWS($V$2:$V88)&lt;=MAX('Per Line'!$X$2:$X$501),MATCH(ROWS($V$2:$V88),'Per Line'!$X$2:$X$501,0),"")</f>
        <v/>
      </c>
    </row>
    <row r="89">
      <c r="A89">
        <f>IF($V89="","",INDEX('Per Line'!$A$2:$A$501,$V89)&amp;"")</f>
        <v/>
      </c>
      <c r="B89" s="12" t="n"/>
      <c r="C89">
        <f>IF($V89="","",INDEX('Per Line'!$B$2:$B$501,$V89)&amp;"")</f>
        <v/>
      </c>
      <c r="D89">
        <f>IF($V89="","",INDEX('Per Line'!$C$2:$C$501,$V89)&amp;"")</f>
        <v/>
      </c>
      <c r="E89">
        <f>IF($V89="","",INDEX('Per Line'!$D$2:$D$501,$V89)&amp;"")</f>
        <v/>
      </c>
      <c r="F89">
        <f>IF($V89="","",INDEX('Per Line'!$E$2:$E$501,$V89))</f>
        <v/>
      </c>
      <c r="G89" s="7">
        <f>IF($V89="","",F89*T89/100)</f>
        <v/>
      </c>
      <c r="H89">
        <f>IF($V89="","",INDEX('Per Line'!$Q$2:$Q$501,$V89)&amp;"")</f>
        <v/>
      </c>
      <c r="I89">
        <f>IF($V89="","",INDEX('Per Line'!$R$2:$R$501,$V89)&amp;"")</f>
        <v/>
      </c>
      <c r="J89" s="11">
        <f>IF($V89="","",INDEX('Per Line'!$S$2:$S$501,$V89))</f>
        <v/>
      </c>
      <c r="K89">
        <f>IF($V89="","",INDEX('Per Line'!$T$2:$T$501,$V89)&amp;"")</f>
        <v/>
      </c>
      <c r="L89">
        <f>IF($V89="","",Settings!$C$7)</f>
        <v/>
      </c>
      <c r="M89" s="7">
        <f>IF($V89="","",SUMIFS('Per Line'!$N$2:$N$501,'Per Line'!$A$2:$A$501,$A89,'Per Line'!$Y$2:$Y$501,0))</f>
        <v/>
      </c>
      <c r="N89" s="7">
        <f>IF($V89="","",M89*L89)</f>
        <v/>
      </c>
      <c r="O89">
        <f>IF($V89="","",Settings!$C$6)</f>
        <v/>
      </c>
      <c r="P89" s="7">
        <f>IF($V89="","",SUMIFS('Per Line'!$N$2:$N$501,'Per Line'!$A$2:$A$501,$A89,'Per Line'!$Y$2:$Y$501,1))</f>
        <v/>
      </c>
      <c r="Q89" s="7">
        <f>IF($V89="","",P89*O89)</f>
        <v/>
      </c>
      <c r="R89" s="7">
        <f>IF($V89="","",Q89+N89)</f>
        <v/>
      </c>
      <c r="S89" s="7">
        <f>IF($V89="","",T89-R89)</f>
        <v/>
      </c>
      <c r="T89" s="7">
        <f>IF($V89="","",M89+P89)</f>
        <v/>
      </c>
      <c r="U89" s="7">
        <f>IF($V89="","",T89-R89-G89)</f>
        <v/>
      </c>
      <c r="V89" s="13">
        <f>IF(ROWS($V$2:$V89)&lt;=MAX('Per Line'!$X$2:$X$501),MATCH(ROWS($V$2:$V89),'Per Line'!$X$2:$X$501,0),"")</f>
        <v/>
      </c>
    </row>
    <row r="90">
      <c r="A90">
        <f>IF($V90="","",INDEX('Per Line'!$A$2:$A$501,$V90)&amp;"")</f>
        <v/>
      </c>
      <c r="B90" s="12" t="n"/>
      <c r="C90">
        <f>IF($V90="","",INDEX('Per Line'!$B$2:$B$501,$V90)&amp;"")</f>
        <v/>
      </c>
      <c r="D90">
        <f>IF($V90="","",INDEX('Per Line'!$C$2:$C$501,$V90)&amp;"")</f>
        <v/>
      </c>
      <c r="E90">
        <f>IF($V90="","",INDEX('Per Line'!$D$2:$D$501,$V90)&amp;"")</f>
        <v/>
      </c>
      <c r="F90">
        <f>IF($V90="","",INDEX('Per Line'!$E$2:$E$501,$V90))</f>
        <v/>
      </c>
      <c r="G90" s="7">
        <f>IF($V90="","",F90*T90/100)</f>
        <v/>
      </c>
      <c r="H90">
        <f>IF($V90="","",INDEX('Per Line'!$Q$2:$Q$501,$V90)&amp;"")</f>
        <v/>
      </c>
      <c r="I90">
        <f>IF($V90="","",INDEX('Per Line'!$R$2:$R$501,$V90)&amp;"")</f>
        <v/>
      </c>
      <c r="J90" s="11">
        <f>IF($V90="","",INDEX('Per Line'!$S$2:$S$501,$V90))</f>
        <v/>
      </c>
      <c r="K90">
        <f>IF($V90="","",INDEX('Per Line'!$T$2:$T$501,$V90)&amp;"")</f>
        <v/>
      </c>
      <c r="L90">
        <f>IF($V90="","",Settings!$C$7)</f>
        <v/>
      </c>
      <c r="M90" s="7">
        <f>IF($V90="","",SUMIFS('Per Line'!$N$2:$N$501,'Per Line'!$A$2:$A$501,$A90,'Per Line'!$Y$2:$Y$501,0))</f>
        <v/>
      </c>
      <c r="N90" s="7">
        <f>IF($V90="","",M90*L90)</f>
        <v/>
      </c>
      <c r="O90">
        <f>IF($V90="","",Settings!$C$6)</f>
        <v/>
      </c>
      <c r="P90" s="7">
        <f>IF($V90="","",SUMIFS('Per Line'!$N$2:$N$501,'Per Line'!$A$2:$A$501,$A90,'Per Line'!$Y$2:$Y$501,1))</f>
        <v/>
      </c>
      <c r="Q90" s="7">
        <f>IF($V90="","",P90*O90)</f>
        <v/>
      </c>
      <c r="R90" s="7">
        <f>IF($V90="","",Q90+N90)</f>
        <v/>
      </c>
      <c r="S90" s="7">
        <f>IF($V90="","",T90-R90)</f>
        <v/>
      </c>
      <c r="T90" s="7">
        <f>IF($V90="","",M90+P90)</f>
        <v/>
      </c>
      <c r="U90" s="7">
        <f>IF($V90="","",T90-R90-G90)</f>
        <v/>
      </c>
      <c r="V90" s="13">
        <f>IF(ROWS($V$2:$V90)&lt;=MAX('Per Line'!$X$2:$X$501),MATCH(ROWS($V$2:$V90),'Per Line'!$X$2:$X$501,0),"")</f>
        <v/>
      </c>
    </row>
    <row r="91">
      <c r="A91">
        <f>IF($V91="","",INDEX('Per Line'!$A$2:$A$501,$V91)&amp;"")</f>
        <v/>
      </c>
      <c r="B91" s="12" t="n"/>
      <c r="C91">
        <f>IF($V91="","",INDEX('Per Line'!$B$2:$B$501,$V91)&amp;"")</f>
        <v/>
      </c>
      <c r="D91">
        <f>IF($V91="","",INDEX('Per Line'!$C$2:$C$501,$V91)&amp;"")</f>
        <v/>
      </c>
      <c r="E91">
        <f>IF($V91="","",INDEX('Per Line'!$D$2:$D$501,$V91)&amp;"")</f>
        <v/>
      </c>
      <c r="F91">
        <f>IF($V91="","",INDEX('Per Line'!$E$2:$E$501,$V91))</f>
        <v/>
      </c>
      <c r="G91" s="7">
        <f>IF($V91="","",F91*T91/100)</f>
        <v/>
      </c>
      <c r="H91">
        <f>IF($V91="","",INDEX('Per Line'!$Q$2:$Q$501,$V91)&amp;"")</f>
        <v/>
      </c>
      <c r="I91">
        <f>IF($V91="","",INDEX('Per Line'!$R$2:$R$501,$V91)&amp;"")</f>
        <v/>
      </c>
      <c r="J91" s="11">
        <f>IF($V91="","",INDEX('Per Line'!$S$2:$S$501,$V91))</f>
        <v/>
      </c>
      <c r="K91">
        <f>IF($V91="","",INDEX('Per Line'!$T$2:$T$501,$V91)&amp;"")</f>
        <v/>
      </c>
      <c r="L91">
        <f>IF($V91="","",Settings!$C$7)</f>
        <v/>
      </c>
      <c r="M91" s="7">
        <f>IF($V91="","",SUMIFS('Per Line'!$N$2:$N$501,'Per Line'!$A$2:$A$501,$A91,'Per Line'!$Y$2:$Y$501,0))</f>
        <v/>
      </c>
      <c r="N91" s="7">
        <f>IF($V91="","",M91*L91)</f>
        <v/>
      </c>
      <c r="O91">
        <f>IF($V91="","",Settings!$C$6)</f>
        <v/>
      </c>
      <c r="P91" s="7">
        <f>IF($V91="","",SUMIFS('Per Line'!$N$2:$N$501,'Per Line'!$A$2:$A$501,$A91,'Per Line'!$Y$2:$Y$501,1))</f>
        <v/>
      </c>
      <c r="Q91" s="7">
        <f>IF($V91="","",P91*O91)</f>
        <v/>
      </c>
      <c r="R91" s="7">
        <f>IF($V91="","",Q91+N91)</f>
        <v/>
      </c>
      <c r="S91" s="7">
        <f>IF($V91="","",T91-R91)</f>
        <v/>
      </c>
      <c r="T91" s="7">
        <f>IF($V91="","",M91+P91)</f>
        <v/>
      </c>
      <c r="U91" s="7">
        <f>IF($V91="","",T91-R91-G91)</f>
        <v/>
      </c>
      <c r="V91" s="13">
        <f>IF(ROWS($V$2:$V91)&lt;=MAX('Per Line'!$X$2:$X$501),MATCH(ROWS($V$2:$V91),'Per Line'!$X$2:$X$501,0),"")</f>
        <v/>
      </c>
    </row>
    <row r="92">
      <c r="A92">
        <f>IF($V92="","",INDEX('Per Line'!$A$2:$A$501,$V92)&amp;"")</f>
        <v/>
      </c>
      <c r="B92" s="12" t="n"/>
      <c r="C92">
        <f>IF($V92="","",INDEX('Per Line'!$B$2:$B$501,$V92)&amp;"")</f>
        <v/>
      </c>
      <c r="D92">
        <f>IF($V92="","",INDEX('Per Line'!$C$2:$C$501,$V92)&amp;"")</f>
        <v/>
      </c>
      <c r="E92">
        <f>IF($V92="","",INDEX('Per Line'!$D$2:$D$501,$V92)&amp;"")</f>
        <v/>
      </c>
      <c r="F92">
        <f>IF($V92="","",INDEX('Per Line'!$E$2:$E$501,$V92))</f>
        <v/>
      </c>
      <c r="G92" s="7">
        <f>IF($V92="","",F92*T92/100)</f>
        <v/>
      </c>
      <c r="H92">
        <f>IF($V92="","",INDEX('Per Line'!$Q$2:$Q$501,$V92)&amp;"")</f>
        <v/>
      </c>
      <c r="I92">
        <f>IF($V92="","",INDEX('Per Line'!$R$2:$R$501,$V92)&amp;"")</f>
        <v/>
      </c>
      <c r="J92" s="11">
        <f>IF($V92="","",INDEX('Per Line'!$S$2:$S$501,$V92))</f>
        <v/>
      </c>
      <c r="K92">
        <f>IF($V92="","",INDEX('Per Line'!$T$2:$T$501,$V92)&amp;"")</f>
        <v/>
      </c>
      <c r="L92">
        <f>IF($V92="","",Settings!$C$7)</f>
        <v/>
      </c>
      <c r="M92" s="7">
        <f>IF($V92="","",SUMIFS('Per Line'!$N$2:$N$501,'Per Line'!$A$2:$A$501,$A92,'Per Line'!$Y$2:$Y$501,0))</f>
        <v/>
      </c>
      <c r="N92" s="7">
        <f>IF($V92="","",M92*L92)</f>
        <v/>
      </c>
      <c r="O92">
        <f>IF($V92="","",Settings!$C$6)</f>
        <v/>
      </c>
      <c r="P92" s="7">
        <f>IF($V92="","",SUMIFS('Per Line'!$N$2:$N$501,'Per Line'!$A$2:$A$501,$A92,'Per Line'!$Y$2:$Y$501,1))</f>
        <v/>
      </c>
      <c r="Q92" s="7">
        <f>IF($V92="","",P92*O92)</f>
        <v/>
      </c>
      <c r="R92" s="7">
        <f>IF($V92="","",Q92+N92)</f>
        <v/>
      </c>
      <c r="S92" s="7">
        <f>IF($V92="","",T92-R92)</f>
        <v/>
      </c>
      <c r="T92" s="7">
        <f>IF($V92="","",M92+P92)</f>
        <v/>
      </c>
      <c r="U92" s="7">
        <f>IF($V92="","",T92-R92-G92)</f>
        <v/>
      </c>
      <c r="V92" s="13">
        <f>IF(ROWS($V$2:$V92)&lt;=MAX('Per Line'!$X$2:$X$501),MATCH(ROWS($V$2:$V92),'Per Line'!$X$2:$X$501,0),"")</f>
        <v/>
      </c>
    </row>
    <row r="93">
      <c r="A93">
        <f>IF($V93="","",INDEX('Per Line'!$A$2:$A$501,$V93)&amp;"")</f>
        <v/>
      </c>
      <c r="B93" s="12" t="n"/>
      <c r="C93">
        <f>IF($V93="","",INDEX('Per Line'!$B$2:$B$501,$V93)&amp;"")</f>
        <v/>
      </c>
      <c r="D93">
        <f>IF($V93="","",INDEX('Per Line'!$C$2:$C$501,$V93)&amp;"")</f>
        <v/>
      </c>
      <c r="E93">
        <f>IF($V93="","",INDEX('Per Line'!$D$2:$D$501,$V93)&amp;"")</f>
        <v/>
      </c>
      <c r="F93">
        <f>IF($V93="","",INDEX('Per Line'!$E$2:$E$501,$V93))</f>
        <v/>
      </c>
      <c r="G93" s="7">
        <f>IF($V93="","",F93*T93/100)</f>
        <v/>
      </c>
      <c r="H93">
        <f>IF($V93="","",INDEX('Per Line'!$Q$2:$Q$501,$V93)&amp;"")</f>
        <v/>
      </c>
      <c r="I93">
        <f>IF($V93="","",INDEX('Per Line'!$R$2:$R$501,$V93)&amp;"")</f>
        <v/>
      </c>
      <c r="J93" s="11">
        <f>IF($V93="","",INDEX('Per Line'!$S$2:$S$501,$V93))</f>
        <v/>
      </c>
      <c r="K93">
        <f>IF($V93="","",INDEX('Per Line'!$T$2:$T$501,$V93)&amp;"")</f>
        <v/>
      </c>
      <c r="L93">
        <f>IF($V93="","",Settings!$C$7)</f>
        <v/>
      </c>
      <c r="M93" s="7">
        <f>IF($V93="","",SUMIFS('Per Line'!$N$2:$N$501,'Per Line'!$A$2:$A$501,$A93,'Per Line'!$Y$2:$Y$501,0))</f>
        <v/>
      </c>
      <c r="N93" s="7">
        <f>IF($V93="","",M93*L93)</f>
        <v/>
      </c>
      <c r="O93">
        <f>IF($V93="","",Settings!$C$6)</f>
        <v/>
      </c>
      <c r="P93" s="7">
        <f>IF($V93="","",SUMIFS('Per Line'!$N$2:$N$501,'Per Line'!$A$2:$A$501,$A93,'Per Line'!$Y$2:$Y$501,1))</f>
        <v/>
      </c>
      <c r="Q93" s="7">
        <f>IF($V93="","",P93*O93)</f>
        <v/>
      </c>
      <c r="R93" s="7">
        <f>IF($V93="","",Q93+N93)</f>
        <v/>
      </c>
      <c r="S93" s="7">
        <f>IF($V93="","",T93-R93)</f>
        <v/>
      </c>
      <c r="T93" s="7">
        <f>IF($V93="","",M93+P93)</f>
        <v/>
      </c>
      <c r="U93" s="7">
        <f>IF($V93="","",T93-R93-G93)</f>
        <v/>
      </c>
      <c r="V93" s="13">
        <f>IF(ROWS($V$2:$V93)&lt;=MAX('Per Line'!$X$2:$X$501),MATCH(ROWS($V$2:$V93),'Per Line'!$X$2:$X$501,0),"")</f>
        <v/>
      </c>
    </row>
    <row r="94">
      <c r="A94">
        <f>IF($V94="","",INDEX('Per Line'!$A$2:$A$501,$V94)&amp;"")</f>
        <v/>
      </c>
      <c r="B94" s="12" t="n"/>
      <c r="C94">
        <f>IF($V94="","",INDEX('Per Line'!$B$2:$B$501,$V94)&amp;"")</f>
        <v/>
      </c>
      <c r="D94">
        <f>IF($V94="","",INDEX('Per Line'!$C$2:$C$501,$V94)&amp;"")</f>
        <v/>
      </c>
      <c r="E94">
        <f>IF($V94="","",INDEX('Per Line'!$D$2:$D$501,$V94)&amp;"")</f>
        <v/>
      </c>
      <c r="F94">
        <f>IF($V94="","",INDEX('Per Line'!$E$2:$E$501,$V94))</f>
        <v/>
      </c>
      <c r="G94" s="7">
        <f>IF($V94="","",F94*T94/100)</f>
        <v/>
      </c>
      <c r="H94">
        <f>IF($V94="","",INDEX('Per Line'!$Q$2:$Q$501,$V94)&amp;"")</f>
        <v/>
      </c>
      <c r="I94">
        <f>IF($V94="","",INDEX('Per Line'!$R$2:$R$501,$V94)&amp;"")</f>
        <v/>
      </c>
      <c r="J94" s="11">
        <f>IF($V94="","",INDEX('Per Line'!$S$2:$S$501,$V94))</f>
        <v/>
      </c>
      <c r="K94">
        <f>IF($V94="","",INDEX('Per Line'!$T$2:$T$501,$V94)&amp;"")</f>
        <v/>
      </c>
      <c r="L94">
        <f>IF($V94="","",Settings!$C$7)</f>
        <v/>
      </c>
      <c r="M94" s="7">
        <f>IF($V94="","",SUMIFS('Per Line'!$N$2:$N$501,'Per Line'!$A$2:$A$501,$A94,'Per Line'!$Y$2:$Y$501,0))</f>
        <v/>
      </c>
      <c r="N94" s="7">
        <f>IF($V94="","",M94*L94)</f>
        <v/>
      </c>
      <c r="O94">
        <f>IF($V94="","",Settings!$C$6)</f>
        <v/>
      </c>
      <c r="P94" s="7">
        <f>IF($V94="","",SUMIFS('Per Line'!$N$2:$N$501,'Per Line'!$A$2:$A$501,$A94,'Per Line'!$Y$2:$Y$501,1))</f>
        <v/>
      </c>
      <c r="Q94" s="7">
        <f>IF($V94="","",P94*O94)</f>
        <v/>
      </c>
      <c r="R94" s="7">
        <f>IF($V94="","",Q94+N94)</f>
        <v/>
      </c>
      <c r="S94" s="7">
        <f>IF($V94="","",T94-R94)</f>
        <v/>
      </c>
      <c r="T94" s="7">
        <f>IF($V94="","",M94+P94)</f>
        <v/>
      </c>
      <c r="U94" s="7">
        <f>IF($V94="","",T94-R94-G94)</f>
        <v/>
      </c>
      <c r="V94" s="13">
        <f>IF(ROWS($V$2:$V94)&lt;=MAX('Per Line'!$X$2:$X$501),MATCH(ROWS($V$2:$V94),'Per Line'!$X$2:$X$501,0),"")</f>
        <v/>
      </c>
    </row>
    <row r="95">
      <c r="A95">
        <f>IF($V95="","",INDEX('Per Line'!$A$2:$A$501,$V95)&amp;"")</f>
        <v/>
      </c>
      <c r="B95" s="12" t="n"/>
      <c r="C95">
        <f>IF($V95="","",INDEX('Per Line'!$B$2:$B$501,$V95)&amp;"")</f>
        <v/>
      </c>
      <c r="D95">
        <f>IF($V95="","",INDEX('Per Line'!$C$2:$C$501,$V95)&amp;"")</f>
        <v/>
      </c>
      <c r="E95">
        <f>IF($V95="","",INDEX('Per Line'!$D$2:$D$501,$V95)&amp;"")</f>
        <v/>
      </c>
      <c r="F95">
        <f>IF($V95="","",INDEX('Per Line'!$E$2:$E$501,$V95))</f>
        <v/>
      </c>
      <c r="G95" s="7">
        <f>IF($V95="","",F95*T95/100)</f>
        <v/>
      </c>
      <c r="H95">
        <f>IF($V95="","",INDEX('Per Line'!$Q$2:$Q$501,$V95)&amp;"")</f>
        <v/>
      </c>
      <c r="I95">
        <f>IF($V95="","",INDEX('Per Line'!$R$2:$R$501,$V95)&amp;"")</f>
        <v/>
      </c>
      <c r="J95" s="11">
        <f>IF($V95="","",INDEX('Per Line'!$S$2:$S$501,$V95))</f>
        <v/>
      </c>
      <c r="K95">
        <f>IF($V95="","",INDEX('Per Line'!$T$2:$T$501,$V95)&amp;"")</f>
        <v/>
      </c>
      <c r="L95">
        <f>IF($V95="","",Settings!$C$7)</f>
        <v/>
      </c>
      <c r="M95" s="7">
        <f>IF($V95="","",SUMIFS('Per Line'!$N$2:$N$501,'Per Line'!$A$2:$A$501,$A95,'Per Line'!$Y$2:$Y$501,0))</f>
        <v/>
      </c>
      <c r="N95" s="7">
        <f>IF($V95="","",M95*L95)</f>
        <v/>
      </c>
      <c r="O95">
        <f>IF($V95="","",Settings!$C$6)</f>
        <v/>
      </c>
      <c r="P95" s="7">
        <f>IF($V95="","",SUMIFS('Per Line'!$N$2:$N$501,'Per Line'!$A$2:$A$501,$A95,'Per Line'!$Y$2:$Y$501,1))</f>
        <v/>
      </c>
      <c r="Q95" s="7">
        <f>IF($V95="","",P95*O95)</f>
        <v/>
      </c>
      <c r="R95" s="7">
        <f>IF($V95="","",Q95+N95)</f>
        <v/>
      </c>
      <c r="S95" s="7">
        <f>IF($V95="","",T95-R95)</f>
        <v/>
      </c>
      <c r="T95" s="7">
        <f>IF($V95="","",M95+P95)</f>
        <v/>
      </c>
      <c r="U95" s="7">
        <f>IF($V95="","",T95-R95-G95)</f>
        <v/>
      </c>
      <c r="V95" s="13">
        <f>IF(ROWS($V$2:$V95)&lt;=MAX('Per Line'!$X$2:$X$501),MATCH(ROWS($V$2:$V95),'Per Line'!$X$2:$X$501,0),"")</f>
        <v/>
      </c>
    </row>
    <row r="96">
      <c r="A96">
        <f>IF($V96="","",INDEX('Per Line'!$A$2:$A$501,$V96)&amp;"")</f>
        <v/>
      </c>
      <c r="B96" s="12" t="n"/>
      <c r="C96">
        <f>IF($V96="","",INDEX('Per Line'!$B$2:$B$501,$V96)&amp;"")</f>
        <v/>
      </c>
      <c r="D96">
        <f>IF($V96="","",INDEX('Per Line'!$C$2:$C$501,$V96)&amp;"")</f>
        <v/>
      </c>
      <c r="E96">
        <f>IF($V96="","",INDEX('Per Line'!$D$2:$D$501,$V96)&amp;"")</f>
        <v/>
      </c>
      <c r="F96">
        <f>IF($V96="","",INDEX('Per Line'!$E$2:$E$501,$V96))</f>
        <v/>
      </c>
      <c r="G96" s="7">
        <f>IF($V96="","",F96*T96/100)</f>
        <v/>
      </c>
      <c r="H96">
        <f>IF($V96="","",INDEX('Per Line'!$Q$2:$Q$501,$V96)&amp;"")</f>
        <v/>
      </c>
      <c r="I96">
        <f>IF($V96="","",INDEX('Per Line'!$R$2:$R$501,$V96)&amp;"")</f>
        <v/>
      </c>
      <c r="J96" s="11">
        <f>IF($V96="","",INDEX('Per Line'!$S$2:$S$501,$V96))</f>
        <v/>
      </c>
      <c r="K96">
        <f>IF($V96="","",INDEX('Per Line'!$T$2:$T$501,$V96)&amp;"")</f>
        <v/>
      </c>
      <c r="L96">
        <f>IF($V96="","",Settings!$C$7)</f>
        <v/>
      </c>
      <c r="M96" s="7">
        <f>IF($V96="","",SUMIFS('Per Line'!$N$2:$N$501,'Per Line'!$A$2:$A$501,$A96,'Per Line'!$Y$2:$Y$501,0))</f>
        <v/>
      </c>
      <c r="N96" s="7">
        <f>IF($V96="","",M96*L96)</f>
        <v/>
      </c>
      <c r="O96">
        <f>IF($V96="","",Settings!$C$6)</f>
        <v/>
      </c>
      <c r="P96" s="7">
        <f>IF($V96="","",SUMIFS('Per Line'!$N$2:$N$501,'Per Line'!$A$2:$A$501,$A96,'Per Line'!$Y$2:$Y$501,1))</f>
        <v/>
      </c>
      <c r="Q96" s="7">
        <f>IF($V96="","",P96*O96)</f>
        <v/>
      </c>
      <c r="R96" s="7">
        <f>IF($V96="","",Q96+N96)</f>
        <v/>
      </c>
      <c r="S96" s="7">
        <f>IF($V96="","",T96-R96)</f>
        <v/>
      </c>
      <c r="T96" s="7">
        <f>IF($V96="","",M96+P96)</f>
        <v/>
      </c>
      <c r="U96" s="7">
        <f>IF($V96="","",T96-R96-G96)</f>
        <v/>
      </c>
      <c r="V96" s="13">
        <f>IF(ROWS($V$2:$V96)&lt;=MAX('Per Line'!$X$2:$X$501),MATCH(ROWS($V$2:$V96),'Per Line'!$X$2:$X$501,0),"")</f>
        <v/>
      </c>
    </row>
    <row r="97">
      <c r="A97">
        <f>IF($V97="","",INDEX('Per Line'!$A$2:$A$501,$V97)&amp;"")</f>
        <v/>
      </c>
      <c r="B97" s="12" t="n"/>
      <c r="C97">
        <f>IF($V97="","",INDEX('Per Line'!$B$2:$B$501,$V97)&amp;"")</f>
        <v/>
      </c>
      <c r="D97">
        <f>IF($V97="","",INDEX('Per Line'!$C$2:$C$501,$V97)&amp;"")</f>
        <v/>
      </c>
      <c r="E97">
        <f>IF($V97="","",INDEX('Per Line'!$D$2:$D$501,$V97)&amp;"")</f>
        <v/>
      </c>
      <c r="F97">
        <f>IF($V97="","",INDEX('Per Line'!$E$2:$E$501,$V97))</f>
        <v/>
      </c>
      <c r="G97" s="7">
        <f>IF($V97="","",F97*T97/100)</f>
        <v/>
      </c>
      <c r="H97">
        <f>IF($V97="","",INDEX('Per Line'!$Q$2:$Q$501,$V97)&amp;"")</f>
        <v/>
      </c>
      <c r="I97">
        <f>IF($V97="","",INDEX('Per Line'!$R$2:$R$501,$V97)&amp;"")</f>
        <v/>
      </c>
      <c r="J97" s="11">
        <f>IF($V97="","",INDEX('Per Line'!$S$2:$S$501,$V97))</f>
        <v/>
      </c>
      <c r="K97">
        <f>IF($V97="","",INDEX('Per Line'!$T$2:$T$501,$V97)&amp;"")</f>
        <v/>
      </c>
      <c r="L97">
        <f>IF($V97="","",Settings!$C$7)</f>
        <v/>
      </c>
      <c r="M97" s="7">
        <f>IF($V97="","",SUMIFS('Per Line'!$N$2:$N$501,'Per Line'!$A$2:$A$501,$A97,'Per Line'!$Y$2:$Y$501,0))</f>
        <v/>
      </c>
      <c r="N97" s="7">
        <f>IF($V97="","",M97*L97)</f>
        <v/>
      </c>
      <c r="O97">
        <f>IF($V97="","",Settings!$C$6)</f>
        <v/>
      </c>
      <c r="P97" s="7">
        <f>IF($V97="","",SUMIFS('Per Line'!$N$2:$N$501,'Per Line'!$A$2:$A$501,$A97,'Per Line'!$Y$2:$Y$501,1))</f>
        <v/>
      </c>
      <c r="Q97" s="7">
        <f>IF($V97="","",P97*O97)</f>
        <v/>
      </c>
      <c r="R97" s="7">
        <f>IF($V97="","",Q97+N97)</f>
        <v/>
      </c>
      <c r="S97" s="7">
        <f>IF($V97="","",T97-R97)</f>
        <v/>
      </c>
      <c r="T97" s="7">
        <f>IF($V97="","",M97+P97)</f>
        <v/>
      </c>
      <c r="U97" s="7">
        <f>IF($V97="","",T97-R97-G97)</f>
        <v/>
      </c>
      <c r="V97" s="13">
        <f>IF(ROWS($V$2:$V97)&lt;=MAX('Per Line'!$X$2:$X$501),MATCH(ROWS($V$2:$V97),'Per Line'!$X$2:$X$501,0),"")</f>
        <v/>
      </c>
    </row>
    <row r="98">
      <c r="A98">
        <f>IF($V98="","",INDEX('Per Line'!$A$2:$A$501,$V98)&amp;"")</f>
        <v/>
      </c>
      <c r="B98" s="12" t="n"/>
      <c r="C98">
        <f>IF($V98="","",INDEX('Per Line'!$B$2:$B$501,$V98)&amp;"")</f>
        <v/>
      </c>
      <c r="D98">
        <f>IF($V98="","",INDEX('Per Line'!$C$2:$C$501,$V98)&amp;"")</f>
        <v/>
      </c>
      <c r="E98">
        <f>IF($V98="","",INDEX('Per Line'!$D$2:$D$501,$V98)&amp;"")</f>
        <v/>
      </c>
      <c r="F98">
        <f>IF($V98="","",INDEX('Per Line'!$E$2:$E$501,$V98))</f>
        <v/>
      </c>
      <c r="G98" s="7">
        <f>IF($V98="","",F98*T98/100)</f>
        <v/>
      </c>
      <c r="H98">
        <f>IF($V98="","",INDEX('Per Line'!$Q$2:$Q$501,$V98)&amp;"")</f>
        <v/>
      </c>
      <c r="I98">
        <f>IF($V98="","",INDEX('Per Line'!$R$2:$R$501,$V98)&amp;"")</f>
        <v/>
      </c>
      <c r="J98" s="11">
        <f>IF($V98="","",INDEX('Per Line'!$S$2:$S$501,$V98))</f>
        <v/>
      </c>
      <c r="K98">
        <f>IF($V98="","",INDEX('Per Line'!$T$2:$T$501,$V98)&amp;"")</f>
        <v/>
      </c>
      <c r="L98">
        <f>IF($V98="","",Settings!$C$7)</f>
        <v/>
      </c>
      <c r="M98" s="7">
        <f>IF($V98="","",SUMIFS('Per Line'!$N$2:$N$501,'Per Line'!$A$2:$A$501,$A98,'Per Line'!$Y$2:$Y$501,0))</f>
        <v/>
      </c>
      <c r="N98" s="7">
        <f>IF($V98="","",M98*L98)</f>
        <v/>
      </c>
      <c r="O98">
        <f>IF($V98="","",Settings!$C$6)</f>
        <v/>
      </c>
      <c r="P98" s="7">
        <f>IF($V98="","",SUMIFS('Per Line'!$N$2:$N$501,'Per Line'!$A$2:$A$501,$A98,'Per Line'!$Y$2:$Y$501,1))</f>
        <v/>
      </c>
      <c r="Q98" s="7">
        <f>IF($V98="","",P98*O98)</f>
        <v/>
      </c>
      <c r="R98" s="7">
        <f>IF($V98="","",Q98+N98)</f>
        <v/>
      </c>
      <c r="S98" s="7">
        <f>IF($V98="","",T98-R98)</f>
        <v/>
      </c>
      <c r="T98" s="7">
        <f>IF($V98="","",M98+P98)</f>
        <v/>
      </c>
      <c r="U98" s="7">
        <f>IF($V98="","",T98-R98-G98)</f>
        <v/>
      </c>
      <c r="V98" s="13">
        <f>IF(ROWS($V$2:$V98)&lt;=MAX('Per Line'!$X$2:$X$501),MATCH(ROWS($V$2:$V98),'Per Line'!$X$2:$X$501,0),"")</f>
        <v/>
      </c>
    </row>
    <row r="99">
      <c r="A99">
        <f>IF($V99="","",INDEX('Per Line'!$A$2:$A$501,$V99)&amp;"")</f>
        <v/>
      </c>
      <c r="B99" s="12" t="n"/>
      <c r="C99">
        <f>IF($V99="","",INDEX('Per Line'!$B$2:$B$501,$V99)&amp;"")</f>
        <v/>
      </c>
      <c r="D99">
        <f>IF($V99="","",INDEX('Per Line'!$C$2:$C$501,$V99)&amp;"")</f>
        <v/>
      </c>
      <c r="E99">
        <f>IF($V99="","",INDEX('Per Line'!$D$2:$D$501,$V99)&amp;"")</f>
        <v/>
      </c>
      <c r="F99">
        <f>IF($V99="","",INDEX('Per Line'!$E$2:$E$501,$V99))</f>
        <v/>
      </c>
      <c r="G99" s="7">
        <f>IF($V99="","",F99*T99/100)</f>
        <v/>
      </c>
      <c r="H99">
        <f>IF($V99="","",INDEX('Per Line'!$Q$2:$Q$501,$V99)&amp;"")</f>
        <v/>
      </c>
      <c r="I99">
        <f>IF($V99="","",INDEX('Per Line'!$R$2:$R$501,$V99)&amp;"")</f>
        <v/>
      </c>
      <c r="J99" s="11">
        <f>IF($V99="","",INDEX('Per Line'!$S$2:$S$501,$V99))</f>
        <v/>
      </c>
      <c r="K99">
        <f>IF($V99="","",INDEX('Per Line'!$T$2:$T$501,$V99)&amp;"")</f>
        <v/>
      </c>
      <c r="L99">
        <f>IF($V99="","",Settings!$C$7)</f>
        <v/>
      </c>
      <c r="M99" s="7">
        <f>IF($V99="","",SUMIFS('Per Line'!$N$2:$N$501,'Per Line'!$A$2:$A$501,$A99,'Per Line'!$Y$2:$Y$501,0))</f>
        <v/>
      </c>
      <c r="N99" s="7">
        <f>IF($V99="","",M99*L99)</f>
        <v/>
      </c>
      <c r="O99">
        <f>IF($V99="","",Settings!$C$6)</f>
        <v/>
      </c>
      <c r="P99" s="7">
        <f>IF($V99="","",SUMIFS('Per Line'!$N$2:$N$501,'Per Line'!$A$2:$A$501,$A99,'Per Line'!$Y$2:$Y$501,1))</f>
        <v/>
      </c>
      <c r="Q99" s="7">
        <f>IF($V99="","",P99*O99)</f>
        <v/>
      </c>
      <c r="R99" s="7">
        <f>IF($V99="","",Q99+N99)</f>
        <v/>
      </c>
      <c r="S99" s="7">
        <f>IF($V99="","",T99-R99)</f>
        <v/>
      </c>
      <c r="T99" s="7">
        <f>IF($V99="","",M99+P99)</f>
        <v/>
      </c>
      <c r="U99" s="7">
        <f>IF($V99="","",T99-R99-G99)</f>
        <v/>
      </c>
      <c r="V99" s="13">
        <f>IF(ROWS($V$2:$V99)&lt;=MAX('Per Line'!$X$2:$X$501),MATCH(ROWS($V$2:$V99),'Per Line'!$X$2:$X$501,0),"")</f>
        <v/>
      </c>
    </row>
    <row r="100">
      <c r="A100">
        <f>IF($V100="","",INDEX('Per Line'!$A$2:$A$501,$V100)&amp;"")</f>
        <v/>
      </c>
      <c r="B100" s="12" t="n"/>
      <c r="C100">
        <f>IF($V100="","",INDEX('Per Line'!$B$2:$B$501,$V100)&amp;"")</f>
        <v/>
      </c>
      <c r="D100">
        <f>IF($V100="","",INDEX('Per Line'!$C$2:$C$501,$V100)&amp;"")</f>
        <v/>
      </c>
      <c r="E100">
        <f>IF($V100="","",INDEX('Per Line'!$D$2:$D$501,$V100)&amp;"")</f>
        <v/>
      </c>
      <c r="F100">
        <f>IF($V100="","",INDEX('Per Line'!$E$2:$E$501,$V100))</f>
        <v/>
      </c>
      <c r="G100" s="7">
        <f>IF($V100="","",F100*T100/100)</f>
        <v/>
      </c>
      <c r="H100">
        <f>IF($V100="","",INDEX('Per Line'!$Q$2:$Q$501,$V100)&amp;"")</f>
        <v/>
      </c>
      <c r="I100">
        <f>IF($V100="","",INDEX('Per Line'!$R$2:$R$501,$V100)&amp;"")</f>
        <v/>
      </c>
      <c r="J100" s="11">
        <f>IF($V100="","",INDEX('Per Line'!$S$2:$S$501,$V100))</f>
        <v/>
      </c>
      <c r="K100">
        <f>IF($V100="","",INDEX('Per Line'!$T$2:$T$501,$V100)&amp;"")</f>
        <v/>
      </c>
      <c r="L100">
        <f>IF($V100="","",Settings!$C$7)</f>
        <v/>
      </c>
      <c r="M100" s="7">
        <f>IF($V100="","",SUMIFS('Per Line'!$N$2:$N$501,'Per Line'!$A$2:$A$501,$A100,'Per Line'!$Y$2:$Y$501,0))</f>
        <v/>
      </c>
      <c r="N100" s="7">
        <f>IF($V100="","",M100*L100)</f>
        <v/>
      </c>
      <c r="O100">
        <f>IF($V100="","",Settings!$C$6)</f>
        <v/>
      </c>
      <c r="P100" s="7">
        <f>IF($V100="","",SUMIFS('Per Line'!$N$2:$N$501,'Per Line'!$A$2:$A$501,$A100,'Per Line'!$Y$2:$Y$501,1))</f>
        <v/>
      </c>
      <c r="Q100" s="7">
        <f>IF($V100="","",P100*O100)</f>
        <v/>
      </c>
      <c r="R100" s="7">
        <f>IF($V100="","",Q100+N100)</f>
        <v/>
      </c>
      <c r="S100" s="7">
        <f>IF($V100="","",T100-R100)</f>
        <v/>
      </c>
      <c r="T100" s="7">
        <f>IF($V100="","",M100+P100)</f>
        <v/>
      </c>
      <c r="U100" s="7">
        <f>IF($V100="","",T100-R100-G100)</f>
        <v/>
      </c>
      <c r="V100" s="13">
        <f>IF(ROWS($V$2:$V100)&lt;=MAX('Per Line'!$X$2:$X$501),MATCH(ROWS($V$2:$V100),'Per Line'!$X$2:$X$501,0),"")</f>
        <v/>
      </c>
    </row>
    <row r="101">
      <c r="A101">
        <f>IF($V101="","",INDEX('Per Line'!$A$2:$A$501,$V101)&amp;"")</f>
        <v/>
      </c>
      <c r="B101" s="12" t="n"/>
      <c r="C101">
        <f>IF($V101="","",INDEX('Per Line'!$B$2:$B$501,$V101)&amp;"")</f>
        <v/>
      </c>
      <c r="D101">
        <f>IF($V101="","",INDEX('Per Line'!$C$2:$C$501,$V101)&amp;"")</f>
        <v/>
      </c>
      <c r="E101">
        <f>IF($V101="","",INDEX('Per Line'!$D$2:$D$501,$V101)&amp;"")</f>
        <v/>
      </c>
      <c r="F101">
        <f>IF($V101="","",INDEX('Per Line'!$E$2:$E$501,$V101))</f>
        <v/>
      </c>
      <c r="G101" s="7">
        <f>IF($V101="","",F101*T101/100)</f>
        <v/>
      </c>
      <c r="H101">
        <f>IF($V101="","",INDEX('Per Line'!$Q$2:$Q$501,$V101)&amp;"")</f>
        <v/>
      </c>
      <c r="I101">
        <f>IF($V101="","",INDEX('Per Line'!$R$2:$R$501,$V101)&amp;"")</f>
        <v/>
      </c>
      <c r="J101" s="11">
        <f>IF($V101="","",INDEX('Per Line'!$S$2:$S$501,$V101))</f>
        <v/>
      </c>
      <c r="K101">
        <f>IF($V101="","",INDEX('Per Line'!$T$2:$T$501,$V101)&amp;"")</f>
        <v/>
      </c>
      <c r="L101">
        <f>IF($V101="","",Settings!$C$7)</f>
        <v/>
      </c>
      <c r="M101" s="7">
        <f>IF($V101="","",SUMIFS('Per Line'!$N$2:$N$501,'Per Line'!$A$2:$A$501,$A101,'Per Line'!$Y$2:$Y$501,0))</f>
        <v/>
      </c>
      <c r="N101" s="7">
        <f>IF($V101="","",M101*L101)</f>
        <v/>
      </c>
      <c r="O101">
        <f>IF($V101="","",Settings!$C$6)</f>
        <v/>
      </c>
      <c r="P101" s="7">
        <f>IF($V101="","",SUMIFS('Per Line'!$N$2:$N$501,'Per Line'!$A$2:$A$501,$A101,'Per Line'!$Y$2:$Y$501,1))</f>
        <v/>
      </c>
      <c r="Q101" s="7">
        <f>IF($V101="","",P101*O101)</f>
        <v/>
      </c>
      <c r="R101" s="7">
        <f>IF($V101="","",Q101+N101)</f>
        <v/>
      </c>
      <c r="S101" s="7">
        <f>IF($V101="","",T101-R101)</f>
        <v/>
      </c>
      <c r="T101" s="7">
        <f>IF($V101="","",M101+P101)</f>
        <v/>
      </c>
      <c r="U101" s="7">
        <f>IF($V101="","",T101-R101-G101)</f>
        <v/>
      </c>
      <c r="V101" s="13">
        <f>IF(ROWS($V$2:$V101)&lt;=MAX('Per Line'!$X$2:$X$501),MATCH(ROWS($V$2:$V101),'Per Line'!$X$2:$X$501,0),"")</f>
        <v/>
      </c>
    </row>
    <row r="102">
      <c r="A102">
        <f>IF($V102="","",INDEX('Per Line'!$A$2:$A$501,$V102)&amp;"")</f>
        <v/>
      </c>
      <c r="B102" s="12" t="n"/>
      <c r="C102">
        <f>IF($V102="","",INDEX('Per Line'!$B$2:$B$501,$V102)&amp;"")</f>
        <v/>
      </c>
      <c r="D102">
        <f>IF($V102="","",INDEX('Per Line'!$C$2:$C$501,$V102)&amp;"")</f>
        <v/>
      </c>
      <c r="E102">
        <f>IF($V102="","",INDEX('Per Line'!$D$2:$D$501,$V102)&amp;"")</f>
        <v/>
      </c>
      <c r="F102">
        <f>IF($V102="","",INDEX('Per Line'!$E$2:$E$501,$V102))</f>
        <v/>
      </c>
      <c r="G102" s="7">
        <f>IF($V102="","",F102*T102/100)</f>
        <v/>
      </c>
      <c r="H102">
        <f>IF($V102="","",INDEX('Per Line'!$Q$2:$Q$501,$V102)&amp;"")</f>
        <v/>
      </c>
      <c r="I102">
        <f>IF($V102="","",INDEX('Per Line'!$R$2:$R$501,$V102)&amp;"")</f>
        <v/>
      </c>
      <c r="J102" s="11">
        <f>IF($V102="","",INDEX('Per Line'!$S$2:$S$501,$V102))</f>
        <v/>
      </c>
      <c r="K102">
        <f>IF($V102="","",INDEX('Per Line'!$T$2:$T$501,$V102)&amp;"")</f>
        <v/>
      </c>
      <c r="L102">
        <f>IF($V102="","",Settings!$C$7)</f>
        <v/>
      </c>
      <c r="M102" s="7">
        <f>IF($V102="","",SUMIFS('Per Line'!$N$2:$N$501,'Per Line'!$A$2:$A$501,$A102,'Per Line'!$Y$2:$Y$501,0))</f>
        <v/>
      </c>
      <c r="N102" s="7">
        <f>IF($V102="","",M102*L102)</f>
        <v/>
      </c>
      <c r="O102">
        <f>IF($V102="","",Settings!$C$6)</f>
        <v/>
      </c>
      <c r="P102" s="7">
        <f>IF($V102="","",SUMIFS('Per Line'!$N$2:$N$501,'Per Line'!$A$2:$A$501,$A102,'Per Line'!$Y$2:$Y$501,1))</f>
        <v/>
      </c>
      <c r="Q102" s="7">
        <f>IF($V102="","",P102*O102)</f>
        <v/>
      </c>
      <c r="R102" s="7">
        <f>IF($V102="","",Q102+N102)</f>
        <v/>
      </c>
      <c r="S102" s="7">
        <f>IF($V102="","",T102-R102)</f>
        <v/>
      </c>
      <c r="T102" s="7">
        <f>IF($V102="","",M102+P102)</f>
        <v/>
      </c>
      <c r="U102" s="7">
        <f>IF($V102="","",T102-R102-G102)</f>
        <v/>
      </c>
      <c r="V102" s="13">
        <f>IF(ROWS($V$2:$V102)&lt;=MAX('Per Line'!$X$2:$X$501),MATCH(ROWS($V$2:$V102),'Per Line'!$X$2:$X$501,0),"")</f>
        <v/>
      </c>
    </row>
    <row r="103">
      <c r="A103">
        <f>IF($V103="","",INDEX('Per Line'!$A$2:$A$501,$V103)&amp;"")</f>
        <v/>
      </c>
      <c r="B103" s="12" t="n"/>
      <c r="C103">
        <f>IF($V103="","",INDEX('Per Line'!$B$2:$B$501,$V103)&amp;"")</f>
        <v/>
      </c>
      <c r="D103">
        <f>IF($V103="","",INDEX('Per Line'!$C$2:$C$501,$V103)&amp;"")</f>
        <v/>
      </c>
      <c r="E103">
        <f>IF($V103="","",INDEX('Per Line'!$D$2:$D$501,$V103)&amp;"")</f>
        <v/>
      </c>
      <c r="F103">
        <f>IF($V103="","",INDEX('Per Line'!$E$2:$E$501,$V103))</f>
        <v/>
      </c>
      <c r="G103" s="7">
        <f>IF($V103="","",F103*T103/100)</f>
        <v/>
      </c>
      <c r="H103">
        <f>IF($V103="","",INDEX('Per Line'!$Q$2:$Q$501,$V103)&amp;"")</f>
        <v/>
      </c>
      <c r="I103">
        <f>IF($V103="","",INDEX('Per Line'!$R$2:$R$501,$V103)&amp;"")</f>
        <v/>
      </c>
      <c r="J103" s="11">
        <f>IF($V103="","",INDEX('Per Line'!$S$2:$S$501,$V103))</f>
        <v/>
      </c>
      <c r="K103">
        <f>IF($V103="","",INDEX('Per Line'!$T$2:$T$501,$V103)&amp;"")</f>
        <v/>
      </c>
      <c r="L103">
        <f>IF($V103="","",Settings!$C$7)</f>
        <v/>
      </c>
      <c r="M103" s="7">
        <f>IF($V103="","",SUMIFS('Per Line'!$N$2:$N$501,'Per Line'!$A$2:$A$501,$A103,'Per Line'!$Y$2:$Y$501,0))</f>
        <v/>
      </c>
      <c r="N103" s="7">
        <f>IF($V103="","",M103*L103)</f>
        <v/>
      </c>
      <c r="O103">
        <f>IF($V103="","",Settings!$C$6)</f>
        <v/>
      </c>
      <c r="P103" s="7">
        <f>IF($V103="","",SUMIFS('Per Line'!$N$2:$N$501,'Per Line'!$A$2:$A$501,$A103,'Per Line'!$Y$2:$Y$501,1))</f>
        <v/>
      </c>
      <c r="Q103" s="7">
        <f>IF($V103="","",P103*O103)</f>
        <v/>
      </c>
      <c r="R103" s="7">
        <f>IF($V103="","",Q103+N103)</f>
        <v/>
      </c>
      <c r="S103" s="7">
        <f>IF($V103="","",T103-R103)</f>
        <v/>
      </c>
      <c r="T103" s="7">
        <f>IF($V103="","",M103+P103)</f>
        <v/>
      </c>
      <c r="U103" s="7">
        <f>IF($V103="","",T103-R103-G103)</f>
        <v/>
      </c>
      <c r="V103" s="13">
        <f>IF(ROWS($V$2:$V103)&lt;=MAX('Per Line'!$X$2:$X$501),MATCH(ROWS($V$2:$V103),'Per Line'!$X$2:$X$501,0),"")</f>
        <v/>
      </c>
    </row>
    <row r="104">
      <c r="A104">
        <f>IF($V104="","",INDEX('Per Line'!$A$2:$A$501,$V104)&amp;"")</f>
        <v/>
      </c>
      <c r="B104" s="12" t="n"/>
      <c r="C104">
        <f>IF($V104="","",INDEX('Per Line'!$B$2:$B$501,$V104)&amp;"")</f>
        <v/>
      </c>
      <c r="D104">
        <f>IF($V104="","",INDEX('Per Line'!$C$2:$C$501,$V104)&amp;"")</f>
        <v/>
      </c>
      <c r="E104">
        <f>IF($V104="","",INDEX('Per Line'!$D$2:$D$501,$V104)&amp;"")</f>
        <v/>
      </c>
      <c r="F104">
        <f>IF($V104="","",INDEX('Per Line'!$E$2:$E$501,$V104))</f>
        <v/>
      </c>
      <c r="G104" s="7">
        <f>IF($V104="","",F104*T104/100)</f>
        <v/>
      </c>
      <c r="H104">
        <f>IF($V104="","",INDEX('Per Line'!$Q$2:$Q$501,$V104)&amp;"")</f>
        <v/>
      </c>
      <c r="I104">
        <f>IF($V104="","",INDEX('Per Line'!$R$2:$R$501,$V104)&amp;"")</f>
        <v/>
      </c>
      <c r="J104" s="11">
        <f>IF($V104="","",INDEX('Per Line'!$S$2:$S$501,$V104))</f>
        <v/>
      </c>
      <c r="K104">
        <f>IF($V104="","",INDEX('Per Line'!$T$2:$T$501,$V104)&amp;"")</f>
        <v/>
      </c>
      <c r="L104">
        <f>IF($V104="","",Settings!$C$7)</f>
        <v/>
      </c>
      <c r="M104" s="7">
        <f>IF($V104="","",SUMIFS('Per Line'!$N$2:$N$501,'Per Line'!$A$2:$A$501,$A104,'Per Line'!$Y$2:$Y$501,0))</f>
        <v/>
      </c>
      <c r="N104" s="7">
        <f>IF($V104="","",M104*L104)</f>
        <v/>
      </c>
      <c r="O104">
        <f>IF($V104="","",Settings!$C$6)</f>
        <v/>
      </c>
      <c r="P104" s="7">
        <f>IF($V104="","",SUMIFS('Per Line'!$N$2:$N$501,'Per Line'!$A$2:$A$501,$A104,'Per Line'!$Y$2:$Y$501,1))</f>
        <v/>
      </c>
      <c r="Q104" s="7">
        <f>IF($V104="","",P104*O104)</f>
        <v/>
      </c>
      <c r="R104" s="7">
        <f>IF($V104="","",Q104+N104)</f>
        <v/>
      </c>
      <c r="S104" s="7">
        <f>IF($V104="","",T104-R104)</f>
        <v/>
      </c>
      <c r="T104" s="7">
        <f>IF($V104="","",M104+P104)</f>
        <v/>
      </c>
      <c r="U104" s="7">
        <f>IF($V104="","",T104-R104-G104)</f>
        <v/>
      </c>
      <c r="V104" s="13">
        <f>IF(ROWS($V$2:$V104)&lt;=MAX('Per Line'!$X$2:$X$501),MATCH(ROWS($V$2:$V104),'Per Line'!$X$2:$X$501,0),"")</f>
        <v/>
      </c>
    </row>
    <row r="105">
      <c r="A105">
        <f>IF($V105="","",INDEX('Per Line'!$A$2:$A$501,$V105)&amp;"")</f>
        <v/>
      </c>
      <c r="B105" s="12" t="n"/>
      <c r="C105">
        <f>IF($V105="","",INDEX('Per Line'!$B$2:$B$501,$V105)&amp;"")</f>
        <v/>
      </c>
      <c r="D105">
        <f>IF($V105="","",INDEX('Per Line'!$C$2:$C$501,$V105)&amp;"")</f>
        <v/>
      </c>
      <c r="E105">
        <f>IF($V105="","",INDEX('Per Line'!$D$2:$D$501,$V105)&amp;"")</f>
        <v/>
      </c>
      <c r="F105">
        <f>IF($V105="","",INDEX('Per Line'!$E$2:$E$501,$V105))</f>
        <v/>
      </c>
      <c r="G105" s="7">
        <f>IF($V105="","",F105*T105/100)</f>
        <v/>
      </c>
      <c r="H105">
        <f>IF($V105="","",INDEX('Per Line'!$Q$2:$Q$501,$V105)&amp;"")</f>
        <v/>
      </c>
      <c r="I105">
        <f>IF($V105="","",INDEX('Per Line'!$R$2:$R$501,$V105)&amp;"")</f>
        <v/>
      </c>
      <c r="J105" s="11">
        <f>IF($V105="","",INDEX('Per Line'!$S$2:$S$501,$V105))</f>
        <v/>
      </c>
      <c r="K105">
        <f>IF($V105="","",INDEX('Per Line'!$T$2:$T$501,$V105)&amp;"")</f>
        <v/>
      </c>
      <c r="L105">
        <f>IF($V105="","",Settings!$C$7)</f>
        <v/>
      </c>
      <c r="M105" s="7">
        <f>IF($V105="","",SUMIFS('Per Line'!$N$2:$N$501,'Per Line'!$A$2:$A$501,$A105,'Per Line'!$Y$2:$Y$501,0))</f>
        <v/>
      </c>
      <c r="N105" s="7">
        <f>IF($V105="","",M105*L105)</f>
        <v/>
      </c>
      <c r="O105">
        <f>IF($V105="","",Settings!$C$6)</f>
        <v/>
      </c>
      <c r="P105" s="7">
        <f>IF($V105="","",SUMIFS('Per Line'!$N$2:$N$501,'Per Line'!$A$2:$A$501,$A105,'Per Line'!$Y$2:$Y$501,1))</f>
        <v/>
      </c>
      <c r="Q105" s="7">
        <f>IF($V105="","",P105*O105)</f>
        <v/>
      </c>
      <c r="R105" s="7">
        <f>IF($V105="","",Q105+N105)</f>
        <v/>
      </c>
      <c r="S105" s="7">
        <f>IF($V105="","",T105-R105)</f>
        <v/>
      </c>
      <c r="T105" s="7">
        <f>IF($V105="","",M105+P105)</f>
        <v/>
      </c>
      <c r="U105" s="7">
        <f>IF($V105="","",T105-R105-G105)</f>
        <v/>
      </c>
      <c r="V105" s="13">
        <f>IF(ROWS($V$2:$V105)&lt;=MAX('Per Line'!$X$2:$X$501),MATCH(ROWS($V$2:$V105),'Per Line'!$X$2:$X$501,0),"")</f>
        <v/>
      </c>
    </row>
    <row r="106">
      <c r="A106">
        <f>IF($V106="","",INDEX('Per Line'!$A$2:$A$501,$V106)&amp;"")</f>
        <v/>
      </c>
      <c r="B106" s="12" t="n"/>
      <c r="C106">
        <f>IF($V106="","",INDEX('Per Line'!$B$2:$B$501,$V106)&amp;"")</f>
        <v/>
      </c>
      <c r="D106">
        <f>IF($V106="","",INDEX('Per Line'!$C$2:$C$501,$V106)&amp;"")</f>
        <v/>
      </c>
      <c r="E106">
        <f>IF($V106="","",INDEX('Per Line'!$D$2:$D$501,$V106)&amp;"")</f>
        <v/>
      </c>
      <c r="F106">
        <f>IF($V106="","",INDEX('Per Line'!$E$2:$E$501,$V106))</f>
        <v/>
      </c>
      <c r="G106" s="7">
        <f>IF($V106="","",F106*T106/100)</f>
        <v/>
      </c>
      <c r="H106">
        <f>IF($V106="","",INDEX('Per Line'!$Q$2:$Q$501,$V106)&amp;"")</f>
        <v/>
      </c>
      <c r="I106">
        <f>IF($V106="","",INDEX('Per Line'!$R$2:$R$501,$V106)&amp;"")</f>
        <v/>
      </c>
      <c r="J106" s="11">
        <f>IF($V106="","",INDEX('Per Line'!$S$2:$S$501,$V106))</f>
        <v/>
      </c>
      <c r="K106">
        <f>IF($V106="","",INDEX('Per Line'!$T$2:$T$501,$V106)&amp;"")</f>
        <v/>
      </c>
      <c r="L106">
        <f>IF($V106="","",Settings!$C$7)</f>
        <v/>
      </c>
      <c r="M106" s="7">
        <f>IF($V106="","",SUMIFS('Per Line'!$N$2:$N$501,'Per Line'!$A$2:$A$501,$A106,'Per Line'!$Y$2:$Y$501,0))</f>
        <v/>
      </c>
      <c r="N106" s="7">
        <f>IF($V106="","",M106*L106)</f>
        <v/>
      </c>
      <c r="O106">
        <f>IF($V106="","",Settings!$C$6)</f>
        <v/>
      </c>
      <c r="P106" s="7">
        <f>IF($V106="","",SUMIFS('Per Line'!$N$2:$N$501,'Per Line'!$A$2:$A$501,$A106,'Per Line'!$Y$2:$Y$501,1))</f>
        <v/>
      </c>
      <c r="Q106" s="7">
        <f>IF($V106="","",P106*O106)</f>
        <v/>
      </c>
      <c r="R106" s="7">
        <f>IF($V106="","",Q106+N106)</f>
        <v/>
      </c>
      <c r="S106" s="7">
        <f>IF($V106="","",T106-R106)</f>
        <v/>
      </c>
      <c r="T106" s="7">
        <f>IF($V106="","",M106+P106)</f>
        <v/>
      </c>
      <c r="U106" s="7">
        <f>IF($V106="","",T106-R106-G106)</f>
        <v/>
      </c>
      <c r="V106" s="13">
        <f>IF(ROWS($V$2:$V106)&lt;=MAX('Per Line'!$X$2:$X$501),MATCH(ROWS($V$2:$V106),'Per Line'!$X$2:$X$501,0),"")</f>
        <v/>
      </c>
    </row>
    <row r="107">
      <c r="A107">
        <f>IF($V107="","",INDEX('Per Line'!$A$2:$A$501,$V107)&amp;"")</f>
        <v/>
      </c>
      <c r="B107" s="12" t="n"/>
      <c r="C107">
        <f>IF($V107="","",INDEX('Per Line'!$B$2:$B$501,$V107)&amp;"")</f>
        <v/>
      </c>
      <c r="D107">
        <f>IF($V107="","",INDEX('Per Line'!$C$2:$C$501,$V107)&amp;"")</f>
        <v/>
      </c>
      <c r="E107">
        <f>IF($V107="","",INDEX('Per Line'!$D$2:$D$501,$V107)&amp;"")</f>
        <v/>
      </c>
      <c r="F107">
        <f>IF($V107="","",INDEX('Per Line'!$E$2:$E$501,$V107))</f>
        <v/>
      </c>
      <c r="G107" s="7">
        <f>IF($V107="","",F107*T107/100)</f>
        <v/>
      </c>
      <c r="H107">
        <f>IF($V107="","",INDEX('Per Line'!$Q$2:$Q$501,$V107)&amp;"")</f>
        <v/>
      </c>
      <c r="I107">
        <f>IF($V107="","",INDEX('Per Line'!$R$2:$R$501,$V107)&amp;"")</f>
        <v/>
      </c>
      <c r="J107" s="11">
        <f>IF($V107="","",INDEX('Per Line'!$S$2:$S$501,$V107))</f>
        <v/>
      </c>
      <c r="K107">
        <f>IF($V107="","",INDEX('Per Line'!$T$2:$T$501,$V107)&amp;"")</f>
        <v/>
      </c>
      <c r="L107">
        <f>IF($V107="","",Settings!$C$7)</f>
        <v/>
      </c>
      <c r="M107" s="7">
        <f>IF($V107="","",SUMIFS('Per Line'!$N$2:$N$501,'Per Line'!$A$2:$A$501,$A107,'Per Line'!$Y$2:$Y$501,0))</f>
        <v/>
      </c>
      <c r="N107" s="7">
        <f>IF($V107="","",M107*L107)</f>
        <v/>
      </c>
      <c r="O107">
        <f>IF($V107="","",Settings!$C$6)</f>
        <v/>
      </c>
      <c r="P107" s="7">
        <f>IF($V107="","",SUMIFS('Per Line'!$N$2:$N$501,'Per Line'!$A$2:$A$501,$A107,'Per Line'!$Y$2:$Y$501,1))</f>
        <v/>
      </c>
      <c r="Q107" s="7">
        <f>IF($V107="","",P107*O107)</f>
        <v/>
      </c>
      <c r="R107" s="7">
        <f>IF($V107="","",Q107+N107)</f>
        <v/>
      </c>
      <c r="S107" s="7">
        <f>IF($V107="","",T107-R107)</f>
        <v/>
      </c>
      <c r="T107" s="7">
        <f>IF($V107="","",M107+P107)</f>
        <v/>
      </c>
      <c r="U107" s="7">
        <f>IF($V107="","",T107-R107-G107)</f>
        <v/>
      </c>
      <c r="V107" s="13">
        <f>IF(ROWS($V$2:$V107)&lt;=MAX('Per Line'!$X$2:$X$501),MATCH(ROWS($V$2:$V107),'Per Line'!$X$2:$X$501,0),"")</f>
        <v/>
      </c>
    </row>
    <row r="108">
      <c r="A108">
        <f>IF($V108="","",INDEX('Per Line'!$A$2:$A$501,$V108)&amp;"")</f>
        <v/>
      </c>
      <c r="B108" s="12" t="n"/>
      <c r="C108">
        <f>IF($V108="","",INDEX('Per Line'!$B$2:$B$501,$V108)&amp;"")</f>
        <v/>
      </c>
      <c r="D108">
        <f>IF($V108="","",INDEX('Per Line'!$C$2:$C$501,$V108)&amp;"")</f>
        <v/>
      </c>
      <c r="E108">
        <f>IF($V108="","",INDEX('Per Line'!$D$2:$D$501,$V108)&amp;"")</f>
        <v/>
      </c>
      <c r="F108">
        <f>IF($V108="","",INDEX('Per Line'!$E$2:$E$501,$V108))</f>
        <v/>
      </c>
      <c r="G108" s="7">
        <f>IF($V108="","",F108*T108/100)</f>
        <v/>
      </c>
      <c r="H108">
        <f>IF($V108="","",INDEX('Per Line'!$Q$2:$Q$501,$V108)&amp;"")</f>
        <v/>
      </c>
      <c r="I108">
        <f>IF($V108="","",INDEX('Per Line'!$R$2:$R$501,$V108)&amp;"")</f>
        <v/>
      </c>
      <c r="J108" s="11">
        <f>IF($V108="","",INDEX('Per Line'!$S$2:$S$501,$V108))</f>
        <v/>
      </c>
      <c r="K108">
        <f>IF($V108="","",INDEX('Per Line'!$T$2:$T$501,$V108)&amp;"")</f>
        <v/>
      </c>
      <c r="L108">
        <f>IF($V108="","",Settings!$C$7)</f>
        <v/>
      </c>
      <c r="M108" s="7">
        <f>IF($V108="","",SUMIFS('Per Line'!$N$2:$N$501,'Per Line'!$A$2:$A$501,$A108,'Per Line'!$Y$2:$Y$501,0))</f>
        <v/>
      </c>
      <c r="N108" s="7">
        <f>IF($V108="","",M108*L108)</f>
        <v/>
      </c>
      <c r="O108">
        <f>IF($V108="","",Settings!$C$6)</f>
        <v/>
      </c>
      <c r="P108" s="7">
        <f>IF($V108="","",SUMIFS('Per Line'!$N$2:$N$501,'Per Line'!$A$2:$A$501,$A108,'Per Line'!$Y$2:$Y$501,1))</f>
        <v/>
      </c>
      <c r="Q108" s="7">
        <f>IF($V108="","",P108*O108)</f>
        <v/>
      </c>
      <c r="R108" s="7">
        <f>IF($V108="","",Q108+N108)</f>
        <v/>
      </c>
      <c r="S108" s="7">
        <f>IF($V108="","",T108-R108)</f>
        <v/>
      </c>
      <c r="T108" s="7">
        <f>IF($V108="","",M108+P108)</f>
        <v/>
      </c>
      <c r="U108" s="7">
        <f>IF($V108="","",T108-R108-G108)</f>
        <v/>
      </c>
      <c r="V108" s="13">
        <f>IF(ROWS($V$2:$V108)&lt;=MAX('Per Line'!$X$2:$X$501),MATCH(ROWS($V$2:$V108),'Per Line'!$X$2:$X$501,0),"")</f>
        <v/>
      </c>
    </row>
    <row r="109">
      <c r="A109">
        <f>IF($V109="","",INDEX('Per Line'!$A$2:$A$501,$V109)&amp;"")</f>
        <v/>
      </c>
      <c r="B109" s="12" t="n"/>
      <c r="C109">
        <f>IF($V109="","",INDEX('Per Line'!$B$2:$B$501,$V109)&amp;"")</f>
        <v/>
      </c>
      <c r="D109">
        <f>IF($V109="","",INDEX('Per Line'!$C$2:$C$501,$V109)&amp;"")</f>
        <v/>
      </c>
      <c r="E109">
        <f>IF($V109="","",INDEX('Per Line'!$D$2:$D$501,$V109)&amp;"")</f>
        <v/>
      </c>
      <c r="F109">
        <f>IF($V109="","",INDEX('Per Line'!$E$2:$E$501,$V109))</f>
        <v/>
      </c>
      <c r="G109" s="7">
        <f>IF($V109="","",F109*T109/100)</f>
        <v/>
      </c>
      <c r="H109">
        <f>IF($V109="","",INDEX('Per Line'!$Q$2:$Q$501,$V109)&amp;"")</f>
        <v/>
      </c>
      <c r="I109">
        <f>IF($V109="","",INDEX('Per Line'!$R$2:$R$501,$V109)&amp;"")</f>
        <v/>
      </c>
      <c r="J109" s="11">
        <f>IF($V109="","",INDEX('Per Line'!$S$2:$S$501,$V109))</f>
        <v/>
      </c>
      <c r="K109">
        <f>IF($V109="","",INDEX('Per Line'!$T$2:$T$501,$V109)&amp;"")</f>
        <v/>
      </c>
      <c r="L109">
        <f>IF($V109="","",Settings!$C$7)</f>
        <v/>
      </c>
      <c r="M109" s="7">
        <f>IF($V109="","",SUMIFS('Per Line'!$N$2:$N$501,'Per Line'!$A$2:$A$501,$A109,'Per Line'!$Y$2:$Y$501,0))</f>
        <v/>
      </c>
      <c r="N109" s="7">
        <f>IF($V109="","",M109*L109)</f>
        <v/>
      </c>
      <c r="O109">
        <f>IF($V109="","",Settings!$C$6)</f>
        <v/>
      </c>
      <c r="P109" s="7">
        <f>IF($V109="","",SUMIFS('Per Line'!$N$2:$N$501,'Per Line'!$A$2:$A$501,$A109,'Per Line'!$Y$2:$Y$501,1))</f>
        <v/>
      </c>
      <c r="Q109" s="7">
        <f>IF($V109="","",P109*O109)</f>
        <v/>
      </c>
      <c r="R109" s="7">
        <f>IF($V109="","",Q109+N109)</f>
        <v/>
      </c>
      <c r="S109" s="7">
        <f>IF($V109="","",T109-R109)</f>
        <v/>
      </c>
      <c r="T109" s="7">
        <f>IF($V109="","",M109+P109)</f>
        <v/>
      </c>
      <c r="U109" s="7">
        <f>IF($V109="","",T109-R109-G109)</f>
        <v/>
      </c>
      <c r="V109" s="13">
        <f>IF(ROWS($V$2:$V109)&lt;=MAX('Per Line'!$X$2:$X$501),MATCH(ROWS($V$2:$V109),'Per Line'!$X$2:$X$501,0),"")</f>
        <v/>
      </c>
    </row>
    <row r="110">
      <c r="A110">
        <f>IF($V110="","",INDEX('Per Line'!$A$2:$A$501,$V110)&amp;"")</f>
        <v/>
      </c>
      <c r="B110" s="12" t="n"/>
      <c r="C110">
        <f>IF($V110="","",INDEX('Per Line'!$B$2:$B$501,$V110)&amp;"")</f>
        <v/>
      </c>
      <c r="D110">
        <f>IF($V110="","",INDEX('Per Line'!$C$2:$C$501,$V110)&amp;"")</f>
        <v/>
      </c>
      <c r="E110">
        <f>IF($V110="","",INDEX('Per Line'!$D$2:$D$501,$V110)&amp;"")</f>
        <v/>
      </c>
      <c r="F110">
        <f>IF($V110="","",INDEX('Per Line'!$E$2:$E$501,$V110))</f>
        <v/>
      </c>
      <c r="G110" s="7">
        <f>IF($V110="","",F110*T110/100)</f>
        <v/>
      </c>
      <c r="H110">
        <f>IF($V110="","",INDEX('Per Line'!$Q$2:$Q$501,$V110)&amp;"")</f>
        <v/>
      </c>
      <c r="I110">
        <f>IF($V110="","",INDEX('Per Line'!$R$2:$R$501,$V110)&amp;"")</f>
        <v/>
      </c>
      <c r="J110" s="11">
        <f>IF($V110="","",INDEX('Per Line'!$S$2:$S$501,$V110))</f>
        <v/>
      </c>
      <c r="K110">
        <f>IF($V110="","",INDEX('Per Line'!$T$2:$T$501,$V110)&amp;"")</f>
        <v/>
      </c>
      <c r="L110">
        <f>IF($V110="","",Settings!$C$7)</f>
        <v/>
      </c>
      <c r="M110" s="7">
        <f>IF($V110="","",SUMIFS('Per Line'!$N$2:$N$501,'Per Line'!$A$2:$A$501,$A110,'Per Line'!$Y$2:$Y$501,0))</f>
        <v/>
      </c>
      <c r="N110" s="7">
        <f>IF($V110="","",M110*L110)</f>
        <v/>
      </c>
      <c r="O110">
        <f>IF($V110="","",Settings!$C$6)</f>
        <v/>
      </c>
      <c r="P110" s="7">
        <f>IF($V110="","",SUMIFS('Per Line'!$N$2:$N$501,'Per Line'!$A$2:$A$501,$A110,'Per Line'!$Y$2:$Y$501,1))</f>
        <v/>
      </c>
      <c r="Q110" s="7">
        <f>IF($V110="","",P110*O110)</f>
        <v/>
      </c>
      <c r="R110" s="7">
        <f>IF($V110="","",Q110+N110)</f>
        <v/>
      </c>
      <c r="S110" s="7">
        <f>IF($V110="","",T110-R110)</f>
        <v/>
      </c>
      <c r="T110" s="7">
        <f>IF($V110="","",M110+P110)</f>
        <v/>
      </c>
      <c r="U110" s="7">
        <f>IF($V110="","",T110-R110-G110)</f>
        <v/>
      </c>
      <c r="V110" s="13">
        <f>IF(ROWS($V$2:$V110)&lt;=MAX('Per Line'!$X$2:$X$501),MATCH(ROWS($V$2:$V110),'Per Line'!$X$2:$X$501,0),"")</f>
        <v/>
      </c>
    </row>
    <row r="111">
      <c r="A111">
        <f>IF($V111="","",INDEX('Per Line'!$A$2:$A$501,$V111)&amp;"")</f>
        <v/>
      </c>
      <c r="B111" s="12" t="n"/>
      <c r="C111">
        <f>IF($V111="","",INDEX('Per Line'!$B$2:$B$501,$V111)&amp;"")</f>
        <v/>
      </c>
      <c r="D111">
        <f>IF($V111="","",INDEX('Per Line'!$C$2:$C$501,$V111)&amp;"")</f>
        <v/>
      </c>
      <c r="E111">
        <f>IF($V111="","",INDEX('Per Line'!$D$2:$D$501,$V111)&amp;"")</f>
        <v/>
      </c>
      <c r="F111">
        <f>IF($V111="","",INDEX('Per Line'!$E$2:$E$501,$V111))</f>
        <v/>
      </c>
      <c r="G111" s="7">
        <f>IF($V111="","",F111*T111/100)</f>
        <v/>
      </c>
      <c r="H111">
        <f>IF($V111="","",INDEX('Per Line'!$Q$2:$Q$501,$V111)&amp;"")</f>
        <v/>
      </c>
      <c r="I111">
        <f>IF($V111="","",INDEX('Per Line'!$R$2:$R$501,$V111)&amp;"")</f>
        <v/>
      </c>
      <c r="J111" s="11">
        <f>IF($V111="","",INDEX('Per Line'!$S$2:$S$501,$V111))</f>
        <v/>
      </c>
      <c r="K111">
        <f>IF($V111="","",INDEX('Per Line'!$T$2:$T$501,$V111)&amp;"")</f>
        <v/>
      </c>
      <c r="L111">
        <f>IF($V111="","",Settings!$C$7)</f>
        <v/>
      </c>
      <c r="M111" s="7">
        <f>IF($V111="","",SUMIFS('Per Line'!$N$2:$N$501,'Per Line'!$A$2:$A$501,$A111,'Per Line'!$Y$2:$Y$501,0))</f>
        <v/>
      </c>
      <c r="N111" s="7">
        <f>IF($V111="","",M111*L111)</f>
        <v/>
      </c>
      <c r="O111">
        <f>IF($V111="","",Settings!$C$6)</f>
        <v/>
      </c>
      <c r="P111" s="7">
        <f>IF($V111="","",SUMIFS('Per Line'!$N$2:$N$501,'Per Line'!$A$2:$A$501,$A111,'Per Line'!$Y$2:$Y$501,1))</f>
        <v/>
      </c>
      <c r="Q111" s="7">
        <f>IF($V111="","",P111*O111)</f>
        <v/>
      </c>
      <c r="R111" s="7">
        <f>IF($V111="","",Q111+N111)</f>
        <v/>
      </c>
      <c r="S111" s="7">
        <f>IF($V111="","",T111-R111)</f>
        <v/>
      </c>
      <c r="T111" s="7">
        <f>IF($V111="","",M111+P111)</f>
        <v/>
      </c>
      <c r="U111" s="7">
        <f>IF($V111="","",T111-R111-G111)</f>
        <v/>
      </c>
      <c r="V111" s="13">
        <f>IF(ROWS($V$2:$V111)&lt;=MAX('Per Line'!$X$2:$X$501),MATCH(ROWS($V$2:$V111),'Per Line'!$X$2:$X$501,0),"")</f>
        <v/>
      </c>
    </row>
    <row r="112">
      <c r="A112">
        <f>IF($V112="","",INDEX('Per Line'!$A$2:$A$501,$V112)&amp;"")</f>
        <v/>
      </c>
      <c r="B112" s="12" t="n"/>
      <c r="C112">
        <f>IF($V112="","",INDEX('Per Line'!$B$2:$B$501,$V112)&amp;"")</f>
        <v/>
      </c>
      <c r="D112">
        <f>IF($V112="","",INDEX('Per Line'!$C$2:$C$501,$V112)&amp;"")</f>
        <v/>
      </c>
      <c r="E112">
        <f>IF($V112="","",INDEX('Per Line'!$D$2:$D$501,$V112)&amp;"")</f>
        <v/>
      </c>
      <c r="F112">
        <f>IF($V112="","",INDEX('Per Line'!$E$2:$E$501,$V112))</f>
        <v/>
      </c>
      <c r="G112" s="7">
        <f>IF($V112="","",F112*T112/100)</f>
        <v/>
      </c>
      <c r="H112">
        <f>IF($V112="","",INDEX('Per Line'!$Q$2:$Q$501,$V112)&amp;"")</f>
        <v/>
      </c>
      <c r="I112">
        <f>IF($V112="","",INDEX('Per Line'!$R$2:$R$501,$V112)&amp;"")</f>
        <v/>
      </c>
      <c r="J112" s="11">
        <f>IF($V112="","",INDEX('Per Line'!$S$2:$S$501,$V112))</f>
        <v/>
      </c>
      <c r="K112">
        <f>IF($V112="","",INDEX('Per Line'!$T$2:$T$501,$V112)&amp;"")</f>
        <v/>
      </c>
      <c r="L112">
        <f>IF($V112="","",Settings!$C$7)</f>
        <v/>
      </c>
      <c r="M112" s="7">
        <f>IF($V112="","",SUMIFS('Per Line'!$N$2:$N$501,'Per Line'!$A$2:$A$501,$A112,'Per Line'!$Y$2:$Y$501,0))</f>
        <v/>
      </c>
      <c r="N112" s="7">
        <f>IF($V112="","",M112*L112)</f>
        <v/>
      </c>
      <c r="O112">
        <f>IF($V112="","",Settings!$C$6)</f>
        <v/>
      </c>
      <c r="P112" s="7">
        <f>IF($V112="","",SUMIFS('Per Line'!$N$2:$N$501,'Per Line'!$A$2:$A$501,$A112,'Per Line'!$Y$2:$Y$501,1))</f>
        <v/>
      </c>
      <c r="Q112" s="7">
        <f>IF($V112="","",P112*O112)</f>
        <v/>
      </c>
      <c r="R112" s="7">
        <f>IF($V112="","",Q112+N112)</f>
        <v/>
      </c>
      <c r="S112" s="7">
        <f>IF($V112="","",T112-R112)</f>
        <v/>
      </c>
      <c r="T112" s="7">
        <f>IF($V112="","",M112+P112)</f>
        <v/>
      </c>
      <c r="U112" s="7">
        <f>IF($V112="","",T112-R112-G112)</f>
        <v/>
      </c>
      <c r="V112" s="13">
        <f>IF(ROWS($V$2:$V112)&lt;=MAX('Per Line'!$X$2:$X$501),MATCH(ROWS($V$2:$V112),'Per Line'!$X$2:$X$501,0),"")</f>
        <v/>
      </c>
    </row>
    <row r="113">
      <c r="A113">
        <f>IF($V113="","",INDEX('Per Line'!$A$2:$A$501,$V113)&amp;"")</f>
        <v/>
      </c>
      <c r="B113" s="12" t="n"/>
      <c r="C113">
        <f>IF($V113="","",INDEX('Per Line'!$B$2:$B$501,$V113)&amp;"")</f>
        <v/>
      </c>
      <c r="D113">
        <f>IF($V113="","",INDEX('Per Line'!$C$2:$C$501,$V113)&amp;"")</f>
        <v/>
      </c>
      <c r="E113">
        <f>IF($V113="","",INDEX('Per Line'!$D$2:$D$501,$V113)&amp;"")</f>
        <v/>
      </c>
      <c r="F113">
        <f>IF($V113="","",INDEX('Per Line'!$E$2:$E$501,$V113))</f>
        <v/>
      </c>
      <c r="G113" s="7">
        <f>IF($V113="","",F113*T113/100)</f>
        <v/>
      </c>
      <c r="H113">
        <f>IF($V113="","",INDEX('Per Line'!$Q$2:$Q$501,$V113)&amp;"")</f>
        <v/>
      </c>
      <c r="I113">
        <f>IF($V113="","",INDEX('Per Line'!$R$2:$R$501,$V113)&amp;"")</f>
        <v/>
      </c>
      <c r="J113" s="11">
        <f>IF($V113="","",INDEX('Per Line'!$S$2:$S$501,$V113))</f>
        <v/>
      </c>
      <c r="K113">
        <f>IF($V113="","",INDEX('Per Line'!$T$2:$T$501,$V113)&amp;"")</f>
        <v/>
      </c>
      <c r="L113">
        <f>IF($V113="","",Settings!$C$7)</f>
        <v/>
      </c>
      <c r="M113" s="7">
        <f>IF($V113="","",SUMIFS('Per Line'!$N$2:$N$501,'Per Line'!$A$2:$A$501,$A113,'Per Line'!$Y$2:$Y$501,0))</f>
        <v/>
      </c>
      <c r="N113" s="7">
        <f>IF($V113="","",M113*L113)</f>
        <v/>
      </c>
      <c r="O113">
        <f>IF($V113="","",Settings!$C$6)</f>
        <v/>
      </c>
      <c r="P113" s="7">
        <f>IF($V113="","",SUMIFS('Per Line'!$N$2:$N$501,'Per Line'!$A$2:$A$501,$A113,'Per Line'!$Y$2:$Y$501,1))</f>
        <v/>
      </c>
      <c r="Q113" s="7">
        <f>IF($V113="","",P113*O113)</f>
        <v/>
      </c>
      <c r="R113" s="7">
        <f>IF($V113="","",Q113+N113)</f>
        <v/>
      </c>
      <c r="S113" s="7">
        <f>IF($V113="","",T113-R113)</f>
        <v/>
      </c>
      <c r="T113" s="7">
        <f>IF($V113="","",M113+P113)</f>
        <v/>
      </c>
      <c r="U113" s="7">
        <f>IF($V113="","",T113-R113-G113)</f>
        <v/>
      </c>
      <c r="V113" s="13">
        <f>IF(ROWS($V$2:$V113)&lt;=MAX('Per Line'!$X$2:$X$501),MATCH(ROWS($V$2:$V113),'Per Line'!$X$2:$X$501,0),"")</f>
        <v/>
      </c>
    </row>
    <row r="114">
      <c r="A114">
        <f>IF($V114="","",INDEX('Per Line'!$A$2:$A$501,$V114)&amp;"")</f>
        <v/>
      </c>
      <c r="B114" s="12" t="n"/>
      <c r="C114">
        <f>IF($V114="","",INDEX('Per Line'!$B$2:$B$501,$V114)&amp;"")</f>
        <v/>
      </c>
      <c r="D114">
        <f>IF($V114="","",INDEX('Per Line'!$C$2:$C$501,$V114)&amp;"")</f>
        <v/>
      </c>
      <c r="E114">
        <f>IF($V114="","",INDEX('Per Line'!$D$2:$D$501,$V114)&amp;"")</f>
        <v/>
      </c>
      <c r="F114">
        <f>IF($V114="","",INDEX('Per Line'!$E$2:$E$501,$V114))</f>
        <v/>
      </c>
      <c r="G114" s="7">
        <f>IF($V114="","",F114*T114/100)</f>
        <v/>
      </c>
      <c r="H114">
        <f>IF($V114="","",INDEX('Per Line'!$Q$2:$Q$501,$V114)&amp;"")</f>
        <v/>
      </c>
      <c r="I114">
        <f>IF($V114="","",INDEX('Per Line'!$R$2:$R$501,$V114)&amp;"")</f>
        <v/>
      </c>
      <c r="J114" s="11">
        <f>IF($V114="","",INDEX('Per Line'!$S$2:$S$501,$V114))</f>
        <v/>
      </c>
      <c r="K114">
        <f>IF($V114="","",INDEX('Per Line'!$T$2:$T$501,$V114)&amp;"")</f>
        <v/>
      </c>
      <c r="L114">
        <f>IF($V114="","",Settings!$C$7)</f>
        <v/>
      </c>
      <c r="M114" s="7">
        <f>IF($V114="","",SUMIFS('Per Line'!$N$2:$N$501,'Per Line'!$A$2:$A$501,$A114,'Per Line'!$Y$2:$Y$501,0))</f>
        <v/>
      </c>
      <c r="N114" s="7">
        <f>IF($V114="","",M114*L114)</f>
        <v/>
      </c>
      <c r="O114">
        <f>IF($V114="","",Settings!$C$6)</f>
        <v/>
      </c>
      <c r="P114" s="7">
        <f>IF($V114="","",SUMIFS('Per Line'!$N$2:$N$501,'Per Line'!$A$2:$A$501,$A114,'Per Line'!$Y$2:$Y$501,1))</f>
        <v/>
      </c>
      <c r="Q114" s="7">
        <f>IF($V114="","",P114*O114)</f>
        <v/>
      </c>
      <c r="R114" s="7">
        <f>IF($V114="","",Q114+N114)</f>
        <v/>
      </c>
      <c r="S114" s="7">
        <f>IF($V114="","",T114-R114)</f>
        <v/>
      </c>
      <c r="T114" s="7">
        <f>IF($V114="","",M114+P114)</f>
        <v/>
      </c>
      <c r="U114" s="7">
        <f>IF($V114="","",T114-R114-G114)</f>
        <v/>
      </c>
      <c r="V114" s="13">
        <f>IF(ROWS($V$2:$V114)&lt;=MAX('Per Line'!$X$2:$X$501),MATCH(ROWS($V$2:$V114),'Per Line'!$X$2:$X$501,0),"")</f>
        <v/>
      </c>
    </row>
    <row r="115">
      <c r="A115">
        <f>IF($V115="","",INDEX('Per Line'!$A$2:$A$501,$V115)&amp;"")</f>
        <v/>
      </c>
      <c r="B115" s="12" t="n"/>
      <c r="C115">
        <f>IF($V115="","",INDEX('Per Line'!$B$2:$B$501,$V115)&amp;"")</f>
        <v/>
      </c>
      <c r="D115">
        <f>IF($V115="","",INDEX('Per Line'!$C$2:$C$501,$V115)&amp;"")</f>
        <v/>
      </c>
      <c r="E115">
        <f>IF($V115="","",INDEX('Per Line'!$D$2:$D$501,$V115)&amp;"")</f>
        <v/>
      </c>
      <c r="F115">
        <f>IF($V115="","",INDEX('Per Line'!$E$2:$E$501,$V115))</f>
        <v/>
      </c>
      <c r="G115" s="7">
        <f>IF($V115="","",F115*T115/100)</f>
        <v/>
      </c>
      <c r="H115">
        <f>IF($V115="","",INDEX('Per Line'!$Q$2:$Q$501,$V115)&amp;"")</f>
        <v/>
      </c>
      <c r="I115">
        <f>IF($V115="","",INDEX('Per Line'!$R$2:$R$501,$V115)&amp;"")</f>
        <v/>
      </c>
      <c r="J115" s="11">
        <f>IF($V115="","",INDEX('Per Line'!$S$2:$S$501,$V115))</f>
        <v/>
      </c>
      <c r="K115">
        <f>IF($V115="","",INDEX('Per Line'!$T$2:$T$501,$V115)&amp;"")</f>
        <v/>
      </c>
      <c r="L115">
        <f>IF($V115="","",Settings!$C$7)</f>
        <v/>
      </c>
      <c r="M115" s="7">
        <f>IF($V115="","",SUMIFS('Per Line'!$N$2:$N$501,'Per Line'!$A$2:$A$501,$A115,'Per Line'!$Y$2:$Y$501,0))</f>
        <v/>
      </c>
      <c r="N115" s="7">
        <f>IF($V115="","",M115*L115)</f>
        <v/>
      </c>
      <c r="O115">
        <f>IF($V115="","",Settings!$C$6)</f>
        <v/>
      </c>
      <c r="P115" s="7">
        <f>IF($V115="","",SUMIFS('Per Line'!$N$2:$N$501,'Per Line'!$A$2:$A$501,$A115,'Per Line'!$Y$2:$Y$501,1))</f>
        <v/>
      </c>
      <c r="Q115" s="7">
        <f>IF($V115="","",P115*O115)</f>
        <v/>
      </c>
      <c r="R115" s="7">
        <f>IF($V115="","",Q115+N115)</f>
        <v/>
      </c>
      <c r="S115" s="7">
        <f>IF($V115="","",T115-R115)</f>
        <v/>
      </c>
      <c r="T115" s="7">
        <f>IF($V115="","",M115+P115)</f>
        <v/>
      </c>
      <c r="U115" s="7">
        <f>IF($V115="","",T115-R115-G115)</f>
        <v/>
      </c>
      <c r="V115" s="13">
        <f>IF(ROWS($V$2:$V115)&lt;=MAX('Per Line'!$X$2:$X$501),MATCH(ROWS($V$2:$V115),'Per Line'!$X$2:$X$501,0),"")</f>
        <v/>
      </c>
    </row>
    <row r="116">
      <c r="A116">
        <f>IF($V116="","",INDEX('Per Line'!$A$2:$A$501,$V116)&amp;"")</f>
        <v/>
      </c>
      <c r="B116" s="12" t="n"/>
      <c r="C116">
        <f>IF($V116="","",INDEX('Per Line'!$B$2:$B$501,$V116)&amp;"")</f>
        <v/>
      </c>
      <c r="D116">
        <f>IF($V116="","",INDEX('Per Line'!$C$2:$C$501,$V116)&amp;"")</f>
        <v/>
      </c>
      <c r="E116">
        <f>IF($V116="","",INDEX('Per Line'!$D$2:$D$501,$V116)&amp;"")</f>
        <v/>
      </c>
      <c r="F116">
        <f>IF($V116="","",INDEX('Per Line'!$E$2:$E$501,$V116))</f>
        <v/>
      </c>
      <c r="G116" s="7">
        <f>IF($V116="","",F116*T116/100)</f>
        <v/>
      </c>
      <c r="H116">
        <f>IF($V116="","",INDEX('Per Line'!$Q$2:$Q$501,$V116)&amp;"")</f>
        <v/>
      </c>
      <c r="I116">
        <f>IF($V116="","",INDEX('Per Line'!$R$2:$R$501,$V116)&amp;"")</f>
        <v/>
      </c>
      <c r="J116" s="11">
        <f>IF($V116="","",INDEX('Per Line'!$S$2:$S$501,$V116))</f>
        <v/>
      </c>
      <c r="K116">
        <f>IF($V116="","",INDEX('Per Line'!$T$2:$T$501,$V116)&amp;"")</f>
        <v/>
      </c>
      <c r="L116">
        <f>IF($V116="","",Settings!$C$7)</f>
        <v/>
      </c>
      <c r="M116" s="7">
        <f>IF($V116="","",SUMIFS('Per Line'!$N$2:$N$501,'Per Line'!$A$2:$A$501,$A116,'Per Line'!$Y$2:$Y$501,0))</f>
        <v/>
      </c>
      <c r="N116" s="7">
        <f>IF($V116="","",M116*L116)</f>
        <v/>
      </c>
      <c r="O116">
        <f>IF($V116="","",Settings!$C$6)</f>
        <v/>
      </c>
      <c r="P116" s="7">
        <f>IF($V116="","",SUMIFS('Per Line'!$N$2:$N$501,'Per Line'!$A$2:$A$501,$A116,'Per Line'!$Y$2:$Y$501,1))</f>
        <v/>
      </c>
      <c r="Q116" s="7">
        <f>IF($V116="","",P116*O116)</f>
        <v/>
      </c>
      <c r="R116" s="7">
        <f>IF($V116="","",Q116+N116)</f>
        <v/>
      </c>
      <c r="S116" s="7">
        <f>IF($V116="","",T116-R116)</f>
        <v/>
      </c>
      <c r="T116" s="7">
        <f>IF($V116="","",M116+P116)</f>
        <v/>
      </c>
      <c r="U116" s="7">
        <f>IF($V116="","",T116-R116-G116)</f>
        <v/>
      </c>
      <c r="V116" s="13">
        <f>IF(ROWS($V$2:$V116)&lt;=MAX('Per Line'!$X$2:$X$501),MATCH(ROWS($V$2:$V116),'Per Line'!$X$2:$X$501,0),"")</f>
        <v/>
      </c>
    </row>
    <row r="117">
      <c r="A117">
        <f>IF($V117="","",INDEX('Per Line'!$A$2:$A$501,$V117)&amp;"")</f>
        <v/>
      </c>
      <c r="B117" s="12" t="n"/>
      <c r="C117">
        <f>IF($V117="","",INDEX('Per Line'!$B$2:$B$501,$V117)&amp;"")</f>
        <v/>
      </c>
      <c r="D117">
        <f>IF($V117="","",INDEX('Per Line'!$C$2:$C$501,$V117)&amp;"")</f>
        <v/>
      </c>
      <c r="E117">
        <f>IF($V117="","",INDEX('Per Line'!$D$2:$D$501,$V117)&amp;"")</f>
        <v/>
      </c>
      <c r="F117">
        <f>IF($V117="","",INDEX('Per Line'!$E$2:$E$501,$V117))</f>
        <v/>
      </c>
      <c r="G117" s="7">
        <f>IF($V117="","",F117*T117/100)</f>
        <v/>
      </c>
      <c r="H117">
        <f>IF($V117="","",INDEX('Per Line'!$Q$2:$Q$501,$V117)&amp;"")</f>
        <v/>
      </c>
      <c r="I117">
        <f>IF($V117="","",INDEX('Per Line'!$R$2:$R$501,$V117)&amp;"")</f>
        <v/>
      </c>
      <c r="J117" s="11">
        <f>IF($V117="","",INDEX('Per Line'!$S$2:$S$501,$V117))</f>
        <v/>
      </c>
      <c r="K117">
        <f>IF($V117="","",INDEX('Per Line'!$T$2:$T$501,$V117)&amp;"")</f>
        <v/>
      </c>
      <c r="L117">
        <f>IF($V117="","",Settings!$C$7)</f>
        <v/>
      </c>
      <c r="M117" s="7">
        <f>IF($V117="","",SUMIFS('Per Line'!$N$2:$N$501,'Per Line'!$A$2:$A$501,$A117,'Per Line'!$Y$2:$Y$501,0))</f>
        <v/>
      </c>
      <c r="N117" s="7">
        <f>IF($V117="","",M117*L117)</f>
        <v/>
      </c>
      <c r="O117">
        <f>IF($V117="","",Settings!$C$6)</f>
        <v/>
      </c>
      <c r="P117" s="7">
        <f>IF($V117="","",SUMIFS('Per Line'!$N$2:$N$501,'Per Line'!$A$2:$A$501,$A117,'Per Line'!$Y$2:$Y$501,1))</f>
        <v/>
      </c>
      <c r="Q117" s="7">
        <f>IF($V117="","",P117*O117)</f>
        <v/>
      </c>
      <c r="R117" s="7">
        <f>IF($V117="","",Q117+N117)</f>
        <v/>
      </c>
      <c r="S117" s="7">
        <f>IF($V117="","",T117-R117)</f>
        <v/>
      </c>
      <c r="T117" s="7">
        <f>IF($V117="","",M117+P117)</f>
        <v/>
      </c>
      <c r="U117" s="7">
        <f>IF($V117="","",T117-R117-G117)</f>
        <v/>
      </c>
      <c r="V117" s="13">
        <f>IF(ROWS($V$2:$V117)&lt;=MAX('Per Line'!$X$2:$X$501),MATCH(ROWS($V$2:$V117),'Per Line'!$X$2:$X$501,0),"")</f>
        <v/>
      </c>
    </row>
    <row r="118">
      <c r="A118">
        <f>IF($V118="","",INDEX('Per Line'!$A$2:$A$501,$V118)&amp;"")</f>
        <v/>
      </c>
      <c r="B118" s="12" t="n"/>
      <c r="C118">
        <f>IF($V118="","",INDEX('Per Line'!$B$2:$B$501,$V118)&amp;"")</f>
        <v/>
      </c>
      <c r="D118">
        <f>IF($V118="","",INDEX('Per Line'!$C$2:$C$501,$V118)&amp;"")</f>
        <v/>
      </c>
      <c r="E118">
        <f>IF($V118="","",INDEX('Per Line'!$D$2:$D$501,$V118)&amp;"")</f>
        <v/>
      </c>
      <c r="F118">
        <f>IF($V118="","",INDEX('Per Line'!$E$2:$E$501,$V118))</f>
        <v/>
      </c>
      <c r="G118" s="7">
        <f>IF($V118="","",F118*T118/100)</f>
        <v/>
      </c>
      <c r="H118">
        <f>IF($V118="","",INDEX('Per Line'!$Q$2:$Q$501,$V118)&amp;"")</f>
        <v/>
      </c>
      <c r="I118">
        <f>IF($V118="","",INDEX('Per Line'!$R$2:$R$501,$V118)&amp;"")</f>
        <v/>
      </c>
      <c r="J118" s="11">
        <f>IF($V118="","",INDEX('Per Line'!$S$2:$S$501,$V118))</f>
        <v/>
      </c>
      <c r="K118">
        <f>IF($V118="","",INDEX('Per Line'!$T$2:$T$501,$V118)&amp;"")</f>
        <v/>
      </c>
      <c r="L118">
        <f>IF($V118="","",Settings!$C$7)</f>
        <v/>
      </c>
      <c r="M118" s="7">
        <f>IF($V118="","",SUMIFS('Per Line'!$N$2:$N$501,'Per Line'!$A$2:$A$501,$A118,'Per Line'!$Y$2:$Y$501,0))</f>
        <v/>
      </c>
      <c r="N118" s="7">
        <f>IF($V118="","",M118*L118)</f>
        <v/>
      </c>
      <c r="O118">
        <f>IF($V118="","",Settings!$C$6)</f>
        <v/>
      </c>
      <c r="P118" s="7">
        <f>IF($V118="","",SUMIFS('Per Line'!$N$2:$N$501,'Per Line'!$A$2:$A$501,$A118,'Per Line'!$Y$2:$Y$501,1))</f>
        <v/>
      </c>
      <c r="Q118" s="7">
        <f>IF($V118="","",P118*O118)</f>
        <v/>
      </c>
      <c r="R118" s="7">
        <f>IF($V118="","",Q118+N118)</f>
        <v/>
      </c>
      <c r="S118" s="7">
        <f>IF($V118="","",T118-R118)</f>
        <v/>
      </c>
      <c r="T118" s="7">
        <f>IF($V118="","",M118+P118)</f>
        <v/>
      </c>
      <c r="U118" s="7">
        <f>IF($V118="","",T118-R118-G118)</f>
        <v/>
      </c>
      <c r="V118" s="13">
        <f>IF(ROWS($V$2:$V118)&lt;=MAX('Per Line'!$X$2:$X$501),MATCH(ROWS($V$2:$V118),'Per Line'!$X$2:$X$501,0),"")</f>
        <v/>
      </c>
    </row>
    <row r="119">
      <c r="A119">
        <f>IF($V119="","",INDEX('Per Line'!$A$2:$A$501,$V119)&amp;"")</f>
        <v/>
      </c>
      <c r="B119" s="12" t="n"/>
      <c r="C119">
        <f>IF($V119="","",INDEX('Per Line'!$B$2:$B$501,$V119)&amp;"")</f>
        <v/>
      </c>
      <c r="D119">
        <f>IF($V119="","",INDEX('Per Line'!$C$2:$C$501,$V119)&amp;"")</f>
        <v/>
      </c>
      <c r="E119">
        <f>IF($V119="","",INDEX('Per Line'!$D$2:$D$501,$V119)&amp;"")</f>
        <v/>
      </c>
      <c r="F119">
        <f>IF($V119="","",INDEX('Per Line'!$E$2:$E$501,$V119))</f>
        <v/>
      </c>
      <c r="G119" s="7">
        <f>IF($V119="","",F119*T119/100)</f>
        <v/>
      </c>
      <c r="H119">
        <f>IF($V119="","",INDEX('Per Line'!$Q$2:$Q$501,$V119)&amp;"")</f>
        <v/>
      </c>
      <c r="I119">
        <f>IF($V119="","",INDEX('Per Line'!$R$2:$R$501,$V119)&amp;"")</f>
        <v/>
      </c>
      <c r="J119" s="11">
        <f>IF($V119="","",INDEX('Per Line'!$S$2:$S$501,$V119))</f>
        <v/>
      </c>
      <c r="K119">
        <f>IF($V119="","",INDEX('Per Line'!$T$2:$T$501,$V119)&amp;"")</f>
        <v/>
      </c>
      <c r="L119">
        <f>IF($V119="","",Settings!$C$7)</f>
        <v/>
      </c>
      <c r="M119" s="7">
        <f>IF($V119="","",SUMIFS('Per Line'!$N$2:$N$501,'Per Line'!$A$2:$A$501,$A119,'Per Line'!$Y$2:$Y$501,0))</f>
        <v/>
      </c>
      <c r="N119" s="7">
        <f>IF($V119="","",M119*L119)</f>
        <v/>
      </c>
      <c r="O119">
        <f>IF($V119="","",Settings!$C$6)</f>
        <v/>
      </c>
      <c r="P119" s="7">
        <f>IF($V119="","",SUMIFS('Per Line'!$N$2:$N$501,'Per Line'!$A$2:$A$501,$A119,'Per Line'!$Y$2:$Y$501,1))</f>
        <v/>
      </c>
      <c r="Q119" s="7">
        <f>IF($V119="","",P119*O119)</f>
        <v/>
      </c>
      <c r="R119" s="7">
        <f>IF($V119="","",Q119+N119)</f>
        <v/>
      </c>
      <c r="S119" s="7">
        <f>IF($V119="","",T119-R119)</f>
        <v/>
      </c>
      <c r="T119" s="7">
        <f>IF($V119="","",M119+P119)</f>
        <v/>
      </c>
      <c r="U119" s="7">
        <f>IF($V119="","",T119-R119-G119)</f>
        <v/>
      </c>
      <c r="V119" s="13">
        <f>IF(ROWS($V$2:$V119)&lt;=MAX('Per Line'!$X$2:$X$501),MATCH(ROWS($V$2:$V119),'Per Line'!$X$2:$X$501,0),"")</f>
        <v/>
      </c>
    </row>
    <row r="120">
      <c r="A120">
        <f>IF($V120="","",INDEX('Per Line'!$A$2:$A$501,$V120)&amp;"")</f>
        <v/>
      </c>
      <c r="B120" s="12" t="n"/>
      <c r="C120">
        <f>IF($V120="","",INDEX('Per Line'!$B$2:$B$501,$V120)&amp;"")</f>
        <v/>
      </c>
      <c r="D120">
        <f>IF($V120="","",INDEX('Per Line'!$C$2:$C$501,$V120)&amp;"")</f>
        <v/>
      </c>
      <c r="E120">
        <f>IF($V120="","",INDEX('Per Line'!$D$2:$D$501,$V120)&amp;"")</f>
        <v/>
      </c>
      <c r="F120">
        <f>IF($V120="","",INDEX('Per Line'!$E$2:$E$501,$V120))</f>
        <v/>
      </c>
      <c r="G120" s="7">
        <f>IF($V120="","",F120*T120/100)</f>
        <v/>
      </c>
      <c r="H120">
        <f>IF($V120="","",INDEX('Per Line'!$Q$2:$Q$501,$V120)&amp;"")</f>
        <v/>
      </c>
      <c r="I120">
        <f>IF($V120="","",INDEX('Per Line'!$R$2:$R$501,$V120)&amp;"")</f>
        <v/>
      </c>
      <c r="J120" s="11">
        <f>IF($V120="","",INDEX('Per Line'!$S$2:$S$501,$V120))</f>
        <v/>
      </c>
      <c r="K120">
        <f>IF($V120="","",INDEX('Per Line'!$T$2:$T$501,$V120)&amp;"")</f>
        <v/>
      </c>
      <c r="L120">
        <f>IF($V120="","",Settings!$C$7)</f>
        <v/>
      </c>
      <c r="M120" s="7">
        <f>IF($V120="","",SUMIFS('Per Line'!$N$2:$N$501,'Per Line'!$A$2:$A$501,$A120,'Per Line'!$Y$2:$Y$501,0))</f>
        <v/>
      </c>
      <c r="N120" s="7">
        <f>IF($V120="","",M120*L120)</f>
        <v/>
      </c>
      <c r="O120">
        <f>IF($V120="","",Settings!$C$6)</f>
        <v/>
      </c>
      <c r="P120" s="7">
        <f>IF($V120="","",SUMIFS('Per Line'!$N$2:$N$501,'Per Line'!$A$2:$A$501,$A120,'Per Line'!$Y$2:$Y$501,1))</f>
        <v/>
      </c>
      <c r="Q120" s="7">
        <f>IF($V120="","",P120*O120)</f>
        <v/>
      </c>
      <c r="R120" s="7">
        <f>IF($V120="","",Q120+N120)</f>
        <v/>
      </c>
      <c r="S120" s="7">
        <f>IF($V120="","",T120-R120)</f>
        <v/>
      </c>
      <c r="T120" s="7">
        <f>IF($V120="","",M120+P120)</f>
        <v/>
      </c>
      <c r="U120" s="7">
        <f>IF($V120="","",T120-R120-G120)</f>
        <v/>
      </c>
      <c r="V120" s="13">
        <f>IF(ROWS($V$2:$V120)&lt;=MAX('Per Line'!$X$2:$X$501),MATCH(ROWS($V$2:$V120),'Per Line'!$X$2:$X$501,0),"")</f>
        <v/>
      </c>
    </row>
    <row r="121">
      <c r="A121">
        <f>IF($V121="","",INDEX('Per Line'!$A$2:$A$501,$V121)&amp;"")</f>
        <v/>
      </c>
      <c r="B121" s="12" t="n"/>
      <c r="C121">
        <f>IF($V121="","",INDEX('Per Line'!$B$2:$B$501,$V121)&amp;"")</f>
        <v/>
      </c>
      <c r="D121">
        <f>IF($V121="","",INDEX('Per Line'!$C$2:$C$501,$V121)&amp;"")</f>
        <v/>
      </c>
      <c r="E121">
        <f>IF($V121="","",INDEX('Per Line'!$D$2:$D$501,$V121)&amp;"")</f>
        <v/>
      </c>
      <c r="F121">
        <f>IF($V121="","",INDEX('Per Line'!$E$2:$E$501,$V121))</f>
        <v/>
      </c>
      <c r="G121" s="7">
        <f>IF($V121="","",F121*T121/100)</f>
        <v/>
      </c>
      <c r="H121">
        <f>IF($V121="","",INDEX('Per Line'!$Q$2:$Q$501,$V121)&amp;"")</f>
        <v/>
      </c>
      <c r="I121">
        <f>IF($V121="","",INDEX('Per Line'!$R$2:$R$501,$V121)&amp;"")</f>
        <v/>
      </c>
      <c r="J121" s="11">
        <f>IF($V121="","",INDEX('Per Line'!$S$2:$S$501,$V121))</f>
        <v/>
      </c>
      <c r="K121">
        <f>IF($V121="","",INDEX('Per Line'!$T$2:$T$501,$V121)&amp;"")</f>
        <v/>
      </c>
      <c r="L121">
        <f>IF($V121="","",Settings!$C$7)</f>
        <v/>
      </c>
      <c r="M121" s="7">
        <f>IF($V121="","",SUMIFS('Per Line'!$N$2:$N$501,'Per Line'!$A$2:$A$501,$A121,'Per Line'!$Y$2:$Y$501,0))</f>
        <v/>
      </c>
      <c r="N121" s="7">
        <f>IF($V121="","",M121*L121)</f>
        <v/>
      </c>
      <c r="O121">
        <f>IF($V121="","",Settings!$C$6)</f>
        <v/>
      </c>
      <c r="P121" s="7">
        <f>IF($V121="","",SUMIFS('Per Line'!$N$2:$N$501,'Per Line'!$A$2:$A$501,$A121,'Per Line'!$Y$2:$Y$501,1))</f>
        <v/>
      </c>
      <c r="Q121" s="7">
        <f>IF($V121="","",P121*O121)</f>
        <v/>
      </c>
      <c r="R121" s="7">
        <f>IF($V121="","",Q121+N121)</f>
        <v/>
      </c>
      <c r="S121" s="7">
        <f>IF($V121="","",T121-R121)</f>
        <v/>
      </c>
      <c r="T121" s="7">
        <f>IF($V121="","",M121+P121)</f>
        <v/>
      </c>
      <c r="U121" s="7">
        <f>IF($V121="","",T121-R121-G121)</f>
        <v/>
      </c>
      <c r="V121" s="13">
        <f>IF(ROWS($V$2:$V121)&lt;=MAX('Per Line'!$X$2:$X$501),MATCH(ROWS($V$2:$V121),'Per Line'!$X$2:$X$501,0),"")</f>
        <v/>
      </c>
    </row>
    <row r="122">
      <c r="A122">
        <f>IF($V122="","",INDEX('Per Line'!$A$2:$A$501,$V122)&amp;"")</f>
        <v/>
      </c>
      <c r="B122" s="12" t="n"/>
      <c r="C122">
        <f>IF($V122="","",INDEX('Per Line'!$B$2:$B$501,$V122)&amp;"")</f>
        <v/>
      </c>
      <c r="D122">
        <f>IF($V122="","",INDEX('Per Line'!$C$2:$C$501,$V122)&amp;"")</f>
        <v/>
      </c>
      <c r="E122">
        <f>IF($V122="","",INDEX('Per Line'!$D$2:$D$501,$V122)&amp;"")</f>
        <v/>
      </c>
      <c r="F122">
        <f>IF($V122="","",INDEX('Per Line'!$E$2:$E$501,$V122))</f>
        <v/>
      </c>
      <c r="G122" s="7">
        <f>IF($V122="","",F122*T122/100)</f>
        <v/>
      </c>
      <c r="H122">
        <f>IF($V122="","",INDEX('Per Line'!$Q$2:$Q$501,$V122)&amp;"")</f>
        <v/>
      </c>
      <c r="I122">
        <f>IF($V122="","",INDEX('Per Line'!$R$2:$R$501,$V122)&amp;"")</f>
        <v/>
      </c>
      <c r="J122" s="11">
        <f>IF($V122="","",INDEX('Per Line'!$S$2:$S$501,$V122))</f>
        <v/>
      </c>
      <c r="K122">
        <f>IF($V122="","",INDEX('Per Line'!$T$2:$T$501,$V122)&amp;"")</f>
        <v/>
      </c>
      <c r="L122">
        <f>IF($V122="","",Settings!$C$7)</f>
        <v/>
      </c>
      <c r="M122" s="7">
        <f>IF($V122="","",SUMIFS('Per Line'!$N$2:$N$501,'Per Line'!$A$2:$A$501,$A122,'Per Line'!$Y$2:$Y$501,0))</f>
        <v/>
      </c>
      <c r="N122" s="7">
        <f>IF($V122="","",M122*L122)</f>
        <v/>
      </c>
      <c r="O122">
        <f>IF($V122="","",Settings!$C$6)</f>
        <v/>
      </c>
      <c r="P122" s="7">
        <f>IF($V122="","",SUMIFS('Per Line'!$N$2:$N$501,'Per Line'!$A$2:$A$501,$A122,'Per Line'!$Y$2:$Y$501,1))</f>
        <v/>
      </c>
      <c r="Q122" s="7">
        <f>IF($V122="","",P122*O122)</f>
        <v/>
      </c>
      <c r="R122" s="7">
        <f>IF($V122="","",Q122+N122)</f>
        <v/>
      </c>
      <c r="S122" s="7">
        <f>IF($V122="","",T122-R122)</f>
        <v/>
      </c>
      <c r="T122" s="7">
        <f>IF($V122="","",M122+P122)</f>
        <v/>
      </c>
      <c r="U122" s="7">
        <f>IF($V122="","",T122-R122-G122)</f>
        <v/>
      </c>
      <c r="V122" s="13">
        <f>IF(ROWS($V$2:$V122)&lt;=MAX('Per Line'!$X$2:$X$501),MATCH(ROWS($V$2:$V122),'Per Line'!$X$2:$X$501,0),"")</f>
        <v/>
      </c>
    </row>
    <row r="123">
      <c r="A123">
        <f>IF($V123="","",INDEX('Per Line'!$A$2:$A$501,$V123)&amp;"")</f>
        <v/>
      </c>
      <c r="B123" s="12" t="n"/>
      <c r="C123">
        <f>IF($V123="","",INDEX('Per Line'!$B$2:$B$501,$V123)&amp;"")</f>
        <v/>
      </c>
      <c r="D123">
        <f>IF($V123="","",INDEX('Per Line'!$C$2:$C$501,$V123)&amp;"")</f>
        <v/>
      </c>
      <c r="E123">
        <f>IF($V123="","",INDEX('Per Line'!$D$2:$D$501,$V123)&amp;"")</f>
        <v/>
      </c>
      <c r="F123">
        <f>IF($V123="","",INDEX('Per Line'!$E$2:$E$501,$V123))</f>
        <v/>
      </c>
      <c r="G123" s="7">
        <f>IF($V123="","",F123*T123/100)</f>
        <v/>
      </c>
      <c r="H123">
        <f>IF($V123="","",INDEX('Per Line'!$Q$2:$Q$501,$V123)&amp;"")</f>
        <v/>
      </c>
      <c r="I123">
        <f>IF($V123="","",INDEX('Per Line'!$R$2:$R$501,$V123)&amp;"")</f>
        <v/>
      </c>
      <c r="J123" s="11">
        <f>IF($V123="","",INDEX('Per Line'!$S$2:$S$501,$V123))</f>
        <v/>
      </c>
      <c r="K123">
        <f>IF($V123="","",INDEX('Per Line'!$T$2:$T$501,$V123)&amp;"")</f>
        <v/>
      </c>
      <c r="L123">
        <f>IF($V123="","",Settings!$C$7)</f>
        <v/>
      </c>
      <c r="M123" s="7">
        <f>IF($V123="","",SUMIFS('Per Line'!$N$2:$N$501,'Per Line'!$A$2:$A$501,$A123,'Per Line'!$Y$2:$Y$501,0))</f>
        <v/>
      </c>
      <c r="N123" s="7">
        <f>IF($V123="","",M123*L123)</f>
        <v/>
      </c>
      <c r="O123">
        <f>IF($V123="","",Settings!$C$6)</f>
        <v/>
      </c>
      <c r="P123" s="7">
        <f>IF($V123="","",SUMIFS('Per Line'!$N$2:$N$501,'Per Line'!$A$2:$A$501,$A123,'Per Line'!$Y$2:$Y$501,1))</f>
        <v/>
      </c>
      <c r="Q123" s="7">
        <f>IF($V123="","",P123*O123)</f>
        <v/>
      </c>
      <c r="R123" s="7">
        <f>IF($V123="","",Q123+N123)</f>
        <v/>
      </c>
      <c r="S123" s="7">
        <f>IF($V123="","",T123-R123)</f>
        <v/>
      </c>
      <c r="T123" s="7">
        <f>IF($V123="","",M123+P123)</f>
        <v/>
      </c>
      <c r="U123" s="7">
        <f>IF($V123="","",T123-R123-G123)</f>
        <v/>
      </c>
      <c r="V123" s="13">
        <f>IF(ROWS($V$2:$V123)&lt;=MAX('Per Line'!$X$2:$X$501),MATCH(ROWS($V$2:$V123),'Per Line'!$X$2:$X$501,0),"")</f>
        <v/>
      </c>
    </row>
    <row r="124">
      <c r="A124">
        <f>IF($V124="","",INDEX('Per Line'!$A$2:$A$501,$V124)&amp;"")</f>
        <v/>
      </c>
      <c r="B124" s="12" t="n"/>
      <c r="C124">
        <f>IF($V124="","",INDEX('Per Line'!$B$2:$B$501,$V124)&amp;"")</f>
        <v/>
      </c>
      <c r="D124">
        <f>IF($V124="","",INDEX('Per Line'!$C$2:$C$501,$V124)&amp;"")</f>
        <v/>
      </c>
      <c r="E124">
        <f>IF($V124="","",INDEX('Per Line'!$D$2:$D$501,$V124)&amp;"")</f>
        <v/>
      </c>
      <c r="F124">
        <f>IF($V124="","",INDEX('Per Line'!$E$2:$E$501,$V124))</f>
        <v/>
      </c>
      <c r="G124" s="7">
        <f>IF($V124="","",F124*T124/100)</f>
        <v/>
      </c>
      <c r="H124">
        <f>IF($V124="","",INDEX('Per Line'!$Q$2:$Q$501,$V124)&amp;"")</f>
        <v/>
      </c>
      <c r="I124">
        <f>IF($V124="","",INDEX('Per Line'!$R$2:$R$501,$V124)&amp;"")</f>
        <v/>
      </c>
      <c r="J124" s="11">
        <f>IF($V124="","",INDEX('Per Line'!$S$2:$S$501,$V124))</f>
        <v/>
      </c>
      <c r="K124">
        <f>IF($V124="","",INDEX('Per Line'!$T$2:$T$501,$V124)&amp;"")</f>
        <v/>
      </c>
      <c r="L124">
        <f>IF($V124="","",Settings!$C$7)</f>
        <v/>
      </c>
      <c r="M124" s="7">
        <f>IF($V124="","",SUMIFS('Per Line'!$N$2:$N$501,'Per Line'!$A$2:$A$501,$A124,'Per Line'!$Y$2:$Y$501,0))</f>
        <v/>
      </c>
      <c r="N124" s="7">
        <f>IF($V124="","",M124*L124)</f>
        <v/>
      </c>
      <c r="O124">
        <f>IF($V124="","",Settings!$C$6)</f>
        <v/>
      </c>
      <c r="P124" s="7">
        <f>IF($V124="","",SUMIFS('Per Line'!$N$2:$N$501,'Per Line'!$A$2:$A$501,$A124,'Per Line'!$Y$2:$Y$501,1))</f>
        <v/>
      </c>
      <c r="Q124" s="7">
        <f>IF($V124="","",P124*O124)</f>
        <v/>
      </c>
      <c r="R124" s="7">
        <f>IF($V124="","",Q124+N124)</f>
        <v/>
      </c>
      <c r="S124" s="7">
        <f>IF($V124="","",T124-R124)</f>
        <v/>
      </c>
      <c r="T124" s="7">
        <f>IF($V124="","",M124+P124)</f>
        <v/>
      </c>
      <c r="U124" s="7">
        <f>IF($V124="","",T124-R124-G124)</f>
        <v/>
      </c>
      <c r="V124" s="13">
        <f>IF(ROWS($V$2:$V124)&lt;=MAX('Per Line'!$X$2:$X$501),MATCH(ROWS($V$2:$V124),'Per Line'!$X$2:$X$501,0),"")</f>
        <v/>
      </c>
    </row>
    <row r="125">
      <c r="A125">
        <f>IF($V125="","",INDEX('Per Line'!$A$2:$A$501,$V125)&amp;"")</f>
        <v/>
      </c>
      <c r="B125" s="12" t="n"/>
      <c r="C125">
        <f>IF($V125="","",INDEX('Per Line'!$B$2:$B$501,$V125)&amp;"")</f>
        <v/>
      </c>
      <c r="D125">
        <f>IF($V125="","",INDEX('Per Line'!$C$2:$C$501,$V125)&amp;"")</f>
        <v/>
      </c>
      <c r="E125">
        <f>IF($V125="","",INDEX('Per Line'!$D$2:$D$501,$V125)&amp;"")</f>
        <v/>
      </c>
      <c r="F125">
        <f>IF($V125="","",INDEX('Per Line'!$E$2:$E$501,$V125))</f>
        <v/>
      </c>
      <c r="G125" s="7">
        <f>IF($V125="","",F125*T125/100)</f>
        <v/>
      </c>
      <c r="H125">
        <f>IF($V125="","",INDEX('Per Line'!$Q$2:$Q$501,$V125)&amp;"")</f>
        <v/>
      </c>
      <c r="I125">
        <f>IF($V125="","",INDEX('Per Line'!$R$2:$R$501,$V125)&amp;"")</f>
        <v/>
      </c>
      <c r="J125" s="11">
        <f>IF($V125="","",INDEX('Per Line'!$S$2:$S$501,$V125))</f>
        <v/>
      </c>
      <c r="K125">
        <f>IF($V125="","",INDEX('Per Line'!$T$2:$T$501,$V125)&amp;"")</f>
        <v/>
      </c>
      <c r="L125">
        <f>IF($V125="","",Settings!$C$7)</f>
        <v/>
      </c>
      <c r="M125" s="7">
        <f>IF($V125="","",SUMIFS('Per Line'!$N$2:$N$501,'Per Line'!$A$2:$A$501,$A125,'Per Line'!$Y$2:$Y$501,0))</f>
        <v/>
      </c>
      <c r="N125" s="7">
        <f>IF($V125="","",M125*L125)</f>
        <v/>
      </c>
      <c r="O125">
        <f>IF($V125="","",Settings!$C$6)</f>
        <v/>
      </c>
      <c r="P125" s="7">
        <f>IF($V125="","",SUMIFS('Per Line'!$N$2:$N$501,'Per Line'!$A$2:$A$501,$A125,'Per Line'!$Y$2:$Y$501,1))</f>
        <v/>
      </c>
      <c r="Q125" s="7">
        <f>IF($V125="","",P125*O125)</f>
        <v/>
      </c>
      <c r="R125" s="7">
        <f>IF($V125="","",Q125+N125)</f>
        <v/>
      </c>
      <c r="S125" s="7">
        <f>IF($V125="","",T125-R125)</f>
        <v/>
      </c>
      <c r="T125" s="7">
        <f>IF($V125="","",M125+P125)</f>
        <v/>
      </c>
      <c r="U125" s="7">
        <f>IF($V125="","",T125-R125-G125)</f>
        <v/>
      </c>
      <c r="V125" s="13">
        <f>IF(ROWS($V$2:$V125)&lt;=MAX('Per Line'!$X$2:$X$501),MATCH(ROWS($V$2:$V125),'Per Line'!$X$2:$X$501,0),"")</f>
        <v/>
      </c>
    </row>
    <row r="126">
      <c r="A126">
        <f>IF($V126="","",INDEX('Per Line'!$A$2:$A$501,$V126)&amp;"")</f>
        <v/>
      </c>
      <c r="B126" s="12" t="n"/>
      <c r="C126">
        <f>IF($V126="","",INDEX('Per Line'!$B$2:$B$501,$V126)&amp;"")</f>
        <v/>
      </c>
      <c r="D126">
        <f>IF($V126="","",INDEX('Per Line'!$C$2:$C$501,$V126)&amp;"")</f>
        <v/>
      </c>
      <c r="E126">
        <f>IF($V126="","",INDEX('Per Line'!$D$2:$D$501,$V126)&amp;"")</f>
        <v/>
      </c>
      <c r="F126">
        <f>IF($V126="","",INDEX('Per Line'!$E$2:$E$501,$V126))</f>
        <v/>
      </c>
      <c r="G126" s="7">
        <f>IF($V126="","",F126*T126/100)</f>
        <v/>
      </c>
      <c r="H126">
        <f>IF($V126="","",INDEX('Per Line'!$Q$2:$Q$501,$V126)&amp;"")</f>
        <v/>
      </c>
      <c r="I126">
        <f>IF($V126="","",INDEX('Per Line'!$R$2:$R$501,$V126)&amp;"")</f>
        <v/>
      </c>
      <c r="J126" s="11">
        <f>IF($V126="","",INDEX('Per Line'!$S$2:$S$501,$V126))</f>
        <v/>
      </c>
      <c r="K126">
        <f>IF($V126="","",INDEX('Per Line'!$T$2:$T$501,$V126)&amp;"")</f>
        <v/>
      </c>
      <c r="L126">
        <f>IF($V126="","",Settings!$C$7)</f>
        <v/>
      </c>
      <c r="M126" s="7">
        <f>IF($V126="","",SUMIFS('Per Line'!$N$2:$N$501,'Per Line'!$A$2:$A$501,$A126,'Per Line'!$Y$2:$Y$501,0))</f>
        <v/>
      </c>
      <c r="N126" s="7">
        <f>IF($V126="","",M126*L126)</f>
        <v/>
      </c>
      <c r="O126">
        <f>IF($V126="","",Settings!$C$6)</f>
        <v/>
      </c>
      <c r="P126" s="7">
        <f>IF($V126="","",SUMIFS('Per Line'!$N$2:$N$501,'Per Line'!$A$2:$A$501,$A126,'Per Line'!$Y$2:$Y$501,1))</f>
        <v/>
      </c>
      <c r="Q126" s="7">
        <f>IF($V126="","",P126*O126)</f>
        <v/>
      </c>
      <c r="R126" s="7">
        <f>IF($V126="","",Q126+N126)</f>
        <v/>
      </c>
      <c r="S126" s="7">
        <f>IF($V126="","",T126-R126)</f>
        <v/>
      </c>
      <c r="T126" s="7">
        <f>IF($V126="","",M126+P126)</f>
        <v/>
      </c>
      <c r="U126" s="7">
        <f>IF($V126="","",T126-R126-G126)</f>
        <v/>
      </c>
      <c r="V126" s="13">
        <f>IF(ROWS($V$2:$V126)&lt;=MAX('Per Line'!$X$2:$X$501),MATCH(ROWS($V$2:$V126),'Per Line'!$X$2:$X$501,0),"")</f>
        <v/>
      </c>
    </row>
    <row r="127">
      <c r="A127">
        <f>IF($V127="","",INDEX('Per Line'!$A$2:$A$501,$V127)&amp;"")</f>
        <v/>
      </c>
      <c r="B127" s="12" t="n"/>
      <c r="C127">
        <f>IF($V127="","",INDEX('Per Line'!$B$2:$B$501,$V127)&amp;"")</f>
        <v/>
      </c>
      <c r="D127">
        <f>IF($V127="","",INDEX('Per Line'!$C$2:$C$501,$V127)&amp;"")</f>
        <v/>
      </c>
      <c r="E127">
        <f>IF($V127="","",INDEX('Per Line'!$D$2:$D$501,$V127)&amp;"")</f>
        <v/>
      </c>
      <c r="F127">
        <f>IF($V127="","",INDEX('Per Line'!$E$2:$E$501,$V127))</f>
        <v/>
      </c>
      <c r="G127" s="7">
        <f>IF($V127="","",F127*T127/100)</f>
        <v/>
      </c>
      <c r="H127">
        <f>IF($V127="","",INDEX('Per Line'!$Q$2:$Q$501,$V127)&amp;"")</f>
        <v/>
      </c>
      <c r="I127">
        <f>IF($V127="","",INDEX('Per Line'!$R$2:$R$501,$V127)&amp;"")</f>
        <v/>
      </c>
      <c r="J127" s="11">
        <f>IF($V127="","",INDEX('Per Line'!$S$2:$S$501,$V127))</f>
        <v/>
      </c>
      <c r="K127">
        <f>IF($V127="","",INDEX('Per Line'!$T$2:$T$501,$V127)&amp;"")</f>
        <v/>
      </c>
      <c r="L127">
        <f>IF($V127="","",Settings!$C$7)</f>
        <v/>
      </c>
      <c r="M127" s="7">
        <f>IF($V127="","",SUMIFS('Per Line'!$N$2:$N$501,'Per Line'!$A$2:$A$501,$A127,'Per Line'!$Y$2:$Y$501,0))</f>
        <v/>
      </c>
      <c r="N127" s="7">
        <f>IF($V127="","",M127*L127)</f>
        <v/>
      </c>
      <c r="O127">
        <f>IF($V127="","",Settings!$C$6)</f>
        <v/>
      </c>
      <c r="P127" s="7">
        <f>IF($V127="","",SUMIFS('Per Line'!$N$2:$N$501,'Per Line'!$A$2:$A$501,$A127,'Per Line'!$Y$2:$Y$501,1))</f>
        <v/>
      </c>
      <c r="Q127" s="7">
        <f>IF($V127="","",P127*O127)</f>
        <v/>
      </c>
      <c r="R127" s="7">
        <f>IF($V127="","",Q127+N127)</f>
        <v/>
      </c>
      <c r="S127" s="7">
        <f>IF($V127="","",T127-R127)</f>
        <v/>
      </c>
      <c r="T127" s="7">
        <f>IF($V127="","",M127+P127)</f>
        <v/>
      </c>
      <c r="U127" s="7">
        <f>IF($V127="","",T127-R127-G127)</f>
        <v/>
      </c>
      <c r="V127" s="13">
        <f>IF(ROWS($V$2:$V127)&lt;=MAX('Per Line'!$X$2:$X$501),MATCH(ROWS($V$2:$V127),'Per Line'!$X$2:$X$501,0),"")</f>
        <v/>
      </c>
    </row>
    <row r="128">
      <c r="A128">
        <f>IF($V128="","",INDEX('Per Line'!$A$2:$A$501,$V128)&amp;"")</f>
        <v/>
      </c>
      <c r="B128" s="12" t="n"/>
      <c r="C128">
        <f>IF($V128="","",INDEX('Per Line'!$B$2:$B$501,$V128)&amp;"")</f>
        <v/>
      </c>
      <c r="D128">
        <f>IF($V128="","",INDEX('Per Line'!$C$2:$C$501,$V128)&amp;"")</f>
        <v/>
      </c>
      <c r="E128">
        <f>IF($V128="","",INDEX('Per Line'!$D$2:$D$501,$V128)&amp;"")</f>
        <v/>
      </c>
      <c r="F128">
        <f>IF($V128="","",INDEX('Per Line'!$E$2:$E$501,$V128))</f>
        <v/>
      </c>
      <c r="G128" s="7">
        <f>IF($V128="","",F128*T128/100)</f>
        <v/>
      </c>
      <c r="H128">
        <f>IF($V128="","",INDEX('Per Line'!$Q$2:$Q$501,$V128)&amp;"")</f>
        <v/>
      </c>
      <c r="I128">
        <f>IF($V128="","",INDEX('Per Line'!$R$2:$R$501,$V128)&amp;"")</f>
        <v/>
      </c>
      <c r="J128" s="11">
        <f>IF($V128="","",INDEX('Per Line'!$S$2:$S$501,$V128))</f>
        <v/>
      </c>
      <c r="K128">
        <f>IF($V128="","",INDEX('Per Line'!$T$2:$T$501,$V128)&amp;"")</f>
        <v/>
      </c>
      <c r="L128">
        <f>IF($V128="","",Settings!$C$7)</f>
        <v/>
      </c>
      <c r="M128" s="7">
        <f>IF($V128="","",SUMIFS('Per Line'!$N$2:$N$501,'Per Line'!$A$2:$A$501,$A128,'Per Line'!$Y$2:$Y$501,0))</f>
        <v/>
      </c>
      <c r="N128" s="7">
        <f>IF($V128="","",M128*L128)</f>
        <v/>
      </c>
      <c r="O128">
        <f>IF($V128="","",Settings!$C$6)</f>
        <v/>
      </c>
      <c r="P128" s="7">
        <f>IF($V128="","",SUMIFS('Per Line'!$N$2:$N$501,'Per Line'!$A$2:$A$501,$A128,'Per Line'!$Y$2:$Y$501,1))</f>
        <v/>
      </c>
      <c r="Q128" s="7">
        <f>IF($V128="","",P128*O128)</f>
        <v/>
      </c>
      <c r="R128" s="7">
        <f>IF($V128="","",Q128+N128)</f>
        <v/>
      </c>
      <c r="S128" s="7">
        <f>IF($V128="","",T128-R128)</f>
        <v/>
      </c>
      <c r="T128" s="7">
        <f>IF($V128="","",M128+P128)</f>
        <v/>
      </c>
      <c r="U128" s="7">
        <f>IF($V128="","",T128-R128-G128)</f>
        <v/>
      </c>
      <c r="V128" s="13">
        <f>IF(ROWS($V$2:$V128)&lt;=MAX('Per Line'!$X$2:$X$501),MATCH(ROWS($V$2:$V128),'Per Line'!$X$2:$X$501,0),"")</f>
        <v/>
      </c>
    </row>
    <row r="129">
      <c r="A129">
        <f>IF($V129="","",INDEX('Per Line'!$A$2:$A$501,$V129)&amp;"")</f>
        <v/>
      </c>
      <c r="B129" s="12" t="n"/>
      <c r="C129">
        <f>IF($V129="","",INDEX('Per Line'!$B$2:$B$501,$V129)&amp;"")</f>
        <v/>
      </c>
      <c r="D129">
        <f>IF($V129="","",INDEX('Per Line'!$C$2:$C$501,$V129)&amp;"")</f>
        <v/>
      </c>
      <c r="E129">
        <f>IF($V129="","",INDEX('Per Line'!$D$2:$D$501,$V129)&amp;"")</f>
        <v/>
      </c>
      <c r="F129">
        <f>IF($V129="","",INDEX('Per Line'!$E$2:$E$501,$V129))</f>
        <v/>
      </c>
      <c r="G129" s="7">
        <f>IF($V129="","",F129*T129/100)</f>
        <v/>
      </c>
      <c r="H129">
        <f>IF($V129="","",INDEX('Per Line'!$Q$2:$Q$501,$V129)&amp;"")</f>
        <v/>
      </c>
      <c r="I129">
        <f>IF($V129="","",INDEX('Per Line'!$R$2:$R$501,$V129)&amp;"")</f>
        <v/>
      </c>
      <c r="J129" s="11">
        <f>IF($V129="","",INDEX('Per Line'!$S$2:$S$501,$V129))</f>
        <v/>
      </c>
      <c r="K129">
        <f>IF($V129="","",INDEX('Per Line'!$T$2:$T$501,$V129)&amp;"")</f>
        <v/>
      </c>
      <c r="L129">
        <f>IF($V129="","",Settings!$C$7)</f>
        <v/>
      </c>
      <c r="M129" s="7">
        <f>IF($V129="","",SUMIFS('Per Line'!$N$2:$N$501,'Per Line'!$A$2:$A$501,$A129,'Per Line'!$Y$2:$Y$501,0))</f>
        <v/>
      </c>
      <c r="N129" s="7">
        <f>IF($V129="","",M129*L129)</f>
        <v/>
      </c>
      <c r="O129">
        <f>IF($V129="","",Settings!$C$6)</f>
        <v/>
      </c>
      <c r="P129" s="7">
        <f>IF($V129="","",SUMIFS('Per Line'!$N$2:$N$501,'Per Line'!$A$2:$A$501,$A129,'Per Line'!$Y$2:$Y$501,1))</f>
        <v/>
      </c>
      <c r="Q129" s="7">
        <f>IF($V129="","",P129*O129)</f>
        <v/>
      </c>
      <c r="R129" s="7">
        <f>IF($V129="","",Q129+N129)</f>
        <v/>
      </c>
      <c r="S129" s="7">
        <f>IF($V129="","",T129-R129)</f>
        <v/>
      </c>
      <c r="T129" s="7">
        <f>IF($V129="","",M129+P129)</f>
        <v/>
      </c>
      <c r="U129" s="7">
        <f>IF($V129="","",T129-R129-G129)</f>
        <v/>
      </c>
      <c r="V129" s="13">
        <f>IF(ROWS($V$2:$V129)&lt;=MAX('Per Line'!$X$2:$X$501),MATCH(ROWS($V$2:$V129),'Per Line'!$X$2:$X$501,0),"")</f>
        <v/>
      </c>
    </row>
    <row r="130">
      <c r="A130">
        <f>IF($V130="","",INDEX('Per Line'!$A$2:$A$501,$V130)&amp;"")</f>
        <v/>
      </c>
      <c r="B130" s="12" t="n"/>
      <c r="C130">
        <f>IF($V130="","",INDEX('Per Line'!$B$2:$B$501,$V130)&amp;"")</f>
        <v/>
      </c>
      <c r="D130">
        <f>IF($V130="","",INDEX('Per Line'!$C$2:$C$501,$V130)&amp;"")</f>
        <v/>
      </c>
      <c r="E130">
        <f>IF($V130="","",INDEX('Per Line'!$D$2:$D$501,$V130)&amp;"")</f>
        <v/>
      </c>
      <c r="F130">
        <f>IF($V130="","",INDEX('Per Line'!$E$2:$E$501,$V130))</f>
        <v/>
      </c>
      <c r="G130" s="7">
        <f>IF($V130="","",F130*T130/100)</f>
        <v/>
      </c>
      <c r="H130">
        <f>IF($V130="","",INDEX('Per Line'!$Q$2:$Q$501,$V130)&amp;"")</f>
        <v/>
      </c>
      <c r="I130">
        <f>IF($V130="","",INDEX('Per Line'!$R$2:$R$501,$V130)&amp;"")</f>
        <v/>
      </c>
      <c r="J130" s="11">
        <f>IF($V130="","",INDEX('Per Line'!$S$2:$S$501,$V130))</f>
        <v/>
      </c>
      <c r="K130">
        <f>IF($V130="","",INDEX('Per Line'!$T$2:$T$501,$V130)&amp;"")</f>
        <v/>
      </c>
      <c r="L130">
        <f>IF($V130="","",Settings!$C$7)</f>
        <v/>
      </c>
      <c r="M130" s="7">
        <f>IF($V130="","",SUMIFS('Per Line'!$N$2:$N$501,'Per Line'!$A$2:$A$501,$A130,'Per Line'!$Y$2:$Y$501,0))</f>
        <v/>
      </c>
      <c r="N130" s="7">
        <f>IF($V130="","",M130*L130)</f>
        <v/>
      </c>
      <c r="O130">
        <f>IF($V130="","",Settings!$C$6)</f>
        <v/>
      </c>
      <c r="P130" s="7">
        <f>IF($V130="","",SUMIFS('Per Line'!$N$2:$N$501,'Per Line'!$A$2:$A$501,$A130,'Per Line'!$Y$2:$Y$501,1))</f>
        <v/>
      </c>
      <c r="Q130" s="7">
        <f>IF($V130="","",P130*O130)</f>
        <v/>
      </c>
      <c r="R130" s="7">
        <f>IF($V130="","",Q130+N130)</f>
        <v/>
      </c>
      <c r="S130" s="7">
        <f>IF($V130="","",T130-R130)</f>
        <v/>
      </c>
      <c r="T130" s="7">
        <f>IF($V130="","",M130+P130)</f>
        <v/>
      </c>
      <c r="U130" s="7">
        <f>IF($V130="","",T130-R130-G130)</f>
        <v/>
      </c>
      <c r="V130" s="13">
        <f>IF(ROWS($V$2:$V130)&lt;=MAX('Per Line'!$X$2:$X$501),MATCH(ROWS($V$2:$V130),'Per Line'!$X$2:$X$501,0),"")</f>
        <v/>
      </c>
    </row>
    <row r="131">
      <c r="A131">
        <f>IF($V131="","",INDEX('Per Line'!$A$2:$A$501,$V131)&amp;"")</f>
        <v/>
      </c>
      <c r="B131" s="12" t="n"/>
      <c r="C131">
        <f>IF($V131="","",INDEX('Per Line'!$B$2:$B$501,$V131)&amp;"")</f>
        <v/>
      </c>
      <c r="D131">
        <f>IF($V131="","",INDEX('Per Line'!$C$2:$C$501,$V131)&amp;"")</f>
        <v/>
      </c>
      <c r="E131">
        <f>IF($V131="","",INDEX('Per Line'!$D$2:$D$501,$V131)&amp;"")</f>
        <v/>
      </c>
      <c r="F131">
        <f>IF($V131="","",INDEX('Per Line'!$E$2:$E$501,$V131))</f>
        <v/>
      </c>
      <c r="G131" s="7">
        <f>IF($V131="","",F131*T131/100)</f>
        <v/>
      </c>
      <c r="H131">
        <f>IF($V131="","",INDEX('Per Line'!$Q$2:$Q$501,$V131)&amp;"")</f>
        <v/>
      </c>
      <c r="I131">
        <f>IF($V131="","",INDEX('Per Line'!$R$2:$R$501,$V131)&amp;"")</f>
        <v/>
      </c>
      <c r="J131" s="11">
        <f>IF($V131="","",INDEX('Per Line'!$S$2:$S$501,$V131))</f>
        <v/>
      </c>
      <c r="K131">
        <f>IF($V131="","",INDEX('Per Line'!$T$2:$T$501,$V131)&amp;"")</f>
        <v/>
      </c>
      <c r="L131">
        <f>IF($V131="","",Settings!$C$7)</f>
        <v/>
      </c>
      <c r="M131" s="7">
        <f>IF($V131="","",SUMIFS('Per Line'!$N$2:$N$501,'Per Line'!$A$2:$A$501,$A131,'Per Line'!$Y$2:$Y$501,0))</f>
        <v/>
      </c>
      <c r="N131" s="7">
        <f>IF($V131="","",M131*L131)</f>
        <v/>
      </c>
      <c r="O131">
        <f>IF($V131="","",Settings!$C$6)</f>
        <v/>
      </c>
      <c r="P131" s="7">
        <f>IF($V131="","",SUMIFS('Per Line'!$N$2:$N$501,'Per Line'!$A$2:$A$501,$A131,'Per Line'!$Y$2:$Y$501,1))</f>
        <v/>
      </c>
      <c r="Q131" s="7">
        <f>IF($V131="","",P131*O131)</f>
        <v/>
      </c>
      <c r="R131" s="7">
        <f>IF($V131="","",Q131+N131)</f>
        <v/>
      </c>
      <c r="S131" s="7">
        <f>IF($V131="","",T131-R131)</f>
        <v/>
      </c>
      <c r="T131" s="7">
        <f>IF($V131="","",M131+P131)</f>
        <v/>
      </c>
      <c r="U131" s="7">
        <f>IF($V131="","",T131-R131-G131)</f>
        <v/>
      </c>
      <c r="V131" s="13">
        <f>IF(ROWS($V$2:$V131)&lt;=MAX('Per Line'!$X$2:$X$501),MATCH(ROWS($V$2:$V131),'Per Line'!$X$2:$X$501,0),"")</f>
        <v/>
      </c>
    </row>
    <row r="132">
      <c r="A132">
        <f>IF($V132="","",INDEX('Per Line'!$A$2:$A$501,$V132)&amp;"")</f>
        <v/>
      </c>
      <c r="B132" s="12" t="n"/>
      <c r="C132">
        <f>IF($V132="","",INDEX('Per Line'!$B$2:$B$501,$V132)&amp;"")</f>
        <v/>
      </c>
      <c r="D132">
        <f>IF($V132="","",INDEX('Per Line'!$C$2:$C$501,$V132)&amp;"")</f>
        <v/>
      </c>
      <c r="E132">
        <f>IF($V132="","",INDEX('Per Line'!$D$2:$D$501,$V132)&amp;"")</f>
        <v/>
      </c>
      <c r="F132">
        <f>IF($V132="","",INDEX('Per Line'!$E$2:$E$501,$V132))</f>
        <v/>
      </c>
      <c r="G132" s="7">
        <f>IF($V132="","",F132*T132/100)</f>
        <v/>
      </c>
      <c r="H132">
        <f>IF($V132="","",INDEX('Per Line'!$Q$2:$Q$501,$V132)&amp;"")</f>
        <v/>
      </c>
      <c r="I132">
        <f>IF($V132="","",INDEX('Per Line'!$R$2:$R$501,$V132)&amp;"")</f>
        <v/>
      </c>
      <c r="J132" s="11">
        <f>IF($V132="","",INDEX('Per Line'!$S$2:$S$501,$V132))</f>
        <v/>
      </c>
      <c r="K132">
        <f>IF($V132="","",INDEX('Per Line'!$T$2:$T$501,$V132)&amp;"")</f>
        <v/>
      </c>
      <c r="L132">
        <f>IF($V132="","",Settings!$C$7)</f>
        <v/>
      </c>
      <c r="M132" s="7">
        <f>IF($V132="","",SUMIFS('Per Line'!$N$2:$N$501,'Per Line'!$A$2:$A$501,$A132,'Per Line'!$Y$2:$Y$501,0))</f>
        <v/>
      </c>
      <c r="N132" s="7">
        <f>IF($V132="","",M132*L132)</f>
        <v/>
      </c>
      <c r="O132">
        <f>IF($V132="","",Settings!$C$6)</f>
        <v/>
      </c>
      <c r="P132" s="7">
        <f>IF($V132="","",SUMIFS('Per Line'!$N$2:$N$501,'Per Line'!$A$2:$A$501,$A132,'Per Line'!$Y$2:$Y$501,1))</f>
        <v/>
      </c>
      <c r="Q132" s="7">
        <f>IF($V132="","",P132*O132)</f>
        <v/>
      </c>
      <c r="R132" s="7">
        <f>IF($V132="","",Q132+N132)</f>
        <v/>
      </c>
      <c r="S132" s="7">
        <f>IF($V132="","",T132-R132)</f>
        <v/>
      </c>
      <c r="T132" s="7">
        <f>IF($V132="","",M132+P132)</f>
        <v/>
      </c>
      <c r="U132" s="7">
        <f>IF($V132="","",T132-R132-G132)</f>
        <v/>
      </c>
      <c r="V132" s="13">
        <f>IF(ROWS($V$2:$V132)&lt;=MAX('Per Line'!$X$2:$X$501),MATCH(ROWS($V$2:$V132),'Per Line'!$X$2:$X$501,0),"")</f>
        <v/>
      </c>
    </row>
    <row r="133">
      <c r="A133">
        <f>IF($V133="","",INDEX('Per Line'!$A$2:$A$501,$V133)&amp;"")</f>
        <v/>
      </c>
      <c r="B133" s="12" t="n"/>
      <c r="C133">
        <f>IF($V133="","",INDEX('Per Line'!$B$2:$B$501,$V133)&amp;"")</f>
        <v/>
      </c>
      <c r="D133">
        <f>IF($V133="","",INDEX('Per Line'!$C$2:$C$501,$V133)&amp;"")</f>
        <v/>
      </c>
      <c r="E133">
        <f>IF($V133="","",INDEX('Per Line'!$D$2:$D$501,$V133)&amp;"")</f>
        <v/>
      </c>
      <c r="F133">
        <f>IF($V133="","",INDEX('Per Line'!$E$2:$E$501,$V133))</f>
        <v/>
      </c>
      <c r="G133" s="7">
        <f>IF($V133="","",F133*T133/100)</f>
        <v/>
      </c>
      <c r="H133">
        <f>IF($V133="","",INDEX('Per Line'!$Q$2:$Q$501,$V133)&amp;"")</f>
        <v/>
      </c>
      <c r="I133">
        <f>IF($V133="","",INDEX('Per Line'!$R$2:$R$501,$V133)&amp;"")</f>
        <v/>
      </c>
      <c r="J133" s="11">
        <f>IF($V133="","",INDEX('Per Line'!$S$2:$S$501,$V133))</f>
        <v/>
      </c>
      <c r="K133">
        <f>IF($V133="","",INDEX('Per Line'!$T$2:$T$501,$V133)&amp;"")</f>
        <v/>
      </c>
      <c r="L133">
        <f>IF($V133="","",Settings!$C$7)</f>
        <v/>
      </c>
      <c r="M133" s="7">
        <f>IF($V133="","",SUMIFS('Per Line'!$N$2:$N$501,'Per Line'!$A$2:$A$501,$A133,'Per Line'!$Y$2:$Y$501,0))</f>
        <v/>
      </c>
      <c r="N133" s="7">
        <f>IF($V133="","",M133*L133)</f>
        <v/>
      </c>
      <c r="O133">
        <f>IF($V133="","",Settings!$C$6)</f>
        <v/>
      </c>
      <c r="P133" s="7">
        <f>IF($V133="","",SUMIFS('Per Line'!$N$2:$N$501,'Per Line'!$A$2:$A$501,$A133,'Per Line'!$Y$2:$Y$501,1))</f>
        <v/>
      </c>
      <c r="Q133" s="7">
        <f>IF($V133="","",P133*O133)</f>
        <v/>
      </c>
      <c r="R133" s="7">
        <f>IF($V133="","",Q133+N133)</f>
        <v/>
      </c>
      <c r="S133" s="7">
        <f>IF($V133="","",T133-R133)</f>
        <v/>
      </c>
      <c r="T133" s="7">
        <f>IF($V133="","",M133+P133)</f>
        <v/>
      </c>
      <c r="U133" s="7">
        <f>IF($V133="","",T133-R133-G133)</f>
        <v/>
      </c>
      <c r="V133" s="13">
        <f>IF(ROWS($V$2:$V133)&lt;=MAX('Per Line'!$X$2:$X$501),MATCH(ROWS($V$2:$V133),'Per Line'!$X$2:$X$501,0),"")</f>
        <v/>
      </c>
    </row>
    <row r="134">
      <c r="A134">
        <f>IF($V134="","",INDEX('Per Line'!$A$2:$A$501,$V134)&amp;"")</f>
        <v/>
      </c>
      <c r="B134" s="12" t="n"/>
      <c r="C134">
        <f>IF($V134="","",INDEX('Per Line'!$B$2:$B$501,$V134)&amp;"")</f>
        <v/>
      </c>
      <c r="D134">
        <f>IF($V134="","",INDEX('Per Line'!$C$2:$C$501,$V134)&amp;"")</f>
        <v/>
      </c>
      <c r="E134">
        <f>IF($V134="","",INDEX('Per Line'!$D$2:$D$501,$V134)&amp;"")</f>
        <v/>
      </c>
      <c r="F134">
        <f>IF($V134="","",INDEX('Per Line'!$E$2:$E$501,$V134))</f>
        <v/>
      </c>
      <c r="G134" s="7">
        <f>IF($V134="","",F134*T134/100)</f>
        <v/>
      </c>
      <c r="H134">
        <f>IF($V134="","",INDEX('Per Line'!$Q$2:$Q$501,$V134)&amp;"")</f>
        <v/>
      </c>
      <c r="I134">
        <f>IF($V134="","",INDEX('Per Line'!$R$2:$R$501,$V134)&amp;"")</f>
        <v/>
      </c>
      <c r="J134" s="11">
        <f>IF($V134="","",INDEX('Per Line'!$S$2:$S$501,$V134))</f>
        <v/>
      </c>
      <c r="K134">
        <f>IF($V134="","",INDEX('Per Line'!$T$2:$T$501,$V134)&amp;"")</f>
        <v/>
      </c>
      <c r="L134">
        <f>IF($V134="","",Settings!$C$7)</f>
        <v/>
      </c>
      <c r="M134" s="7">
        <f>IF($V134="","",SUMIFS('Per Line'!$N$2:$N$501,'Per Line'!$A$2:$A$501,$A134,'Per Line'!$Y$2:$Y$501,0))</f>
        <v/>
      </c>
      <c r="N134" s="7">
        <f>IF($V134="","",M134*L134)</f>
        <v/>
      </c>
      <c r="O134">
        <f>IF($V134="","",Settings!$C$6)</f>
        <v/>
      </c>
      <c r="P134" s="7">
        <f>IF($V134="","",SUMIFS('Per Line'!$N$2:$N$501,'Per Line'!$A$2:$A$501,$A134,'Per Line'!$Y$2:$Y$501,1))</f>
        <v/>
      </c>
      <c r="Q134" s="7">
        <f>IF($V134="","",P134*O134)</f>
        <v/>
      </c>
      <c r="R134" s="7">
        <f>IF($V134="","",Q134+N134)</f>
        <v/>
      </c>
      <c r="S134" s="7">
        <f>IF($V134="","",T134-R134)</f>
        <v/>
      </c>
      <c r="T134" s="7">
        <f>IF($V134="","",M134+P134)</f>
        <v/>
      </c>
      <c r="U134" s="7">
        <f>IF($V134="","",T134-R134-G134)</f>
        <v/>
      </c>
      <c r="V134" s="13">
        <f>IF(ROWS($V$2:$V134)&lt;=MAX('Per Line'!$X$2:$X$501),MATCH(ROWS($V$2:$V134),'Per Line'!$X$2:$X$501,0),"")</f>
        <v/>
      </c>
    </row>
    <row r="135">
      <c r="A135">
        <f>IF($V135="","",INDEX('Per Line'!$A$2:$A$501,$V135)&amp;"")</f>
        <v/>
      </c>
      <c r="B135" s="12" t="n"/>
      <c r="C135">
        <f>IF($V135="","",INDEX('Per Line'!$B$2:$B$501,$V135)&amp;"")</f>
        <v/>
      </c>
      <c r="D135">
        <f>IF($V135="","",INDEX('Per Line'!$C$2:$C$501,$V135)&amp;"")</f>
        <v/>
      </c>
      <c r="E135">
        <f>IF($V135="","",INDEX('Per Line'!$D$2:$D$501,$V135)&amp;"")</f>
        <v/>
      </c>
      <c r="F135">
        <f>IF($V135="","",INDEX('Per Line'!$E$2:$E$501,$V135))</f>
        <v/>
      </c>
      <c r="G135" s="7">
        <f>IF($V135="","",F135*T135/100)</f>
        <v/>
      </c>
      <c r="H135">
        <f>IF($V135="","",INDEX('Per Line'!$Q$2:$Q$501,$V135)&amp;"")</f>
        <v/>
      </c>
      <c r="I135">
        <f>IF($V135="","",INDEX('Per Line'!$R$2:$R$501,$V135)&amp;"")</f>
        <v/>
      </c>
      <c r="J135" s="11">
        <f>IF($V135="","",INDEX('Per Line'!$S$2:$S$501,$V135))</f>
        <v/>
      </c>
      <c r="K135">
        <f>IF($V135="","",INDEX('Per Line'!$T$2:$T$501,$V135)&amp;"")</f>
        <v/>
      </c>
      <c r="L135">
        <f>IF($V135="","",Settings!$C$7)</f>
        <v/>
      </c>
      <c r="M135" s="7">
        <f>IF($V135="","",SUMIFS('Per Line'!$N$2:$N$501,'Per Line'!$A$2:$A$501,$A135,'Per Line'!$Y$2:$Y$501,0))</f>
        <v/>
      </c>
      <c r="N135" s="7">
        <f>IF($V135="","",M135*L135)</f>
        <v/>
      </c>
      <c r="O135">
        <f>IF($V135="","",Settings!$C$6)</f>
        <v/>
      </c>
      <c r="P135" s="7">
        <f>IF($V135="","",SUMIFS('Per Line'!$N$2:$N$501,'Per Line'!$A$2:$A$501,$A135,'Per Line'!$Y$2:$Y$501,1))</f>
        <v/>
      </c>
      <c r="Q135" s="7">
        <f>IF($V135="","",P135*O135)</f>
        <v/>
      </c>
      <c r="R135" s="7">
        <f>IF($V135="","",Q135+N135)</f>
        <v/>
      </c>
      <c r="S135" s="7">
        <f>IF($V135="","",T135-R135)</f>
        <v/>
      </c>
      <c r="T135" s="7">
        <f>IF($V135="","",M135+P135)</f>
        <v/>
      </c>
      <c r="U135" s="7">
        <f>IF($V135="","",T135-R135-G135)</f>
        <v/>
      </c>
      <c r="V135" s="13">
        <f>IF(ROWS($V$2:$V135)&lt;=MAX('Per Line'!$X$2:$X$501),MATCH(ROWS($V$2:$V135),'Per Line'!$X$2:$X$501,0),"")</f>
        <v/>
      </c>
    </row>
    <row r="136">
      <c r="A136">
        <f>IF($V136="","",INDEX('Per Line'!$A$2:$A$501,$V136)&amp;"")</f>
        <v/>
      </c>
      <c r="B136" s="12" t="n"/>
      <c r="C136">
        <f>IF($V136="","",INDEX('Per Line'!$B$2:$B$501,$V136)&amp;"")</f>
        <v/>
      </c>
      <c r="D136">
        <f>IF($V136="","",INDEX('Per Line'!$C$2:$C$501,$V136)&amp;"")</f>
        <v/>
      </c>
      <c r="E136">
        <f>IF($V136="","",INDEX('Per Line'!$D$2:$D$501,$V136)&amp;"")</f>
        <v/>
      </c>
      <c r="F136">
        <f>IF($V136="","",INDEX('Per Line'!$E$2:$E$501,$V136))</f>
        <v/>
      </c>
      <c r="G136" s="7">
        <f>IF($V136="","",F136*T136/100)</f>
        <v/>
      </c>
      <c r="H136">
        <f>IF($V136="","",INDEX('Per Line'!$Q$2:$Q$501,$V136)&amp;"")</f>
        <v/>
      </c>
      <c r="I136">
        <f>IF($V136="","",INDEX('Per Line'!$R$2:$R$501,$V136)&amp;"")</f>
        <v/>
      </c>
      <c r="J136" s="11">
        <f>IF($V136="","",INDEX('Per Line'!$S$2:$S$501,$V136))</f>
        <v/>
      </c>
      <c r="K136">
        <f>IF($V136="","",INDEX('Per Line'!$T$2:$T$501,$V136)&amp;"")</f>
        <v/>
      </c>
      <c r="L136">
        <f>IF($V136="","",Settings!$C$7)</f>
        <v/>
      </c>
      <c r="M136" s="7">
        <f>IF($V136="","",SUMIFS('Per Line'!$N$2:$N$501,'Per Line'!$A$2:$A$501,$A136,'Per Line'!$Y$2:$Y$501,0))</f>
        <v/>
      </c>
      <c r="N136" s="7">
        <f>IF($V136="","",M136*L136)</f>
        <v/>
      </c>
      <c r="O136">
        <f>IF($V136="","",Settings!$C$6)</f>
        <v/>
      </c>
      <c r="P136" s="7">
        <f>IF($V136="","",SUMIFS('Per Line'!$N$2:$N$501,'Per Line'!$A$2:$A$501,$A136,'Per Line'!$Y$2:$Y$501,1))</f>
        <v/>
      </c>
      <c r="Q136" s="7">
        <f>IF($V136="","",P136*O136)</f>
        <v/>
      </c>
      <c r="R136" s="7">
        <f>IF($V136="","",Q136+N136)</f>
        <v/>
      </c>
      <c r="S136" s="7">
        <f>IF($V136="","",T136-R136)</f>
        <v/>
      </c>
      <c r="T136" s="7">
        <f>IF($V136="","",M136+P136)</f>
        <v/>
      </c>
      <c r="U136" s="7">
        <f>IF($V136="","",T136-R136-G136)</f>
        <v/>
      </c>
      <c r="V136" s="13">
        <f>IF(ROWS($V$2:$V136)&lt;=MAX('Per Line'!$X$2:$X$501),MATCH(ROWS($V$2:$V136),'Per Line'!$X$2:$X$501,0),"")</f>
        <v/>
      </c>
    </row>
    <row r="137">
      <c r="A137">
        <f>IF($V137="","",INDEX('Per Line'!$A$2:$A$501,$V137)&amp;"")</f>
        <v/>
      </c>
      <c r="B137" s="12" t="n"/>
      <c r="C137">
        <f>IF($V137="","",INDEX('Per Line'!$B$2:$B$501,$V137)&amp;"")</f>
        <v/>
      </c>
      <c r="D137">
        <f>IF($V137="","",INDEX('Per Line'!$C$2:$C$501,$V137)&amp;"")</f>
        <v/>
      </c>
      <c r="E137">
        <f>IF($V137="","",INDEX('Per Line'!$D$2:$D$501,$V137)&amp;"")</f>
        <v/>
      </c>
      <c r="F137">
        <f>IF($V137="","",INDEX('Per Line'!$E$2:$E$501,$V137))</f>
        <v/>
      </c>
      <c r="G137" s="7">
        <f>IF($V137="","",F137*T137/100)</f>
        <v/>
      </c>
      <c r="H137">
        <f>IF($V137="","",INDEX('Per Line'!$Q$2:$Q$501,$V137)&amp;"")</f>
        <v/>
      </c>
      <c r="I137">
        <f>IF($V137="","",INDEX('Per Line'!$R$2:$R$501,$V137)&amp;"")</f>
        <v/>
      </c>
      <c r="J137" s="11">
        <f>IF($V137="","",INDEX('Per Line'!$S$2:$S$501,$V137))</f>
        <v/>
      </c>
      <c r="K137">
        <f>IF($V137="","",INDEX('Per Line'!$T$2:$T$501,$V137)&amp;"")</f>
        <v/>
      </c>
      <c r="L137">
        <f>IF($V137="","",Settings!$C$7)</f>
        <v/>
      </c>
      <c r="M137" s="7">
        <f>IF($V137="","",SUMIFS('Per Line'!$N$2:$N$501,'Per Line'!$A$2:$A$501,$A137,'Per Line'!$Y$2:$Y$501,0))</f>
        <v/>
      </c>
      <c r="N137" s="7">
        <f>IF($V137="","",M137*L137)</f>
        <v/>
      </c>
      <c r="O137">
        <f>IF($V137="","",Settings!$C$6)</f>
        <v/>
      </c>
      <c r="P137" s="7">
        <f>IF($V137="","",SUMIFS('Per Line'!$N$2:$N$501,'Per Line'!$A$2:$A$501,$A137,'Per Line'!$Y$2:$Y$501,1))</f>
        <v/>
      </c>
      <c r="Q137" s="7">
        <f>IF($V137="","",P137*O137)</f>
        <v/>
      </c>
      <c r="R137" s="7">
        <f>IF($V137="","",Q137+N137)</f>
        <v/>
      </c>
      <c r="S137" s="7">
        <f>IF($V137="","",T137-R137)</f>
        <v/>
      </c>
      <c r="T137" s="7">
        <f>IF($V137="","",M137+P137)</f>
        <v/>
      </c>
      <c r="U137" s="7">
        <f>IF($V137="","",T137-R137-G137)</f>
        <v/>
      </c>
      <c r="V137" s="13">
        <f>IF(ROWS($V$2:$V137)&lt;=MAX('Per Line'!$X$2:$X$501),MATCH(ROWS($V$2:$V137),'Per Line'!$X$2:$X$501,0),"")</f>
        <v/>
      </c>
    </row>
    <row r="138">
      <c r="A138">
        <f>IF($V138="","",INDEX('Per Line'!$A$2:$A$501,$V138)&amp;"")</f>
        <v/>
      </c>
      <c r="B138" s="12" t="n"/>
      <c r="C138">
        <f>IF($V138="","",INDEX('Per Line'!$B$2:$B$501,$V138)&amp;"")</f>
        <v/>
      </c>
      <c r="D138">
        <f>IF($V138="","",INDEX('Per Line'!$C$2:$C$501,$V138)&amp;"")</f>
        <v/>
      </c>
      <c r="E138">
        <f>IF($V138="","",INDEX('Per Line'!$D$2:$D$501,$V138)&amp;"")</f>
        <v/>
      </c>
      <c r="F138">
        <f>IF($V138="","",INDEX('Per Line'!$E$2:$E$501,$V138))</f>
        <v/>
      </c>
      <c r="G138" s="7">
        <f>IF($V138="","",F138*T138/100)</f>
        <v/>
      </c>
      <c r="H138">
        <f>IF($V138="","",INDEX('Per Line'!$Q$2:$Q$501,$V138)&amp;"")</f>
        <v/>
      </c>
      <c r="I138">
        <f>IF($V138="","",INDEX('Per Line'!$R$2:$R$501,$V138)&amp;"")</f>
        <v/>
      </c>
      <c r="J138" s="11">
        <f>IF($V138="","",INDEX('Per Line'!$S$2:$S$501,$V138))</f>
        <v/>
      </c>
      <c r="K138">
        <f>IF($V138="","",INDEX('Per Line'!$T$2:$T$501,$V138)&amp;"")</f>
        <v/>
      </c>
      <c r="L138">
        <f>IF($V138="","",Settings!$C$7)</f>
        <v/>
      </c>
      <c r="M138" s="7">
        <f>IF($V138="","",SUMIFS('Per Line'!$N$2:$N$501,'Per Line'!$A$2:$A$501,$A138,'Per Line'!$Y$2:$Y$501,0))</f>
        <v/>
      </c>
      <c r="N138" s="7">
        <f>IF($V138="","",M138*L138)</f>
        <v/>
      </c>
      <c r="O138">
        <f>IF($V138="","",Settings!$C$6)</f>
        <v/>
      </c>
      <c r="P138" s="7">
        <f>IF($V138="","",SUMIFS('Per Line'!$N$2:$N$501,'Per Line'!$A$2:$A$501,$A138,'Per Line'!$Y$2:$Y$501,1))</f>
        <v/>
      </c>
      <c r="Q138" s="7">
        <f>IF($V138="","",P138*O138)</f>
        <v/>
      </c>
      <c r="R138" s="7">
        <f>IF($V138="","",Q138+N138)</f>
        <v/>
      </c>
      <c r="S138" s="7">
        <f>IF($V138="","",T138-R138)</f>
        <v/>
      </c>
      <c r="T138" s="7">
        <f>IF($V138="","",M138+P138)</f>
        <v/>
      </c>
      <c r="U138" s="7">
        <f>IF($V138="","",T138-R138-G138)</f>
        <v/>
      </c>
      <c r="V138" s="13">
        <f>IF(ROWS($V$2:$V138)&lt;=MAX('Per Line'!$X$2:$X$501),MATCH(ROWS($V$2:$V138),'Per Line'!$X$2:$X$501,0),"")</f>
        <v/>
      </c>
    </row>
    <row r="139">
      <c r="A139">
        <f>IF($V139="","",INDEX('Per Line'!$A$2:$A$501,$V139)&amp;"")</f>
        <v/>
      </c>
      <c r="B139" s="12" t="n"/>
      <c r="C139">
        <f>IF($V139="","",INDEX('Per Line'!$B$2:$B$501,$V139)&amp;"")</f>
        <v/>
      </c>
      <c r="D139">
        <f>IF($V139="","",INDEX('Per Line'!$C$2:$C$501,$V139)&amp;"")</f>
        <v/>
      </c>
      <c r="E139">
        <f>IF($V139="","",INDEX('Per Line'!$D$2:$D$501,$V139)&amp;"")</f>
        <v/>
      </c>
      <c r="F139">
        <f>IF($V139="","",INDEX('Per Line'!$E$2:$E$501,$V139))</f>
        <v/>
      </c>
      <c r="G139" s="7">
        <f>IF($V139="","",F139*T139/100)</f>
        <v/>
      </c>
      <c r="H139">
        <f>IF($V139="","",INDEX('Per Line'!$Q$2:$Q$501,$V139)&amp;"")</f>
        <v/>
      </c>
      <c r="I139">
        <f>IF($V139="","",INDEX('Per Line'!$R$2:$R$501,$V139)&amp;"")</f>
        <v/>
      </c>
      <c r="J139" s="11">
        <f>IF($V139="","",INDEX('Per Line'!$S$2:$S$501,$V139))</f>
        <v/>
      </c>
      <c r="K139">
        <f>IF($V139="","",INDEX('Per Line'!$T$2:$T$501,$V139)&amp;"")</f>
        <v/>
      </c>
      <c r="L139">
        <f>IF($V139="","",Settings!$C$7)</f>
        <v/>
      </c>
      <c r="M139" s="7">
        <f>IF($V139="","",SUMIFS('Per Line'!$N$2:$N$501,'Per Line'!$A$2:$A$501,$A139,'Per Line'!$Y$2:$Y$501,0))</f>
        <v/>
      </c>
      <c r="N139" s="7">
        <f>IF($V139="","",M139*L139)</f>
        <v/>
      </c>
      <c r="O139">
        <f>IF($V139="","",Settings!$C$6)</f>
        <v/>
      </c>
      <c r="P139" s="7">
        <f>IF($V139="","",SUMIFS('Per Line'!$N$2:$N$501,'Per Line'!$A$2:$A$501,$A139,'Per Line'!$Y$2:$Y$501,1))</f>
        <v/>
      </c>
      <c r="Q139" s="7">
        <f>IF($V139="","",P139*O139)</f>
        <v/>
      </c>
      <c r="R139" s="7">
        <f>IF($V139="","",Q139+N139)</f>
        <v/>
      </c>
      <c r="S139" s="7">
        <f>IF($V139="","",T139-R139)</f>
        <v/>
      </c>
      <c r="T139" s="7">
        <f>IF($V139="","",M139+P139)</f>
        <v/>
      </c>
      <c r="U139" s="7">
        <f>IF($V139="","",T139-R139-G139)</f>
        <v/>
      </c>
      <c r="V139" s="13">
        <f>IF(ROWS($V$2:$V139)&lt;=MAX('Per Line'!$X$2:$X$501),MATCH(ROWS($V$2:$V139),'Per Line'!$X$2:$X$501,0),"")</f>
        <v/>
      </c>
    </row>
    <row r="140">
      <c r="A140">
        <f>IF($V140="","",INDEX('Per Line'!$A$2:$A$501,$V140)&amp;"")</f>
        <v/>
      </c>
      <c r="B140" s="12" t="n"/>
      <c r="C140">
        <f>IF($V140="","",INDEX('Per Line'!$B$2:$B$501,$V140)&amp;"")</f>
        <v/>
      </c>
      <c r="D140">
        <f>IF($V140="","",INDEX('Per Line'!$C$2:$C$501,$V140)&amp;"")</f>
        <v/>
      </c>
      <c r="E140">
        <f>IF($V140="","",INDEX('Per Line'!$D$2:$D$501,$V140)&amp;"")</f>
        <v/>
      </c>
      <c r="F140">
        <f>IF($V140="","",INDEX('Per Line'!$E$2:$E$501,$V140))</f>
        <v/>
      </c>
      <c r="G140" s="7">
        <f>IF($V140="","",F140*T140/100)</f>
        <v/>
      </c>
      <c r="H140">
        <f>IF($V140="","",INDEX('Per Line'!$Q$2:$Q$501,$V140)&amp;"")</f>
        <v/>
      </c>
      <c r="I140">
        <f>IF($V140="","",INDEX('Per Line'!$R$2:$R$501,$V140)&amp;"")</f>
        <v/>
      </c>
      <c r="J140" s="11">
        <f>IF($V140="","",INDEX('Per Line'!$S$2:$S$501,$V140))</f>
        <v/>
      </c>
      <c r="K140">
        <f>IF($V140="","",INDEX('Per Line'!$T$2:$T$501,$V140)&amp;"")</f>
        <v/>
      </c>
      <c r="L140">
        <f>IF($V140="","",Settings!$C$7)</f>
        <v/>
      </c>
      <c r="M140" s="7">
        <f>IF($V140="","",SUMIFS('Per Line'!$N$2:$N$501,'Per Line'!$A$2:$A$501,$A140,'Per Line'!$Y$2:$Y$501,0))</f>
        <v/>
      </c>
      <c r="N140" s="7">
        <f>IF($V140="","",M140*L140)</f>
        <v/>
      </c>
      <c r="O140">
        <f>IF($V140="","",Settings!$C$6)</f>
        <v/>
      </c>
      <c r="P140" s="7">
        <f>IF($V140="","",SUMIFS('Per Line'!$N$2:$N$501,'Per Line'!$A$2:$A$501,$A140,'Per Line'!$Y$2:$Y$501,1))</f>
        <v/>
      </c>
      <c r="Q140" s="7">
        <f>IF($V140="","",P140*O140)</f>
        <v/>
      </c>
      <c r="R140" s="7">
        <f>IF($V140="","",Q140+N140)</f>
        <v/>
      </c>
      <c r="S140" s="7">
        <f>IF($V140="","",T140-R140)</f>
        <v/>
      </c>
      <c r="T140" s="7">
        <f>IF($V140="","",M140+P140)</f>
        <v/>
      </c>
      <c r="U140" s="7">
        <f>IF($V140="","",T140-R140-G140)</f>
        <v/>
      </c>
      <c r="V140" s="13">
        <f>IF(ROWS($V$2:$V140)&lt;=MAX('Per Line'!$X$2:$X$501),MATCH(ROWS($V$2:$V140),'Per Line'!$X$2:$X$501,0),"")</f>
        <v/>
      </c>
    </row>
    <row r="141">
      <c r="A141">
        <f>IF($V141="","",INDEX('Per Line'!$A$2:$A$501,$V141)&amp;"")</f>
        <v/>
      </c>
      <c r="B141" s="12" t="n"/>
      <c r="C141">
        <f>IF($V141="","",INDEX('Per Line'!$B$2:$B$501,$V141)&amp;"")</f>
        <v/>
      </c>
      <c r="D141">
        <f>IF($V141="","",INDEX('Per Line'!$C$2:$C$501,$V141)&amp;"")</f>
        <v/>
      </c>
      <c r="E141">
        <f>IF($V141="","",INDEX('Per Line'!$D$2:$D$501,$V141)&amp;"")</f>
        <v/>
      </c>
      <c r="F141">
        <f>IF($V141="","",INDEX('Per Line'!$E$2:$E$501,$V141))</f>
        <v/>
      </c>
      <c r="G141" s="7">
        <f>IF($V141="","",F141*T141/100)</f>
        <v/>
      </c>
      <c r="H141">
        <f>IF($V141="","",INDEX('Per Line'!$Q$2:$Q$501,$V141)&amp;"")</f>
        <v/>
      </c>
      <c r="I141">
        <f>IF($V141="","",INDEX('Per Line'!$R$2:$R$501,$V141)&amp;"")</f>
        <v/>
      </c>
      <c r="J141" s="11">
        <f>IF($V141="","",INDEX('Per Line'!$S$2:$S$501,$V141))</f>
        <v/>
      </c>
      <c r="K141">
        <f>IF($V141="","",INDEX('Per Line'!$T$2:$T$501,$V141)&amp;"")</f>
        <v/>
      </c>
      <c r="L141">
        <f>IF($V141="","",Settings!$C$7)</f>
        <v/>
      </c>
      <c r="M141" s="7">
        <f>IF($V141="","",SUMIFS('Per Line'!$N$2:$N$501,'Per Line'!$A$2:$A$501,$A141,'Per Line'!$Y$2:$Y$501,0))</f>
        <v/>
      </c>
      <c r="N141" s="7">
        <f>IF($V141="","",M141*L141)</f>
        <v/>
      </c>
      <c r="O141">
        <f>IF($V141="","",Settings!$C$6)</f>
        <v/>
      </c>
      <c r="P141" s="7">
        <f>IF($V141="","",SUMIFS('Per Line'!$N$2:$N$501,'Per Line'!$A$2:$A$501,$A141,'Per Line'!$Y$2:$Y$501,1))</f>
        <v/>
      </c>
      <c r="Q141" s="7">
        <f>IF($V141="","",P141*O141)</f>
        <v/>
      </c>
      <c r="R141" s="7">
        <f>IF($V141="","",Q141+N141)</f>
        <v/>
      </c>
      <c r="S141" s="7">
        <f>IF($V141="","",T141-R141)</f>
        <v/>
      </c>
      <c r="T141" s="7">
        <f>IF($V141="","",M141+P141)</f>
        <v/>
      </c>
      <c r="U141" s="7">
        <f>IF($V141="","",T141-R141-G141)</f>
        <v/>
      </c>
      <c r="V141" s="13">
        <f>IF(ROWS($V$2:$V141)&lt;=MAX('Per Line'!$X$2:$X$501),MATCH(ROWS($V$2:$V141),'Per Line'!$X$2:$X$501,0),"")</f>
        <v/>
      </c>
    </row>
    <row r="142">
      <c r="A142">
        <f>IF($V142="","",INDEX('Per Line'!$A$2:$A$501,$V142)&amp;"")</f>
        <v/>
      </c>
      <c r="B142" s="12" t="n"/>
      <c r="C142">
        <f>IF($V142="","",INDEX('Per Line'!$B$2:$B$501,$V142)&amp;"")</f>
        <v/>
      </c>
      <c r="D142">
        <f>IF($V142="","",INDEX('Per Line'!$C$2:$C$501,$V142)&amp;"")</f>
        <v/>
      </c>
      <c r="E142">
        <f>IF($V142="","",INDEX('Per Line'!$D$2:$D$501,$V142)&amp;"")</f>
        <v/>
      </c>
      <c r="F142">
        <f>IF($V142="","",INDEX('Per Line'!$E$2:$E$501,$V142))</f>
        <v/>
      </c>
      <c r="G142" s="7">
        <f>IF($V142="","",F142*T142/100)</f>
        <v/>
      </c>
      <c r="H142">
        <f>IF($V142="","",INDEX('Per Line'!$Q$2:$Q$501,$V142)&amp;"")</f>
        <v/>
      </c>
      <c r="I142">
        <f>IF($V142="","",INDEX('Per Line'!$R$2:$R$501,$V142)&amp;"")</f>
        <v/>
      </c>
      <c r="J142" s="11">
        <f>IF($V142="","",INDEX('Per Line'!$S$2:$S$501,$V142))</f>
        <v/>
      </c>
      <c r="K142">
        <f>IF($V142="","",INDEX('Per Line'!$T$2:$T$501,$V142)&amp;"")</f>
        <v/>
      </c>
      <c r="L142">
        <f>IF($V142="","",Settings!$C$7)</f>
        <v/>
      </c>
      <c r="M142" s="7">
        <f>IF($V142="","",SUMIFS('Per Line'!$N$2:$N$501,'Per Line'!$A$2:$A$501,$A142,'Per Line'!$Y$2:$Y$501,0))</f>
        <v/>
      </c>
      <c r="N142" s="7">
        <f>IF($V142="","",M142*L142)</f>
        <v/>
      </c>
      <c r="O142">
        <f>IF($V142="","",Settings!$C$6)</f>
        <v/>
      </c>
      <c r="P142" s="7">
        <f>IF($V142="","",SUMIFS('Per Line'!$N$2:$N$501,'Per Line'!$A$2:$A$501,$A142,'Per Line'!$Y$2:$Y$501,1))</f>
        <v/>
      </c>
      <c r="Q142" s="7">
        <f>IF($V142="","",P142*O142)</f>
        <v/>
      </c>
      <c r="R142" s="7">
        <f>IF($V142="","",Q142+N142)</f>
        <v/>
      </c>
      <c r="S142" s="7">
        <f>IF($V142="","",T142-R142)</f>
        <v/>
      </c>
      <c r="T142" s="7">
        <f>IF($V142="","",M142+P142)</f>
        <v/>
      </c>
      <c r="U142" s="7">
        <f>IF($V142="","",T142-R142-G142)</f>
        <v/>
      </c>
      <c r="V142" s="13">
        <f>IF(ROWS($V$2:$V142)&lt;=MAX('Per Line'!$X$2:$X$501),MATCH(ROWS($V$2:$V142),'Per Line'!$X$2:$X$501,0),"")</f>
        <v/>
      </c>
    </row>
    <row r="143">
      <c r="A143">
        <f>IF($V143="","",INDEX('Per Line'!$A$2:$A$501,$V143)&amp;"")</f>
        <v/>
      </c>
      <c r="B143" s="12" t="n"/>
      <c r="C143">
        <f>IF($V143="","",INDEX('Per Line'!$B$2:$B$501,$V143)&amp;"")</f>
        <v/>
      </c>
      <c r="D143">
        <f>IF($V143="","",INDEX('Per Line'!$C$2:$C$501,$V143)&amp;"")</f>
        <v/>
      </c>
      <c r="E143">
        <f>IF($V143="","",INDEX('Per Line'!$D$2:$D$501,$V143)&amp;"")</f>
        <v/>
      </c>
      <c r="F143">
        <f>IF($V143="","",INDEX('Per Line'!$E$2:$E$501,$V143))</f>
        <v/>
      </c>
      <c r="G143" s="7">
        <f>IF($V143="","",F143*T143/100)</f>
        <v/>
      </c>
      <c r="H143">
        <f>IF($V143="","",INDEX('Per Line'!$Q$2:$Q$501,$V143)&amp;"")</f>
        <v/>
      </c>
      <c r="I143">
        <f>IF($V143="","",INDEX('Per Line'!$R$2:$R$501,$V143)&amp;"")</f>
        <v/>
      </c>
      <c r="J143" s="11">
        <f>IF($V143="","",INDEX('Per Line'!$S$2:$S$501,$V143))</f>
        <v/>
      </c>
      <c r="K143">
        <f>IF($V143="","",INDEX('Per Line'!$T$2:$T$501,$V143)&amp;"")</f>
        <v/>
      </c>
      <c r="L143">
        <f>IF($V143="","",Settings!$C$7)</f>
        <v/>
      </c>
      <c r="M143" s="7">
        <f>IF($V143="","",SUMIFS('Per Line'!$N$2:$N$501,'Per Line'!$A$2:$A$501,$A143,'Per Line'!$Y$2:$Y$501,0))</f>
        <v/>
      </c>
      <c r="N143" s="7">
        <f>IF($V143="","",M143*L143)</f>
        <v/>
      </c>
      <c r="O143">
        <f>IF($V143="","",Settings!$C$6)</f>
        <v/>
      </c>
      <c r="P143" s="7">
        <f>IF($V143="","",SUMIFS('Per Line'!$N$2:$N$501,'Per Line'!$A$2:$A$501,$A143,'Per Line'!$Y$2:$Y$501,1))</f>
        <v/>
      </c>
      <c r="Q143" s="7">
        <f>IF($V143="","",P143*O143)</f>
        <v/>
      </c>
      <c r="R143" s="7">
        <f>IF($V143="","",Q143+N143)</f>
        <v/>
      </c>
      <c r="S143" s="7">
        <f>IF($V143="","",T143-R143)</f>
        <v/>
      </c>
      <c r="T143" s="7">
        <f>IF($V143="","",M143+P143)</f>
        <v/>
      </c>
      <c r="U143" s="7">
        <f>IF($V143="","",T143-R143-G143)</f>
        <v/>
      </c>
      <c r="V143" s="13">
        <f>IF(ROWS($V$2:$V143)&lt;=MAX('Per Line'!$X$2:$X$501),MATCH(ROWS($V$2:$V143),'Per Line'!$X$2:$X$501,0),"")</f>
        <v/>
      </c>
    </row>
    <row r="144">
      <c r="A144">
        <f>IF($V144="","",INDEX('Per Line'!$A$2:$A$501,$V144)&amp;"")</f>
        <v/>
      </c>
      <c r="B144" s="12" t="n"/>
      <c r="C144">
        <f>IF($V144="","",INDEX('Per Line'!$B$2:$B$501,$V144)&amp;"")</f>
        <v/>
      </c>
      <c r="D144">
        <f>IF($V144="","",INDEX('Per Line'!$C$2:$C$501,$V144)&amp;"")</f>
        <v/>
      </c>
      <c r="E144">
        <f>IF($V144="","",INDEX('Per Line'!$D$2:$D$501,$V144)&amp;"")</f>
        <v/>
      </c>
      <c r="F144">
        <f>IF($V144="","",INDEX('Per Line'!$E$2:$E$501,$V144))</f>
        <v/>
      </c>
      <c r="G144" s="7">
        <f>IF($V144="","",F144*T144/100)</f>
        <v/>
      </c>
      <c r="H144">
        <f>IF($V144="","",INDEX('Per Line'!$Q$2:$Q$501,$V144)&amp;"")</f>
        <v/>
      </c>
      <c r="I144">
        <f>IF($V144="","",INDEX('Per Line'!$R$2:$R$501,$V144)&amp;"")</f>
        <v/>
      </c>
      <c r="J144" s="11">
        <f>IF($V144="","",INDEX('Per Line'!$S$2:$S$501,$V144))</f>
        <v/>
      </c>
      <c r="K144">
        <f>IF($V144="","",INDEX('Per Line'!$T$2:$T$501,$V144)&amp;"")</f>
        <v/>
      </c>
      <c r="L144">
        <f>IF($V144="","",Settings!$C$7)</f>
        <v/>
      </c>
      <c r="M144" s="7">
        <f>IF($V144="","",SUMIFS('Per Line'!$N$2:$N$501,'Per Line'!$A$2:$A$501,$A144,'Per Line'!$Y$2:$Y$501,0))</f>
        <v/>
      </c>
      <c r="N144" s="7">
        <f>IF($V144="","",M144*L144)</f>
        <v/>
      </c>
      <c r="O144">
        <f>IF($V144="","",Settings!$C$6)</f>
        <v/>
      </c>
      <c r="P144" s="7">
        <f>IF($V144="","",SUMIFS('Per Line'!$N$2:$N$501,'Per Line'!$A$2:$A$501,$A144,'Per Line'!$Y$2:$Y$501,1))</f>
        <v/>
      </c>
      <c r="Q144" s="7">
        <f>IF($V144="","",P144*O144)</f>
        <v/>
      </c>
      <c r="R144" s="7">
        <f>IF($V144="","",Q144+N144)</f>
        <v/>
      </c>
      <c r="S144" s="7">
        <f>IF($V144="","",T144-R144)</f>
        <v/>
      </c>
      <c r="T144" s="7">
        <f>IF($V144="","",M144+P144)</f>
        <v/>
      </c>
      <c r="U144" s="7">
        <f>IF($V144="","",T144-R144-G144)</f>
        <v/>
      </c>
      <c r="V144" s="13">
        <f>IF(ROWS($V$2:$V144)&lt;=MAX('Per Line'!$X$2:$X$501),MATCH(ROWS($V$2:$V144),'Per Line'!$X$2:$X$501,0),"")</f>
        <v/>
      </c>
    </row>
    <row r="145">
      <c r="A145">
        <f>IF($V145="","",INDEX('Per Line'!$A$2:$A$501,$V145)&amp;"")</f>
        <v/>
      </c>
      <c r="B145" s="12" t="n"/>
      <c r="C145">
        <f>IF($V145="","",INDEX('Per Line'!$B$2:$B$501,$V145)&amp;"")</f>
        <v/>
      </c>
      <c r="D145">
        <f>IF($V145="","",INDEX('Per Line'!$C$2:$C$501,$V145)&amp;"")</f>
        <v/>
      </c>
      <c r="E145">
        <f>IF($V145="","",INDEX('Per Line'!$D$2:$D$501,$V145)&amp;"")</f>
        <v/>
      </c>
      <c r="F145">
        <f>IF($V145="","",INDEX('Per Line'!$E$2:$E$501,$V145))</f>
        <v/>
      </c>
      <c r="G145" s="7">
        <f>IF($V145="","",F145*T145/100)</f>
        <v/>
      </c>
      <c r="H145">
        <f>IF($V145="","",INDEX('Per Line'!$Q$2:$Q$501,$V145)&amp;"")</f>
        <v/>
      </c>
      <c r="I145">
        <f>IF($V145="","",INDEX('Per Line'!$R$2:$R$501,$V145)&amp;"")</f>
        <v/>
      </c>
      <c r="J145" s="11">
        <f>IF($V145="","",INDEX('Per Line'!$S$2:$S$501,$V145))</f>
        <v/>
      </c>
      <c r="K145">
        <f>IF($V145="","",INDEX('Per Line'!$T$2:$T$501,$V145)&amp;"")</f>
        <v/>
      </c>
      <c r="L145">
        <f>IF($V145="","",Settings!$C$7)</f>
        <v/>
      </c>
      <c r="M145" s="7">
        <f>IF($V145="","",SUMIFS('Per Line'!$N$2:$N$501,'Per Line'!$A$2:$A$501,$A145,'Per Line'!$Y$2:$Y$501,0))</f>
        <v/>
      </c>
      <c r="N145" s="7">
        <f>IF($V145="","",M145*L145)</f>
        <v/>
      </c>
      <c r="O145">
        <f>IF($V145="","",Settings!$C$6)</f>
        <v/>
      </c>
      <c r="P145" s="7">
        <f>IF($V145="","",SUMIFS('Per Line'!$N$2:$N$501,'Per Line'!$A$2:$A$501,$A145,'Per Line'!$Y$2:$Y$501,1))</f>
        <v/>
      </c>
      <c r="Q145" s="7">
        <f>IF($V145="","",P145*O145)</f>
        <v/>
      </c>
      <c r="R145" s="7">
        <f>IF($V145="","",Q145+N145)</f>
        <v/>
      </c>
      <c r="S145" s="7">
        <f>IF($V145="","",T145-R145)</f>
        <v/>
      </c>
      <c r="T145" s="7">
        <f>IF($V145="","",M145+P145)</f>
        <v/>
      </c>
      <c r="U145" s="7">
        <f>IF($V145="","",T145-R145-G145)</f>
        <v/>
      </c>
      <c r="V145" s="13">
        <f>IF(ROWS($V$2:$V145)&lt;=MAX('Per Line'!$X$2:$X$501),MATCH(ROWS($V$2:$V145),'Per Line'!$X$2:$X$501,0),"")</f>
        <v/>
      </c>
    </row>
    <row r="146">
      <c r="A146">
        <f>IF($V146="","",INDEX('Per Line'!$A$2:$A$501,$V146)&amp;"")</f>
        <v/>
      </c>
      <c r="B146" s="12" t="n"/>
      <c r="C146">
        <f>IF($V146="","",INDEX('Per Line'!$B$2:$B$501,$V146)&amp;"")</f>
        <v/>
      </c>
      <c r="D146">
        <f>IF($V146="","",INDEX('Per Line'!$C$2:$C$501,$V146)&amp;"")</f>
        <v/>
      </c>
      <c r="E146">
        <f>IF($V146="","",INDEX('Per Line'!$D$2:$D$501,$V146)&amp;"")</f>
        <v/>
      </c>
      <c r="F146">
        <f>IF($V146="","",INDEX('Per Line'!$E$2:$E$501,$V146))</f>
        <v/>
      </c>
      <c r="G146" s="7">
        <f>IF($V146="","",F146*T146/100)</f>
        <v/>
      </c>
      <c r="H146">
        <f>IF($V146="","",INDEX('Per Line'!$Q$2:$Q$501,$V146)&amp;"")</f>
        <v/>
      </c>
      <c r="I146">
        <f>IF($V146="","",INDEX('Per Line'!$R$2:$R$501,$V146)&amp;"")</f>
        <v/>
      </c>
      <c r="J146" s="11">
        <f>IF($V146="","",INDEX('Per Line'!$S$2:$S$501,$V146))</f>
        <v/>
      </c>
      <c r="K146">
        <f>IF($V146="","",INDEX('Per Line'!$T$2:$T$501,$V146)&amp;"")</f>
        <v/>
      </c>
      <c r="L146">
        <f>IF($V146="","",Settings!$C$7)</f>
        <v/>
      </c>
      <c r="M146" s="7">
        <f>IF($V146="","",SUMIFS('Per Line'!$N$2:$N$501,'Per Line'!$A$2:$A$501,$A146,'Per Line'!$Y$2:$Y$501,0))</f>
        <v/>
      </c>
      <c r="N146" s="7">
        <f>IF($V146="","",M146*L146)</f>
        <v/>
      </c>
      <c r="O146">
        <f>IF($V146="","",Settings!$C$6)</f>
        <v/>
      </c>
      <c r="P146" s="7">
        <f>IF($V146="","",SUMIFS('Per Line'!$N$2:$N$501,'Per Line'!$A$2:$A$501,$A146,'Per Line'!$Y$2:$Y$501,1))</f>
        <v/>
      </c>
      <c r="Q146" s="7">
        <f>IF($V146="","",P146*O146)</f>
        <v/>
      </c>
      <c r="R146" s="7">
        <f>IF($V146="","",Q146+N146)</f>
        <v/>
      </c>
      <c r="S146" s="7">
        <f>IF($V146="","",T146-R146)</f>
        <v/>
      </c>
      <c r="T146" s="7">
        <f>IF($V146="","",M146+P146)</f>
        <v/>
      </c>
      <c r="U146" s="7">
        <f>IF($V146="","",T146-R146-G146)</f>
        <v/>
      </c>
      <c r="V146" s="13">
        <f>IF(ROWS($V$2:$V146)&lt;=MAX('Per Line'!$X$2:$X$501),MATCH(ROWS($V$2:$V146),'Per Line'!$X$2:$X$501,0),"")</f>
        <v/>
      </c>
    </row>
    <row r="147">
      <c r="A147">
        <f>IF($V147="","",INDEX('Per Line'!$A$2:$A$501,$V147)&amp;"")</f>
        <v/>
      </c>
      <c r="B147" s="12" t="n"/>
      <c r="C147">
        <f>IF($V147="","",INDEX('Per Line'!$B$2:$B$501,$V147)&amp;"")</f>
        <v/>
      </c>
      <c r="D147">
        <f>IF($V147="","",INDEX('Per Line'!$C$2:$C$501,$V147)&amp;"")</f>
        <v/>
      </c>
      <c r="E147">
        <f>IF($V147="","",INDEX('Per Line'!$D$2:$D$501,$V147)&amp;"")</f>
        <v/>
      </c>
      <c r="F147">
        <f>IF($V147="","",INDEX('Per Line'!$E$2:$E$501,$V147))</f>
        <v/>
      </c>
      <c r="G147" s="7">
        <f>IF($V147="","",F147*T147/100)</f>
        <v/>
      </c>
      <c r="H147">
        <f>IF($V147="","",INDEX('Per Line'!$Q$2:$Q$501,$V147)&amp;"")</f>
        <v/>
      </c>
      <c r="I147">
        <f>IF($V147="","",INDEX('Per Line'!$R$2:$R$501,$V147)&amp;"")</f>
        <v/>
      </c>
      <c r="J147" s="11">
        <f>IF($V147="","",INDEX('Per Line'!$S$2:$S$501,$V147))</f>
        <v/>
      </c>
      <c r="K147">
        <f>IF($V147="","",INDEX('Per Line'!$T$2:$T$501,$V147)&amp;"")</f>
        <v/>
      </c>
      <c r="L147">
        <f>IF($V147="","",Settings!$C$7)</f>
        <v/>
      </c>
      <c r="M147" s="7">
        <f>IF($V147="","",SUMIFS('Per Line'!$N$2:$N$501,'Per Line'!$A$2:$A$501,$A147,'Per Line'!$Y$2:$Y$501,0))</f>
        <v/>
      </c>
      <c r="N147" s="7">
        <f>IF($V147="","",M147*L147)</f>
        <v/>
      </c>
      <c r="O147">
        <f>IF($V147="","",Settings!$C$6)</f>
        <v/>
      </c>
      <c r="P147" s="7">
        <f>IF($V147="","",SUMIFS('Per Line'!$N$2:$N$501,'Per Line'!$A$2:$A$501,$A147,'Per Line'!$Y$2:$Y$501,1))</f>
        <v/>
      </c>
      <c r="Q147" s="7">
        <f>IF($V147="","",P147*O147)</f>
        <v/>
      </c>
      <c r="R147" s="7">
        <f>IF($V147="","",Q147+N147)</f>
        <v/>
      </c>
      <c r="S147" s="7">
        <f>IF($V147="","",T147-R147)</f>
        <v/>
      </c>
      <c r="T147" s="7">
        <f>IF($V147="","",M147+P147)</f>
        <v/>
      </c>
      <c r="U147" s="7">
        <f>IF($V147="","",T147-R147-G147)</f>
        <v/>
      </c>
      <c r="V147" s="13">
        <f>IF(ROWS($V$2:$V147)&lt;=MAX('Per Line'!$X$2:$X$501),MATCH(ROWS($V$2:$V147),'Per Line'!$X$2:$X$501,0),"")</f>
        <v/>
      </c>
    </row>
    <row r="148">
      <c r="A148">
        <f>IF($V148="","",INDEX('Per Line'!$A$2:$A$501,$V148)&amp;"")</f>
        <v/>
      </c>
      <c r="B148" s="12" t="n"/>
      <c r="C148">
        <f>IF($V148="","",INDEX('Per Line'!$B$2:$B$501,$V148)&amp;"")</f>
        <v/>
      </c>
      <c r="D148">
        <f>IF($V148="","",INDEX('Per Line'!$C$2:$C$501,$V148)&amp;"")</f>
        <v/>
      </c>
      <c r="E148">
        <f>IF($V148="","",INDEX('Per Line'!$D$2:$D$501,$V148)&amp;"")</f>
        <v/>
      </c>
      <c r="F148">
        <f>IF($V148="","",INDEX('Per Line'!$E$2:$E$501,$V148))</f>
        <v/>
      </c>
      <c r="G148" s="7">
        <f>IF($V148="","",F148*T148/100)</f>
        <v/>
      </c>
      <c r="H148">
        <f>IF($V148="","",INDEX('Per Line'!$Q$2:$Q$501,$V148)&amp;"")</f>
        <v/>
      </c>
      <c r="I148">
        <f>IF($V148="","",INDEX('Per Line'!$R$2:$R$501,$V148)&amp;"")</f>
        <v/>
      </c>
      <c r="J148" s="11">
        <f>IF($V148="","",INDEX('Per Line'!$S$2:$S$501,$V148))</f>
        <v/>
      </c>
      <c r="K148">
        <f>IF($V148="","",INDEX('Per Line'!$T$2:$T$501,$V148)&amp;"")</f>
        <v/>
      </c>
      <c r="L148">
        <f>IF($V148="","",Settings!$C$7)</f>
        <v/>
      </c>
      <c r="M148" s="7">
        <f>IF($V148="","",SUMIFS('Per Line'!$N$2:$N$501,'Per Line'!$A$2:$A$501,$A148,'Per Line'!$Y$2:$Y$501,0))</f>
        <v/>
      </c>
      <c r="N148" s="7">
        <f>IF($V148="","",M148*L148)</f>
        <v/>
      </c>
      <c r="O148">
        <f>IF($V148="","",Settings!$C$6)</f>
        <v/>
      </c>
      <c r="P148" s="7">
        <f>IF($V148="","",SUMIFS('Per Line'!$N$2:$N$501,'Per Line'!$A$2:$A$501,$A148,'Per Line'!$Y$2:$Y$501,1))</f>
        <v/>
      </c>
      <c r="Q148" s="7">
        <f>IF($V148="","",P148*O148)</f>
        <v/>
      </c>
      <c r="R148" s="7">
        <f>IF($V148="","",Q148+N148)</f>
        <v/>
      </c>
      <c r="S148" s="7">
        <f>IF($V148="","",T148-R148)</f>
        <v/>
      </c>
      <c r="T148" s="7">
        <f>IF($V148="","",M148+P148)</f>
        <v/>
      </c>
      <c r="U148" s="7">
        <f>IF($V148="","",T148-R148-G148)</f>
        <v/>
      </c>
      <c r="V148" s="13">
        <f>IF(ROWS($V$2:$V148)&lt;=MAX('Per Line'!$X$2:$X$501),MATCH(ROWS($V$2:$V148),'Per Line'!$X$2:$X$501,0),"")</f>
        <v/>
      </c>
    </row>
    <row r="149">
      <c r="A149">
        <f>IF($V149="","",INDEX('Per Line'!$A$2:$A$501,$V149)&amp;"")</f>
        <v/>
      </c>
      <c r="B149" s="12" t="n"/>
      <c r="C149">
        <f>IF($V149="","",INDEX('Per Line'!$B$2:$B$501,$V149)&amp;"")</f>
        <v/>
      </c>
      <c r="D149">
        <f>IF($V149="","",INDEX('Per Line'!$C$2:$C$501,$V149)&amp;"")</f>
        <v/>
      </c>
      <c r="E149">
        <f>IF($V149="","",INDEX('Per Line'!$D$2:$D$501,$V149)&amp;"")</f>
        <v/>
      </c>
      <c r="F149">
        <f>IF($V149="","",INDEX('Per Line'!$E$2:$E$501,$V149))</f>
        <v/>
      </c>
      <c r="G149" s="7">
        <f>IF($V149="","",F149*T149/100)</f>
        <v/>
      </c>
      <c r="H149">
        <f>IF($V149="","",INDEX('Per Line'!$Q$2:$Q$501,$V149)&amp;"")</f>
        <v/>
      </c>
      <c r="I149">
        <f>IF($V149="","",INDEX('Per Line'!$R$2:$R$501,$V149)&amp;"")</f>
        <v/>
      </c>
      <c r="J149" s="11">
        <f>IF($V149="","",INDEX('Per Line'!$S$2:$S$501,$V149))</f>
        <v/>
      </c>
      <c r="K149">
        <f>IF($V149="","",INDEX('Per Line'!$T$2:$T$501,$V149)&amp;"")</f>
        <v/>
      </c>
      <c r="L149">
        <f>IF($V149="","",Settings!$C$7)</f>
        <v/>
      </c>
      <c r="M149" s="7">
        <f>IF($V149="","",SUMIFS('Per Line'!$N$2:$N$501,'Per Line'!$A$2:$A$501,$A149,'Per Line'!$Y$2:$Y$501,0))</f>
        <v/>
      </c>
      <c r="N149" s="7">
        <f>IF($V149="","",M149*L149)</f>
        <v/>
      </c>
      <c r="O149">
        <f>IF($V149="","",Settings!$C$6)</f>
        <v/>
      </c>
      <c r="P149" s="7">
        <f>IF($V149="","",SUMIFS('Per Line'!$N$2:$N$501,'Per Line'!$A$2:$A$501,$A149,'Per Line'!$Y$2:$Y$501,1))</f>
        <v/>
      </c>
      <c r="Q149" s="7">
        <f>IF($V149="","",P149*O149)</f>
        <v/>
      </c>
      <c r="R149" s="7">
        <f>IF($V149="","",Q149+N149)</f>
        <v/>
      </c>
      <c r="S149" s="7">
        <f>IF($V149="","",T149-R149)</f>
        <v/>
      </c>
      <c r="T149" s="7">
        <f>IF($V149="","",M149+P149)</f>
        <v/>
      </c>
      <c r="U149" s="7">
        <f>IF($V149="","",T149-R149-G149)</f>
        <v/>
      </c>
      <c r="V149" s="13">
        <f>IF(ROWS($V$2:$V149)&lt;=MAX('Per Line'!$X$2:$X$501),MATCH(ROWS($V$2:$V149),'Per Line'!$X$2:$X$501,0),"")</f>
        <v/>
      </c>
    </row>
    <row r="150">
      <c r="A150">
        <f>IF($V150="","",INDEX('Per Line'!$A$2:$A$501,$V150)&amp;"")</f>
        <v/>
      </c>
      <c r="B150" s="12" t="n"/>
      <c r="C150">
        <f>IF($V150="","",INDEX('Per Line'!$B$2:$B$501,$V150)&amp;"")</f>
        <v/>
      </c>
      <c r="D150">
        <f>IF($V150="","",INDEX('Per Line'!$C$2:$C$501,$V150)&amp;"")</f>
        <v/>
      </c>
      <c r="E150">
        <f>IF($V150="","",INDEX('Per Line'!$D$2:$D$501,$V150)&amp;"")</f>
        <v/>
      </c>
      <c r="F150">
        <f>IF($V150="","",INDEX('Per Line'!$E$2:$E$501,$V150))</f>
        <v/>
      </c>
      <c r="G150" s="7">
        <f>IF($V150="","",F150*T150/100)</f>
        <v/>
      </c>
      <c r="H150">
        <f>IF($V150="","",INDEX('Per Line'!$Q$2:$Q$501,$V150)&amp;"")</f>
        <v/>
      </c>
      <c r="I150">
        <f>IF($V150="","",INDEX('Per Line'!$R$2:$R$501,$V150)&amp;"")</f>
        <v/>
      </c>
      <c r="J150" s="11">
        <f>IF($V150="","",INDEX('Per Line'!$S$2:$S$501,$V150))</f>
        <v/>
      </c>
      <c r="K150">
        <f>IF($V150="","",INDEX('Per Line'!$T$2:$T$501,$V150)&amp;"")</f>
        <v/>
      </c>
      <c r="L150">
        <f>IF($V150="","",Settings!$C$7)</f>
        <v/>
      </c>
      <c r="M150" s="7">
        <f>IF($V150="","",SUMIFS('Per Line'!$N$2:$N$501,'Per Line'!$A$2:$A$501,$A150,'Per Line'!$Y$2:$Y$501,0))</f>
        <v/>
      </c>
      <c r="N150" s="7">
        <f>IF($V150="","",M150*L150)</f>
        <v/>
      </c>
      <c r="O150">
        <f>IF($V150="","",Settings!$C$6)</f>
        <v/>
      </c>
      <c r="P150" s="7">
        <f>IF($V150="","",SUMIFS('Per Line'!$N$2:$N$501,'Per Line'!$A$2:$A$501,$A150,'Per Line'!$Y$2:$Y$501,1))</f>
        <v/>
      </c>
      <c r="Q150" s="7">
        <f>IF($V150="","",P150*O150)</f>
        <v/>
      </c>
      <c r="R150" s="7">
        <f>IF($V150="","",Q150+N150)</f>
        <v/>
      </c>
      <c r="S150" s="7">
        <f>IF($V150="","",T150-R150)</f>
        <v/>
      </c>
      <c r="T150" s="7">
        <f>IF($V150="","",M150+P150)</f>
        <v/>
      </c>
      <c r="U150" s="7">
        <f>IF($V150="","",T150-R150-G150)</f>
        <v/>
      </c>
      <c r="V150" s="13">
        <f>IF(ROWS($V$2:$V150)&lt;=MAX('Per Line'!$X$2:$X$501),MATCH(ROWS($V$2:$V150),'Per Line'!$X$2:$X$501,0),"")</f>
        <v/>
      </c>
    </row>
    <row r="151">
      <c r="A151">
        <f>IF($V151="","",INDEX('Per Line'!$A$2:$A$501,$V151)&amp;"")</f>
        <v/>
      </c>
      <c r="B151" s="12" t="n"/>
      <c r="C151">
        <f>IF($V151="","",INDEX('Per Line'!$B$2:$B$501,$V151)&amp;"")</f>
        <v/>
      </c>
      <c r="D151">
        <f>IF($V151="","",INDEX('Per Line'!$C$2:$C$501,$V151)&amp;"")</f>
        <v/>
      </c>
      <c r="E151">
        <f>IF($V151="","",INDEX('Per Line'!$D$2:$D$501,$V151)&amp;"")</f>
        <v/>
      </c>
      <c r="F151">
        <f>IF($V151="","",INDEX('Per Line'!$E$2:$E$501,$V151))</f>
        <v/>
      </c>
      <c r="G151" s="7">
        <f>IF($V151="","",F151*T151/100)</f>
        <v/>
      </c>
      <c r="H151">
        <f>IF($V151="","",INDEX('Per Line'!$Q$2:$Q$501,$V151)&amp;"")</f>
        <v/>
      </c>
      <c r="I151">
        <f>IF($V151="","",INDEX('Per Line'!$R$2:$R$501,$V151)&amp;"")</f>
        <v/>
      </c>
      <c r="J151" s="11">
        <f>IF($V151="","",INDEX('Per Line'!$S$2:$S$501,$V151))</f>
        <v/>
      </c>
      <c r="K151">
        <f>IF($V151="","",INDEX('Per Line'!$T$2:$T$501,$V151)&amp;"")</f>
        <v/>
      </c>
      <c r="L151">
        <f>IF($V151="","",Settings!$C$7)</f>
        <v/>
      </c>
      <c r="M151" s="7">
        <f>IF($V151="","",SUMIFS('Per Line'!$N$2:$N$501,'Per Line'!$A$2:$A$501,$A151,'Per Line'!$Y$2:$Y$501,0))</f>
        <v/>
      </c>
      <c r="N151" s="7">
        <f>IF($V151="","",M151*L151)</f>
        <v/>
      </c>
      <c r="O151">
        <f>IF($V151="","",Settings!$C$6)</f>
        <v/>
      </c>
      <c r="P151" s="7">
        <f>IF($V151="","",SUMIFS('Per Line'!$N$2:$N$501,'Per Line'!$A$2:$A$501,$A151,'Per Line'!$Y$2:$Y$501,1))</f>
        <v/>
      </c>
      <c r="Q151" s="7">
        <f>IF($V151="","",P151*O151)</f>
        <v/>
      </c>
      <c r="R151" s="7">
        <f>IF($V151="","",Q151+N151)</f>
        <v/>
      </c>
      <c r="S151" s="7">
        <f>IF($V151="","",T151-R151)</f>
        <v/>
      </c>
      <c r="T151" s="7">
        <f>IF($V151="","",M151+P151)</f>
        <v/>
      </c>
      <c r="U151" s="7">
        <f>IF($V151="","",T151-R151-G151)</f>
        <v/>
      </c>
      <c r="V151" s="13">
        <f>IF(ROWS($V$2:$V151)&lt;=MAX('Per Line'!$X$2:$X$501),MATCH(ROWS($V$2:$V151),'Per Line'!$X$2:$X$501,0),"")</f>
        <v/>
      </c>
    </row>
    <row r="152">
      <c r="A152">
        <f>IF($V152="","",INDEX('Per Line'!$A$2:$A$501,$V152)&amp;"")</f>
        <v/>
      </c>
      <c r="B152" s="12" t="n"/>
      <c r="C152">
        <f>IF($V152="","",INDEX('Per Line'!$B$2:$B$501,$V152)&amp;"")</f>
        <v/>
      </c>
      <c r="D152">
        <f>IF($V152="","",INDEX('Per Line'!$C$2:$C$501,$V152)&amp;"")</f>
        <v/>
      </c>
      <c r="E152">
        <f>IF($V152="","",INDEX('Per Line'!$D$2:$D$501,$V152)&amp;"")</f>
        <v/>
      </c>
      <c r="F152">
        <f>IF($V152="","",INDEX('Per Line'!$E$2:$E$501,$V152))</f>
        <v/>
      </c>
      <c r="G152" s="7">
        <f>IF($V152="","",F152*T152/100)</f>
        <v/>
      </c>
      <c r="H152">
        <f>IF($V152="","",INDEX('Per Line'!$Q$2:$Q$501,$V152)&amp;"")</f>
        <v/>
      </c>
      <c r="I152">
        <f>IF($V152="","",INDEX('Per Line'!$R$2:$R$501,$V152)&amp;"")</f>
        <v/>
      </c>
      <c r="J152" s="11">
        <f>IF($V152="","",INDEX('Per Line'!$S$2:$S$501,$V152))</f>
        <v/>
      </c>
      <c r="K152">
        <f>IF($V152="","",INDEX('Per Line'!$T$2:$T$501,$V152)&amp;"")</f>
        <v/>
      </c>
      <c r="L152">
        <f>IF($V152="","",Settings!$C$7)</f>
        <v/>
      </c>
      <c r="M152" s="7">
        <f>IF($V152="","",SUMIFS('Per Line'!$N$2:$N$501,'Per Line'!$A$2:$A$501,$A152,'Per Line'!$Y$2:$Y$501,0))</f>
        <v/>
      </c>
      <c r="N152" s="7">
        <f>IF($V152="","",M152*L152)</f>
        <v/>
      </c>
      <c r="O152">
        <f>IF($V152="","",Settings!$C$6)</f>
        <v/>
      </c>
      <c r="P152" s="7">
        <f>IF($V152="","",SUMIFS('Per Line'!$N$2:$N$501,'Per Line'!$A$2:$A$501,$A152,'Per Line'!$Y$2:$Y$501,1))</f>
        <v/>
      </c>
      <c r="Q152" s="7">
        <f>IF($V152="","",P152*O152)</f>
        <v/>
      </c>
      <c r="R152" s="7">
        <f>IF($V152="","",Q152+N152)</f>
        <v/>
      </c>
      <c r="S152" s="7">
        <f>IF($V152="","",T152-R152)</f>
        <v/>
      </c>
      <c r="T152" s="7">
        <f>IF($V152="","",M152+P152)</f>
        <v/>
      </c>
      <c r="U152" s="7">
        <f>IF($V152="","",T152-R152-G152)</f>
        <v/>
      </c>
      <c r="V152" s="13">
        <f>IF(ROWS($V$2:$V152)&lt;=MAX('Per Line'!$X$2:$X$501),MATCH(ROWS($V$2:$V152),'Per Line'!$X$2:$X$501,0),"")</f>
        <v/>
      </c>
    </row>
    <row r="153">
      <c r="A153">
        <f>IF($V153="","",INDEX('Per Line'!$A$2:$A$501,$V153)&amp;"")</f>
        <v/>
      </c>
      <c r="B153" s="12" t="n"/>
      <c r="C153">
        <f>IF($V153="","",INDEX('Per Line'!$B$2:$B$501,$V153)&amp;"")</f>
        <v/>
      </c>
      <c r="D153">
        <f>IF($V153="","",INDEX('Per Line'!$C$2:$C$501,$V153)&amp;"")</f>
        <v/>
      </c>
      <c r="E153">
        <f>IF($V153="","",INDEX('Per Line'!$D$2:$D$501,$V153)&amp;"")</f>
        <v/>
      </c>
      <c r="F153">
        <f>IF($V153="","",INDEX('Per Line'!$E$2:$E$501,$V153))</f>
        <v/>
      </c>
      <c r="G153" s="7">
        <f>IF($V153="","",F153*T153/100)</f>
        <v/>
      </c>
      <c r="H153">
        <f>IF($V153="","",INDEX('Per Line'!$Q$2:$Q$501,$V153)&amp;"")</f>
        <v/>
      </c>
      <c r="I153">
        <f>IF($V153="","",INDEX('Per Line'!$R$2:$R$501,$V153)&amp;"")</f>
        <v/>
      </c>
      <c r="J153" s="11">
        <f>IF($V153="","",INDEX('Per Line'!$S$2:$S$501,$V153))</f>
        <v/>
      </c>
      <c r="K153">
        <f>IF($V153="","",INDEX('Per Line'!$T$2:$T$501,$V153)&amp;"")</f>
        <v/>
      </c>
      <c r="L153">
        <f>IF($V153="","",Settings!$C$7)</f>
        <v/>
      </c>
      <c r="M153" s="7">
        <f>IF($V153="","",SUMIFS('Per Line'!$N$2:$N$501,'Per Line'!$A$2:$A$501,$A153,'Per Line'!$Y$2:$Y$501,0))</f>
        <v/>
      </c>
      <c r="N153" s="7">
        <f>IF($V153="","",M153*L153)</f>
        <v/>
      </c>
      <c r="O153">
        <f>IF($V153="","",Settings!$C$6)</f>
        <v/>
      </c>
      <c r="P153" s="7">
        <f>IF($V153="","",SUMIFS('Per Line'!$N$2:$N$501,'Per Line'!$A$2:$A$501,$A153,'Per Line'!$Y$2:$Y$501,1))</f>
        <v/>
      </c>
      <c r="Q153" s="7">
        <f>IF($V153="","",P153*O153)</f>
        <v/>
      </c>
      <c r="R153" s="7">
        <f>IF($V153="","",Q153+N153)</f>
        <v/>
      </c>
      <c r="S153" s="7">
        <f>IF($V153="","",T153-R153)</f>
        <v/>
      </c>
      <c r="T153" s="7">
        <f>IF($V153="","",M153+P153)</f>
        <v/>
      </c>
      <c r="U153" s="7">
        <f>IF($V153="","",T153-R153-G153)</f>
        <v/>
      </c>
      <c r="V153" s="13">
        <f>IF(ROWS($V$2:$V153)&lt;=MAX('Per Line'!$X$2:$X$501),MATCH(ROWS($V$2:$V153),'Per Line'!$X$2:$X$501,0),"")</f>
        <v/>
      </c>
    </row>
    <row r="154">
      <c r="A154">
        <f>IF($V154="","",INDEX('Per Line'!$A$2:$A$501,$V154)&amp;"")</f>
        <v/>
      </c>
      <c r="B154" s="12" t="n"/>
      <c r="C154">
        <f>IF($V154="","",INDEX('Per Line'!$B$2:$B$501,$V154)&amp;"")</f>
        <v/>
      </c>
      <c r="D154">
        <f>IF($V154="","",INDEX('Per Line'!$C$2:$C$501,$V154)&amp;"")</f>
        <v/>
      </c>
      <c r="E154">
        <f>IF($V154="","",INDEX('Per Line'!$D$2:$D$501,$V154)&amp;"")</f>
        <v/>
      </c>
      <c r="F154">
        <f>IF($V154="","",INDEX('Per Line'!$E$2:$E$501,$V154))</f>
        <v/>
      </c>
      <c r="G154" s="7">
        <f>IF($V154="","",F154*T154/100)</f>
        <v/>
      </c>
      <c r="H154">
        <f>IF($V154="","",INDEX('Per Line'!$Q$2:$Q$501,$V154)&amp;"")</f>
        <v/>
      </c>
      <c r="I154">
        <f>IF($V154="","",INDEX('Per Line'!$R$2:$R$501,$V154)&amp;"")</f>
        <v/>
      </c>
      <c r="J154" s="11">
        <f>IF($V154="","",INDEX('Per Line'!$S$2:$S$501,$V154))</f>
        <v/>
      </c>
      <c r="K154">
        <f>IF($V154="","",INDEX('Per Line'!$T$2:$T$501,$V154)&amp;"")</f>
        <v/>
      </c>
      <c r="L154">
        <f>IF($V154="","",Settings!$C$7)</f>
        <v/>
      </c>
      <c r="M154" s="7">
        <f>IF($V154="","",SUMIFS('Per Line'!$N$2:$N$501,'Per Line'!$A$2:$A$501,$A154,'Per Line'!$Y$2:$Y$501,0))</f>
        <v/>
      </c>
      <c r="N154" s="7">
        <f>IF($V154="","",M154*L154)</f>
        <v/>
      </c>
      <c r="O154">
        <f>IF($V154="","",Settings!$C$6)</f>
        <v/>
      </c>
      <c r="P154" s="7">
        <f>IF($V154="","",SUMIFS('Per Line'!$N$2:$N$501,'Per Line'!$A$2:$A$501,$A154,'Per Line'!$Y$2:$Y$501,1))</f>
        <v/>
      </c>
      <c r="Q154" s="7">
        <f>IF($V154="","",P154*O154)</f>
        <v/>
      </c>
      <c r="R154" s="7">
        <f>IF($V154="","",Q154+N154)</f>
        <v/>
      </c>
      <c r="S154" s="7">
        <f>IF($V154="","",T154-R154)</f>
        <v/>
      </c>
      <c r="T154" s="7">
        <f>IF($V154="","",M154+P154)</f>
        <v/>
      </c>
      <c r="U154" s="7">
        <f>IF($V154="","",T154-R154-G154)</f>
        <v/>
      </c>
      <c r="V154" s="13">
        <f>IF(ROWS($V$2:$V154)&lt;=MAX('Per Line'!$X$2:$X$501),MATCH(ROWS($V$2:$V154),'Per Line'!$X$2:$X$501,0),"")</f>
        <v/>
      </c>
    </row>
    <row r="155">
      <c r="A155">
        <f>IF($V155="","",INDEX('Per Line'!$A$2:$A$501,$V155)&amp;"")</f>
        <v/>
      </c>
      <c r="B155" s="12" t="n"/>
      <c r="C155">
        <f>IF($V155="","",INDEX('Per Line'!$B$2:$B$501,$V155)&amp;"")</f>
        <v/>
      </c>
      <c r="D155">
        <f>IF($V155="","",INDEX('Per Line'!$C$2:$C$501,$V155)&amp;"")</f>
        <v/>
      </c>
      <c r="E155">
        <f>IF($V155="","",INDEX('Per Line'!$D$2:$D$501,$V155)&amp;"")</f>
        <v/>
      </c>
      <c r="F155">
        <f>IF($V155="","",INDEX('Per Line'!$E$2:$E$501,$V155))</f>
        <v/>
      </c>
      <c r="G155" s="7">
        <f>IF($V155="","",F155*T155/100)</f>
        <v/>
      </c>
      <c r="H155">
        <f>IF($V155="","",INDEX('Per Line'!$Q$2:$Q$501,$V155)&amp;"")</f>
        <v/>
      </c>
      <c r="I155">
        <f>IF($V155="","",INDEX('Per Line'!$R$2:$R$501,$V155)&amp;"")</f>
        <v/>
      </c>
      <c r="J155" s="11">
        <f>IF($V155="","",INDEX('Per Line'!$S$2:$S$501,$V155))</f>
        <v/>
      </c>
      <c r="K155">
        <f>IF($V155="","",INDEX('Per Line'!$T$2:$T$501,$V155)&amp;"")</f>
        <v/>
      </c>
      <c r="L155">
        <f>IF($V155="","",Settings!$C$7)</f>
        <v/>
      </c>
      <c r="M155" s="7">
        <f>IF($V155="","",SUMIFS('Per Line'!$N$2:$N$501,'Per Line'!$A$2:$A$501,$A155,'Per Line'!$Y$2:$Y$501,0))</f>
        <v/>
      </c>
      <c r="N155" s="7">
        <f>IF($V155="","",M155*L155)</f>
        <v/>
      </c>
      <c r="O155">
        <f>IF($V155="","",Settings!$C$6)</f>
        <v/>
      </c>
      <c r="P155" s="7">
        <f>IF($V155="","",SUMIFS('Per Line'!$N$2:$N$501,'Per Line'!$A$2:$A$501,$A155,'Per Line'!$Y$2:$Y$501,1))</f>
        <v/>
      </c>
      <c r="Q155" s="7">
        <f>IF($V155="","",P155*O155)</f>
        <v/>
      </c>
      <c r="R155" s="7">
        <f>IF($V155="","",Q155+N155)</f>
        <v/>
      </c>
      <c r="S155" s="7">
        <f>IF($V155="","",T155-R155)</f>
        <v/>
      </c>
      <c r="T155" s="7">
        <f>IF($V155="","",M155+P155)</f>
        <v/>
      </c>
      <c r="U155" s="7">
        <f>IF($V155="","",T155-R155-G155)</f>
        <v/>
      </c>
      <c r="V155" s="13">
        <f>IF(ROWS($V$2:$V155)&lt;=MAX('Per Line'!$X$2:$X$501),MATCH(ROWS($V$2:$V155),'Per Line'!$X$2:$X$501,0),"")</f>
        <v/>
      </c>
    </row>
    <row r="156">
      <c r="A156">
        <f>IF($V156="","",INDEX('Per Line'!$A$2:$A$501,$V156)&amp;"")</f>
        <v/>
      </c>
      <c r="B156" s="12" t="n"/>
      <c r="C156">
        <f>IF($V156="","",INDEX('Per Line'!$B$2:$B$501,$V156)&amp;"")</f>
        <v/>
      </c>
      <c r="D156">
        <f>IF($V156="","",INDEX('Per Line'!$C$2:$C$501,$V156)&amp;"")</f>
        <v/>
      </c>
      <c r="E156">
        <f>IF($V156="","",INDEX('Per Line'!$D$2:$D$501,$V156)&amp;"")</f>
        <v/>
      </c>
      <c r="F156">
        <f>IF($V156="","",INDEX('Per Line'!$E$2:$E$501,$V156))</f>
        <v/>
      </c>
      <c r="G156" s="7">
        <f>IF($V156="","",F156*T156/100)</f>
        <v/>
      </c>
      <c r="H156">
        <f>IF($V156="","",INDEX('Per Line'!$Q$2:$Q$501,$V156)&amp;"")</f>
        <v/>
      </c>
      <c r="I156">
        <f>IF($V156="","",INDEX('Per Line'!$R$2:$R$501,$V156)&amp;"")</f>
        <v/>
      </c>
      <c r="J156" s="11">
        <f>IF($V156="","",INDEX('Per Line'!$S$2:$S$501,$V156))</f>
        <v/>
      </c>
      <c r="K156">
        <f>IF($V156="","",INDEX('Per Line'!$T$2:$T$501,$V156)&amp;"")</f>
        <v/>
      </c>
      <c r="L156">
        <f>IF($V156="","",Settings!$C$7)</f>
        <v/>
      </c>
      <c r="M156" s="7">
        <f>IF($V156="","",SUMIFS('Per Line'!$N$2:$N$501,'Per Line'!$A$2:$A$501,$A156,'Per Line'!$Y$2:$Y$501,0))</f>
        <v/>
      </c>
      <c r="N156" s="7">
        <f>IF($V156="","",M156*L156)</f>
        <v/>
      </c>
      <c r="O156">
        <f>IF($V156="","",Settings!$C$6)</f>
        <v/>
      </c>
      <c r="P156" s="7">
        <f>IF($V156="","",SUMIFS('Per Line'!$N$2:$N$501,'Per Line'!$A$2:$A$501,$A156,'Per Line'!$Y$2:$Y$501,1))</f>
        <v/>
      </c>
      <c r="Q156" s="7">
        <f>IF($V156="","",P156*O156)</f>
        <v/>
      </c>
      <c r="R156" s="7">
        <f>IF($V156="","",Q156+N156)</f>
        <v/>
      </c>
      <c r="S156" s="7">
        <f>IF($V156="","",T156-R156)</f>
        <v/>
      </c>
      <c r="T156" s="7">
        <f>IF($V156="","",M156+P156)</f>
        <v/>
      </c>
      <c r="U156" s="7">
        <f>IF($V156="","",T156-R156-G156)</f>
        <v/>
      </c>
      <c r="V156" s="13">
        <f>IF(ROWS($V$2:$V156)&lt;=MAX('Per Line'!$X$2:$X$501),MATCH(ROWS($V$2:$V156),'Per Line'!$X$2:$X$501,0),"")</f>
        <v/>
      </c>
    </row>
    <row r="157">
      <c r="A157">
        <f>IF($V157="","",INDEX('Per Line'!$A$2:$A$501,$V157)&amp;"")</f>
        <v/>
      </c>
      <c r="B157" s="12" t="n"/>
      <c r="C157">
        <f>IF($V157="","",INDEX('Per Line'!$B$2:$B$501,$V157)&amp;"")</f>
        <v/>
      </c>
      <c r="D157">
        <f>IF($V157="","",INDEX('Per Line'!$C$2:$C$501,$V157)&amp;"")</f>
        <v/>
      </c>
      <c r="E157">
        <f>IF($V157="","",INDEX('Per Line'!$D$2:$D$501,$V157)&amp;"")</f>
        <v/>
      </c>
      <c r="F157">
        <f>IF($V157="","",INDEX('Per Line'!$E$2:$E$501,$V157))</f>
        <v/>
      </c>
      <c r="G157" s="7">
        <f>IF($V157="","",F157*T157/100)</f>
        <v/>
      </c>
      <c r="H157">
        <f>IF($V157="","",INDEX('Per Line'!$Q$2:$Q$501,$V157)&amp;"")</f>
        <v/>
      </c>
      <c r="I157">
        <f>IF($V157="","",INDEX('Per Line'!$R$2:$R$501,$V157)&amp;"")</f>
        <v/>
      </c>
      <c r="J157" s="11">
        <f>IF($V157="","",INDEX('Per Line'!$S$2:$S$501,$V157))</f>
        <v/>
      </c>
      <c r="K157">
        <f>IF($V157="","",INDEX('Per Line'!$T$2:$T$501,$V157)&amp;"")</f>
        <v/>
      </c>
      <c r="L157">
        <f>IF($V157="","",Settings!$C$7)</f>
        <v/>
      </c>
      <c r="M157" s="7">
        <f>IF($V157="","",SUMIFS('Per Line'!$N$2:$N$501,'Per Line'!$A$2:$A$501,$A157,'Per Line'!$Y$2:$Y$501,0))</f>
        <v/>
      </c>
      <c r="N157" s="7">
        <f>IF($V157="","",M157*L157)</f>
        <v/>
      </c>
      <c r="O157">
        <f>IF($V157="","",Settings!$C$6)</f>
        <v/>
      </c>
      <c r="P157" s="7">
        <f>IF($V157="","",SUMIFS('Per Line'!$N$2:$N$501,'Per Line'!$A$2:$A$501,$A157,'Per Line'!$Y$2:$Y$501,1))</f>
        <v/>
      </c>
      <c r="Q157" s="7">
        <f>IF($V157="","",P157*O157)</f>
        <v/>
      </c>
      <c r="R157" s="7">
        <f>IF($V157="","",Q157+N157)</f>
        <v/>
      </c>
      <c r="S157" s="7">
        <f>IF($V157="","",T157-R157)</f>
        <v/>
      </c>
      <c r="T157" s="7">
        <f>IF($V157="","",M157+P157)</f>
        <v/>
      </c>
      <c r="U157" s="7">
        <f>IF($V157="","",T157-R157-G157)</f>
        <v/>
      </c>
      <c r="V157" s="13">
        <f>IF(ROWS($V$2:$V157)&lt;=MAX('Per Line'!$X$2:$X$501),MATCH(ROWS($V$2:$V157),'Per Line'!$X$2:$X$501,0),"")</f>
        <v/>
      </c>
    </row>
    <row r="158">
      <c r="A158">
        <f>IF($V158="","",INDEX('Per Line'!$A$2:$A$501,$V158)&amp;"")</f>
        <v/>
      </c>
      <c r="B158" s="12" t="n"/>
      <c r="C158">
        <f>IF($V158="","",INDEX('Per Line'!$B$2:$B$501,$V158)&amp;"")</f>
        <v/>
      </c>
      <c r="D158">
        <f>IF($V158="","",INDEX('Per Line'!$C$2:$C$501,$V158)&amp;"")</f>
        <v/>
      </c>
      <c r="E158">
        <f>IF($V158="","",INDEX('Per Line'!$D$2:$D$501,$V158)&amp;"")</f>
        <v/>
      </c>
      <c r="F158">
        <f>IF($V158="","",INDEX('Per Line'!$E$2:$E$501,$V158))</f>
        <v/>
      </c>
      <c r="G158" s="7">
        <f>IF($V158="","",F158*T158/100)</f>
        <v/>
      </c>
      <c r="H158">
        <f>IF($V158="","",INDEX('Per Line'!$Q$2:$Q$501,$V158)&amp;"")</f>
        <v/>
      </c>
      <c r="I158">
        <f>IF($V158="","",INDEX('Per Line'!$R$2:$R$501,$V158)&amp;"")</f>
        <v/>
      </c>
      <c r="J158" s="11">
        <f>IF($V158="","",INDEX('Per Line'!$S$2:$S$501,$V158))</f>
        <v/>
      </c>
      <c r="K158">
        <f>IF($V158="","",INDEX('Per Line'!$T$2:$T$501,$V158)&amp;"")</f>
        <v/>
      </c>
      <c r="L158">
        <f>IF($V158="","",Settings!$C$7)</f>
        <v/>
      </c>
      <c r="M158" s="7">
        <f>IF($V158="","",SUMIFS('Per Line'!$N$2:$N$501,'Per Line'!$A$2:$A$501,$A158,'Per Line'!$Y$2:$Y$501,0))</f>
        <v/>
      </c>
      <c r="N158" s="7">
        <f>IF($V158="","",M158*L158)</f>
        <v/>
      </c>
      <c r="O158">
        <f>IF($V158="","",Settings!$C$6)</f>
        <v/>
      </c>
      <c r="P158" s="7">
        <f>IF($V158="","",SUMIFS('Per Line'!$N$2:$N$501,'Per Line'!$A$2:$A$501,$A158,'Per Line'!$Y$2:$Y$501,1))</f>
        <v/>
      </c>
      <c r="Q158" s="7">
        <f>IF($V158="","",P158*O158)</f>
        <v/>
      </c>
      <c r="R158" s="7">
        <f>IF($V158="","",Q158+N158)</f>
        <v/>
      </c>
      <c r="S158" s="7">
        <f>IF($V158="","",T158-R158)</f>
        <v/>
      </c>
      <c r="T158" s="7">
        <f>IF($V158="","",M158+P158)</f>
        <v/>
      </c>
      <c r="U158" s="7">
        <f>IF($V158="","",T158-R158-G158)</f>
        <v/>
      </c>
      <c r="V158" s="13">
        <f>IF(ROWS($V$2:$V158)&lt;=MAX('Per Line'!$X$2:$X$501),MATCH(ROWS($V$2:$V158),'Per Line'!$X$2:$X$501,0),"")</f>
        <v/>
      </c>
    </row>
    <row r="159">
      <c r="A159">
        <f>IF($V159="","",INDEX('Per Line'!$A$2:$A$501,$V159)&amp;"")</f>
        <v/>
      </c>
      <c r="B159" s="12" t="n"/>
      <c r="C159">
        <f>IF($V159="","",INDEX('Per Line'!$B$2:$B$501,$V159)&amp;"")</f>
        <v/>
      </c>
      <c r="D159">
        <f>IF($V159="","",INDEX('Per Line'!$C$2:$C$501,$V159)&amp;"")</f>
        <v/>
      </c>
      <c r="E159">
        <f>IF($V159="","",INDEX('Per Line'!$D$2:$D$501,$V159)&amp;"")</f>
        <v/>
      </c>
      <c r="F159">
        <f>IF($V159="","",INDEX('Per Line'!$E$2:$E$501,$V159))</f>
        <v/>
      </c>
      <c r="G159" s="7">
        <f>IF($V159="","",F159*T159/100)</f>
        <v/>
      </c>
      <c r="H159">
        <f>IF($V159="","",INDEX('Per Line'!$Q$2:$Q$501,$V159)&amp;"")</f>
        <v/>
      </c>
      <c r="I159">
        <f>IF($V159="","",INDEX('Per Line'!$R$2:$R$501,$V159)&amp;"")</f>
        <v/>
      </c>
      <c r="J159" s="11">
        <f>IF($V159="","",INDEX('Per Line'!$S$2:$S$501,$V159))</f>
        <v/>
      </c>
      <c r="K159">
        <f>IF($V159="","",INDEX('Per Line'!$T$2:$T$501,$V159)&amp;"")</f>
        <v/>
      </c>
      <c r="L159">
        <f>IF($V159="","",Settings!$C$7)</f>
        <v/>
      </c>
      <c r="M159" s="7">
        <f>IF($V159="","",SUMIFS('Per Line'!$N$2:$N$501,'Per Line'!$A$2:$A$501,$A159,'Per Line'!$Y$2:$Y$501,0))</f>
        <v/>
      </c>
      <c r="N159" s="7">
        <f>IF($V159="","",M159*L159)</f>
        <v/>
      </c>
      <c r="O159">
        <f>IF($V159="","",Settings!$C$6)</f>
        <v/>
      </c>
      <c r="P159" s="7">
        <f>IF($V159="","",SUMIFS('Per Line'!$N$2:$N$501,'Per Line'!$A$2:$A$501,$A159,'Per Line'!$Y$2:$Y$501,1))</f>
        <v/>
      </c>
      <c r="Q159" s="7">
        <f>IF($V159="","",P159*O159)</f>
        <v/>
      </c>
      <c r="R159" s="7">
        <f>IF($V159="","",Q159+N159)</f>
        <v/>
      </c>
      <c r="S159" s="7">
        <f>IF($V159="","",T159-R159)</f>
        <v/>
      </c>
      <c r="T159" s="7">
        <f>IF($V159="","",M159+P159)</f>
        <v/>
      </c>
      <c r="U159" s="7">
        <f>IF($V159="","",T159-R159-G159)</f>
        <v/>
      </c>
      <c r="V159" s="13">
        <f>IF(ROWS($V$2:$V159)&lt;=MAX('Per Line'!$X$2:$X$501),MATCH(ROWS($V$2:$V159),'Per Line'!$X$2:$X$501,0),"")</f>
        <v/>
      </c>
    </row>
    <row r="160">
      <c r="A160">
        <f>IF($V160="","",INDEX('Per Line'!$A$2:$A$501,$V160)&amp;"")</f>
        <v/>
      </c>
      <c r="B160" s="12" t="n"/>
      <c r="C160">
        <f>IF($V160="","",INDEX('Per Line'!$B$2:$B$501,$V160)&amp;"")</f>
        <v/>
      </c>
      <c r="D160">
        <f>IF($V160="","",INDEX('Per Line'!$C$2:$C$501,$V160)&amp;"")</f>
        <v/>
      </c>
      <c r="E160">
        <f>IF($V160="","",INDEX('Per Line'!$D$2:$D$501,$V160)&amp;"")</f>
        <v/>
      </c>
      <c r="F160">
        <f>IF($V160="","",INDEX('Per Line'!$E$2:$E$501,$V160))</f>
        <v/>
      </c>
      <c r="G160" s="7">
        <f>IF($V160="","",F160*T160/100)</f>
        <v/>
      </c>
      <c r="H160">
        <f>IF($V160="","",INDEX('Per Line'!$Q$2:$Q$501,$V160)&amp;"")</f>
        <v/>
      </c>
      <c r="I160">
        <f>IF($V160="","",INDEX('Per Line'!$R$2:$R$501,$V160)&amp;"")</f>
        <v/>
      </c>
      <c r="J160" s="11">
        <f>IF($V160="","",INDEX('Per Line'!$S$2:$S$501,$V160))</f>
        <v/>
      </c>
      <c r="K160">
        <f>IF($V160="","",INDEX('Per Line'!$T$2:$T$501,$V160)&amp;"")</f>
        <v/>
      </c>
      <c r="L160">
        <f>IF($V160="","",Settings!$C$7)</f>
        <v/>
      </c>
      <c r="M160" s="7">
        <f>IF($V160="","",SUMIFS('Per Line'!$N$2:$N$501,'Per Line'!$A$2:$A$501,$A160,'Per Line'!$Y$2:$Y$501,0))</f>
        <v/>
      </c>
      <c r="N160" s="7">
        <f>IF($V160="","",M160*L160)</f>
        <v/>
      </c>
      <c r="O160">
        <f>IF($V160="","",Settings!$C$6)</f>
        <v/>
      </c>
      <c r="P160" s="7">
        <f>IF($V160="","",SUMIFS('Per Line'!$N$2:$N$501,'Per Line'!$A$2:$A$501,$A160,'Per Line'!$Y$2:$Y$501,1))</f>
        <v/>
      </c>
      <c r="Q160" s="7">
        <f>IF($V160="","",P160*O160)</f>
        <v/>
      </c>
      <c r="R160" s="7">
        <f>IF($V160="","",Q160+N160)</f>
        <v/>
      </c>
      <c r="S160" s="7">
        <f>IF($V160="","",T160-R160)</f>
        <v/>
      </c>
      <c r="T160" s="7">
        <f>IF($V160="","",M160+P160)</f>
        <v/>
      </c>
      <c r="U160" s="7">
        <f>IF($V160="","",T160-R160-G160)</f>
        <v/>
      </c>
      <c r="V160" s="13">
        <f>IF(ROWS($V$2:$V160)&lt;=MAX('Per Line'!$X$2:$X$501),MATCH(ROWS($V$2:$V160),'Per Line'!$X$2:$X$501,0),"")</f>
        <v/>
      </c>
    </row>
    <row r="161">
      <c r="A161">
        <f>IF($V161="","",INDEX('Per Line'!$A$2:$A$501,$V161)&amp;"")</f>
        <v/>
      </c>
      <c r="B161" s="12" t="n"/>
      <c r="C161">
        <f>IF($V161="","",INDEX('Per Line'!$B$2:$B$501,$V161)&amp;"")</f>
        <v/>
      </c>
      <c r="D161">
        <f>IF($V161="","",INDEX('Per Line'!$C$2:$C$501,$V161)&amp;"")</f>
        <v/>
      </c>
      <c r="E161">
        <f>IF($V161="","",INDEX('Per Line'!$D$2:$D$501,$V161)&amp;"")</f>
        <v/>
      </c>
      <c r="F161">
        <f>IF($V161="","",INDEX('Per Line'!$E$2:$E$501,$V161))</f>
        <v/>
      </c>
      <c r="G161" s="7">
        <f>IF($V161="","",F161*T161/100)</f>
        <v/>
      </c>
      <c r="H161">
        <f>IF($V161="","",INDEX('Per Line'!$Q$2:$Q$501,$V161)&amp;"")</f>
        <v/>
      </c>
      <c r="I161">
        <f>IF($V161="","",INDEX('Per Line'!$R$2:$R$501,$V161)&amp;"")</f>
        <v/>
      </c>
      <c r="J161" s="11">
        <f>IF($V161="","",INDEX('Per Line'!$S$2:$S$501,$V161))</f>
        <v/>
      </c>
      <c r="K161">
        <f>IF($V161="","",INDEX('Per Line'!$T$2:$T$501,$V161)&amp;"")</f>
        <v/>
      </c>
      <c r="L161">
        <f>IF($V161="","",Settings!$C$7)</f>
        <v/>
      </c>
      <c r="M161" s="7">
        <f>IF($V161="","",SUMIFS('Per Line'!$N$2:$N$501,'Per Line'!$A$2:$A$501,$A161,'Per Line'!$Y$2:$Y$501,0))</f>
        <v/>
      </c>
      <c r="N161" s="7">
        <f>IF($V161="","",M161*L161)</f>
        <v/>
      </c>
      <c r="O161">
        <f>IF($V161="","",Settings!$C$6)</f>
        <v/>
      </c>
      <c r="P161" s="7">
        <f>IF($V161="","",SUMIFS('Per Line'!$N$2:$N$501,'Per Line'!$A$2:$A$501,$A161,'Per Line'!$Y$2:$Y$501,1))</f>
        <v/>
      </c>
      <c r="Q161" s="7">
        <f>IF($V161="","",P161*O161)</f>
        <v/>
      </c>
      <c r="R161" s="7">
        <f>IF($V161="","",Q161+N161)</f>
        <v/>
      </c>
      <c r="S161" s="7">
        <f>IF($V161="","",T161-R161)</f>
        <v/>
      </c>
      <c r="T161" s="7">
        <f>IF($V161="","",M161+P161)</f>
        <v/>
      </c>
      <c r="U161" s="7">
        <f>IF($V161="","",T161-R161-G161)</f>
        <v/>
      </c>
      <c r="V161" s="13">
        <f>IF(ROWS($V$2:$V161)&lt;=MAX('Per Line'!$X$2:$X$501),MATCH(ROWS($V$2:$V161),'Per Line'!$X$2:$X$501,0),"")</f>
        <v/>
      </c>
    </row>
    <row r="162">
      <c r="A162">
        <f>IF($V162="","",INDEX('Per Line'!$A$2:$A$501,$V162)&amp;"")</f>
        <v/>
      </c>
      <c r="B162" s="12" t="n"/>
      <c r="C162">
        <f>IF($V162="","",INDEX('Per Line'!$B$2:$B$501,$V162)&amp;"")</f>
        <v/>
      </c>
      <c r="D162">
        <f>IF($V162="","",INDEX('Per Line'!$C$2:$C$501,$V162)&amp;"")</f>
        <v/>
      </c>
      <c r="E162">
        <f>IF($V162="","",INDEX('Per Line'!$D$2:$D$501,$V162)&amp;"")</f>
        <v/>
      </c>
      <c r="F162">
        <f>IF($V162="","",INDEX('Per Line'!$E$2:$E$501,$V162))</f>
        <v/>
      </c>
      <c r="G162" s="7">
        <f>IF($V162="","",F162*T162/100)</f>
        <v/>
      </c>
      <c r="H162">
        <f>IF($V162="","",INDEX('Per Line'!$Q$2:$Q$501,$V162)&amp;"")</f>
        <v/>
      </c>
      <c r="I162">
        <f>IF($V162="","",INDEX('Per Line'!$R$2:$R$501,$V162)&amp;"")</f>
        <v/>
      </c>
      <c r="J162" s="11">
        <f>IF($V162="","",INDEX('Per Line'!$S$2:$S$501,$V162))</f>
        <v/>
      </c>
      <c r="K162">
        <f>IF($V162="","",INDEX('Per Line'!$T$2:$T$501,$V162)&amp;"")</f>
        <v/>
      </c>
      <c r="L162">
        <f>IF($V162="","",Settings!$C$7)</f>
        <v/>
      </c>
      <c r="M162" s="7">
        <f>IF($V162="","",SUMIFS('Per Line'!$N$2:$N$501,'Per Line'!$A$2:$A$501,$A162,'Per Line'!$Y$2:$Y$501,0))</f>
        <v/>
      </c>
      <c r="N162" s="7">
        <f>IF($V162="","",M162*L162)</f>
        <v/>
      </c>
      <c r="O162">
        <f>IF($V162="","",Settings!$C$6)</f>
        <v/>
      </c>
      <c r="P162" s="7">
        <f>IF($V162="","",SUMIFS('Per Line'!$N$2:$N$501,'Per Line'!$A$2:$A$501,$A162,'Per Line'!$Y$2:$Y$501,1))</f>
        <v/>
      </c>
      <c r="Q162" s="7">
        <f>IF($V162="","",P162*O162)</f>
        <v/>
      </c>
      <c r="R162" s="7">
        <f>IF($V162="","",Q162+N162)</f>
        <v/>
      </c>
      <c r="S162" s="7">
        <f>IF($V162="","",T162-R162)</f>
        <v/>
      </c>
      <c r="T162" s="7">
        <f>IF($V162="","",M162+P162)</f>
        <v/>
      </c>
      <c r="U162" s="7">
        <f>IF($V162="","",T162-R162-G162)</f>
        <v/>
      </c>
      <c r="V162" s="13">
        <f>IF(ROWS($V$2:$V162)&lt;=MAX('Per Line'!$X$2:$X$501),MATCH(ROWS($V$2:$V162),'Per Line'!$X$2:$X$501,0),"")</f>
        <v/>
      </c>
    </row>
    <row r="163">
      <c r="A163">
        <f>IF($V163="","",INDEX('Per Line'!$A$2:$A$501,$V163)&amp;"")</f>
        <v/>
      </c>
      <c r="B163" s="12" t="n"/>
      <c r="C163">
        <f>IF($V163="","",INDEX('Per Line'!$B$2:$B$501,$V163)&amp;"")</f>
        <v/>
      </c>
      <c r="D163">
        <f>IF($V163="","",INDEX('Per Line'!$C$2:$C$501,$V163)&amp;"")</f>
        <v/>
      </c>
      <c r="E163">
        <f>IF($V163="","",INDEX('Per Line'!$D$2:$D$501,$V163)&amp;"")</f>
        <v/>
      </c>
      <c r="F163">
        <f>IF($V163="","",INDEX('Per Line'!$E$2:$E$501,$V163))</f>
        <v/>
      </c>
      <c r="G163" s="7">
        <f>IF($V163="","",F163*T163/100)</f>
        <v/>
      </c>
      <c r="H163">
        <f>IF($V163="","",INDEX('Per Line'!$Q$2:$Q$501,$V163)&amp;"")</f>
        <v/>
      </c>
      <c r="I163">
        <f>IF($V163="","",INDEX('Per Line'!$R$2:$R$501,$V163)&amp;"")</f>
        <v/>
      </c>
      <c r="J163" s="11">
        <f>IF($V163="","",INDEX('Per Line'!$S$2:$S$501,$V163))</f>
        <v/>
      </c>
      <c r="K163">
        <f>IF($V163="","",INDEX('Per Line'!$T$2:$T$501,$V163)&amp;"")</f>
        <v/>
      </c>
      <c r="L163">
        <f>IF($V163="","",Settings!$C$7)</f>
        <v/>
      </c>
      <c r="M163" s="7">
        <f>IF($V163="","",SUMIFS('Per Line'!$N$2:$N$501,'Per Line'!$A$2:$A$501,$A163,'Per Line'!$Y$2:$Y$501,0))</f>
        <v/>
      </c>
      <c r="N163" s="7">
        <f>IF($V163="","",M163*L163)</f>
        <v/>
      </c>
      <c r="O163">
        <f>IF($V163="","",Settings!$C$6)</f>
        <v/>
      </c>
      <c r="P163" s="7">
        <f>IF($V163="","",SUMIFS('Per Line'!$N$2:$N$501,'Per Line'!$A$2:$A$501,$A163,'Per Line'!$Y$2:$Y$501,1))</f>
        <v/>
      </c>
      <c r="Q163" s="7">
        <f>IF($V163="","",P163*O163)</f>
        <v/>
      </c>
      <c r="R163" s="7">
        <f>IF($V163="","",Q163+N163)</f>
        <v/>
      </c>
      <c r="S163" s="7">
        <f>IF($V163="","",T163-R163)</f>
        <v/>
      </c>
      <c r="T163" s="7">
        <f>IF($V163="","",M163+P163)</f>
        <v/>
      </c>
      <c r="U163" s="7">
        <f>IF($V163="","",T163-R163-G163)</f>
        <v/>
      </c>
      <c r="V163" s="13">
        <f>IF(ROWS($V$2:$V163)&lt;=MAX('Per Line'!$X$2:$X$501),MATCH(ROWS($V$2:$V163),'Per Line'!$X$2:$X$501,0),"")</f>
        <v/>
      </c>
    </row>
    <row r="164">
      <c r="A164">
        <f>IF($V164="","",INDEX('Per Line'!$A$2:$A$501,$V164)&amp;"")</f>
        <v/>
      </c>
      <c r="B164" s="12" t="n"/>
      <c r="C164">
        <f>IF($V164="","",INDEX('Per Line'!$B$2:$B$501,$V164)&amp;"")</f>
        <v/>
      </c>
      <c r="D164">
        <f>IF($V164="","",INDEX('Per Line'!$C$2:$C$501,$V164)&amp;"")</f>
        <v/>
      </c>
      <c r="E164">
        <f>IF($V164="","",INDEX('Per Line'!$D$2:$D$501,$V164)&amp;"")</f>
        <v/>
      </c>
      <c r="F164">
        <f>IF($V164="","",INDEX('Per Line'!$E$2:$E$501,$V164))</f>
        <v/>
      </c>
      <c r="G164" s="7">
        <f>IF($V164="","",F164*T164/100)</f>
        <v/>
      </c>
      <c r="H164">
        <f>IF($V164="","",INDEX('Per Line'!$Q$2:$Q$501,$V164)&amp;"")</f>
        <v/>
      </c>
      <c r="I164">
        <f>IF($V164="","",INDEX('Per Line'!$R$2:$R$501,$V164)&amp;"")</f>
        <v/>
      </c>
      <c r="J164" s="11">
        <f>IF($V164="","",INDEX('Per Line'!$S$2:$S$501,$V164))</f>
        <v/>
      </c>
      <c r="K164">
        <f>IF($V164="","",INDEX('Per Line'!$T$2:$T$501,$V164)&amp;"")</f>
        <v/>
      </c>
      <c r="L164">
        <f>IF($V164="","",Settings!$C$7)</f>
        <v/>
      </c>
      <c r="M164" s="7">
        <f>IF($V164="","",SUMIFS('Per Line'!$N$2:$N$501,'Per Line'!$A$2:$A$501,$A164,'Per Line'!$Y$2:$Y$501,0))</f>
        <v/>
      </c>
      <c r="N164" s="7">
        <f>IF($V164="","",M164*L164)</f>
        <v/>
      </c>
      <c r="O164">
        <f>IF($V164="","",Settings!$C$6)</f>
        <v/>
      </c>
      <c r="P164" s="7">
        <f>IF($V164="","",SUMIFS('Per Line'!$N$2:$N$501,'Per Line'!$A$2:$A$501,$A164,'Per Line'!$Y$2:$Y$501,1))</f>
        <v/>
      </c>
      <c r="Q164" s="7">
        <f>IF($V164="","",P164*O164)</f>
        <v/>
      </c>
      <c r="R164" s="7">
        <f>IF($V164="","",Q164+N164)</f>
        <v/>
      </c>
      <c r="S164" s="7">
        <f>IF($V164="","",T164-R164)</f>
        <v/>
      </c>
      <c r="T164" s="7">
        <f>IF($V164="","",M164+P164)</f>
        <v/>
      </c>
      <c r="U164" s="7">
        <f>IF($V164="","",T164-R164-G164)</f>
        <v/>
      </c>
      <c r="V164" s="13">
        <f>IF(ROWS($V$2:$V164)&lt;=MAX('Per Line'!$X$2:$X$501),MATCH(ROWS($V$2:$V164),'Per Line'!$X$2:$X$501,0),"")</f>
        <v/>
      </c>
    </row>
    <row r="165">
      <c r="A165">
        <f>IF($V165="","",INDEX('Per Line'!$A$2:$A$501,$V165)&amp;"")</f>
        <v/>
      </c>
      <c r="B165" s="12" t="n"/>
      <c r="C165">
        <f>IF($V165="","",INDEX('Per Line'!$B$2:$B$501,$V165)&amp;"")</f>
        <v/>
      </c>
      <c r="D165">
        <f>IF($V165="","",INDEX('Per Line'!$C$2:$C$501,$V165)&amp;"")</f>
        <v/>
      </c>
      <c r="E165">
        <f>IF($V165="","",INDEX('Per Line'!$D$2:$D$501,$V165)&amp;"")</f>
        <v/>
      </c>
      <c r="F165">
        <f>IF($V165="","",INDEX('Per Line'!$E$2:$E$501,$V165))</f>
        <v/>
      </c>
      <c r="G165" s="7">
        <f>IF($V165="","",F165*T165/100)</f>
        <v/>
      </c>
      <c r="H165">
        <f>IF($V165="","",INDEX('Per Line'!$Q$2:$Q$501,$V165)&amp;"")</f>
        <v/>
      </c>
      <c r="I165">
        <f>IF($V165="","",INDEX('Per Line'!$R$2:$R$501,$V165)&amp;"")</f>
        <v/>
      </c>
      <c r="J165" s="11">
        <f>IF($V165="","",INDEX('Per Line'!$S$2:$S$501,$V165))</f>
        <v/>
      </c>
      <c r="K165">
        <f>IF($V165="","",INDEX('Per Line'!$T$2:$T$501,$V165)&amp;"")</f>
        <v/>
      </c>
      <c r="L165">
        <f>IF($V165="","",Settings!$C$7)</f>
        <v/>
      </c>
      <c r="M165" s="7">
        <f>IF($V165="","",SUMIFS('Per Line'!$N$2:$N$501,'Per Line'!$A$2:$A$501,$A165,'Per Line'!$Y$2:$Y$501,0))</f>
        <v/>
      </c>
      <c r="N165" s="7">
        <f>IF($V165="","",M165*L165)</f>
        <v/>
      </c>
      <c r="O165">
        <f>IF($V165="","",Settings!$C$6)</f>
        <v/>
      </c>
      <c r="P165" s="7">
        <f>IF($V165="","",SUMIFS('Per Line'!$N$2:$N$501,'Per Line'!$A$2:$A$501,$A165,'Per Line'!$Y$2:$Y$501,1))</f>
        <v/>
      </c>
      <c r="Q165" s="7">
        <f>IF($V165="","",P165*O165)</f>
        <v/>
      </c>
      <c r="R165" s="7">
        <f>IF($V165="","",Q165+N165)</f>
        <v/>
      </c>
      <c r="S165" s="7">
        <f>IF($V165="","",T165-R165)</f>
        <v/>
      </c>
      <c r="T165" s="7">
        <f>IF($V165="","",M165+P165)</f>
        <v/>
      </c>
      <c r="U165" s="7">
        <f>IF($V165="","",T165-R165-G165)</f>
        <v/>
      </c>
      <c r="V165" s="13">
        <f>IF(ROWS($V$2:$V165)&lt;=MAX('Per Line'!$X$2:$X$501),MATCH(ROWS($V$2:$V165),'Per Line'!$X$2:$X$501,0),"")</f>
        <v/>
      </c>
    </row>
    <row r="166">
      <c r="A166">
        <f>IF($V166="","",INDEX('Per Line'!$A$2:$A$501,$V166)&amp;"")</f>
        <v/>
      </c>
      <c r="B166" s="12" t="n"/>
      <c r="C166">
        <f>IF($V166="","",INDEX('Per Line'!$B$2:$B$501,$V166)&amp;"")</f>
        <v/>
      </c>
      <c r="D166">
        <f>IF($V166="","",INDEX('Per Line'!$C$2:$C$501,$V166)&amp;"")</f>
        <v/>
      </c>
      <c r="E166">
        <f>IF($V166="","",INDEX('Per Line'!$D$2:$D$501,$V166)&amp;"")</f>
        <v/>
      </c>
      <c r="F166">
        <f>IF($V166="","",INDEX('Per Line'!$E$2:$E$501,$V166))</f>
        <v/>
      </c>
      <c r="G166" s="7">
        <f>IF($V166="","",F166*T166/100)</f>
        <v/>
      </c>
      <c r="H166">
        <f>IF($V166="","",INDEX('Per Line'!$Q$2:$Q$501,$V166)&amp;"")</f>
        <v/>
      </c>
      <c r="I166">
        <f>IF($V166="","",INDEX('Per Line'!$R$2:$R$501,$V166)&amp;"")</f>
        <v/>
      </c>
      <c r="J166" s="11">
        <f>IF($V166="","",INDEX('Per Line'!$S$2:$S$501,$V166))</f>
        <v/>
      </c>
      <c r="K166">
        <f>IF($V166="","",INDEX('Per Line'!$T$2:$T$501,$V166)&amp;"")</f>
        <v/>
      </c>
      <c r="L166">
        <f>IF($V166="","",Settings!$C$7)</f>
        <v/>
      </c>
      <c r="M166" s="7">
        <f>IF($V166="","",SUMIFS('Per Line'!$N$2:$N$501,'Per Line'!$A$2:$A$501,$A166,'Per Line'!$Y$2:$Y$501,0))</f>
        <v/>
      </c>
      <c r="N166" s="7">
        <f>IF($V166="","",M166*L166)</f>
        <v/>
      </c>
      <c r="O166">
        <f>IF($V166="","",Settings!$C$6)</f>
        <v/>
      </c>
      <c r="P166" s="7">
        <f>IF($V166="","",SUMIFS('Per Line'!$N$2:$N$501,'Per Line'!$A$2:$A$501,$A166,'Per Line'!$Y$2:$Y$501,1))</f>
        <v/>
      </c>
      <c r="Q166" s="7">
        <f>IF($V166="","",P166*O166)</f>
        <v/>
      </c>
      <c r="R166" s="7">
        <f>IF($V166="","",Q166+N166)</f>
        <v/>
      </c>
      <c r="S166" s="7">
        <f>IF($V166="","",T166-R166)</f>
        <v/>
      </c>
      <c r="T166" s="7">
        <f>IF($V166="","",M166+P166)</f>
        <v/>
      </c>
      <c r="U166" s="7">
        <f>IF($V166="","",T166-R166-G166)</f>
        <v/>
      </c>
      <c r="V166" s="13">
        <f>IF(ROWS($V$2:$V166)&lt;=MAX('Per Line'!$X$2:$X$501),MATCH(ROWS($V$2:$V166),'Per Line'!$X$2:$X$501,0),"")</f>
        <v/>
      </c>
    </row>
    <row r="167">
      <c r="A167">
        <f>IF($V167="","",INDEX('Per Line'!$A$2:$A$501,$V167)&amp;"")</f>
        <v/>
      </c>
      <c r="B167" s="12" t="n"/>
      <c r="C167">
        <f>IF($V167="","",INDEX('Per Line'!$B$2:$B$501,$V167)&amp;"")</f>
        <v/>
      </c>
      <c r="D167">
        <f>IF($V167="","",INDEX('Per Line'!$C$2:$C$501,$V167)&amp;"")</f>
        <v/>
      </c>
      <c r="E167">
        <f>IF($V167="","",INDEX('Per Line'!$D$2:$D$501,$V167)&amp;"")</f>
        <v/>
      </c>
      <c r="F167">
        <f>IF($V167="","",INDEX('Per Line'!$E$2:$E$501,$V167))</f>
        <v/>
      </c>
      <c r="G167" s="7">
        <f>IF($V167="","",F167*T167/100)</f>
        <v/>
      </c>
      <c r="H167">
        <f>IF($V167="","",INDEX('Per Line'!$Q$2:$Q$501,$V167)&amp;"")</f>
        <v/>
      </c>
      <c r="I167">
        <f>IF($V167="","",INDEX('Per Line'!$R$2:$R$501,$V167)&amp;"")</f>
        <v/>
      </c>
      <c r="J167" s="11">
        <f>IF($V167="","",INDEX('Per Line'!$S$2:$S$501,$V167))</f>
        <v/>
      </c>
      <c r="K167">
        <f>IF($V167="","",INDEX('Per Line'!$T$2:$T$501,$V167)&amp;"")</f>
        <v/>
      </c>
      <c r="L167">
        <f>IF($V167="","",Settings!$C$7)</f>
        <v/>
      </c>
      <c r="M167" s="7">
        <f>IF($V167="","",SUMIFS('Per Line'!$N$2:$N$501,'Per Line'!$A$2:$A$501,$A167,'Per Line'!$Y$2:$Y$501,0))</f>
        <v/>
      </c>
      <c r="N167" s="7">
        <f>IF($V167="","",M167*L167)</f>
        <v/>
      </c>
      <c r="O167">
        <f>IF($V167="","",Settings!$C$6)</f>
        <v/>
      </c>
      <c r="P167" s="7">
        <f>IF($V167="","",SUMIFS('Per Line'!$N$2:$N$501,'Per Line'!$A$2:$A$501,$A167,'Per Line'!$Y$2:$Y$501,1))</f>
        <v/>
      </c>
      <c r="Q167" s="7">
        <f>IF($V167="","",P167*O167)</f>
        <v/>
      </c>
      <c r="R167" s="7">
        <f>IF($V167="","",Q167+N167)</f>
        <v/>
      </c>
      <c r="S167" s="7">
        <f>IF($V167="","",T167-R167)</f>
        <v/>
      </c>
      <c r="T167" s="7">
        <f>IF($V167="","",M167+P167)</f>
        <v/>
      </c>
      <c r="U167" s="7">
        <f>IF($V167="","",T167-R167-G167)</f>
        <v/>
      </c>
      <c r="V167" s="13">
        <f>IF(ROWS($V$2:$V167)&lt;=MAX('Per Line'!$X$2:$X$501),MATCH(ROWS($V$2:$V167),'Per Line'!$X$2:$X$501,0),"")</f>
        <v/>
      </c>
    </row>
    <row r="168">
      <c r="A168">
        <f>IF($V168="","",INDEX('Per Line'!$A$2:$A$501,$V168)&amp;"")</f>
        <v/>
      </c>
      <c r="B168" s="12" t="n"/>
      <c r="C168">
        <f>IF($V168="","",INDEX('Per Line'!$B$2:$B$501,$V168)&amp;"")</f>
        <v/>
      </c>
      <c r="D168">
        <f>IF($V168="","",INDEX('Per Line'!$C$2:$C$501,$V168)&amp;"")</f>
        <v/>
      </c>
      <c r="E168">
        <f>IF($V168="","",INDEX('Per Line'!$D$2:$D$501,$V168)&amp;"")</f>
        <v/>
      </c>
      <c r="F168">
        <f>IF($V168="","",INDEX('Per Line'!$E$2:$E$501,$V168))</f>
        <v/>
      </c>
      <c r="G168" s="7">
        <f>IF($V168="","",F168*T168/100)</f>
        <v/>
      </c>
      <c r="H168">
        <f>IF($V168="","",INDEX('Per Line'!$Q$2:$Q$501,$V168)&amp;"")</f>
        <v/>
      </c>
      <c r="I168">
        <f>IF($V168="","",INDEX('Per Line'!$R$2:$R$501,$V168)&amp;"")</f>
        <v/>
      </c>
      <c r="J168" s="11">
        <f>IF($V168="","",INDEX('Per Line'!$S$2:$S$501,$V168))</f>
        <v/>
      </c>
      <c r="K168">
        <f>IF($V168="","",INDEX('Per Line'!$T$2:$T$501,$V168)&amp;"")</f>
        <v/>
      </c>
      <c r="L168">
        <f>IF($V168="","",Settings!$C$7)</f>
        <v/>
      </c>
      <c r="M168" s="7">
        <f>IF($V168="","",SUMIFS('Per Line'!$N$2:$N$501,'Per Line'!$A$2:$A$501,$A168,'Per Line'!$Y$2:$Y$501,0))</f>
        <v/>
      </c>
      <c r="N168" s="7">
        <f>IF($V168="","",M168*L168)</f>
        <v/>
      </c>
      <c r="O168">
        <f>IF($V168="","",Settings!$C$6)</f>
        <v/>
      </c>
      <c r="P168" s="7">
        <f>IF($V168="","",SUMIFS('Per Line'!$N$2:$N$501,'Per Line'!$A$2:$A$501,$A168,'Per Line'!$Y$2:$Y$501,1))</f>
        <v/>
      </c>
      <c r="Q168" s="7">
        <f>IF($V168="","",P168*O168)</f>
        <v/>
      </c>
      <c r="R168" s="7">
        <f>IF($V168="","",Q168+N168)</f>
        <v/>
      </c>
      <c r="S168" s="7">
        <f>IF($V168="","",T168-R168)</f>
        <v/>
      </c>
      <c r="T168" s="7">
        <f>IF($V168="","",M168+P168)</f>
        <v/>
      </c>
      <c r="U168" s="7">
        <f>IF($V168="","",T168-R168-G168)</f>
        <v/>
      </c>
      <c r="V168" s="13">
        <f>IF(ROWS($V$2:$V168)&lt;=MAX('Per Line'!$X$2:$X$501),MATCH(ROWS($V$2:$V168),'Per Line'!$X$2:$X$501,0),"")</f>
        <v/>
      </c>
    </row>
    <row r="169">
      <c r="A169">
        <f>IF($V169="","",INDEX('Per Line'!$A$2:$A$501,$V169)&amp;"")</f>
        <v/>
      </c>
      <c r="B169" s="12" t="n"/>
      <c r="C169">
        <f>IF($V169="","",INDEX('Per Line'!$B$2:$B$501,$V169)&amp;"")</f>
        <v/>
      </c>
      <c r="D169">
        <f>IF($V169="","",INDEX('Per Line'!$C$2:$C$501,$V169)&amp;"")</f>
        <v/>
      </c>
      <c r="E169">
        <f>IF($V169="","",INDEX('Per Line'!$D$2:$D$501,$V169)&amp;"")</f>
        <v/>
      </c>
      <c r="F169">
        <f>IF($V169="","",INDEX('Per Line'!$E$2:$E$501,$V169))</f>
        <v/>
      </c>
      <c r="G169" s="7">
        <f>IF($V169="","",F169*T169/100)</f>
        <v/>
      </c>
      <c r="H169">
        <f>IF($V169="","",INDEX('Per Line'!$Q$2:$Q$501,$V169)&amp;"")</f>
        <v/>
      </c>
      <c r="I169">
        <f>IF($V169="","",INDEX('Per Line'!$R$2:$R$501,$V169)&amp;"")</f>
        <v/>
      </c>
      <c r="J169" s="11">
        <f>IF($V169="","",INDEX('Per Line'!$S$2:$S$501,$V169))</f>
        <v/>
      </c>
      <c r="K169">
        <f>IF($V169="","",INDEX('Per Line'!$T$2:$T$501,$V169)&amp;"")</f>
        <v/>
      </c>
      <c r="L169">
        <f>IF($V169="","",Settings!$C$7)</f>
        <v/>
      </c>
      <c r="M169" s="7">
        <f>IF($V169="","",SUMIFS('Per Line'!$N$2:$N$501,'Per Line'!$A$2:$A$501,$A169,'Per Line'!$Y$2:$Y$501,0))</f>
        <v/>
      </c>
      <c r="N169" s="7">
        <f>IF($V169="","",M169*L169)</f>
        <v/>
      </c>
      <c r="O169">
        <f>IF($V169="","",Settings!$C$6)</f>
        <v/>
      </c>
      <c r="P169" s="7">
        <f>IF($V169="","",SUMIFS('Per Line'!$N$2:$N$501,'Per Line'!$A$2:$A$501,$A169,'Per Line'!$Y$2:$Y$501,1))</f>
        <v/>
      </c>
      <c r="Q169" s="7">
        <f>IF($V169="","",P169*O169)</f>
        <v/>
      </c>
      <c r="R169" s="7">
        <f>IF($V169="","",Q169+N169)</f>
        <v/>
      </c>
      <c r="S169" s="7">
        <f>IF($V169="","",T169-R169)</f>
        <v/>
      </c>
      <c r="T169" s="7">
        <f>IF($V169="","",M169+P169)</f>
        <v/>
      </c>
      <c r="U169" s="7">
        <f>IF($V169="","",T169-R169-G169)</f>
        <v/>
      </c>
      <c r="V169" s="13">
        <f>IF(ROWS($V$2:$V169)&lt;=MAX('Per Line'!$X$2:$X$501),MATCH(ROWS($V$2:$V169),'Per Line'!$X$2:$X$501,0),"")</f>
        <v/>
      </c>
    </row>
    <row r="170">
      <c r="A170">
        <f>IF($V170="","",INDEX('Per Line'!$A$2:$A$501,$V170)&amp;"")</f>
        <v/>
      </c>
      <c r="B170" s="12" t="n"/>
      <c r="C170">
        <f>IF($V170="","",INDEX('Per Line'!$B$2:$B$501,$V170)&amp;"")</f>
        <v/>
      </c>
      <c r="D170">
        <f>IF($V170="","",INDEX('Per Line'!$C$2:$C$501,$V170)&amp;"")</f>
        <v/>
      </c>
      <c r="E170">
        <f>IF($V170="","",INDEX('Per Line'!$D$2:$D$501,$V170)&amp;"")</f>
        <v/>
      </c>
      <c r="F170">
        <f>IF($V170="","",INDEX('Per Line'!$E$2:$E$501,$V170))</f>
        <v/>
      </c>
      <c r="G170" s="7">
        <f>IF($V170="","",F170*T170/100)</f>
        <v/>
      </c>
      <c r="H170">
        <f>IF($V170="","",INDEX('Per Line'!$Q$2:$Q$501,$V170)&amp;"")</f>
        <v/>
      </c>
      <c r="I170">
        <f>IF($V170="","",INDEX('Per Line'!$R$2:$R$501,$V170)&amp;"")</f>
        <v/>
      </c>
      <c r="J170" s="11">
        <f>IF($V170="","",INDEX('Per Line'!$S$2:$S$501,$V170))</f>
        <v/>
      </c>
      <c r="K170">
        <f>IF($V170="","",INDEX('Per Line'!$T$2:$T$501,$V170)&amp;"")</f>
        <v/>
      </c>
      <c r="L170">
        <f>IF($V170="","",Settings!$C$7)</f>
        <v/>
      </c>
      <c r="M170" s="7">
        <f>IF($V170="","",SUMIFS('Per Line'!$N$2:$N$501,'Per Line'!$A$2:$A$501,$A170,'Per Line'!$Y$2:$Y$501,0))</f>
        <v/>
      </c>
      <c r="N170" s="7">
        <f>IF($V170="","",M170*L170)</f>
        <v/>
      </c>
      <c r="O170">
        <f>IF($V170="","",Settings!$C$6)</f>
        <v/>
      </c>
      <c r="P170" s="7">
        <f>IF($V170="","",SUMIFS('Per Line'!$N$2:$N$501,'Per Line'!$A$2:$A$501,$A170,'Per Line'!$Y$2:$Y$501,1))</f>
        <v/>
      </c>
      <c r="Q170" s="7">
        <f>IF($V170="","",P170*O170)</f>
        <v/>
      </c>
      <c r="R170" s="7">
        <f>IF($V170="","",Q170+N170)</f>
        <v/>
      </c>
      <c r="S170" s="7">
        <f>IF($V170="","",T170-R170)</f>
        <v/>
      </c>
      <c r="T170" s="7">
        <f>IF($V170="","",M170+P170)</f>
        <v/>
      </c>
      <c r="U170" s="7">
        <f>IF($V170="","",T170-R170-G170)</f>
        <v/>
      </c>
      <c r="V170" s="13">
        <f>IF(ROWS($V$2:$V170)&lt;=MAX('Per Line'!$X$2:$X$501),MATCH(ROWS($V$2:$V170),'Per Line'!$X$2:$X$501,0),"")</f>
        <v/>
      </c>
    </row>
    <row r="171">
      <c r="A171">
        <f>IF($V171="","",INDEX('Per Line'!$A$2:$A$501,$V171)&amp;"")</f>
        <v/>
      </c>
      <c r="B171" s="12" t="n"/>
      <c r="C171">
        <f>IF($V171="","",INDEX('Per Line'!$B$2:$B$501,$V171)&amp;"")</f>
        <v/>
      </c>
      <c r="D171">
        <f>IF($V171="","",INDEX('Per Line'!$C$2:$C$501,$V171)&amp;"")</f>
        <v/>
      </c>
      <c r="E171">
        <f>IF($V171="","",INDEX('Per Line'!$D$2:$D$501,$V171)&amp;"")</f>
        <v/>
      </c>
      <c r="F171">
        <f>IF($V171="","",INDEX('Per Line'!$E$2:$E$501,$V171))</f>
        <v/>
      </c>
      <c r="G171" s="7">
        <f>IF($V171="","",F171*T171/100)</f>
        <v/>
      </c>
      <c r="H171">
        <f>IF($V171="","",INDEX('Per Line'!$Q$2:$Q$501,$V171)&amp;"")</f>
        <v/>
      </c>
      <c r="I171">
        <f>IF($V171="","",INDEX('Per Line'!$R$2:$R$501,$V171)&amp;"")</f>
        <v/>
      </c>
      <c r="J171" s="11">
        <f>IF($V171="","",INDEX('Per Line'!$S$2:$S$501,$V171))</f>
        <v/>
      </c>
      <c r="K171">
        <f>IF($V171="","",INDEX('Per Line'!$T$2:$T$501,$V171)&amp;"")</f>
        <v/>
      </c>
      <c r="L171">
        <f>IF($V171="","",Settings!$C$7)</f>
        <v/>
      </c>
      <c r="M171" s="7">
        <f>IF($V171="","",SUMIFS('Per Line'!$N$2:$N$501,'Per Line'!$A$2:$A$501,$A171,'Per Line'!$Y$2:$Y$501,0))</f>
        <v/>
      </c>
      <c r="N171" s="7">
        <f>IF($V171="","",M171*L171)</f>
        <v/>
      </c>
      <c r="O171">
        <f>IF($V171="","",Settings!$C$6)</f>
        <v/>
      </c>
      <c r="P171" s="7">
        <f>IF($V171="","",SUMIFS('Per Line'!$N$2:$N$501,'Per Line'!$A$2:$A$501,$A171,'Per Line'!$Y$2:$Y$501,1))</f>
        <v/>
      </c>
      <c r="Q171" s="7">
        <f>IF($V171="","",P171*O171)</f>
        <v/>
      </c>
      <c r="R171" s="7">
        <f>IF($V171="","",Q171+N171)</f>
        <v/>
      </c>
      <c r="S171" s="7">
        <f>IF($V171="","",T171-R171)</f>
        <v/>
      </c>
      <c r="T171" s="7">
        <f>IF($V171="","",M171+P171)</f>
        <v/>
      </c>
      <c r="U171" s="7">
        <f>IF($V171="","",T171-R171-G171)</f>
        <v/>
      </c>
      <c r="V171" s="13">
        <f>IF(ROWS($V$2:$V171)&lt;=MAX('Per Line'!$X$2:$X$501),MATCH(ROWS($V$2:$V171),'Per Line'!$X$2:$X$501,0),"")</f>
        <v/>
      </c>
    </row>
    <row r="172">
      <c r="A172">
        <f>IF($V172="","",INDEX('Per Line'!$A$2:$A$501,$V172)&amp;"")</f>
        <v/>
      </c>
      <c r="B172" s="12" t="n"/>
      <c r="C172">
        <f>IF($V172="","",INDEX('Per Line'!$B$2:$B$501,$V172)&amp;"")</f>
        <v/>
      </c>
      <c r="D172">
        <f>IF($V172="","",INDEX('Per Line'!$C$2:$C$501,$V172)&amp;"")</f>
        <v/>
      </c>
      <c r="E172">
        <f>IF($V172="","",INDEX('Per Line'!$D$2:$D$501,$V172)&amp;"")</f>
        <v/>
      </c>
      <c r="F172">
        <f>IF($V172="","",INDEX('Per Line'!$E$2:$E$501,$V172))</f>
        <v/>
      </c>
      <c r="G172" s="7">
        <f>IF($V172="","",F172*T172/100)</f>
        <v/>
      </c>
      <c r="H172">
        <f>IF($V172="","",INDEX('Per Line'!$Q$2:$Q$501,$V172)&amp;"")</f>
        <v/>
      </c>
      <c r="I172">
        <f>IF($V172="","",INDEX('Per Line'!$R$2:$R$501,$V172)&amp;"")</f>
        <v/>
      </c>
      <c r="J172" s="11">
        <f>IF($V172="","",INDEX('Per Line'!$S$2:$S$501,$V172))</f>
        <v/>
      </c>
      <c r="K172">
        <f>IF($V172="","",INDEX('Per Line'!$T$2:$T$501,$V172)&amp;"")</f>
        <v/>
      </c>
      <c r="L172">
        <f>IF($V172="","",Settings!$C$7)</f>
        <v/>
      </c>
      <c r="M172" s="7">
        <f>IF($V172="","",SUMIFS('Per Line'!$N$2:$N$501,'Per Line'!$A$2:$A$501,$A172,'Per Line'!$Y$2:$Y$501,0))</f>
        <v/>
      </c>
      <c r="N172" s="7">
        <f>IF($V172="","",M172*L172)</f>
        <v/>
      </c>
      <c r="O172">
        <f>IF($V172="","",Settings!$C$6)</f>
        <v/>
      </c>
      <c r="P172" s="7">
        <f>IF($V172="","",SUMIFS('Per Line'!$N$2:$N$501,'Per Line'!$A$2:$A$501,$A172,'Per Line'!$Y$2:$Y$501,1))</f>
        <v/>
      </c>
      <c r="Q172" s="7">
        <f>IF($V172="","",P172*O172)</f>
        <v/>
      </c>
      <c r="R172" s="7">
        <f>IF($V172="","",Q172+N172)</f>
        <v/>
      </c>
      <c r="S172" s="7">
        <f>IF($V172="","",T172-R172)</f>
        <v/>
      </c>
      <c r="T172" s="7">
        <f>IF($V172="","",M172+P172)</f>
        <v/>
      </c>
      <c r="U172" s="7">
        <f>IF($V172="","",T172-R172-G172)</f>
        <v/>
      </c>
      <c r="V172" s="13">
        <f>IF(ROWS($V$2:$V172)&lt;=MAX('Per Line'!$X$2:$X$501),MATCH(ROWS($V$2:$V172),'Per Line'!$X$2:$X$501,0),"")</f>
        <v/>
      </c>
    </row>
    <row r="173">
      <c r="A173">
        <f>IF($V173="","",INDEX('Per Line'!$A$2:$A$501,$V173)&amp;"")</f>
        <v/>
      </c>
      <c r="B173" s="12" t="n"/>
      <c r="C173">
        <f>IF($V173="","",INDEX('Per Line'!$B$2:$B$501,$V173)&amp;"")</f>
        <v/>
      </c>
      <c r="D173">
        <f>IF($V173="","",INDEX('Per Line'!$C$2:$C$501,$V173)&amp;"")</f>
        <v/>
      </c>
      <c r="E173">
        <f>IF($V173="","",INDEX('Per Line'!$D$2:$D$501,$V173)&amp;"")</f>
        <v/>
      </c>
      <c r="F173">
        <f>IF($V173="","",INDEX('Per Line'!$E$2:$E$501,$V173))</f>
        <v/>
      </c>
      <c r="G173" s="7">
        <f>IF($V173="","",F173*T173/100)</f>
        <v/>
      </c>
      <c r="H173">
        <f>IF($V173="","",INDEX('Per Line'!$Q$2:$Q$501,$V173)&amp;"")</f>
        <v/>
      </c>
      <c r="I173">
        <f>IF($V173="","",INDEX('Per Line'!$R$2:$R$501,$V173)&amp;"")</f>
        <v/>
      </c>
      <c r="J173" s="11">
        <f>IF($V173="","",INDEX('Per Line'!$S$2:$S$501,$V173))</f>
        <v/>
      </c>
      <c r="K173">
        <f>IF($V173="","",INDEX('Per Line'!$T$2:$T$501,$V173)&amp;"")</f>
        <v/>
      </c>
      <c r="L173">
        <f>IF($V173="","",Settings!$C$7)</f>
        <v/>
      </c>
      <c r="M173" s="7">
        <f>IF($V173="","",SUMIFS('Per Line'!$N$2:$N$501,'Per Line'!$A$2:$A$501,$A173,'Per Line'!$Y$2:$Y$501,0))</f>
        <v/>
      </c>
      <c r="N173" s="7">
        <f>IF($V173="","",M173*L173)</f>
        <v/>
      </c>
      <c r="O173">
        <f>IF($V173="","",Settings!$C$6)</f>
        <v/>
      </c>
      <c r="P173" s="7">
        <f>IF($V173="","",SUMIFS('Per Line'!$N$2:$N$501,'Per Line'!$A$2:$A$501,$A173,'Per Line'!$Y$2:$Y$501,1))</f>
        <v/>
      </c>
      <c r="Q173" s="7">
        <f>IF($V173="","",P173*O173)</f>
        <v/>
      </c>
      <c r="R173" s="7">
        <f>IF($V173="","",Q173+N173)</f>
        <v/>
      </c>
      <c r="S173" s="7">
        <f>IF($V173="","",T173-R173)</f>
        <v/>
      </c>
      <c r="T173" s="7">
        <f>IF($V173="","",M173+P173)</f>
        <v/>
      </c>
      <c r="U173" s="7">
        <f>IF($V173="","",T173-R173-G173)</f>
        <v/>
      </c>
      <c r="V173" s="13">
        <f>IF(ROWS($V$2:$V173)&lt;=MAX('Per Line'!$X$2:$X$501),MATCH(ROWS($V$2:$V173),'Per Line'!$X$2:$X$501,0),"")</f>
        <v/>
      </c>
    </row>
    <row r="174">
      <c r="A174">
        <f>IF($V174="","",INDEX('Per Line'!$A$2:$A$501,$V174)&amp;"")</f>
        <v/>
      </c>
      <c r="B174" s="12" t="n"/>
      <c r="C174">
        <f>IF($V174="","",INDEX('Per Line'!$B$2:$B$501,$V174)&amp;"")</f>
        <v/>
      </c>
      <c r="D174">
        <f>IF($V174="","",INDEX('Per Line'!$C$2:$C$501,$V174)&amp;"")</f>
        <v/>
      </c>
      <c r="E174">
        <f>IF($V174="","",INDEX('Per Line'!$D$2:$D$501,$V174)&amp;"")</f>
        <v/>
      </c>
      <c r="F174">
        <f>IF($V174="","",INDEX('Per Line'!$E$2:$E$501,$V174))</f>
        <v/>
      </c>
      <c r="G174" s="7">
        <f>IF($V174="","",F174*T174/100)</f>
        <v/>
      </c>
      <c r="H174">
        <f>IF($V174="","",INDEX('Per Line'!$Q$2:$Q$501,$V174)&amp;"")</f>
        <v/>
      </c>
      <c r="I174">
        <f>IF($V174="","",INDEX('Per Line'!$R$2:$R$501,$V174)&amp;"")</f>
        <v/>
      </c>
      <c r="J174" s="11">
        <f>IF($V174="","",INDEX('Per Line'!$S$2:$S$501,$V174))</f>
        <v/>
      </c>
      <c r="K174">
        <f>IF($V174="","",INDEX('Per Line'!$T$2:$T$501,$V174)&amp;"")</f>
        <v/>
      </c>
      <c r="L174">
        <f>IF($V174="","",Settings!$C$7)</f>
        <v/>
      </c>
      <c r="M174" s="7">
        <f>IF($V174="","",SUMIFS('Per Line'!$N$2:$N$501,'Per Line'!$A$2:$A$501,$A174,'Per Line'!$Y$2:$Y$501,0))</f>
        <v/>
      </c>
      <c r="N174" s="7">
        <f>IF($V174="","",M174*L174)</f>
        <v/>
      </c>
      <c r="O174">
        <f>IF($V174="","",Settings!$C$6)</f>
        <v/>
      </c>
      <c r="P174" s="7">
        <f>IF($V174="","",SUMIFS('Per Line'!$N$2:$N$501,'Per Line'!$A$2:$A$501,$A174,'Per Line'!$Y$2:$Y$501,1))</f>
        <v/>
      </c>
      <c r="Q174" s="7">
        <f>IF($V174="","",P174*O174)</f>
        <v/>
      </c>
      <c r="R174" s="7">
        <f>IF($V174="","",Q174+N174)</f>
        <v/>
      </c>
      <c r="S174" s="7">
        <f>IF($V174="","",T174-R174)</f>
        <v/>
      </c>
      <c r="T174" s="7">
        <f>IF($V174="","",M174+P174)</f>
        <v/>
      </c>
      <c r="U174" s="7">
        <f>IF($V174="","",T174-R174-G174)</f>
        <v/>
      </c>
      <c r="V174" s="13">
        <f>IF(ROWS($V$2:$V174)&lt;=MAX('Per Line'!$X$2:$X$501),MATCH(ROWS($V$2:$V174),'Per Line'!$X$2:$X$501,0),"")</f>
        <v/>
      </c>
    </row>
    <row r="175">
      <c r="A175">
        <f>IF($V175="","",INDEX('Per Line'!$A$2:$A$501,$V175)&amp;"")</f>
        <v/>
      </c>
      <c r="B175" s="12" t="n"/>
      <c r="C175">
        <f>IF($V175="","",INDEX('Per Line'!$B$2:$B$501,$V175)&amp;"")</f>
        <v/>
      </c>
      <c r="D175">
        <f>IF($V175="","",INDEX('Per Line'!$C$2:$C$501,$V175)&amp;"")</f>
        <v/>
      </c>
      <c r="E175">
        <f>IF($V175="","",INDEX('Per Line'!$D$2:$D$501,$V175)&amp;"")</f>
        <v/>
      </c>
      <c r="F175">
        <f>IF($V175="","",INDEX('Per Line'!$E$2:$E$501,$V175))</f>
        <v/>
      </c>
      <c r="G175" s="7">
        <f>IF($V175="","",F175*T175/100)</f>
        <v/>
      </c>
      <c r="H175">
        <f>IF($V175="","",INDEX('Per Line'!$Q$2:$Q$501,$V175)&amp;"")</f>
        <v/>
      </c>
      <c r="I175">
        <f>IF($V175="","",INDEX('Per Line'!$R$2:$R$501,$V175)&amp;"")</f>
        <v/>
      </c>
      <c r="J175" s="11">
        <f>IF($V175="","",INDEX('Per Line'!$S$2:$S$501,$V175))</f>
        <v/>
      </c>
      <c r="K175">
        <f>IF($V175="","",INDEX('Per Line'!$T$2:$T$501,$V175)&amp;"")</f>
        <v/>
      </c>
      <c r="L175">
        <f>IF($V175="","",Settings!$C$7)</f>
        <v/>
      </c>
      <c r="M175" s="7">
        <f>IF($V175="","",SUMIFS('Per Line'!$N$2:$N$501,'Per Line'!$A$2:$A$501,$A175,'Per Line'!$Y$2:$Y$501,0))</f>
        <v/>
      </c>
      <c r="N175" s="7">
        <f>IF($V175="","",M175*L175)</f>
        <v/>
      </c>
      <c r="O175">
        <f>IF($V175="","",Settings!$C$6)</f>
        <v/>
      </c>
      <c r="P175" s="7">
        <f>IF($V175="","",SUMIFS('Per Line'!$N$2:$N$501,'Per Line'!$A$2:$A$501,$A175,'Per Line'!$Y$2:$Y$501,1))</f>
        <v/>
      </c>
      <c r="Q175" s="7">
        <f>IF($V175="","",P175*O175)</f>
        <v/>
      </c>
      <c r="R175" s="7">
        <f>IF($V175="","",Q175+N175)</f>
        <v/>
      </c>
      <c r="S175" s="7">
        <f>IF($V175="","",T175-R175)</f>
        <v/>
      </c>
      <c r="T175" s="7">
        <f>IF($V175="","",M175+P175)</f>
        <v/>
      </c>
      <c r="U175" s="7">
        <f>IF($V175="","",T175-R175-G175)</f>
        <v/>
      </c>
      <c r="V175" s="13">
        <f>IF(ROWS($V$2:$V175)&lt;=MAX('Per Line'!$X$2:$X$501),MATCH(ROWS($V$2:$V175),'Per Line'!$X$2:$X$501,0),"")</f>
        <v/>
      </c>
    </row>
    <row r="176">
      <c r="A176">
        <f>IF($V176="","",INDEX('Per Line'!$A$2:$A$501,$V176)&amp;"")</f>
        <v/>
      </c>
      <c r="B176" s="12" t="n"/>
      <c r="C176">
        <f>IF($V176="","",INDEX('Per Line'!$B$2:$B$501,$V176)&amp;"")</f>
        <v/>
      </c>
      <c r="D176">
        <f>IF($V176="","",INDEX('Per Line'!$C$2:$C$501,$V176)&amp;"")</f>
        <v/>
      </c>
      <c r="E176">
        <f>IF($V176="","",INDEX('Per Line'!$D$2:$D$501,$V176)&amp;"")</f>
        <v/>
      </c>
      <c r="F176">
        <f>IF($V176="","",INDEX('Per Line'!$E$2:$E$501,$V176))</f>
        <v/>
      </c>
      <c r="G176" s="7">
        <f>IF($V176="","",F176*T176/100)</f>
        <v/>
      </c>
      <c r="H176">
        <f>IF($V176="","",INDEX('Per Line'!$Q$2:$Q$501,$V176)&amp;"")</f>
        <v/>
      </c>
      <c r="I176">
        <f>IF($V176="","",INDEX('Per Line'!$R$2:$R$501,$V176)&amp;"")</f>
        <v/>
      </c>
      <c r="J176" s="11">
        <f>IF($V176="","",INDEX('Per Line'!$S$2:$S$501,$V176))</f>
        <v/>
      </c>
      <c r="K176">
        <f>IF($V176="","",INDEX('Per Line'!$T$2:$T$501,$V176)&amp;"")</f>
        <v/>
      </c>
      <c r="L176">
        <f>IF($V176="","",Settings!$C$7)</f>
        <v/>
      </c>
      <c r="M176" s="7">
        <f>IF($V176="","",SUMIFS('Per Line'!$N$2:$N$501,'Per Line'!$A$2:$A$501,$A176,'Per Line'!$Y$2:$Y$501,0))</f>
        <v/>
      </c>
      <c r="N176" s="7">
        <f>IF($V176="","",M176*L176)</f>
        <v/>
      </c>
      <c r="O176">
        <f>IF($V176="","",Settings!$C$6)</f>
        <v/>
      </c>
      <c r="P176" s="7">
        <f>IF($V176="","",SUMIFS('Per Line'!$N$2:$N$501,'Per Line'!$A$2:$A$501,$A176,'Per Line'!$Y$2:$Y$501,1))</f>
        <v/>
      </c>
      <c r="Q176" s="7">
        <f>IF($V176="","",P176*O176)</f>
        <v/>
      </c>
      <c r="R176" s="7">
        <f>IF($V176="","",Q176+N176)</f>
        <v/>
      </c>
      <c r="S176" s="7">
        <f>IF($V176="","",T176-R176)</f>
        <v/>
      </c>
      <c r="T176" s="7">
        <f>IF($V176="","",M176+P176)</f>
        <v/>
      </c>
      <c r="U176" s="7">
        <f>IF($V176="","",T176-R176-G176)</f>
        <v/>
      </c>
      <c r="V176" s="13">
        <f>IF(ROWS($V$2:$V176)&lt;=MAX('Per Line'!$X$2:$X$501),MATCH(ROWS($V$2:$V176),'Per Line'!$X$2:$X$501,0),"")</f>
        <v/>
      </c>
    </row>
    <row r="177">
      <c r="A177">
        <f>IF($V177="","",INDEX('Per Line'!$A$2:$A$501,$V177)&amp;"")</f>
        <v/>
      </c>
      <c r="B177" s="12" t="n"/>
      <c r="C177">
        <f>IF($V177="","",INDEX('Per Line'!$B$2:$B$501,$V177)&amp;"")</f>
        <v/>
      </c>
      <c r="D177">
        <f>IF($V177="","",INDEX('Per Line'!$C$2:$C$501,$V177)&amp;"")</f>
        <v/>
      </c>
      <c r="E177">
        <f>IF($V177="","",INDEX('Per Line'!$D$2:$D$501,$V177)&amp;"")</f>
        <v/>
      </c>
      <c r="F177">
        <f>IF($V177="","",INDEX('Per Line'!$E$2:$E$501,$V177))</f>
        <v/>
      </c>
      <c r="G177" s="7">
        <f>IF($V177="","",F177*T177/100)</f>
        <v/>
      </c>
      <c r="H177">
        <f>IF($V177="","",INDEX('Per Line'!$Q$2:$Q$501,$V177)&amp;"")</f>
        <v/>
      </c>
      <c r="I177">
        <f>IF($V177="","",INDEX('Per Line'!$R$2:$R$501,$V177)&amp;"")</f>
        <v/>
      </c>
      <c r="J177" s="11">
        <f>IF($V177="","",INDEX('Per Line'!$S$2:$S$501,$V177))</f>
        <v/>
      </c>
      <c r="K177">
        <f>IF($V177="","",INDEX('Per Line'!$T$2:$T$501,$V177)&amp;"")</f>
        <v/>
      </c>
      <c r="L177">
        <f>IF($V177="","",Settings!$C$7)</f>
        <v/>
      </c>
      <c r="M177" s="7">
        <f>IF($V177="","",SUMIFS('Per Line'!$N$2:$N$501,'Per Line'!$A$2:$A$501,$A177,'Per Line'!$Y$2:$Y$501,0))</f>
        <v/>
      </c>
      <c r="N177" s="7">
        <f>IF($V177="","",M177*L177)</f>
        <v/>
      </c>
      <c r="O177">
        <f>IF($V177="","",Settings!$C$6)</f>
        <v/>
      </c>
      <c r="P177" s="7">
        <f>IF($V177="","",SUMIFS('Per Line'!$N$2:$N$501,'Per Line'!$A$2:$A$501,$A177,'Per Line'!$Y$2:$Y$501,1))</f>
        <v/>
      </c>
      <c r="Q177" s="7">
        <f>IF($V177="","",P177*O177)</f>
        <v/>
      </c>
      <c r="R177" s="7">
        <f>IF($V177="","",Q177+N177)</f>
        <v/>
      </c>
      <c r="S177" s="7">
        <f>IF($V177="","",T177-R177)</f>
        <v/>
      </c>
      <c r="T177" s="7">
        <f>IF($V177="","",M177+P177)</f>
        <v/>
      </c>
      <c r="U177" s="7">
        <f>IF($V177="","",T177-R177-G177)</f>
        <v/>
      </c>
      <c r="V177" s="13">
        <f>IF(ROWS($V$2:$V177)&lt;=MAX('Per Line'!$X$2:$X$501),MATCH(ROWS($V$2:$V177),'Per Line'!$X$2:$X$501,0),"")</f>
        <v/>
      </c>
    </row>
    <row r="178">
      <c r="A178">
        <f>IF($V178="","",INDEX('Per Line'!$A$2:$A$501,$V178)&amp;"")</f>
        <v/>
      </c>
      <c r="B178" s="12" t="n"/>
      <c r="C178">
        <f>IF($V178="","",INDEX('Per Line'!$B$2:$B$501,$V178)&amp;"")</f>
        <v/>
      </c>
      <c r="D178">
        <f>IF($V178="","",INDEX('Per Line'!$C$2:$C$501,$V178)&amp;"")</f>
        <v/>
      </c>
      <c r="E178">
        <f>IF($V178="","",INDEX('Per Line'!$D$2:$D$501,$V178)&amp;"")</f>
        <v/>
      </c>
      <c r="F178">
        <f>IF($V178="","",INDEX('Per Line'!$E$2:$E$501,$V178))</f>
        <v/>
      </c>
      <c r="G178" s="7">
        <f>IF($V178="","",F178*T178/100)</f>
        <v/>
      </c>
      <c r="H178">
        <f>IF($V178="","",INDEX('Per Line'!$Q$2:$Q$501,$V178)&amp;"")</f>
        <v/>
      </c>
      <c r="I178">
        <f>IF($V178="","",INDEX('Per Line'!$R$2:$R$501,$V178)&amp;"")</f>
        <v/>
      </c>
      <c r="J178" s="11">
        <f>IF($V178="","",INDEX('Per Line'!$S$2:$S$501,$V178))</f>
        <v/>
      </c>
      <c r="K178">
        <f>IF($V178="","",INDEX('Per Line'!$T$2:$T$501,$V178)&amp;"")</f>
        <v/>
      </c>
      <c r="L178">
        <f>IF($V178="","",Settings!$C$7)</f>
        <v/>
      </c>
      <c r="M178" s="7">
        <f>IF($V178="","",SUMIFS('Per Line'!$N$2:$N$501,'Per Line'!$A$2:$A$501,$A178,'Per Line'!$Y$2:$Y$501,0))</f>
        <v/>
      </c>
      <c r="N178" s="7">
        <f>IF($V178="","",M178*L178)</f>
        <v/>
      </c>
      <c r="O178">
        <f>IF($V178="","",Settings!$C$6)</f>
        <v/>
      </c>
      <c r="P178" s="7">
        <f>IF($V178="","",SUMIFS('Per Line'!$N$2:$N$501,'Per Line'!$A$2:$A$501,$A178,'Per Line'!$Y$2:$Y$501,1))</f>
        <v/>
      </c>
      <c r="Q178" s="7">
        <f>IF($V178="","",P178*O178)</f>
        <v/>
      </c>
      <c r="R178" s="7">
        <f>IF($V178="","",Q178+N178)</f>
        <v/>
      </c>
      <c r="S178" s="7">
        <f>IF($V178="","",T178-R178)</f>
        <v/>
      </c>
      <c r="T178" s="7">
        <f>IF($V178="","",M178+P178)</f>
        <v/>
      </c>
      <c r="U178" s="7">
        <f>IF($V178="","",T178-R178-G178)</f>
        <v/>
      </c>
      <c r="V178" s="13">
        <f>IF(ROWS($V$2:$V178)&lt;=MAX('Per Line'!$X$2:$X$501),MATCH(ROWS($V$2:$V178),'Per Line'!$X$2:$X$501,0),"")</f>
        <v/>
      </c>
    </row>
    <row r="179">
      <c r="A179">
        <f>IF($V179="","",INDEX('Per Line'!$A$2:$A$501,$V179)&amp;"")</f>
        <v/>
      </c>
      <c r="B179" s="12" t="n"/>
      <c r="C179">
        <f>IF($V179="","",INDEX('Per Line'!$B$2:$B$501,$V179)&amp;"")</f>
        <v/>
      </c>
      <c r="D179">
        <f>IF($V179="","",INDEX('Per Line'!$C$2:$C$501,$V179)&amp;"")</f>
        <v/>
      </c>
      <c r="E179">
        <f>IF($V179="","",INDEX('Per Line'!$D$2:$D$501,$V179)&amp;"")</f>
        <v/>
      </c>
      <c r="F179">
        <f>IF($V179="","",INDEX('Per Line'!$E$2:$E$501,$V179))</f>
        <v/>
      </c>
      <c r="G179" s="7">
        <f>IF($V179="","",F179*T179/100)</f>
        <v/>
      </c>
      <c r="H179">
        <f>IF($V179="","",INDEX('Per Line'!$Q$2:$Q$501,$V179)&amp;"")</f>
        <v/>
      </c>
      <c r="I179">
        <f>IF($V179="","",INDEX('Per Line'!$R$2:$R$501,$V179)&amp;"")</f>
        <v/>
      </c>
      <c r="J179" s="11">
        <f>IF($V179="","",INDEX('Per Line'!$S$2:$S$501,$V179))</f>
        <v/>
      </c>
      <c r="K179">
        <f>IF($V179="","",INDEX('Per Line'!$T$2:$T$501,$V179)&amp;"")</f>
        <v/>
      </c>
      <c r="L179">
        <f>IF($V179="","",Settings!$C$7)</f>
        <v/>
      </c>
      <c r="M179" s="7">
        <f>IF($V179="","",SUMIFS('Per Line'!$N$2:$N$501,'Per Line'!$A$2:$A$501,$A179,'Per Line'!$Y$2:$Y$501,0))</f>
        <v/>
      </c>
      <c r="N179" s="7">
        <f>IF($V179="","",M179*L179)</f>
        <v/>
      </c>
      <c r="O179">
        <f>IF($V179="","",Settings!$C$6)</f>
        <v/>
      </c>
      <c r="P179" s="7">
        <f>IF($V179="","",SUMIFS('Per Line'!$N$2:$N$501,'Per Line'!$A$2:$A$501,$A179,'Per Line'!$Y$2:$Y$501,1))</f>
        <v/>
      </c>
      <c r="Q179" s="7">
        <f>IF($V179="","",P179*O179)</f>
        <v/>
      </c>
      <c r="R179" s="7">
        <f>IF($V179="","",Q179+N179)</f>
        <v/>
      </c>
      <c r="S179" s="7">
        <f>IF($V179="","",T179-R179)</f>
        <v/>
      </c>
      <c r="T179" s="7">
        <f>IF($V179="","",M179+P179)</f>
        <v/>
      </c>
      <c r="U179" s="7">
        <f>IF($V179="","",T179-R179-G179)</f>
        <v/>
      </c>
      <c r="V179" s="13">
        <f>IF(ROWS($V$2:$V179)&lt;=MAX('Per Line'!$X$2:$X$501),MATCH(ROWS($V$2:$V179),'Per Line'!$X$2:$X$501,0),"")</f>
        <v/>
      </c>
    </row>
    <row r="180">
      <c r="A180">
        <f>IF($V180="","",INDEX('Per Line'!$A$2:$A$501,$V180)&amp;"")</f>
        <v/>
      </c>
      <c r="B180" s="12" t="n"/>
      <c r="C180">
        <f>IF($V180="","",INDEX('Per Line'!$B$2:$B$501,$V180)&amp;"")</f>
        <v/>
      </c>
      <c r="D180">
        <f>IF($V180="","",INDEX('Per Line'!$C$2:$C$501,$V180)&amp;"")</f>
        <v/>
      </c>
      <c r="E180">
        <f>IF($V180="","",INDEX('Per Line'!$D$2:$D$501,$V180)&amp;"")</f>
        <v/>
      </c>
      <c r="F180">
        <f>IF($V180="","",INDEX('Per Line'!$E$2:$E$501,$V180))</f>
        <v/>
      </c>
      <c r="G180" s="7">
        <f>IF($V180="","",F180*T180/100)</f>
        <v/>
      </c>
      <c r="H180">
        <f>IF($V180="","",INDEX('Per Line'!$Q$2:$Q$501,$V180)&amp;"")</f>
        <v/>
      </c>
      <c r="I180">
        <f>IF($V180="","",INDEX('Per Line'!$R$2:$R$501,$V180)&amp;"")</f>
        <v/>
      </c>
      <c r="J180" s="11">
        <f>IF($V180="","",INDEX('Per Line'!$S$2:$S$501,$V180))</f>
        <v/>
      </c>
      <c r="K180">
        <f>IF($V180="","",INDEX('Per Line'!$T$2:$T$501,$V180)&amp;"")</f>
        <v/>
      </c>
      <c r="L180">
        <f>IF($V180="","",Settings!$C$7)</f>
        <v/>
      </c>
      <c r="M180" s="7">
        <f>IF($V180="","",SUMIFS('Per Line'!$N$2:$N$501,'Per Line'!$A$2:$A$501,$A180,'Per Line'!$Y$2:$Y$501,0))</f>
        <v/>
      </c>
      <c r="N180" s="7">
        <f>IF($V180="","",M180*L180)</f>
        <v/>
      </c>
      <c r="O180">
        <f>IF($V180="","",Settings!$C$6)</f>
        <v/>
      </c>
      <c r="P180" s="7">
        <f>IF($V180="","",SUMIFS('Per Line'!$N$2:$N$501,'Per Line'!$A$2:$A$501,$A180,'Per Line'!$Y$2:$Y$501,1))</f>
        <v/>
      </c>
      <c r="Q180" s="7">
        <f>IF($V180="","",P180*O180)</f>
        <v/>
      </c>
      <c r="R180" s="7">
        <f>IF($V180="","",Q180+N180)</f>
        <v/>
      </c>
      <c r="S180" s="7">
        <f>IF($V180="","",T180-R180)</f>
        <v/>
      </c>
      <c r="T180" s="7">
        <f>IF($V180="","",M180+P180)</f>
        <v/>
      </c>
      <c r="U180" s="7">
        <f>IF($V180="","",T180-R180-G180)</f>
        <v/>
      </c>
      <c r="V180" s="13">
        <f>IF(ROWS($V$2:$V180)&lt;=MAX('Per Line'!$X$2:$X$501),MATCH(ROWS($V$2:$V180),'Per Line'!$X$2:$X$501,0),"")</f>
        <v/>
      </c>
    </row>
    <row r="181">
      <c r="A181">
        <f>IF($V181="","",INDEX('Per Line'!$A$2:$A$501,$V181)&amp;"")</f>
        <v/>
      </c>
      <c r="B181" s="12" t="n"/>
      <c r="C181">
        <f>IF($V181="","",INDEX('Per Line'!$B$2:$B$501,$V181)&amp;"")</f>
        <v/>
      </c>
      <c r="D181">
        <f>IF($V181="","",INDEX('Per Line'!$C$2:$C$501,$V181)&amp;"")</f>
        <v/>
      </c>
      <c r="E181">
        <f>IF($V181="","",INDEX('Per Line'!$D$2:$D$501,$V181)&amp;"")</f>
        <v/>
      </c>
      <c r="F181">
        <f>IF($V181="","",INDEX('Per Line'!$E$2:$E$501,$V181))</f>
        <v/>
      </c>
      <c r="G181" s="7">
        <f>IF($V181="","",F181*T181/100)</f>
        <v/>
      </c>
      <c r="H181">
        <f>IF($V181="","",INDEX('Per Line'!$Q$2:$Q$501,$V181)&amp;"")</f>
        <v/>
      </c>
      <c r="I181">
        <f>IF($V181="","",INDEX('Per Line'!$R$2:$R$501,$V181)&amp;"")</f>
        <v/>
      </c>
      <c r="J181" s="11">
        <f>IF($V181="","",INDEX('Per Line'!$S$2:$S$501,$V181))</f>
        <v/>
      </c>
      <c r="K181">
        <f>IF($V181="","",INDEX('Per Line'!$T$2:$T$501,$V181)&amp;"")</f>
        <v/>
      </c>
      <c r="L181">
        <f>IF($V181="","",Settings!$C$7)</f>
        <v/>
      </c>
      <c r="M181" s="7">
        <f>IF($V181="","",SUMIFS('Per Line'!$N$2:$N$501,'Per Line'!$A$2:$A$501,$A181,'Per Line'!$Y$2:$Y$501,0))</f>
        <v/>
      </c>
      <c r="N181" s="7">
        <f>IF($V181="","",M181*L181)</f>
        <v/>
      </c>
      <c r="O181">
        <f>IF($V181="","",Settings!$C$6)</f>
        <v/>
      </c>
      <c r="P181" s="7">
        <f>IF($V181="","",SUMIFS('Per Line'!$N$2:$N$501,'Per Line'!$A$2:$A$501,$A181,'Per Line'!$Y$2:$Y$501,1))</f>
        <v/>
      </c>
      <c r="Q181" s="7">
        <f>IF($V181="","",P181*O181)</f>
        <v/>
      </c>
      <c r="R181" s="7">
        <f>IF($V181="","",Q181+N181)</f>
        <v/>
      </c>
      <c r="S181" s="7">
        <f>IF($V181="","",T181-R181)</f>
        <v/>
      </c>
      <c r="T181" s="7">
        <f>IF($V181="","",M181+P181)</f>
        <v/>
      </c>
      <c r="U181" s="7">
        <f>IF($V181="","",T181-R181-G181)</f>
        <v/>
      </c>
      <c r="V181" s="13">
        <f>IF(ROWS($V$2:$V181)&lt;=MAX('Per Line'!$X$2:$X$501),MATCH(ROWS($V$2:$V181),'Per Line'!$X$2:$X$501,0),"")</f>
        <v/>
      </c>
    </row>
    <row r="182">
      <c r="A182">
        <f>IF($V182="","",INDEX('Per Line'!$A$2:$A$501,$V182)&amp;"")</f>
        <v/>
      </c>
      <c r="B182" s="12" t="n"/>
      <c r="C182">
        <f>IF($V182="","",INDEX('Per Line'!$B$2:$B$501,$V182)&amp;"")</f>
        <v/>
      </c>
      <c r="D182">
        <f>IF($V182="","",INDEX('Per Line'!$C$2:$C$501,$V182)&amp;"")</f>
        <v/>
      </c>
      <c r="E182">
        <f>IF($V182="","",INDEX('Per Line'!$D$2:$D$501,$V182)&amp;"")</f>
        <v/>
      </c>
      <c r="F182">
        <f>IF($V182="","",INDEX('Per Line'!$E$2:$E$501,$V182))</f>
        <v/>
      </c>
      <c r="G182" s="7">
        <f>IF($V182="","",F182*T182/100)</f>
        <v/>
      </c>
      <c r="H182">
        <f>IF($V182="","",INDEX('Per Line'!$Q$2:$Q$501,$V182)&amp;"")</f>
        <v/>
      </c>
      <c r="I182">
        <f>IF($V182="","",INDEX('Per Line'!$R$2:$R$501,$V182)&amp;"")</f>
        <v/>
      </c>
      <c r="J182" s="11">
        <f>IF($V182="","",INDEX('Per Line'!$S$2:$S$501,$V182))</f>
        <v/>
      </c>
      <c r="K182">
        <f>IF($V182="","",INDEX('Per Line'!$T$2:$T$501,$V182)&amp;"")</f>
        <v/>
      </c>
      <c r="L182">
        <f>IF($V182="","",Settings!$C$7)</f>
        <v/>
      </c>
      <c r="M182" s="7">
        <f>IF($V182="","",SUMIFS('Per Line'!$N$2:$N$501,'Per Line'!$A$2:$A$501,$A182,'Per Line'!$Y$2:$Y$501,0))</f>
        <v/>
      </c>
      <c r="N182" s="7">
        <f>IF($V182="","",M182*L182)</f>
        <v/>
      </c>
      <c r="O182">
        <f>IF($V182="","",Settings!$C$6)</f>
        <v/>
      </c>
      <c r="P182" s="7">
        <f>IF($V182="","",SUMIFS('Per Line'!$N$2:$N$501,'Per Line'!$A$2:$A$501,$A182,'Per Line'!$Y$2:$Y$501,1))</f>
        <v/>
      </c>
      <c r="Q182" s="7">
        <f>IF($V182="","",P182*O182)</f>
        <v/>
      </c>
      <c r="R182" s="7">
        <f>IF($V182="","",Q182+N182)</f>
        <v/>
      </c>
      <c r="S182" s="7">
        <f>IF($V182="","",T182-R182)</f>
        <v/>
      </c>
      <c r="T182" s="7">
        <f>IF($V182="","",M182+P182)</f>
        <v/>
      </c>
      <c r="U182" s="7">
        <f>IF($V182="","",T182-R182-G182)</f>
        <v/>
      </c>
      <c r="V182" s="13">
        <f>IF(ROWS($V$2:$V182)&lt;=MAX('Per Line'!$X$2:$X$501),MATCH(ROWS($V$2:$V182),'Per Line'!$X$2:$X$501,0),"")</f>
        <v/>
      </c>
    </row>
    <row r="183">
      <c r="A183">
        <f>IF($V183="","",INDEX('Per Line'!$A$2:$A$501,$V183)&amp;"")</f>
        <v/>
      </c>
      <c r="B183" s="12" t="n"/>
      <c r="C183">
        <f>IF($V183="","",INDEX('Per Line'!$B$2:$B$501,$V183)&amp;"")</f>
        <v/>
      </c>
      <c r="D183">
        <f>IF($V183="","",INDEX('Per Line'!$C$2:$C$501,$V183)&amp;"")</f>
        <v/>
      </c>
      <c r="E183">
        <f>IF($V183="","",INDEX('Per Line'!$D$2:$D$501,$V183)&amp;"")</f>
        <v/>
      </c>
      <c r="F183">
        <f>IF($V183="","",INDEX('Per Line'!$E$2:$E$501,$V183))</f>
        <v/>
      </c>
      <c r="G183" s="7">
        <f>IF($V183="","",F183*T183/100)</f>
        <v/>
      </c>
      <c r="H183">
        <f>IF($V183="","",INDEX('Per Line'!$Q$2:$Q$501,$V183)&amp;"")</f>
        <v/>
      </c>
      <c r="I183">
        <f>IF($V183="","",INDEX('Per Line'!$R$2:$R$501,$V183)&amp;"")</f>
        <v/>
      </c>
      <c r="J183" s="11">
        <f>IF($V183="","",INDEX('Per Line'!$S$2:$S$501,$V183))</f>
        <v/>
      </c>
      <c r="K183">
        <f>IF($V183="","",INDEX('Per Line'!$T$2:$T$501,$V183)&amp;"")</f>
        <v/>
      </c>
      <c r="L183">
        <f>IF($V183="","",Settings!$C$7)</f>
        <v/>
      </c>
      <c r="M183" s="7">
        <f>IF($V183="","",SUMIFS('Per Line'!$N$2:$N$501,'Per Line'!$A$2:$A$501,$A183,'Per Line'!$Y$2:$Y$501,0))</f>
        <v/>
      </c>
      <c r="N183" s="7">
        <f>IF($V183="","",M183*L183)</f>
        <v/>
      </c>
      <c r="O183">
        <f>IF($V183="","",Settings!$C$6)</f>
        <v/>
      </c>
      <c r="P183" s="7">
        <f>IF($V183="","",SUMIFS('Per Line'!$N$2:$N$501,'Per Line'!$A$2:$A$501,$A183,'Per Line'!$Y$2:$Y$501,1))</f>
        <v/>
      </c>
      <c r="Q183" s="7">
        <f>IF($V183="","",P183*O183)</f>
        <v/>
      </c>
      <c r="R183" s="7">
        <f>IF($V183="","",Q183+N183)</f>
        <v/>
      </c>
      <c r="S183" s="7">
        <f>IF($V183="","",T183-R183)</f>
        <v/>
      </c>
      <c r="T183" s="7">
        <f>IF($V183="","",M183+P183)</f>
        <v/>
      </c>
      <c r="U183" s="7">
        <f>IF($V183="","",T183-R183-G183)</f>
        <v/>
      </c>
      <c r="V183" s="13">
        <f>IF(ROWS($V$2:$V183)&lt;=MAX('Per Line'!$X$2:$X$501),MATCH(ROWS($V$2:$V183),'Per Line'!$X$2:$X$501,0),"")</f>
        <v/>
      </c>
    </row>
    <row r="184">
      <c r="A184">
        <f>IF($V184="","",INDEX('Per Line'!$A$2:$A$501,$V184)&amp;"")</f>
        <v/>
      </c>
      <c r="B184" s="12" t="n"/>
      <c r="C184">
        <f>IF($V184="","",INDEX('Per Line'!$B$2:$B$501,$V184)&amp;"")</f>
        <v/>
      </c>
      <c r="D184">
        <f>IF($V184="","",INDEX('Per Line'!$C$2:$C$501,$V184)&amp;"")</f>
        <v/>
      </c>
      <c r="E184">
        <f>IF($V184="","",INDEX('Per Line'!$D$2:$D$501,$V184)&amp;"")</f>
        <v/>
      </c>
      <c r="F184">
        <f>IF($V184="","",INDEX('Per Line'!$E$2:$E$501,$V184))</f>
        <v/>
      </c>
      <c r="G184" s="7">
        <f>IF($V184="","",F184*T184/100)</f>
        <v/>
      </c>
      <c r="H184">
        <f>IF($V184="","",INDEX('Per Line'!$Q$2:$Q$501,$V184)&amp;"")</f>
        <v/>
      </c>
      <c r="I184">
        <f>IF($V184="","",INDEX('Per Line'!$R$2:$R$501,$V184)&amp;"")</f>
        <v/>
      </c>
      <c r="J184" s="11">
        <f>IF($V184="","",INDEX('Per Line'!$S$2:$S$501,$V184))</f>
        <v/>
      </c>
      <c r="K184">
        <f>IF($V184="","",INDEX('Per Line'!$T$2:$T$501,$V184)&amp;"")</f>
        <v/>
      </c>
      <c r="L184">
        <f>IF($V184="","",Settings!$C$7)</f>
        <v/>
      </c>
      <c r="M184" s="7">
        <f>IF($V184="","",SUMIFS('Per Line'!$N$2:$N$501,'Per Line'!$A$2:$A$501,$A184,'Per Line'!$Y$2:$Y$501,0))</f>
        <v/>
      </c>
      <c r="N184" s="7">
        <f>IF($V184="","",M184*L184)</f>
        <v/>
      </c>
      <c r="O184">
        <f>IF($V184="","",Settings!$C$6)</f>
        <v/>
      </c>
      <c r="P184" s="7">
        <f>IF($V184="","",SUMIFS('Per Line'!$N$2:$N$501,'Per Line'!$A$2:$A$501,$A184,'Per Line'!$Y$2:$Y$501,1))</f>
        <v/>
      </c>
      <c r="Q184" s="7">
        <f>IF($V184="","",P184*O184)</f>
        <v/>
      </c>
      <c r="R184" s="7">
        <f>IF($V184="","",Q184+N184)</f>
        <v/>
      </c>
      <c r="S184" s="7">
        <f>IF($V184="","",T184-R184)</f>
        <v/>
      </c>
      <c r="T184" s="7">
        <f>IF($V184="","",M184+P184)</f>
        <v/>
      </c>
      <c r="U184" s="7">
        <f>IF($V184="","",T184-R184-G184)</f>
        <v/>
      </c>
      <c r="V184" s="13">
        <f>IF(ROWS($V$2:$V184)&lt;=MAX('Per Line'!$X$2:$X$501),MATCH(ROWS($V$2:$V184),'Per Line'!$X$2:$X$501,0),"")</f>
        <v/>
      </c>
    </row>
    <row r="185">
      <c r="A185">
        <f>IF($V185="","",INDEX('Per Line'!$A$2:$A$501,$V185)&amp;"")</f>
        <v/>
      </c>
      <c r="B185" s="12" t="n"/>
      <c r="C185">
        <f>IF($V185="","",INDEX('Per Line'!$B$2:$B$501,$V185)&amp;"")</f>
        <v/>
      </c>
      <c r="D185">
        <f>IF($V185="","",INDEX('Per Line'!$C$2:$C$501,$V185)&amp;"")</f>
        <v/>
      </c>
      <c r="E185">
        <f>IF($V185="","",INDEX('Per Line'!$D$2:$D$501,$V185)&amp;"")</f>
        <v/>
      </c>
      <c r="F185">
        <f>IF($V185="","",INDEX('Per Line'!$E$2:$E$501,$V185))</f>
        <v/>
      </c>
      <c r="G185" s="7">
        <f>IF($V185="","",F185*T185/100)</f>
        <v/>
      </c>
      <c r="H185">
        <f>IF($V185="","",INDEX('Per Line'!$Q$2:$Q$501,$V185)&amp;"")</f>
        <v/>
      </c>
      <c r="I185">
        <f>IF($V185="","",INDEX('Per Line'!$R$2:$R$501,$V185)&amp;"")</f>
        <v/>
      </c>
      <c r="J185" s="11">
        <f>IF($V185="","",INDEX('Per Line'!$S$2:$S$501,$V185))</f>
        <v/>
      </c>
      <c r="K185">
        <f>IF($V185="","",INDEX('Per Line'!$T$2:$T$501,$V185)&amp;"")</f>
        <v/>
      </c>
      <c r="L185">
        <f>IF($V185="","",Settings!$C$7)</f>
        <v/>
      </c>
      <c r="M185" s="7">
        <f>IF($V185="","",SUMIFS('Per Line'!$N$2:$N$501,'Per Line'!$A$2:$A$501,$A185,'Per Line'!$Y$2:$Y$501,0))</f>
        <v/>
      </c>
      <c r="N185" s="7">
        <f>IF($V185="","",M185*L185)</f>
        <v/>
      </c>
      <c r="O185">
        <f>IF($V185="","",Settings!$C$6)</f>
        <v/>
      </c>
      <c r="P185" s="7">
        <f>IF($V185="","",SUMIFS('Per Line'!$N$2:$N$501,'Per Line'!$A$2:$A$501,$A185,'Per Line'!$Y$2:$Y$501,1))</f>
        <v/>
      </c>
      <c r="Q185" s="7">
        <f>IF($V185="","",P185*O185)</f>
        <v/>
      </c>
      <c r="R185" s="7">
        <f>IF($V185="","",Q185+N185)</f>
        <v/>
      </c>
      <c r="S185" s="7">
        <f>IF($V185="","",T185-R185)</f>
        <v/>
      </c>
      <c r="T185" s="7">
        <f>IF($V185="","",M185+P185)</f>
        <v/>
      </c>
      <c r="U185" s="7">
        <f>IF($V185="","",T185-R185-G185)</f>
        <v/>
      </c>
      <c r="V185" s="13">
        <f>IF(ROWS($V$2:$V185)&lt;=MAX('Per Line'!$X$2:$X$501),MATCH(ROWS($V$2:$V185),'Per Line'!$X$2:$X$501,0),"")</f>
        <v/>
      </c>
    </row>
    <row r="186">
      <c r="A186">
        <f>IF($V186="","",INDEX('Per Line'!$A$2:$A$501,$V186)&amp;"")</f>
        <v/>
      </c>
      <c r="B186" s="12" t="n"/>
      <c r="C186">
        <f>IF($V186="","",INDEX('Per Line'!$B$2:$B$501,$V186)&amp;"")</f>
        <v/>
      </c>
      <c r="D186">
        <f>IF($V186="","",INDEX('Per Line'!$C$2:$C$501,$V186)&amp;"")</f>
        <v/>
      </c>
      <c r="E186">
        <f>IF($V186="","",INDEX('Per Line'!$D$2:$D$501,$V186)&amp;"")</f>
        <v/>
      </c>
      <c r="F186">
        <f>IF($V186="","",INDEX('Per Line'!$E$2:$E$501,$V186))</f>
        <v/>
      </c>
      <c r="G186" s="7">
        <f>IF($V186="","",F186*T186/100)</f>
        <v/>
      </c>
      <c r="H186">
        <f>IF($V186="","",INDEX('Per Line'!$Q$2:$Q$501,$V186)&amp;"")</f>
        <v/>
      </c>
      <c r="I186">
        <f>IF($V186="","",INDEX('Per Line'!$R$2:$R$501,$V186)&amp;"")</f>
        <v/>
      </c>
      <c r="J186" s="11">
        <f>IF($V186="","",INDEX('Per Line'!$S$2:$S$501,$V186))</f>
        <v/>
      </c>
      <c r="K186">
        <f>IF($V186="","",INDEX('Per Line'!$T$2:$T$501,$V186)&amp;"")</f>
        <v/>
      </c>
      <c r="L186">
        <f>IF($V186="","",Settings!$C$7)</f>
        <v/>
      </c>
      <c r="M186" s="7">
        <f>IF($V186="","",SUMIFS('Per Line'!$N$2:$N$501,'Per Line'!$A$2:$A$501,$A186,'Per Line'!$Y$2:$Y$501,0))</f>
        <v/>
      </c>
      <c r="N186" s="7">
        <f>IF($V186="","",M186*L186)</f>
        <v/>
      </c>
      <c r="O186">
        <f>IF($V186="","",Settings!$C$6)</f>
        <v/>
      </c>
      <c r="P186" s="7">
        <f>IF($V186="","",SUMIFS('Per Line'!$N$2:$N$501,'Per Line'!$A$2:$A$501,$A186,'Per Line'!$Y$2:$Y$501,1))</f>
        <v/>
      </c>
      <c r="Q186" s="7">
        <f>IF($V186="","",P186*O186)</f>
        <v/>
      </c>
      <c r="R186" s="7">
        <f>IF($V186="","",Q186+N186)</f>
        <v/>
      </c>
      <c r="S186" s="7">
        <f>IF($V186="","",T186-R186)</f>
        <v/>
      </c>
      <c r="T186" s="7">
        <f>IF($V186="","",M186+P186)</f>
        <v/>
      </c>
      <c r="U186" s="7">
        <f>IF($V186="","",T186-R186-G186)</f>
        <v/>
      </c>
      <c r="V186" s="13">
        <f>IF(ROWS($V$2:$V186)&lt;=MAX('Per Line'!$X$2:$X$501),MATCH(ROWS($V$2:$V186),'Per Line'!$X$2:$X$501,0),"")</f>
        <v/>
      </c>
    </row>
    <row r="187">
      <c r="A187">
        <f>IF($V187="","",INDEX('Per Line'!$A$2:$A$501,$V187)&amp;"")</f>
        <v/>
      </c>
      <c r="B187" s="12" t="n"/>
      <c r="C187">
        <f>IF($V187="","",INDEX('Per Line'!$B$2:$B$501,$V187)&amp;"")</f>
        <v/>
      </c>
      <c r="D187">
        <f>IF($V187="","",INDEX('Per Line'!$C$2:$C$501,$V187)&amp;"")</f>
        <v/>
      </c>
      <c r="E187">
        <f>IF($V187="","",INDEX('Per Line'!$D$2:$D$501,$V187)&amp;"")</f>
        <v/>
      </c>
      <c r="F187">
        <f>IF($V187="","",INDEX('Per Line'!$E$2:$E$501,$V187))</f>
        <v/>
      </c>
      <c r="G187" s="7">
        <f>IF($V187="","",F187*T187/100)</f>
        <v/>
      </c>
      <c r="H187">
        <f>IF($V187="","",INDEX('Per Line'!$Q$2:$Q$501,$V187)&amp;"")</f>
        <v/>
      </c>
      <c r="I187">
        <f>IF($V187="","",INDEX('Per Line'!$R$2:$R$501,$V187)&amp;"")</f>
        <v/>
      </c>
      <c r="J187" s="11">
        <f>IF($V187="","",INDEX('Per Line'!$S$2:$S$501,$V187))</f>
        <v/>
      </c>
      <c r="K187">
        <f>IF($V187="","",INDEX('Per Line'!$T$2:$T$501,$V187)&amp;"")</f>
        <v/>
      </c>
      <c r="L187">
        <f>IF($V187="","",Settings!$C$7)</f>
        <v/>
      </c>
      <c r="M187" s="7">
        <f>IF($V187="","",SUMIFS('Per Line'!$N$2:$N$501,'Per Line'!$A$2:$A$501,$A187,'Per Line'!$Y$2:$Y$501,0))</f>
        <v/>
      </c>
      <c r="N187" s="7">
        <f>IF($V187="","",M187*L187)</f>
        <v/>
      </c>
      <c r="O187">
        <f>IF($V187="","",Settings!$C$6)</f>
        <v/>
      </c>
      <c r="P187" s="7">
        <f>IF($V187="","",SUMIFS('Per Line'!$N$2:$N$501,'Per Line'!$A$2:$A$501,$A187,'Per Line'!$Y$2:$Y$501,1))</f>
        <v/>
      </c>
      <c r="Q187" s="7">
        <f>IF($V187="","",P187*O187)</f>
        <v/>
      </c>
      <c r="R187" s="7">
        <f>IF($V187="","",Q187+N187)</f>
        <v/>
      </c>
      <c r="S187" s="7">
        <f>IF($V187="","",T187-R187)</f>
        <v/>
      </c>
      <c r="T187" s="7">
        <f>IF($V187="","",M187+P187)</f>
        <v/>
      </c>
      <c r="U187" s="7">
        <f>IF($V187="","",T187-R187-G187)</f>
        <v/>
      </c>
      <c r="V187" s="13">
        <f>IF(ROWS($V$2:$V187)&lt;=MAX('Per Line'!$X$2:$X$501),MATCH(ROWS($V$2:$V187),'Per Line'!$X$2:$X$501,0),"")</f>
        <v/>
      </c>
    </row>
    <row r="188">
      <c r="A188">
        <f>IF($V188="","",INDEX('Per Line'!$A$2:$A$501,$V188)&amp;"")</f>
        <v/>
      </c>
      <c r="B188" s="12" t="n"/>
      <c r="C188">
        <f>IF($V188="","",INDEX('Per Line'!$B$2:$B$501,$V188)&amp;"")</f>
        <v/>
      </c>
      <c r="D188">
        <f>IF($V188="","",INDEX('Per Line'!$C$2:$C$501,$V188)&amp;"")</f>
        <v/>
      </c>
      <c r="E188">
        <f>IF($V188="","",INDEX('Per Line'!$D$2:$D$501,$V188)&amp;"")</f>
        <v/>
      </c>
      <c r="F188">
        <f>IF($V188="","",INDEX('Per Line'!$E$2:$E$501,$V188))</f>
        <v/>
      </c>
      <c r="G188" s="7">
        <f>IF($V188="","",F188*T188/100)</f>
        <v/>
      </c>
      <c r="H188">
        <f>IF($V188="","",INDEX('Per Line'!$Q$2:$Q$501,$V188)&amp;"")</f>
        <v/>
      </c>
      <c r="I188">
        <f>IF($V188="","",INDEX('Per Line'!$R$2:$R$501,$V188)&amp;"")</f>
        <v/>
      </c>
      <c r="J188" s="11">
        <f>IF($V188="","",INDEX('Per Line'!$S$2:$S$501,$V188))</f>
        <v/>
      </c>
      <c r="K188">
        <f>IF($V188="","",INDEX('Per Line'!$T$2:$T$501,$V188)&amp;"")</f>
        <v/>
      </c>
      <c r="L188">
        <f>IF($V188="","",Settings!$C$7)</f>
        <v/>
      </c>
      <c r="M188" s="7">
        <f>IF($V188="","",SUMIFS('Per Line'!$N$2:$N$501,'Per Line'!$A$2:$A$501,$A188,'Per Line'!$Y$2:$Y$501,0))</f>
        <v/>
      </c>
      <c r="N188" s="7">
        <f>IF($V188="","",M188*L188)</f>
        <v/>
      </c>
      <c r="O188">
        <f>IF($V188="","",Settings!$C$6)</f>
        <v/>
      </c>
      <c r="P188" s="7">
        <f>IF($V188="","",SUMIFS('Per Line'!$N$2:$N$501,'Per Line'!$A$2:$A$501,$A188,'Per Line'!$Y$2:$Y$501,1))</f>
        <v/>
      </c>
      <c r="Q188" s="7">
        <f>IF($V188="","",P188*O188)</f>
        <v/>
      </c>
      <c r="R188" s="7">
        <f>IF($V188="","",Q188+N188)</f>
        <v/>
      </c>
      <c r="S188" s="7">
        <f>IF($V188="","",T188-R188)</f>
        <v/>
      </c>
      <c r="T188" s="7">
        <f>IF($V188="","",M188+P188)</f>
        <v/>
      </c>
      <c r="U188" s="7">
        <f>IF($V188="","",T188-R188-G188)</f>
        <v/>
      </c>
      <c r="V188" s="13">
        <f>IF(ROWS($V$2:$V188)&lt;=MAX('Per Line'!$X$2:$X$501),MATCH(ROWS($V$2:$V188),'Per Line'!$X$2:$X$501,0),"")</f>
        <v/>
      </c>
    </row>
    <row r="189">
      <c r="A189">
        <f>IF($V189="","",INDEX('Per Line'!$A$2:$A$501,$V189)&amp;"")</f>
        <v/>
      </c>
      <c r="B189" s="12" t="n"/>
      <c r="C189">
        <f>IF($V189="","",INDEX('Per Line'!$B$2:$B$501,$V189)&amp;"")</f>
        <v/>
      </c>
      <c r="D189">
        <f>IF($V189="","",INDEX('Per Line'!$C$2:$C$501,$V189)&amp;"")</f>
        <v/>
      </c>
      <c r="E189">
        <f>IF($V189="","",INDEX('Per Line'!$D$2:$D$501,$V189)&amp;"")</f>
        <v/>
      </c>
      <c r="F189">
        <f>IF($V189="","",INDEX('Per Line'!$E$2:$E$501,$V189))</f>
        <v/>
      </c>
      <c r="G189" s="7">
        <f>IF($V189="","",F189*T189/100)</f>
        <v/>
      </c>
      <c r="H189">
        <f>IF($V189="","",INDEX('Per Line'!$Q$2:$Q$501,$V189)&amp;"")</f>
        <v/>
      </c>
      <c r="I189">
        <f>IF($V189="","",INDEX('Per Line'!$R$2:$R$501,$V189)&amp;"")</f>
        <v/>
      </c>
      <c r="J189" s="11">
        <f>IF($V189="","",INDEX('Per Line'!$S$2:$S$501,$V189))</f>
        <v/>
      </c>
      <c r="K189">
        <f>IF($V189="","",INDEX('Per Line'!$T$2:$T$501,$V189)&amp;"")</f>
        <v/>
      </c>
      <c r="L189">
        <f>IF($V189="","",Settings!$C$7)</f>
        <v/>
      </c>
      <c r="M189" s="7">
        <f>IF($V189="","",SUMIFS('Per Line'!$N$2:$N$501,'Per Line'!$A$2:$A$501,$A189,'Per Line'!$Y$2:$Y$501,0))</f>
        <v/>
      </c>
      <c r="N189" s="7">
        <f>IF($V189="","",M189*L189)</f>
        <v/>
      </c>
      <c r="O189">
        <f>IF($V189="","",Settings!$C$6)</f>
        <v/>
      </c>
      <c r="P189" s="7">
        <f>IF($V189="","",SUMIFS('Per Line'!$N$2:$N$501,'Per Line'!$A$2:$A$501,$A189,'Per Line'!$Y$2:$Y$501,1))</f>
        <v/>
      </c>
      <c r="Q189" s="7">
        <f>IF($V189="","",P189*O189)</f>
        <v/>
      </c>
      <c r="R189" s="7">
        <f>IF($V189="","",Q189+N189)</f>
        <v/>
      </c>
      <c r="S189" s="7">
        <f>IF($V189="","",T189-R189)</f>
        <v/>
      </c>
      <c r="T189" s="7">
        <f>IF($V189="","",M189+P189)</f>
        <v/>
      </c>
      <c r="U189" s="7">
        <f>IF($V189="","",T189-R189-G189)</f>
        <v/>
      </c>
      <c r="V189" s="13">
        <f>IF(ROWS($V$2:$V189)&lt;=MAX('Per Line'!$X$2:$X$501),MATCH(ROWS($V$2:$V189),'Per Line'!$X$2:$X$501,0),"")</f>
        <v/>
      </c>
    </row>
    <row r="190">
      <c r="A190">
        <f>IF($V190="","",INDEX('Per Line'!$A$2:$A$501,$V190)&amp;"")</f>
        <v/>
      </c>
      <c r="B190" s="12" t="n"/>
      <c r="C190">
        <f>IF($V190="","",INDEX('Per Line'!$B$2:$B$501,$V190)&amp;"")</f>
        <v/>
      </c>
      <c r="D190">
        <f>IF($V190="","",INDEX('Per Line'!$C$2:$C$501,$V190)&amp;"")</f>
        <v/>
      </c>
      <c r="E190">
        <f>IF($V190="","",INDEX('Per Line'!$D$2:$D$501,$V190)&amp;"")</f>
        <v/>
      </c>
      <c r="F190">
        <f>IF($V190="","",INDEX('Per Line'!$E$2:$E$501,$V190))</f>
        <v/>
      </c>
      <c r="G190" s="7">
        <f>IF($V190="","",F190*T190/100)</f>
        <v/>
      </c>
      <c r="H190">
        <f>IF($V190="","",INDEX('Per Line'!$Q$2:$Q$501,$V190)&amp;"")</f>
        <v/>
      </c>
      <c r="I190">
        <f>IF($V190="","",INDEX('Per Line'!$R$2:$R$501,$V190)&amp;"")</f>
        <v/>
      </c>
      <c r="J190" s="11">
        <f>IF($V190="","",INDEX('Per Line'!$S$2:$S$501,$V190))</f>
        <v/>
      </c>
      <c r="K190">
        <f>IF($V190="","",INDEX('Per Line'!$T$2:$T$501,$V190)&amp;"")</f>
        <v/>
      </c>
      <c r="L190">
        <f>IF($V190="","",Settings!$C$7)</f>
        <v/>
      </c>
      <c r="M190" s="7">
        <f>IF($V190="","",SUMIFS('Per Line'!$N$2:$N$501,'Per Line'!$A$2:$A$501,$A190,'Per Line'!$Y$2:$Y$501,0))</f>
        <v/>
      </c>
      <c r="N190" s="7">
        <f>IF($V190="","",M190*L190)</f>
        <v/>
      </c>
      <c r="O190">
        <f>IF($V190="","",Settings!$C$6)</f>
        <v/>
      </c>
      <c r="P190" s="7">
        <f>IF($V190="","",SUMIFS('Per Line'!$N$2:$N$501,'Per Line'!$A$2:$A$501,$A190,'Per Line'!$Y$2:$Y$501,1))</f>
        <v/>
      </c>
      <c r="Q190" s="7">
        <f>IF($V190="","",P190*O190)</f>
        <v/>
      </c>
      <c r="R190" s="7">
        <f>IF($V190="","",Q190+N190)</f>
        <v/>
      </c>
      <c r="S190" s="7">
        <f>IF($V190="","",T190-R190)</f>
        <v/>
      </c>
      <c r="T190" s="7">
        <f>IF($V190="","",M190+P190)</f>
        <v/>
      </c>
      <c r="U190" s="7">
        <f>IF($V190="","",T190-R190-G190)</f>
        <v/>
      </c>
      <c r="V190" s="13">
        <f>IF(ROWS($V$2:$V190)&lt;=MAX('Per Line'!$X$2:$X$501),MATCH(ROWS($V$2:$V190),'Per Line'!$X$2:$X$501,0),"")</f>
        <v/>
      </c>
    </row>
    <row r="191">
      <c r="A191">
        <f>IF($V191="","",INDEX('Per Line'!$A$2:$A$501,$V191)&amp;"")</f>
        <v/>
      </c>
      <c r="B191" s="12" t="n"/>
      <c r="C191">
        <f>IF($V191="","",INDEX('Per Line'!$B$2:$B$501,$V191)&amp;"")</f>
        <v/>
      </c>
      <c r="D191">
        <f>IF($V191="","",INDEX('Per Line'!$C$2:$C$501,$V191)&amp;"")</f>
        <v/>
      </c>
      <c r="E191">
        <f>IF($V191="","",INDEX('Per Line'!$D$2:$D$501,$V191)&amp;"")</f>
        <v/>
      </c>
      <c r="F191">
        <f>IF($V191="","",INDEX('Per Line'!$E$2:$E$501,$V191))</f>
        <v/>
      </c>
      <c r="G191" s="7">
        <f>IF($V191="","",F191*T191/100)</f>
        <v/>
      </c>
      <c r="H191">
        <f>IF($V191="","",INDEX('Per Line'!$Q$2:$Q$501,$V191)&amp;"")</f>
        <v/>
      </c>
      <c r="I191">
        <f>IF($V191="","",INDEX('Per Line'!$R$2:$R$501,$V191)&amp;"")</f>
        <v/>
      </c>
      <c r="J191" s="11">
        <f>IF($V191="","",INDEX('Per Line'!$S$2:$S$501,$V191))</f>
        <v/>
      </c>
      <c r="K191">
        <f>IF($V191="","",INDEX('Per Line'!$T$2:$T$501,$V191)&amp;"")</f>
        <v/>
      </c>
      <c r="L191">
        <f>IF($V191="","",Settings!$C$7)</f>
        <v/>
      </c>
      <c r="M191" s="7">
        <f>IF($V191="","",SUMIFS('Per Line'!$N$2:$N$501,'Per Line'!$A$2:$A$501,$A191,'Per Line'!$Y$2:$Y$501,0))</f>
        <v/>
      </c>
      <c r="N191" s="7">
        <f>IF($V191="","",M191*L191)</f>
        <v/>
      </c>
      <c r="O191">
        <f>IF($V191="","",Settings!$C$6)</f>
        <v/>
      </c>
      <c r="P191" s="7">
        <f>IF($V191="","",SUMIFS('Per Line'!$N$2:$N$501,'Per Line'!$A$2:$A$501,$A191,'Per Line'!$Y$2:$Y$501,1))</f>
        <v/>
      </c>
      <c r="Q191" s="7">
        <f>IF($V191="","",P191*O191)</f>
        <v/>
      </c>
      <c r="R191" s="7">
        <f>IF($V191="","",Q191+N191)</f>
        <v/>
      </c>
      <c r="S191" s="7">
        <f>IF($V191="","",T191-R191)</f>
        <v/>
      </c>
      <c r="T191" s="7">
        <f>IF($V191="","",M191+P191)</f>
        <v/>
      </c>
      <c r="U191" s="7">
        <f>IF($V191="","",T191-R191-G191)</f>
        <v/>
      </c>
      <c r="V191" s="13">
        <f>IF(ROWS($V$2:$V191)&lt;=MAX('Per Line'!$X$2:$X$501),MATCH(ROWS($V$2:$V191),'Per Line'!$X$2:$X$501,0),"")</f>
        <v/>
      </c>
    </row>
    <row r="192">
      <c r="A192">
        <f>IF($V192="","",INDEX('Per Line'!$A$2:$A$501,$V192)&amp;"")</f>
        <v/>
      </c>
      <c r="B192" s="12" t="n"/>
      <c r="C192">
        <f>IF($V192="","",INDEX('Per Line'!$B$2:$B$501,$V192)&amp;"")</f>
        <v/>
      </c>
      <c r="D192">
        <f>IF($V192="","",INDEX('Per Line'!$C$2:$C$501,$V192)&amp;"")</f>
        <v/>
      </c>
      <c r="E192">
        <f>IF($V192="","",INDEX('Per Line'!$D$2:$D$501,$V192)&amp;"")</f>
        <v/>
      </c>
      <c r="F192">
        <f>IF($V192="","",INDEX('Per Line'!$E$2:$E$501,$V192))</f>
        <v/>
      </c>
      <c r="G192" s="7">
        <f>IF($V192="","",F192*T192/100)</f>
        <v/>
      </c>
      <c r="H192">
        <f>IF($V192="","",INDEX('Per Line'!$Q$2:$Q$501,$V192)&amp;"")</f>
        <v/>
      </c>
      <c r="I192">
        <f>IF($V192="","",INDEX('Per Line'!$R$2:$R$501,$V192)&amp;"")</f>
        <v/>
      </c>
      <c r="J192" s="11">
        <f>IF($V192="","",INDEX('Per Line'!$S$2:$S$501,$V192))</f>
        <v/>
      </c>
      <c r="K192">
        <f>IF($V192="","",INDEX('Per Line'!$T$2:$T$501,$V192)&amp;"")</f>
        <v/>
      </c>
      <c r="L192">
        <f>IF($V192="","",Settings!$C$7)</f>
        <v/>
      </c>
      <c r="M192" s="7">
        <f>IF($V192="","",SUMIFS('Per Line'!$N$2:$N$501,'Per Line'!$A$2:$A$501,$A192,'Per Line'!$Y$2:$Y$501,0))</f>
        <v/>
      </c>
      <c r="N192" s="7">
        <f>IF($V192="","",M192*L192)</f>
        <v/>
      </c>
      <c r="O192">
        <f>IF($V192="","",Settings!$C$6)</f>
        <v/>
      </c>
      <c r="P192" s="7">
        <f>IF($V192="","",SUMIFS('Per Line'!$N$2:$N$501,'Per Line'!$A$2:$A$501,$A192,'Per Line'!$Y$2:$Y$501,1))</f>
        <v/>
      </c>
      <c r="Q192" s="7">
        <f>IF($V192="","",P192*O192)</f>
        <v/>
      </c>
      <c r="R192" s="7">
        <f>IF($V192="","",Q192+N192)</f>
        <v/>
      </c>
      <c r="S192" s="7">
        <f>IF($V192="","",T192-R192)</f>
        <v/>
      </c>
      <c r="T192" s="7">
        <f>IF($V192="","",M192+P192)</f>
        <v/>
      </c>
      <c r="U192" s="7">
        <f>IF($V192="","",T192-R192-G192)</f>
        <v/>
      </c>
      <c r="V192" s="13">
        <f>IF(ROWS($V$2:$V192)&lt;=MAX('Per Line'!$X$2:$X$501),MATCH(ROWS($V$2:$V192),'Per Line'!$X$2:$X$501,0),"")</f>
        <v/>
      </c>
    </row>
    <row r="193">
      <c r="A193">
        <f>IF($V193="","",INDEX('Per Line'!$A$2:$A$501,$V193)&amp;"")</f>
        <v/>
      </c>
      <c r="B193" s="12" t="n"/>
      <c r="C193">
        <f>IF($V193="","",INDEX('Per Line'!$B$2:$B$501,$V193)&amp;"")</f>
        <v/>
      </c>
      <c r="D193">
        <f>IF($V193="","",INDEX('Per Line'!$C$2:$C$501,$V193)&amp;"")</f>
        <v/>
      </c>
      <c r="E193">
        <f>IF($V193="","",INDEX('Per Line'!$D$2:$D$501,$V193)&amp;"")</f>
        <v/>
      </c>
      <c r="F193">
        <f>IF($V193="","",INDEX('Per Line'!$E$2:$E$501,$V193))</f>
        <v/>
      </c>
      <c r="G193" s="7">
        <f>IF($V193="","",F193*T193/100)</f>
        <v/>
      </c>
      <c r="H193">
        <f>IF($V193="","",INDEX('Per Line'!$Q$2:$Q$501,$V193)&amp;"")</f>
        <v/>
      </c>
      <c r="I193">
        <f>IF($V193="","",INDEX('Per Line'!$R$2:$R$501,$V193)&amp;"")</f>
        <v/>
      </c>
      <c r="J193" s="11">
        <f>IF($V193="","",INDEX('Per Line'!$S$2:$S$501,$V193))</f>
        <v/>
      </c>
      <c r="K193">
        <f>IF($V193="","",INDEX('Per Line'!$T$2:$T$501,$V193)&amp;"")</f>
        <v/>
      </c>
      <c r="L193">
        <f>IF($V193="","",Settings!$C$7)</f>
        <v/>
      </c>
      <c r="M193" s="7">
        <f>IF($V193="","",SUMIFS('Per Line'!$N$2:$N$501,'Per Line'!$A$2:$A$501,$A193,'Per Line'!$Y$2:$Y$501,0))</f>
        <v/>
      </c>
      <c r="N193" s="7">
        <f>IF($V193="","",M193*L193)</f>
        <v/>
      </c>
      <c r="O193">
        <f>IF($V193="","",Settings!$C$6)</f>
        <v/>
      </c>
      <c r="P193" s="7">
        <f>IF($V193="","",SUMIFS('Per Line'!$N$2:$N$501,'Per Line'!$A$2:$A$501,$A193,'Per Line'!$Y$2:$Y$501,1))</f>
        <v/>
      </c>
      <c r="Q193" s="7">
        <f>IF($V193="","",P193*O193)</f>
        <v/>
      </c>
      <c r="R193" s="7">
        <f>IF($V193="","",Q193+N193)</f>
        <v/>
      </c>
      <c r="S193" s="7">
        <f>IF($V193="","",T193-R193)</f>
        <v/>
      </c>
      <c r="T193" s="7">
        <f>IF($V193="","",M193+P193)</f>
        <v/>
      </c>
      <c r="U193" s="7">
        <f>IF($V193="","",T193-R193-G193)</f>
        <v/>
      </c>
      <c r="V193" s="13">
        <f>IF(ROWS($V$2:$V193)&lt;=MAX('Per Line'!$X$2:$X$501),MATCH(ROWS($V$2:$V193),'Per Line'!$X$2:$X$501,0),"")</f>
        <v/>
      </c>
    </row>
    <row r="194">
      <c r="A194">
        <f>IF($V194="","",INDEX('Per Line'!$A$2:$A$501,$V194)&amp;"")</f>
        <v/>
      </c>
      <c r="B194" s="12" t="n"/>
      <c r="C194">
        <f>IF($V194="","",INDEX('Per Line'!$B$2:$B$501,$V194)&amp;"")</f>
        <v/>
      </c>
      <c r="D194">
        <f>IF($V194="","",INDEX('Per Line'!$C$2:$C$501,$V194)&amp;"")</f>
        <v/>
      </c>
      <c r="E194">
        <f>IF($V194="","",INDEX('Per Line'!$D$2:$D$501,$V194)&amp;"")</f>
        <v/>
      </c>
      <c r="F194">
        <f>IF($V194="","",INDEX('Per Line'!$E$2:$E$501,$V194))</f>
        <v/>
      </c>
      <c r="G194" s="7">
        <f>IF($V194="","",F194*T194/100)</f>
        <v/>
      </c>
      <c r="H194">
        <f>IF($V194="","",INDEX('Per Line'!$Q$2:$Q$501,$V194)&amp;"")</f>
        <v/>
      </c>
      <c r="I194">
        <f>IF($V194="","",INDEX('Per Line'!$R$2:$R$501,$V194)&amp;"")</f>
        <v/>
      </c>
      <c r="J194" s="11">
        <f>IF($V194="","",INDEX('Per Line'!$S$2:$S$501,$V194))</f>
        <v/>
      </c>
      <c r="K194">
        <f>IF($V194="","",INDEX('Per Line'!$T$2:$T$501,$V194)&amp;"")</f>
        <v/>
      </c>
      <c r="L194">
        <f>IF($V194="","",Settings!$C$7)</f>
        <v/>
      </c>
      <c r="M194" s="7">
        <f>IF($V194="","",SUMIFS('Per Line'!$N$2:$N$501,'Per Line'!$A$2:$A$501,$A194,'Per Line'!$Y$2:$Y$501,0))</f>
        <v/>
      </c>
      <c r="N194" s="7">
        <f>IF($V194="","",M194*L194)</f>
        <v/>
      </c>
      <c r="O194">
        <f>IF($V194="","",Settings!$C$6)</f>
        <v/>
      </c>
      <c r="P194" s="7">
        <f>IF($V194="","",SUMIFS('Per Line'!$N$2:$N$501,'Per Line'!$A$2:$A$501,$A194,'Per Line'!$Y$2:$Y$501,1))</f>
        <v/>
      </c>
      <c r="Q194" s="7">
        <f>IF($V194="","",P194*O194)</f>
        <v/>
      </c>
      <c r="R194" s="7">
        <f>IF($V194="","",Q194+N194)</f>
        <v/>
      </c>
      <c r="S194" s="7">
        <f>IF($V194="","",T194-R194)</f>
        <v/>
      </c>
      <c r="T194" s="7">
        <f>IF($V194="","",M194+P194)</f>
        <v/>
      </c>
      <c r="U194" s="7">
        <f>IF($V194="","",T194-R194-G194)</f>
        <v/>
      </c>
      <c r="V194" s="13">
        <f>IF(ROWS($V$2:$V194)&lt;=MAX('Per Line'!$X$2:$X$501),MATCH(ROWS($V$2:$V194),'Per Line'!$X$2:$X$501,0),"")</f>
        <v/>
      </c>
    </row>
    <row r="195">
      <c r="A195">
        <f>IF($V195="","",INDEX('Per Line'!$A$2:$A$501,$V195)&amp;"")</f>
        <v/>
      </c>
      <c r="B195" s="12" t="n"/>
      <c r="C195">
        <f>IF($V195="","",INDEX('Per Line'!$B$2:$B$501,$V195)&amp;"")</f>
        <v/>
      </c>
      <c r="D195">
        <f>IF($V195="","",INDEX('Per Line'!$C$2:$C$501,$V195)&amp;"")</f>
        <v/>
      </c>
      <c r="E195">
        <f>IF($V195="","",INDEX('Per Line'!$D$2:$D$501,$V195)&amp;"")</f>
        <v/>
      </c>
      <c r="F195">
        <f>IF($V195="","",INDEX('Per Line'!$E$2:$E$501,$V195))</f>
        <v/>
      </c>
      <c r="G195" s="7">
        <f>IF($V195="","",F195*T195/100)</f>
        <v/>
      </c>
      <c r="H195">
        <f>IF($V195="","",INDEX('Per Line'!$Q$2:$Q$501,$V195)&amp;"")</f>
        <v/>
      </c>
      <c r="I195">
        <f>IF($V195="","",INDEX('Per Line'!$R$2:$R$501,$V195)&amp;"")</f>
        <v/>
      </c>
      <c r="J195" s="11">
        <f>IF($V195="","",INDEX('Per Line'!$S$2:$S$501,$V195))</f>
        <v/>
      </c>
      <c r="K195">
        <f>IF($V195="","",INDEX('Per Line'!$T$2:$T$501,$V195)&amp;"")</f>
        <v/>
      </c>
      <c r="L195">
        <f>IF($V195="","",Settings!$C$7)</f>
        <v/>
      </c>
      <c r="M195" s="7">
        <f>IF($V195="","",SUMIFS('Per Line'!$N$2:$N$501,'Per Line'!$A$2:$A$501,$A195,'Per Line'!$Y$2:$Y$501,0))</f>
        <v/>
      </c>
      <c r="N195" s="7">
        <f>IF($V195="","",M195*L195)</f>
        <v/>
      </c>
      <c r="O195">
        <f>IF($V195="","",Settings!$C$6)</f>
        <v/>
      </c>
      <c r="P195" s="7">
        <f>IF($V195="","",SUMIFS('Per Line'!$N$2:$N$501,'Per Line'!$A$2:$A$501,$A195,'Per Line'!$Y$2:$Y$501,1))</f>
        <v/>
      </c>
      <c r="Q195" s="7">
        <f>IF($V195="","",P195*O195)</f>
        <v/>
      </c>
      <c r="R195" s="7">
        <f>IF($V195="","",Q195+N195)</f>
        <v/>
      </c>
      <c r="S195" s="7">
        <f>IF($V195="","",T195-R195)</f>
        <v/>
      </c>
      <c r="T195" s="7">
        <f>IF($V195="","",M195+P195)</f>
        <v/>
      </c>
      <c r="U195" s="7">
        <f>IF($V195="","",T195-R195-G195)</f>
        <v/>
      </c>
      <c r="V195" s="13">
        <f>IF(ROWS($V$2:$V195)&lt;=MAX('Per Line'!$X$2:$X$501),MATCH(ROWS($V$2:$V195),'Per Line'!$X$2:$X$501,0),"")</f>
        <v/>
      </c>
    </row>
    <row r="196">
      <c r="A196">
        <f>IF($V196="","",INDEX('Per Line'!$A$2:$A$501,$V196)&amp;"")</f>
        <v/>
      </c>
      <c r="B196" s="12" t="n"/>
      <c r="C196">
        <f>IF($V196="","",INDEX('Per Line'!$B$2:$B$501,$V196)&amp;"")</f>
        <v/>
      </c>
      <c r="D196">
        <f>IF($V196="","",INDEX('Per Line'!$C$2:$C$501,$V196)&amp;"")</f>
        <v/>
      </c>
      <c r="E196">
        <f>IF($V196="","",INDEX('Per Line'!$D$2:$D$501,$V196)&amp;"")</f>
        <v/>
      </c>
      <c r="F196">
        <f>IF($V196="","",INDEX('Per Line'!$E$2:$E$501,$V196))</f>
        <v/>
      </c>
      <c r="G196" s="7">
        <f>IF($V196="","",F196*T196/100)</f>
        <v/>
      </c>
      <c r="H196">
        <f>IF($V196="","",INDEX('Per Line'!$Q$2:$Q$501,$V196)&amp;"")</f>
        <v/>
      </c>
      <c r="I196">
        <f>IF($V196="","",INDEX('Per Line'!$R$2:$R$501,$V196)&amp;"")</f>
        <v/>
      </c>
      <c r="J196" s="11">
        <f>IF($V196="","",INDEX('Per Line'!$S$2:$S$501,$V196))</f>
        <v/>
      </c>
      <c r="K196">
        <f>IF($V196="","",INDEX('Per Line'!$T$2:$T$501,$V196)&amp;"")</f>
        <v/>
      </c>
      <c r="L196">
        <f>IF($V196="","",Settings!$C$7)</f>
        <v/>
      </c>
      <c r="M196" s="7">
        <f>IF($V196="","",SUMIFS('Per Line'!$N$2:$N$501,'Per Line'!$A$2:$A$501,$A196,'Per Line'!$Y$2:$Y$501,0))</f>
        <v/>
      </c>
      <c r="N196" s="7">
        <f>IF($V196="","",M196*L196)</f>
        <v/>
      </c>
      <c r="O196">
        <f>IF($V196="","",Settings!$C$6)</f>
        <v/>
      </c>
      <c r="P196" s="7">
        <f>IF($V196="","",SUMIFS('Per Line'!$N$2:$N$501,'Per Line'!$A$2:$A$501,$A196,'Per Line'!$Y$2:$Y$501,1))</f>
        <v/>
      </c>
      <c r="Q196" s="7">
        <f>IF($V196="","",P196*O196)</f>
        <v/>
      </c>
      <c r="R196" s="7">
        <f>IF($V196="","",Q196+N196)</f>
        <v/>
      </c>
      <c r="S196" s="7">
        <f>IF($V196="","",T196-R196)</f>
        <v/>
      </c>
      <c r="T196" s="7">
        <f>IF($V196="","",M196+P196)</f>
        <v/>
      </c>
      <c r="U196" s="7">
        <f>IF($V196="","",T196-R196-G196)</f>
        <v/>
      </c>
      <c r="V196" s="13">
        <f>IF(ROWS($V$2:$V196)&lt;=MAX('Per Line'!$X$2:$X$501),MATCH(ROWS($V$2:$V196),'Per Line'!$X$2:$X$501,0),"")</f>
        <v/>
      </c>
    </row>
    <row r="197">
      <c r="A197">
        <f>IF($V197="","",INDEX('Per Line'!$A$2:$A$501,$V197)&amp;"")</f>
        <v/>
      </c>
      <c r="B197" s="12" t="n"/>
      <c r="C197">
        <f>IF($V197="","",INDEX('Per Line'!$B$2:$B$501,$V197)&amp;"")</f>
        <v/>
      </c>
      <c r="D197">
        <f>IF($V197="","",INDEX('Per Line'!$C$2:$C$501,$V197)&amp;"")</f>
        <v/>
      </c>
      <c r="E197">
        <f>IF($V197="","",INDEX('Per Line'!$D$2:$D$501,$V197)&amp;"")</f>
        <v/>
      </c>
      <c r="F197">
        <f>IF($V197="","",INDEX('Per Line'!$E$2:$E$501,$V197))</f>
        <v/>
      </c>
      <c r="G197" s="7">
        <f>IF($V197="","",F197*T197/100)</f>
        <v/>
      </c>
      <c r="H197">
        <f>IF($V197="","",INDEX('Per Line'!$Q$2:$Q$501,$V197)&amp;"")</f>
        <v/>
      </c>
      <c r="I197">
        <f>IF($V197="","",INDEX('Per Line'!$R$2:$R$501,$V197)&amp;"")</f>
        <v/>
      </c>
      <c r="J197" s="11">
        <f>IF($V197="","",INDEX('Per Line'!$S$2:$S$501,$V197))</f>
        <v/>
      </c>
      <c r="K197">
        <f>IF($V197="","",INDEX('Per Line'!$T$2:$T$501,$V197)&amp;"")</f>
        <v/>
      </c>
      <c r="L197">
        <f>IF($V197="","",Settings!$C$7)</f>
        <v/>
      </c>
      <c r="M197" s="7">
        <f>IF($V197="","",SUMIFS('Per Line'!$N$2:$N$501,'Per Line'!$A$2:$A$501,$A197,'Per Line'!$Y$2:$Y$501,0))</f>
        <v/>
      </c>
      <c r="N197" s="7">
        <f>IF($V197="","",M197*L197)</f>
        <v/>
      </c>
      <c r="O197">
        <f>IF($V197="","",Settings!$C$6)</f>
        <v/>
      </c>
      <c r="P197" s="7">
        <f>IF($V197="","",SUMIFS('Per Line'!$N$2:$N$501,'Per Line'!$A$2:$A$501,$A197,'Per Line'!$Y$2:$Y$501,1))</f>
        <v/>
      </c>
      <c r="Q197" s="7">
        <f>IF($V197="","",P197*O197)</f>
        <v/>
      </c>
      <c r="R197" s="7">
        <f>IF($V197="","",Q197+N197)</f>
        <v/>
      </c>
      <c r="S197" s="7">
        <f>IF($V197="","",T197-R197)</f>
        <v/>
      </c>
      <c r="T197" s="7">
        <f>IF($V197="","",M197+P197)</f>
        <v/>
      </c>
      <c r="U197" s="7">
        <f>IF($V197="","",T197-R197-G197)</f>
        <v/>
      </c>
      <c r="V197" s="13">
        <f>IF(ROWS($V$2:$V197)&lt;=MAX('Per Line'!$X$2:$X$501),MATCH(ROWS($V$2:$V197),'Per Line'!$X$2:$X$501,0),"")</f>
        <v/>
      </c>
    </row>
    <row r="198">
      <c r="A198">
        <f>IF($V198="","",INDEX('Per Line'!$A$2:$A$501,$V198)&amp;"")</f>
        <v/>
      </c>
      <c r="B198" s="12" t="n"/>
      <c r="C198">
        <f>IF($V198="","",INDEX('Per Line'!$B$2:$B$501,$V198)&amp;"")</f>
        <v/>
      </c>
      <c r="D198">
        <f>IF($V198="","",INDEX('Per Line'!$C$2:$C$501,$V198)&amp;"")</f>
        <v/>
      </c>
      <c r="E198">
        <f>IF($V198="","",INDEX('Per Line'!$D$2:$D$501,$V198)&amp;"")</f>
        <v/>
      </c>
      <c r="F198">
        <f>IF($V198="","",INDEX('Per Line'!$E$2:$E$501,$V198))</f>
        <v/>
      </c>
      <c r="G198" s="7">
        <f>IF($V198="","",F198*T198/100)</f>
        <v/>
      </c>
      <c r="H198">
        <f>IF($V198="","",INDEX('Per Line'!$Q$2:$Q$501,$V198)&amp;"")</f>
        <v/>
      </c>
      <c r="I198">
        <f>IF($V198="","",INDEX('Per Line'!$R$2:$R$501,$V198)&amp;"")</f>
        <v/>
      </c>
      <c r="J198" s="11">
        <f>IF($V198="","",INDEX('Per Line'!$S$2:$S$501,$V198))</f>
        <v/>
      </c>
      <c r="K198">
        <f>IF($V198="","",INDEX('Per Line'!$T$2:$T$501,$V198)&amp;"")</f>
        <v/>
      </c>
      <c r="L198">
        <f>IF($V198="","",Settings!$C$7)</f>
        <v/>
      </c>
      <c r="M198" s="7">
        <f>IF($V198="","",SUMIFS('Per Line'!$N$2:$N$501,'Per Line'!$A$2:$A$501,$A198,'Per Line'!$Y$2:$Y$501,0))</f>
        <v/>
      </c>
      <c r="N198" s="7">
        <f>IF($V198="","",M198*L198)</f>
        <v/>
      </c>
      <c r="O198">
        <f>IF($V198="","",Settings!$C$6)</f>
        <v/>
      </c>
      <c r="P198" s="7">
        <f>IF($V198="","",SUMIFS('Per Line'!$N$2:$N$501,'Per Line'!$A$2:$A$501,$A198,'Per Line'!$Y$2:$Y$501,1))</f>
        <v/>
      </c>
      <c r="Q198" s="7">
        <f>IF($V198="","",P198*O198)</f>
        <v/>
      </c>
      <c r="R198" s="7">
        <f>IF($V198="","",Q198+N198)</f>
        <v/>
      </c>
      <c r="S198" s="7">
        <f>IF($V198="","",T198-R198)</f>
        <v/>
      </c>
      <c r="T198" s="7">
        <f>IF($V198="","",M198+P198)</f>
        <v/>
      </c>
      <c r="U198" s="7">
        <f>IF($V198="","",T198-R198-G198)</f>
        <v/>
      </c>
      <c r="V198" s="13">
        <f>IF(ROWS($V$2:$V198)&lt;=MAX('Per Line'!$X$2:$X$501),MATCH(ROWS($V$2:$V198),'Per Line'!$X$2:$X$501,0),"")</f>
        <v/>
      </c>
    </row>
    <row r="199">
      <c r="A199">
        <f>IF($V199="","",INDEX('Per Line'!$A$2:$A$501,$V199)&amp;"")</f>
        <v/>
      </c>
      <c r="B199" s="12" t="n"/>
      <c r="C199">
        <f>IF($V199="","",INDEX('Per Line'!$B$2:$B$501,$V199)&amp;"")</f>
        <v/>
      </c>
      <c r="D199">
        <f>IF($V199="","",INDEX('Per Line'!$C$2:$C$501,$V199)&amp;"")</f>
        <v/>
      </c>
      <c r="E199">
        <f>IF($V199="","",INDEX('Per Line'!$D$2:$D$501,$V199)&amp;"")</f>
        <v/>
      </c>
      <c r="F199">
        <f>IF($V199="","",INDEX('Per Line'!$E$2:$E$501,$V199))</f>
        <v/>
      </c>
      <c r="G199" s="7">
        <f>IF($V199="","",F199*T199/100)</f>
        <v/>
      </c>
      <c r="H199">
        <f>IF($V199="","",INDEX('Per Line'!$Q$2:$Q$501,$V199)&amp;"")</f>
        <v/>
      </c>
      <c r="I199">
        <f>IF($V199="","",INDEX('Per Line'!$R$2:$R$501,$V199)&amp;"")</f>
        <v/>
      </c>
      <c r="J199" s="11">
        <f>IF($V199="","",INDEX('Per Line'!$S$2:$S$501,$V199))</f>
        <v/>
      </c>
      <c r="K199">
        <f>IF($V199="","",INDEX('Per Line'!$T$2:$T$501,$V199)&amp;"")</f>
        <v/>
      </c>
      <c r="L199">
        <f>IF($V199="","",Settings!$C$7)</f>
        <v/>
      </c>
      <c r="M199" s="7">
        <f>IF($V199="","",SUMIFS('Per Line'!$N$2:$N$501,'Per Line'!$A$2:$A$501,$A199,'Per Line'!$Y$2:$Y$501,0))</f>
        <v/>
      </c>
      <c r="N199" s="7">
        <f>IF($V199="","",M199*L199)</f>
        <v/>
      </c>
      <c r="O199">
        <f>IF($V199="","",Settings!$C$6)</f>
        <v/>
      </c>
      <c r="P199" s="7">
        <f>IF($V199="","",SUMIFS('Per Line'!$N$2:$N$501,'Per Line'!$A$2:$A$501,$A199,'Per Line'!$Y$2:$Y$501,1))</f>
        <v/>
      </c>
      <c r="Q199" s="7">
        <f>IF($V199="","",P199*O199)</f>
        <v/>
      </c>
      <c r="R199" s="7">
        <f>IF($V199="","",Q199+N199)</f>
        <v/>
      </c>
      <c r="S199" s="7">
        <f>IF($V199="","",T199-R199)</f>
        <v/>
      </c>
      <c r="T199" s="7">
        <f>IF($V199="","",M199+P199)</f>
        <v/>
      </c>
      <c r="U199" s="7">
        <f>IF($V199="","",T199-R199-G199)</f>
        <v/>
      </c>
      <c r="V199" s="13">
        <f>IF(ROWS($V$2:$V199)&lt;=MAX('Per Line'!$X$2:$X$501),MATCH(ROWS($V$2:$V199),'Per Line'!$X$2:$X$501,0),"")</f>
        <v/>
      </c>
    </row>
    <row r="200">
      <c r="A200">
        <f>IF($V200="","",INDEX('Per Line'!$A$2:$A$501,$V200)&amp;"")</f>
        <v/>
      </c>
      <c r="B200" s="12" t="n"/>
      <c r="C200">
        <f>IF($V200="","",INDEX('Per Line'!$B$2:$B$501,$V200)&amp;"")</f>
        <v/>
      </c>
      <c r="D200">
        <f>IF($V200="","",INDEX('Per Line'!$C$2:$C$501,$V200)&amp;"")</f>
        <v/>
      </c>
      <c r="E200">
        <f>IF($V200="","",INDEX('Per Line'!$D$2:$D$501,$V200)&amp;"")</f>
        <v/>
      </c>
      <c r="F200">
        <f>IF($V200="","",INDEX('Per Line'!$E$2:$E$501,$V200))</f>
        <v/>
      </c>
      <c r="G200" s="7">
        <f>IF($V200="","",F200*T200/100)</f>
        <v/>
      </c>
      <c r="H200">
        <f>IF($V200="","",INDEX('Per Line'!$Q$2:$Q$501,$V200)&amp;"")</f>
        <v/>
      </c>
      <c r="I200">
        <f>IF($V200="","",INDEX('Per Line'!$R$2:$R$501,$V200)&amp;"")</f>
        <v/>
      </c>
      <c r="J200" s="11">
        <f>IF($V200="","",INDEX('Per Line'!$S$2:$S$501,$V200))</f>
        <v/>
      </c>
      <c r="K200">
        <f>IF($V200="","",INDEX('Per Line'!$T$2:$T$501,$V200)&amp;"")</f>
        <v/>
      </c>
      <c r="L200">
        <f>IF($V200="","",Settings!$C$7)</f>
        <v/>
      </c>
      <c r="M200" s="7">
        <f>IF($V200="","",SUMIFS('Per Line'!$N$2:$N$501,'Per Line'!$A$2:$A$501,$A200,'Per Line'!$Y$2:$Y$501,0))</f>
        <v/>
      </c>
      <c r="N200" s="7">
        <f>IF($V200="","",M200*L200)</f>
        <v/>
      </c>
      <c r="O200">
        <f>IF($V200="","",Settings!$C$6)</f>
        <v/>
      </c>
      <c r="P200" s="7">
        <f>IF($V200="","",SUMIFS('Per Line'!$N$2:$N$501,'Per Line'!$A$2:$A$501,$A200,'Per Line'!$Y$2:$Y$501,1))</f>
        <v/>
      </c>
      <c r="Q200" s="7">
        <f>IF($V200="","",P200*O200)</f>
        <v/>
      </c>
      <c r="R200" s="7">
        <f>IF($V200="","",Q200+N200)</f>
        <v/>
      </c>
      <c r="S200" s="7">
        <f>IF($V200="","",T200-R200)</f>
        <v/>
      </c>
      <c r="T200" s="7">
        <f>IF($V200="","",M200+P200)</f>
        <v/>
      </c>
      <c r="U200" s="7">
        <f>IF($V200="","",T200-R200-G200)</f>
        <v/>
      </c>
      <c r="V200" s="13">
        <f>IF(ROWS($V$2:$V200)&lt;=MAX('Per Line'!$X$2:$X$501),MATCH(ROWS($V$2:$V200),'Per Line'!$X$2:$X$501,0),"")</f>
        <v/>
      </c>
    </row>
    <row r="201">
      <c r="A201">
        <f>IF($V201="","",INDEX('Per Line'!$A$2:$A$501,$V201)&amp;"")</f>
        <v/>
      </c>
      <c r="B201" s="12" t="n"/>
      <c r="C201">
        <f>IF($V201="","",INDEX('Per Line'!$B$2:$B$501,$V201)&amp;"")</f>
        <v/>
      </c>
      <c r="D201">
        <f>IF($V201="","",INDEX('Per Line'!$C$2:$C$501,$V201)&amp;"")</f>
        <v/>
      </c>
      <c r="E201">
        <f>IF($V201="","",INDEX('Per Line'!$D$2:$D$501,$V201)&amp;"")</f>
        <v/>
      </c>
      <c r="F201">
        <f>IF($V201="","",INDEX('Per Line'!$E$2:$E$501,$V201))</f>
        <v/>
      </c>
      <c r="G201" s="7">
        <f>IF($V201="","",F201*T201/100)</f>
        <v/>
      </c>
      <c r="H201">
        <f>IF($V201="","",INDEX('Per Line'!$Q$2:$Q$501,$V201)&amp;"")</f>
        <v/>
      </c>
      <c r="I201">
        <f>IF($V201="","",INDEX('Per Line'!$R$2:$R$501,$V201)&amp;"")</f>
        <v/>
      </c>
      <c r="J201" s="11">
        <f>IF($V201="","",INDEX('Per Line'!$S$2:$S$501,$V201))</f>
        <v/>
      </c>
      <c r="K201">
        <f>IF($V201="","",INDEX('Per Line'!$T$2:$T$501,$V201)&amp;"")</f>
        <v/>
      </c>
      <c r="L201">
        <f>IF($V201="","",Settings!$C$7)</f>
        <v/>
      </c>
      <c r="M201" s="7">
        <f>IF($V201="","",SUMIFS('Per Line'!$N$2:$N$501,'Per Line'!$A$2:$A$501,$A201,'Per Line'!$Y$2:$Y$501,0))</f>
        <v/>
      </c>
      <c r="N201" s="7">
        <f>IF($V201="","",M201*L201)</f>
        <v/>
      </c>
      <c r="O201">
        <f>IF($V201="","",Settings!$C$6)</f>
        <v/>
      </c>
      <c r="P201" s="7">
        <f>IF($V201="","",SUMIFS('Per Line'!$N$2:$N$501,'Per Line'!$A$2:$A$501,$A201,'Per Line'!$Y$2:$Y$501,1))</f>
        <v/>
      </c>
      <c r="Q201" s="7">
        <f>IF($V201="","",P201*O201)</f>
        <v/>
      </c>
      <c r="R201" s="7">
        <f>IF($V201="","",Q201+N201)</f>
        <v/>
      </c>
      <c r="S201" s="7">
        <f>IF($V201="","",T201-R201)</f>
        <v/>
      </c>
      <c r="T201" s="7">
        <f>IF($V201="","",M201+P201)</f>
        <v/>
      </c>
      <c r="U201" s="7">
        <f>IF($V201="","",T201-R201-G201)</f>
        <v/>
      </c>
      <c r="V201" s="13">
        <f>IF(ROWS($V$2:$V201)&lt;=MAX('Per Line'!$X$2:$X$501),MATCH(ROWS($V$2:$V201),'Per Line'!$X$2:$X$501,0),"")</f>
        <v/>
      </c>
    </row>
  </sheetData>
  <autoFilter ref="A1:V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2026-10-12T10:24:59Z</dcterms:created>
  <dcterms:modified xmlns:dcterms="http://purl.org/dc/terms/" xmlns:xsi="http://www.w3.org/2001/XMLSchema-instance" xsi:type="dcterms:W3CDTF">2026-10-12T10:24:59Z</dcterms:modified>
</cp:coreProperties>
</file>